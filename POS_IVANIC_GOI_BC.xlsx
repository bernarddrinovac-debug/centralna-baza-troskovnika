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danijel\Documents\PONUDE\2025\APN Ivanić Grad\"/>
    </mc:Choice>
  </mc:AlternateContent>
  <xr:revisionPtr revIDLastSave="0" documentId="13_ncr:1_{41B9A14E-9DB3-4C65-B6B5-E7212306D8A2}" xr6:coauthVersionLast="47" xr6:coauthVersionMax="47" xr10:uidLastSave="{00000000-0000-0000-0000-000000000000}"/>
  <bookViews>
    <workbookView xWindow="-108" yWindow="-108" windowWidth="23256" windowHeight="12456" tabRatio="926" firstSheet="1" activeTab="1" xr2:uid="{00000000-000D-0000-FFFF-FFFF00000000}"/>
  </bookViews>
  <sheets>
    <sheet name="SVE" sheetId="1" state="hidden" r:id="rId1"/>
    <sheet name="NASLOVNICA I UKUPNA REKAP." sheetId="102" r:id="rId2"/>
    <sheet name="GRAĐ_OBRT_NASL_REKAP_OPĆI U" sheetId="115" r:id="rId3"/>
    <sheet name="1.ZEM." sheetId="79" r:id="rId4"/>
    <sheet name="2. BET. I AB" sheetId="72" r:id="rId5"/>
    <sheet name="3. ZID." sheetId="80" r:id="rId6"/>
    <sheet name="4.SKELE" sheetId="81" r:id="rId7"/>
    <sheet name="5.IZOL." sheetId="87" r:id="rId8"/>
    <sheet name="6.LIM" sheetId="11" r:id="rId9"/>
    <sheet name="7.TES." sheetId="82" r:id="rId10"/>
    <sheet name="8.GIPS." sheetId="88" r:id="rId11"/>
    <sheet name="9. STOL. " sheetId="122" r:id="rId12"/>
    <sheet name="10.1.BRAV.ALU VANJ." sheetId="125" r:id="rId13"/>
    <sheet name="10.2.BRAV.PP" sheetId="126" r:id="rId14"/>
    <sheet name="10.3. ČN BRAVARIJA" sheetId="127" r:id="rId15"/>
    <sheet name="11.FASAD." sheetId="128" r:id="rId16"/>
    <sheet name="12. LIČIL." sheetId="123" r:id="rId17"/>
    <sheet name="13. PARKETARSKI" sheetId="116" r:id="rId18"/>
    <sheet name="14.KER. " sheetId="124" r:id="rId19"/>
    <sheet name="15.PODOPOL. " sheetId="118" r:id="rId20"/>
    <sheet name="16. OPREMA" sheetId="119" r:id="rId21"/>
    <sheet name="17. OKOLIŠ" sheetId="120" r:id="rId22"/>
    <sheet name="18. OSTALO" sheetId="121" r:id="rId23"/>
    <sheet name="ViK" sheetId="129" r:id="rId24"/>
    <sheet name="NASLOVNICA GOR" sheetId="130" r:id="rId25"/>
    <sheet name="Opće" sheetId="131" r:id="rId26"/>
    <sheet name="1. ENERGETSKI RAZVOD" sheetId="132" r:id="rId27"/>
    <sheet name="2. RASVJETA I UTIČNICE" sheetId="133" r:id="rId28"/>
    <sheet name="3. STROJARSKE INSTALACIJE" sheetId="134" r:id="rId29"/>
    <sheet name="4. LPS-IZJEDNAČENJE  POT." sheetId="135" r:id="rId30"/>
    <sheet name="5.ZAU" sheetId="136" r:id="rId31"/>
    <sheet name="6. PORTAFON" sheetId="137" r:id="rId32"/>
    <sheet name="7. STRUKTURNO KABLIRANJE" sheetId="138" r:id="rId33"/>
    <sheet name="8. OSTALO" sheetId="139" r:id="rId34"/>
    <sheet name="REKAPITULACIJA" sheetId="140" r:id="rId35"/>
    <sheet name="STROJARSKE INSTALACIJE" sheetId="141"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_1Excel_BuiltIn_Print_Area_1" localSheetId="12">#REF!</definedName>
    <definedName name="_1Excel_BuiltIn_Print_Area_1" localSheetId="13">#REF!</definedName>
    <definedName name="_1Excel_BuiltIn_Print_Area_1" localSheetId="14">#REF!</definedName>
    <definedName name="_1Excel_BuiltIn_Print_Area_1" localSheetId="15">#REF!</definedName>
    <definedName name="_1Excel_BuiltIn_Print_Area_1" localSheetId="11">#REF!</definedName>
    <definedName name="_1Excel_BuiltIn_Print_Area_1" localSheetId="2">#REF!</definedName>
    <definedName name="_1Excel_BuiltIn_Print_Area_1">#REF!</definedName>
    <definedName name="_rbr" localSheetId="12">#REF!</definedName>
    <definedName name="_rbr" localSheetId="13">#REF!</definedName>
    <definedName name="_rbr" localSheetId="14">#REF!</definedName>
    <definedName name="_rbr" localSheetId="15">#REF!</definedName>
    <definedName name="_rbr" localSheetId="31">'6. PORTAFON'!$A$1</definedName>
    <definedName name="_rbr" localSheetId="32">'7. STRUKTURNO KABLIRANJE'!$A$1</definedName>
    <definedName name="_rbr" localSheetId="11">#REF!</definedName>
    <definedName name="_rbr">#REF!</definedName>
    <definedName name="a">#REF!</definedName>
    <definedName name="a_1">#REF!</definedName>
    <definedName name="a_10">#REF!</definedName>
    <definedName name="a_2">#REF!</definedName>
    <definedName name="a_3">#REF!</definedName>
    <definedName name="a_4">#REF!</definedName>
    <definedName name="a_5">#REF!</definedName>
    <definedName name="a_6">#REF!</definedName>
    <definedName name="a_7">#REF!</definedName>
    <definedName name="a_8">#REF!</definedName>
    <definedName name="a_9">#REF!</definedName>
    <definedName name="ad" localSheetId="11">'9. STOL. '!$A$1:$H$93</definedName>
    <definedName name="af" localSheetId="15">'11.FASAD.'!$A$1:$H$29</definedName>
    <definedName name="ag" localSheetId="16">'12. LIČIL.'!$A$1:$H$29</definedName>
    <definedName name="ah" localSheetId="19">'15.PODOPOL. '!$A$1:$H$23</definedName>
    <definedName name="aj" localSheetId="4">'2. BET. I AB'!$A$1:$H$65</definedName>
    <definedName name="ak" localSheetId="5">'3. ZID.'!$A$1:$H$66</definedName>
    <definedName name="ANEX_I">[1]List1!$S$8</definedName>
    <definedName name="ANEX_II">[1]List1!$S$9</definedName>
    <definedName name="AQDE" localSheetId="12">#REF!</definedName>
    <definedName name="AQDE" localSheetId="13">#REF!</definedName>
    <definedName name="AQDE" localSheetId="14">#REF!</definedName>
    <definedName name="AQDE" localSheetId="15">#REF!</definedName>
    <definedName name="AQDE" localSheetId="20">#REF!</definedName>
    <definedName name="AQDE" localSheetId="21">#REF!</definedName>
    <definedName name="AQDE" localSheetId="22">#REF!</definedName>
    <definedName name="AQDE" localSheetId="11">#REF!</definedName>
    <definedName name="AQDE">#REF!</definedName>
    <definedName name="Arm_beton" localSheetId="14">#REF!</definedName>
    <definedName name="Arm_beton" localSheetId="20">#REF!</definedName>
    <definedName name="Arm_beton" localSheetId="21">#REF!</definedName>
    <definedName name="Arm_beton" localSheetId="22">#REF!</definedName>
    <definedName name="Arm_beton" localSheetId="4">#REF!</definedName>
    <definedName name="Arm_beton" localSheetId="7">#REF!</definedName>
    <definedName name="Arm_beton" localSheetId="2">#REF!</definedName>
    <definedName name="Arm_beton" localSheetId="1">#REF!</definedName>
    <definedName name="Arm_beton" localSheetId="23">#REF!</definedName>
    <definedName name="Arm_beton">#REF!</definedName>
    <definedName name="Armiracki" localSheetId="12">#REF!</definedName>
    <definedName name="Armiracki" localSheetId="13">#REF!</definedName>
    <definedName name="Armiracki" localSheetId="14">#REF!</definedName>
    <definedName name="Armiracki" localSheetId="17">#REF!</definedName>
    <definedName name="Armiracki" localSheetId="20">#REF!</definedName>
    <definedName name="Armiracki" localSheetId="21">#REF!</definedName>
    <definedName name="Armiracki" localSheetId="22">#REF!</definedName>
    <definedName name="Armiracki" localSheetId="4">#REF!</definedName>
    <definedName name="Armiracki" localSheetId="7">#REF!</definedName>
    <definedName name="Armiracki" localSheetId="9">#REF!</definedName>
    <definedName name="Armiracki" localSheetId="10">#REF!</definedName>
    <definedName name="Armiracki" localSheetId="2">#REF!</definedName>
    <definedName name="Armiracki" localSheetId="1">#REF!</definedName>
    <definedName name="Armiracki" localSheetId="23">#REF!</definedName>
    <definedName name="Armiracki">#REF!</definedName>
    <definedName name="as" localSheetId="3">'1.ZEM.'!$A$1:$H$77</definedName>
    <definedName name="ASD" localSheetId="12">#REF!</definedName>
    <definedName name="ASD" localSheetId="13">#REF!</definedName>
    <definedName name="ASD" localSheetId="15">#REF!</definedName>
    <definedName name="ASD" localSheetId="11">#REF!</definedName>
    <definedName name="ASD">#REF!</definedName>
    <definedName name="AVANS_ISPL">[1]List1!$E$40</definedName>
    <definedName name="AVD" localSheetId="12">#REF!</definedName>
    <definedName name="AVD" localSheetId="13">#REF!</definedName>
    <definedName name="AVD" localSheetId="14">#REF!</definedName>
    <definedName name="AVD" localSheetId="15">#REF!</definedName>
    <definedName name="AVD" localSheetId="11">#REF!</definedName>
    <definedName name="AVD">#REF!</definedName>
    <definedName name="Betonski" localSheetId="12">#REF!</definedName>
    <definedName name="Betonski" localSheetId="13">#REF!</definedName>
    <definedName name="Betonski" localSheetId="14">#REF!</definedName>
    <definedName name="Betonski" localSheetId="17">#REF!</definedName>
    <definedName name="Betonski" localSheetId="20">#REF!</definedName>
    <definedName name="Betonski" localSheetId="21">#REF!</definedName>
    <definedName name="Betonski" localSheetId="22">#REF!</definedName>
    <definedName name="Betonski" localSheetId="4">#REF!</definedName>
    <definedName name="Betonski" localSheetId="7">#REF!</definedName>
    <definedName name="Betonski" localSheetId="9">#REF!</definedName>
    <definedName name="Betonski" localSheetId="10">#REF!</definedName>
    <definedName name="Betonski" localSheetId="2">#REF!</definedName>
    <definedName name="Betonski" localSheetId="1">#REF!</definedName>
    <definedName name="Betonski" localSheetId="23">#REF!</definedName>
    <definedName name="Betonski">#REF!</definedName>
    <definedName name="BETONSKI_I_ARM.BET._RADOVI">#REF!</definedName>
    <definedName name="BETONSKI_I_ARM.BETONSKI_RADOVI">#REF!</definedName>
    <definedName name="BOD">#REF!</definedName>
    <definedName name="BODIC">#REF!</definedName>
    <definedName name="BODICA">#REF!</definedName>
    <definedName name="BRAVARIJA_SKLONIŠTA">#REF!</definedName>
    <definedName name="BROD">#REF!</definedName>
    <definedName name="BROD_1">#REF!</definedName>
    <definedName name="BROD_10">#REF!</definedName>
    <definedName name="BROD_2">#REF!</definedName>
    <definedName name="BROD_3">#REF!</definedName>
    <definedName name="BROD_4">#REF!</definedName>
    <definedName name="BROD_5">#REF!</definedName>
    <definedName name="BROD_6">#REF!</definedName>
    <definedName name="BROD_7">#REF!</definedName>
    <definedName name="BROD_8">#REF!</definedName>
    <definedName name="BROD_9">#REF!</definedName>
    <definedName name="BROJ_SIT">[1]List1!$S$11</definedName>
    <definedName name="CEH" localSheetId="12">#REF!</definedName>
    <definedName name="CEH" localSheetId="13">#REF!</definedName>
    <definedName name="CEH" localSheetId="14">#REF!</definedName>
    <definedName name="CEH" localSheetId="15">#REF!</definedName>
    <definedName name="CEH" localSheetId="16">#REF!</definedName>
    <definedName name="CEH" localSheetId="18">#REF!</definedName>
    <definedName name="CEH" localSheetId="11">#REF!</definedName>
    <definedName name="CEH">#REF!</definedName>
    <definedName name="Copy_of_DA669E372" localSheetId="12">#REF!</definedName>
    <definedName name="Copy_of_DA669E372" localSheetId="13">#REF!</definedName>
    <definedName name="Copy_of_DA669E372" localSheetId="14">#REF!</definedName>
    <definedName name="Copy_of_DA669E372" localSheetId="15">#REF!</definedName>
    <definedName name="Copy_of_DA669E372" localSheetId="16">#REF!</definedName>
    <definedName name="Copy_of_DA669E372" localSheetId="18">#REF!</definedName>
    <definedName name="Copy_of_DA669E372" localSheetId="11">#REF!</definedName>
    <definedName name="Copy_of_DA669E372">#REF!</definedName>
    <definedName name="Copy_of_DA669E372_1" localSheetId="12">#REF!</definedName>
    <definedName name="Copy_of_DA669E372_1" localSheetId="13">#REF!</definedName>
    <definedName name="Copy_of_DA669E372_1" localSheetId="14">#REF!</definedName>
    <definedName name="Copy_of_DA669E372_1" localSheetId="15">#REF!</definedName>
    <definedName name="Copy_of_DA669E372_1" localSheetId="16">#REF!</definedName>
    <definedName name="Copy_of_DA669E372_1" localSheetId="18">#REF!</definedName>
    <definedName name="Copy_of_DA669E372_1" localSheetId="11">#REF!</definedName>
    <definedName name="Copy_of_DA669E372_1">#REF!</definedName>
    <definedName name="Copy_of_DA669E372_10">#REF!</definedName>
    <definedName name="Copy_of_DA669E372_2">#REF!</definedName>
    <definedName name="Copy_of_DA669E372_3">#REF!</definedName>
    <definedName name="Copy_of_DA669E372_4">#REF!</definedName>
    <definedName name="Copy_of_DA669E372_5">#REF!</definedName>
    <definedName name="Copy_of_DA669E372_6">#REF!</definedName>
    <definedName name="Copy_of_DA669E372_7">#REF!</definedName>
    <definedName name="Copy_of_DA669E372_8">#REF!</definedName>
    <definedName name="Copy_of_DA669E372_9">#REF!</definedName>
    <definedName name="CRNA_BRAVARIJA">#REF!</definedName>
    <definedName name="č" localSheetId="15">#REF!</definedName>
    <definedName name="č" localSheetId="16">#REF!</definedName>
    <definedName name="č" localSheetId="18">#REF!</definedName>
    <definedName name="č">#REF!</definedName>
    <definedName name="ČELIČNA_KONSTRUKCIJA" localSheetId="15">#REF!</definedName>
    <definedName name="ČELIČNA_KONSTRUKCIJA" localSheetId="16">#REF!</definedName>
    <definedName name="ČELIČNA_KONSTRUKCIJA" localSheetId="18">#REF!</definedName>
    <definedName name="ČELIČNA_KONSTRUKCIJA">#REF!</definedName>
    <definedName name="d" localSheetId="12">#REF!</definedName>
    <definedName name="d" localSheetId="13">#REF!</definedName>
    <definedName name="d" localSheetId="14">#REF!</definedName>
    <definedName name="d" localSheetId="15">#REF!</definedName>
    <definedName name="d" localSheetId="6">'4.SKELE'!$A$1:$H$16</definedName>
    <definedName name="d" localSheetId="11">#REF!</definedName>
    <definedName name="d">#REF!</definedName>
    <definedName name="d_1" localSheetId="12">#REF!</definedName>
    <definedName name="d_1" localSheetId="13">#REF!</definedName>
    <definedName name="d_1" localSheetId="15">#REF!</definedName>
    <definedName name="d_1" localSheetId="11">#REF!</definedName>
    <definedName name="d_1">#REF!</definedName>
    <definedName name="d_10" localSheetId="12">#REF!</definedName>
    <definedName name="d_10" localSheetId="13">#REF!</definedName>
    <definedName name="d_10" localSheetId="15">#REF!</definedName>
    <definedName name="d_10" localSheetId="11">#REF!</definedName>
    <definedName name="d_10">#REF!</definedName>
    <definedName name="d_11">#REF!</definedName>
    <definedName name="d_2">#REF!</definedName>
    <definedName name="d_3">#REF!</definedName>
    <definedName name="d_4">#REF!</definedName>
    <definedName name="d_5">#REF!</definedName>
    <definedName name="d_6">#REF!</definedName>
    <definedName name="d_7">#REF!</definedName>
    <definedName name="d_8">#REF!</definedName>
    <definedName name="d_9">#REF!</definedName>
    <definedName name="DALEKOVOD">#REF!</definedName>
    <definedName name="DALEKOVOD_1">#REF!</definedName>
    <definedName name="DALEKOVOD_10">#REF!</definedName>
    <definedName name="DALEKOVOD_2">#REF!</definedName>
    <definedName name="DALEKOVOD_3">#REF!</definedName>
    <definedName name="DALEKOVOD_4">#REF!</definedName>
    <definedName name="DALEKOVOD_5">#REF!</definedName>
    <definedName name="DALEKOVOD_6">#REF!</definedName>
    <definedName name="DALEKOVOD_7">#REF!</definedName>
    <definedName name="DALEKOVOD_8">#REF!</definedName>
    <definedName name="DALEKOVOD_9">#REF!</definedName>
    <definedName name="dd">#REF!</definedName>
    <definedName name="dd_1">#REF!</definedName>
    <definedName name="dd_10">#REF!</definedName>
    <definedName name="dd_11">#REF!</definedName>
    <definedName name="dd_2">#REF!</definedName>
    <definedName name="dd_3">#REF!</definedName>
    <definedName name="dd_4">#REF!</definedName>
    <definedName name="dd_5">#REF!</definedName>
    <definedName name="dd_6">#REF!</definedName>
    <definedName name="dd_7">#REF!</definedName>
    <definedName name="dd_8">#REF!</definedName>
    <definedName name="dd_9">#REF!</definedName>
    <definedName name="DIMNJACI">#REF!</definedName>
    <definedName name="DIZALA">#REF!</definedName>
    <definedName name="e" localSheetId="8">'6.LIM'!$A$1:$H$70</definedName>
    <definedName name="EXCEG" localSheetId="12">#REF!</definedName>
    <definedName name="EXCEG" localSheetId="13">#REF!</definedName>
    <definedName name="EXCEG" localSheetId="15">#REF!</definedName>
    <definedName name="EXCEG" localSheetId="11">#REF!</definedName>
    <definedName name="EXCEG">#REF!</definedName>
    <definedName name="Excel_BuiltIn_Print_Area" localSheetId="12">#REF!</definedName>
    <definedName name="Excel_BuiltIn_Print_Area" localSheetId="13">#REF!</definedName>
    <definedName name="Excel_BuiltIn_Print_Area" localSheetId="15">#REF!</definedName>
    <definedName name="Excel_BuiltIn_Print_Area" localSheetId="11">#REF!</definedName>
    <definedName name="Excel_BuiltIn_Print_Area">#REF!</definedName>
    <definedName name="Excel_BuiltIn_Print_Area_1" localSheetId="12">#REF!</definedName>
    <definedName name="Excel_BuiltIn_Print_Area_1" localSheetId="13">#REF!</definedName>
    <definedName name="Excel_BuiltIn_Print_Area_1" localSheetId="15">#REF!</definedName>
    <definedName name="Excel_BuiltIn_Print_Area_1" localSheetId="11">#REF!</definedName>
    <definedName name="Excel_BuiltIn_Print_Area_1">#REF!</definedName>
    <definedName name="Excel_BuiltIn_Print_Area_1_1">#REF!</definedName>
    <definedName name="Excel_BuiltIn_Print_Area_10">#REF!</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Titles">#REF!</definedName>
    <definedName name="Excel_BuiltIn_Print_Titles_1">#REF!</definedName>
    <definedName name="Excel_BuiltIn_Print_Titles_1_1">#REF!</definedName>
    <definedName name="Excel_BuiltIn_Print_Titles_10">#REF!</definedName>
    <definedName name="Excel_BuiltIn_Print_Titles_2">#REF!</definedName>
    <definedName name="Excel_BuiltIn_Print_Titles_3">#REF!</definedName>
    <definedName name="Excel_BuiltIn_Print_Titles_4">#REF!</definedName>
    <definedName name="Excel_BuiltIn_Print_Titles_5">#REF!</definedName>
    <definedName name="Excel_BuiltIn_Print_Titles_6">#REF!</definedName>
    <definedName name="Excel_BuiltIn_Print_Titles_7">#REF!</definedName>
    <definedName name="f" localSheetId="20">#REF!</definedName>
    <definedName name="f" localSheetId="21">#REF!</definedName>
    <definedName name="f" localSheetId="22">#REF!</definedName>
    <definedName name="f">#REF!</definedName>
    <definedName name="FA">#REF!</definedName>
    <definedName name="FASADERSKI_RADOVI">#REF!</definedName>
    <definedName name="FGFDG">#REF!</definedName>
    <definedName name="GOD_SIT">[1]List1!$T$22</definedName>
    <definedName name="GP_KRK" localSheetId="12">#REF!</definedName>
    <definedName name="GP_KRK" localSheetId="13">#REF!</definedName>
    <definedName name="GP_KRK" localSheetId="14">#REF!</definedName>
    <definedName name="GP_KRK" localSheetId="15">#REF!</definedName>
    <definedName name="GP_KRK" localSheetId="11">#REF!</definedName>
    <definedName name="GP_KRK">#REF!</definedName>
    <definedName name="Gradec" localSheetId="12">#REF!</definedName>
    <definedName name="Gradec" localSheetId="13">#REF!</definedName>
    <definedName name="Gradec" localSheetId="14">#REF!</definedName>
    <definedName name="Gradec" localSheetId="15">#REF!</definedName>
    <definedName name="Gradec" localSheetId="11">#REF!</definedName>
    <definedName name="Gradec">#REF!</definedName>
    <definedName name="Gradec_1" localSheetId="12">#REF!</definedName>
    <definedName name="Gradec_1" localSheetId="13">#REF!</definedName>
    <definedName name="Gradec_1" localSheetId="14">#REF!</definedName>
    <definedName name="Gradec_1" localSheetId="15">#REF!</definedName>
    <definedName name="Gradec_1" localSheetId="11">#REF!</definedName>
    <definedName name="Gradec_1">#REF!</definedName>
    <definedName name="Gradec_10">#REF!</definedName>
    <definedName name="Gradec_2">#REF!</definedName>
    <definedName name="Gradec_3">#REF!</definedName>
    <definedName name="Gradec_4">#REF!</definedName>
    <definedName name="Gradec_5">#REF!</definedName>
    <definedName name="Gradec_6">#REF!</definedName>
    <definedName name="Gradec_7">#REF!</definedName>
    <definedName name="Gradec_8">#REF!</definedName>
    <definedName name="Gradec_9">#REF!</definedName>
    <definedName name="Gradjevina">#REF!</definedName>
    <definedName name="GRANIT">[2]FAKTORI!$B$4</definedName>
    <definedName name="GRANIT_1">[2]FAKTORI!$B$4</definedName>
    <definedName name="GRANIT_2">[2]FAKTORI!$B$4</definedName>
    <definedName name="GRANIT_3">[2]FAKTORI!$B$4</definedName>
    <definedName name="GRANIT_4">[2]FAKTORI!$B$4</definedName>
    <definedName name="GRANIT_5">[2]FAKTORI!$B$4</definedName>
    <definedName name="GRANIT_6">[3]FAKTORI!$B$4</definedName>
    <definedName name="GRANIT1">[2]FAKTORI!$B$5</definedName>
    <definedName name="GRANIT1_1">[2]FAKTORI!$B$5</definedName>
    <definedName name="GRANIT1_2">[2]FAKTORI!$B$5</definedName>
    <definedName name="GRANIT1_3">[2]FAKTORI!$B$5</definedName>
    <definedName name="GRANIT1_4">[2]FAKTORI!$B$5</definedName>
    <definedName name="GRANIT1_5">[2]FAKTORI!$B$5</definedName>
    <definedName name="GRANIT1_6">[3]FAKTORI!$B$5</definedName>
    <definedName name="ha" localSheetId="18">'14.KER. '!$A$1:$H$37</definedName>
    <definedName name="HIDRA">[4]FAKTORI!$B$4</definedName>
    <definedName name="HIDRA_1">[4]FAKTORI!$B$4</definedName>
    <definedName name="HIDRA_10">[4]FAKTORI!$B$4</definedName>
    <definedName name="HIDRA_11">[5]FAKTORI!$B$4</definedName>
    <definedName name="HIDRA_2">[4]FAKTORI!$B$4</definedName>
    <definedName name="HIDRA_3">[4]FAKTORI!$B$4</definedName>
    <definedName name="HIDRA_4">[4]FAKTORI!$B$4</definedName>
    <definedName name="HIDRA_5">[4]FAKTORI!$B$4</definedName>
    <definedName name="HIDRA_6">[4]FAKTORI!$B$4</definedName>
    <definedName name="HIDRA_7">[4]FAKTORI!$B$4</definedName>
    <definedName name="HIDRA_8">[4]FAKTORI!$B$4</definedName>
    <definedName name="HIDRA_9">[4]FAKTORI!$B$4</definedName>
    <definedName name="i" localSheetId="12">#REF!</definedName>
    <definedName name="i" localSheetId="13">#REF!</definedName>
    <definedName name="i" localSheetId="14">#REF!</definedName>
    <definedName name="i" localSheetId="15">#REF!</definedName>
    <definedName name="i" localSheetId="11">#REF!</definedName>
    <definedName name="i">#REF!</definedName>
    <definedName name="i_1" localSheetId="12">#REF!</definedName>
    <definedName name="i_1" localSheetId="13">#REF!</definedName>
    <definedName name="i_1" localSheetId="14">#REF!</definedName>
    <definedName name="i_1" localSheetId="15">#REF!</definedName>
    <definedName name="i_1" localSheetId="11">#REF!</definedName>
    <definedName name="i_1">#REF!</definedName>
    <definedName name="i_10" localSheetId="12">#REF!</definedName>
    <definedName name="i_10" localSheetId="13">#REF!</definedName>
    <definedName name="i_10" localSheetId="14">#REF!</definedName>
    <definedName name="i_10" localSheetId="15">#REF!</definedName>
    <definedName name="i_10" localSheetId="11">#REF!</definedName>
    <definedName name="i_10">#REF!</definedName>
    <definedName name="i_11">#REF!</definedName>
    <definedName name="i_2">#REF!</definedName>
    <definedName name="i_3">#REF!</definedName>
    <definedName name="i_4">#REF!</definedName>
    <definedName name="i_5">#REF!</definedName>
    <definedName name="i_6">#REF!</definedName>
    <definedName name="i_7">#REF!</definedName>
    <definedName name="i_8">#REF!</definedName>
    <definedName name="i_9">#REF!</definedName>
    <definedName name="ii">#REF!</definedName>
    <definedName name="ii_1">#REF!</definedName>
    <definedName name="ii_10">#REF!</definedName>
    <definedName name="ii_11">#REF!</definedName>
    <definedName name="ii_2">#REF!</definedName>
    <definedName name="ii_3">#REF!</definedName>
    <definedName name="ii_4">#REF!</definedName>
    <definedName name="ii_5">#REF!</definedName>
    <definedName name="ii_6">#REF!</definedName>
    <definedName name="ii_7">#REF!</definedName>
    <definedName name="ii_8">#REF!</definedName>
    <definedName name="ii_9">#REF!</definedName>
    <definedName name="INOX_BRAVARIJA">#REF!</definedName>
    <definedName name="INVEST_ADRESA">[1]List1!$F$3</definedName>
    <definedName name="INVEST_MAT_BROJ">[1]List1!$N$3</definedName>
    <definedName name="INVESTITOR">[1]List1!$F$2</definedName>
    <definedName name="is" localSheetId="12">#REF!</definedName>
    <definedName name="is" localSheetId="13">#REF!</definedName>
    <definedName name="is" localSheetId="14">#REF!</definedName>
    <definedName name="is" localSheetId="15">#REF!</definedName>
    <definedName name="is" localSheetId="11">#REF!</definedName>
    <definedName name="is">#REF!</definedName>
    <definedName name="is_1" localSheetId="12">#REF!</definedName>
    <definedName name="is_1" localSheetId="13">#REF!</definedName>
    <definedName name="is_1" localSheetId="14">#REF!</definedName>
    <definedName name="is_1" localSheetId="15">#REF!</definedName>
    <definedName name="is_1" localSheetId="11">#REF!</definedName>
    <definedName name="is_1">#REF!</definedName>
    <definedName name="is_10" localSheetId="12">#REF!</definedName>
    <definedName name="is_10" localSheetId="13">#REF!</definedName>
    <definedName name="is_10" localSheetId="14">#REF!</definedName>
    <definedName name="is_10" localSheetId="15">#REF!</definedName>
    <definedName name="is_10" localSheetId="11">#REF!</definedName>
    <definedName name="is_10">#REF!</definedName>
    <definedName name="is_11">#REF!</definedName>
    <definedName name="is_2">#REF!</definedName>
    <definedName name="is_3">#REF!</definedName>
    <definedName name="is_4">#REF!</definedName>
    <definedName name="is_5">#REF!</definedName>
    <definedName name="is_6">#REF!</definedName>
    <definedName name="is_7">#REF!</definedName>
    <definedName name="is_8">#REF!</definedName>
    <definedName name="is_9">#REF!</definedName>
    <definedName name="_xlnm.Print_Titles" localSheetId="26">'1. ENERGETSKI RAZVOD'!$1:$6</definedName>
    <definedName name="_xlnm.Print_Titles" localSheetId="27">'2. RASVJETA I UTIČNICE'!$1:$6</definedName>
    <definedName name="_xlnm.Print_Titles" localSheetId="28">'3. STROJARSKE INSTALACIJE'!$1:$6</definedName>
    <definedName name="_xlnm.Print_Titles" localSheetId="29">'4. LPS-IZJEDNAČENJE  POT.'!$1:$6</definedName>
    <definedName name="_xlnm.Print_Titles" localSheetId="30">'5.ZAU'!$1:$6</definedName>
    <definedName name="_xlnm.Print_Titles" localSheetId="31">'6. PORTAFON'!$1:$6</definedName>
    <definedName name="_xlnm.Print_Titles" localSheetId="32">'7. STRUKTURNO KABLIRANJE'!$1:$6</definedName>
    <definedName name="_xlnm.Print_Titles" localSheetId="33">'8. OSTALO'!$1:$6</definedName>
    <definedName name="_xlnm.Print_Titles" localSheetId="25">Opće!$1:$3</definedName>
    <definedName name="_xlnm.Print_Titles" localSheetId="35">'STROJARSKE INSTALACIJE'!$9:$10</definedName>
    <definedName name="_xlnm.Print_Titles" localSheetId="23">ViK!$9:$10</definedName>
    <definedName name="IZOLACIJE">[6]dvorana!#REF!</definedName>
    <definedName name="Izolateri" localSheetId="20">#REF!</definedName>
    <definedName name="Izolateri" localSheetId="21">#REF!</definedName>
    <definedName name="Izolateri" localSheetId="22">#REF!</definedName>
    <definedName name="Izolateri" localSheetId="2">'[7]6. IZOL.'!$A$3:$I$88</definedName>
    <definedName name="Izolateri" localSheetId="1">'[7]6. IZOL.'!$A$3:$I$88</definedName>
    <definedName name="Izolateri" localSheetId="23">'[7]6. IZOL.'!$A$3:$I$88</definedName>
    <definedName name="Izolateri">'[8]6. IZOL.'!$A$3:$I$88</definedName>
    <definedName name="IZOLATERSKI_RADOVI" localSheetId="12">#REF!</definedName>
    <definedName name="IZOLATERSKI_RADOVI" localSheetId="13">#REF!</definedName>
    <definedName name="IZOLATERSKI_RADOVI" localSheetId="14">#REF!</definedName>
    <definedName name="IZOLATERSKI_RADOVI" localSheetId="15">#REF!</definedName>
    <definedName name="IZOLATERSKI_RADOVI" localSheetId="11">#REF!</definedName>
    <definedName name="IZOLATERSKI_RADOVI">#REF!</definedName>
    <definedName name="IZVOD_ADRESA">[1]List1!$F$8</definedName>
    <definedName name="IZVOD_DIR">[1]List1!$F$9</definedName>
    <definedName name="IZVODITELJ">[1]List1!$F$7</definedName>
    <definedName name="jm" localSheetId="12">#REF!</definedName>
    <definedName name="jm" localSheetId="13">#REF!</definedName>
    <definedName name="jm" localSheetId="14">#REF!</definedName>
    <definedName name="jm" localSheetId="15">#REF!</definedName>
    <definedName name="jm" localSheetId="11">#REF!</definedName>
    <definedName name="jm">#REF!</definedName>
    <definedName name="jm_1" localSheetId="12">#REF!</definedName>
    <definedName name="jm_1" localSheetId="13">#REF!</definedName>
    <definedName name="jm_1" localSheetId="14">#REF!</definedName>
    <definedName name="jm_1" localSheetId="15">#REF!</definedName>
    <definedName name="jm_1" localSheetId="11">#REF!</definedName>
    <definedName name="jm_1">#REF!</definedName>
    <definedName name="jm_10" localSheetId="12">#REF!</definedName>
    <definedName name="jm_10" localSheetId="13">#REF!</definedName>
    <definedName name="jm_10" localSheetId="14">#REF!</definedName>
    <definedName name="jm_10" localSheetId="15">#REF!</definedName>
    <definedName name="jm_10" localSheetId="11">#REF!</definedName>
    <definedName name="jm_10">#REF!</definedName>
    <definedName name="jm_2">#REF!</definedName>
    <definedName name="jm_3">#REF!</definedName>
    <definedName name="jm_4">#REF!</definedName>
    <definedName name="jm_5">#REF!</definedName>
    <definedName name="jm_6">#REF!</definedName>
    <definedName name="jm_7">#REF!</definedName>
    <definedName name="jm_8">#REF!</definedName>
    <definedName name="jm_9">#REF!</definedName>
    <definedName name="k">#REF!</definedName>
    <definedName name="k_1">#REF!</definedName>
    <definedName name="k_10">#REF!</definedName>
    <definedName name="k_11">#REF!</definedName>
    <definedName name="k_2">#REF!</definedName>
    <definedName name="k_3">#REF!</definedName>
    <definedName name="k_4">#REF!</definedName>
    <definedName name="k_5">#REF!</definedName>
    <definedName name="k_6">#REF!</definedName>
    <definedName name="k_7">#REF!</definedName>
    <definedName name="k_8">#REF!</definedName>
    <definedName name="k_9">#REF!</definedName>
    <definedName name="KAMENARSKI_RADOVI">#REF!</definedName>
    <definedName name="KERAMIČARSKI_I_KAMENARSKI_RADOVI">[6]dvorana!#REF!</definedName>
    <definedName name="KERAMIČARSKI_RADOVI" localSheetId="12">#REF!</definedName>
    <definedName name="KERAMIČARSKI_RADOVI" localSheetId="13">#REF!</definedName>
    <definedName name="KERAMIČARSKI_RADOVI" localSheetId="14">#REF!</definedName>
    <definedName name="KERAMIČARSKI_RADOVI" localSheetId="15">#REF!</definedName>
    <definedName name="KERAMIČARSKI_RADOVI" localSheetId="11">#REF!</definedName>
    <definedName name="KERAMIČARSKI_RADOVI">#REF!</definedName>
    <definedName name="KLASA">[1]List1!$F$13</definedName>
    <definedName name="krizanje" localSheetId="12">#REF!</definedName>
    <definedName name="krizanje" localSheetId="13">#REF!</definedName>
    <definedName name="krizanje" localSheetId="14">#REF!</definedName>
    <definedName name="krizanje" localSheetId="15">#REF!</definedName>
    <definedName name="krizanje" localSheetId="11">#REF!</definedName>
    <definedName name="krizanje">#REF!</definedName>
    <definedName name="krizanje_1" localSheetId="12">#REF!</definedName>
    <definedName name="krizanje_1" localSheetId="13">#REF!</definedName>
    <definedName name="krizanje_1" localSheetId="14">#REF!</definedName>
    <definedName name="krizanje_1" localSheetId="15">#REF!</definedName>
    <definedName name="krizanje_1" localSheetId="11">#REF!</definedName>
    <definedName name="krizanje_1">#REF!</definedName>
    <definedName name="krizanje_10" localSheetId="12">#REF!</definedName>
    <definedName name="krizanje_10" localSheetId="13">#REF!</definedName>
    <definedName name="krizanje_10" localSheetId="14">#REF!</definedName>
    <definedName name="krizanje_10" localSheetId="15">#REF!</definedName>
    <definedName name="krizanje_10" localSheetId="11">#REF!</definedName>
    <definedName name="krizanje_10">#REF!</definedName>
    <definedName name="krizanje_2">#REF!</definedName>
    <definedName name="krizanje_3">#REF!</definedName>
    <definedName name="krizanje_4">#REF!</definedName>
    <definedName name="krizanje_5">#REF!</definedName>
    <definedName name="krizanje_6">#REF!</definedName>
    <definedName name="krizanje_7">#REF!</definedName>
    <definedName name="krizanje_8">#REF!</definedName>
    <definedName name="krizanje_9">#REF!</definedName>
    <definedName name="KROVOPOKRIVAČKI_RADOVI">#REF!</definedName>
    <definedName name="l">#REF!</definedName>
    <definedName name="l_1">#REF!</definedName>
    <definedName name="l_10">#REF!</definedName>
    <definedName name="l_11">#REF!</definedName>
    <definedName name="l_2">#REF!</definedName>
    <definedName name="l_3">#REF!</definedName>
    <definedName name="l_4">#REF!</definedName>
    <definedName name="l_5">#REF!</definedName>
    <definedName name="l_6">#REF!</definedName>
    <definedName name="l_7">#REF!</definedName>
    <definedName name="l_8">#REF!</definedName>
    <definedName name="l_9">#REF!</definedName>
    <definedName name="LIMARSKI_RADOVI">#REF!</definedName>
    <definedName name="m">#REF!</definedName>
    <definedName name="m_1">#REF!</definedName>
    <definedName name="m_10">#REF!</definedName>
    <definedName name="m_11">#REF!</definedName>
    <definedName name="m_2">#REF!</definedName>
    <definedName name="m_3">#REF!</definedName>
    <definedName name="m_4">#REF!</definedName>
    <definedName name="m_5">#REF!</definedName>
    <definedName name="m_6">#REF!</definedName>
    <definedName name="m_7">#REF!</definedName>
    <definedName name="m_8">#REF!</definedName>
    <definedName name="m_9">#REF!</definedName>
    <definedName name="MAT_BROJ">[1]List1!$F$12</definedName>
    <definedName name="MJES_AVANS" localSheetId="12">#REF!</definedName>
    <definedName name="MJES_AVANS" localSheetId="13">#REF!</definedName>
    <definedName name="MJES_AVANS" localSheetId="14">#REF!</definedName>
    <definedName name="MJES_AVANS" localSheetId="15">#REF!</definedName>
    <definedName name="MJES_AVANS" localSheetId="11">#REF!</definedName>
    <definedName name="MJES_AVANS">#REF!</definedName>
    <definedName name="MJES_BRUTTO" localSheetId="12">#REF!</definedName>
    <definedName name="MJES_BRUTTO" localSheetId="13">#REF!</definedName>
    <definedName name="MJES_BRUTTO" localSheetId="14">#REF!</definedName>
    <definedName name="MJES_BRUTTO" localSheetId="15">#REF!</definedName>
    <definedName name="MJES_BRUTTO" localSheetId="11">#REF!</definedName>
    <definedName name="MJES_BRUTTO">#REF!</definedName>
    <definedName name="MJES_DIONICE" localSheetId="12">#REF!</definedName>
    <definedName name="MJES_DIONICE" localSheetId="13">#REF!</definedName>
    <definedName name="MJES_DIONICE" localSheetId="14">#REF!</definedName>
    <definedName name="MJES_DIONICE" localSheetId="15">#REF!</definedName>
    <definedName name="MJES_DIONICE" localSheetId="11">#REF!</definedName>
    <definedName name="MJES_DIONICE">#REF!</definedName>
    <definedName name="MJES_IZVR">#REF!</definedName>
    <definedName name="MJES_PDV">#REF!</definedName>
    <definedName name="MJES_SIT">[1]List1!$T$21</definedName>
    <definedName name="mjesto_datum">[1]List1!$S$17</definedName>
    <definedName name="MMMMMMMM" localSheetId="12">#REF!</definedName>
    <definedName name="MMMMMMMM" localSheetId="13">#REF!</definedName>
    <definedName name="MMMMMMMM" localSheetId="14">#REF!</definedName>
    <definedName name="MMMMMMMM" localSheetId="15">#REF!</definedName>
    <definedName name="MMMMMMMM" localSheetId="11">#REF!</definedName>
    <definedName name="MMMMMMMM">#REF!</definedName>
    <definedName name="n" localSheetId="12">#REF!</definedName>
    <definedName name="n" localSheetId="13">#REF!</definedName>
    <definedName name="n" localSheetId="14">#REF!</definedName>
    <definedName name="n" localSheetId="15">#REF!</definedName>
    <definedName name="n" localSheetId="11">#REF!</definedName>
    <definedName name="n">#REF!</definedName>
    <definedName name="n_1" localSheetId="12">#REF!</definedName>
    <definedName name="n_1" localSheetId="13">#REF!</definedName>
    <definedName name="n_1" localSheetId="14">#REF!</definedName>
    <definedName name="n_1" localSheetId="15">#REF!</definedName>
    <definedName name="n_1" localSheetId="11">#REF!</definedName>
    <definedName name="n_1">#REF!</definedName>
    <definedName name="n_10">#REF!</definedName>
    <definedName name="n_11">#REF!</definedName>
    <definedName name="n_2">#REF!</definedName>
    <definedName name="n_3">#REF!</definedName>
    <definedName name="n_4">#REF!</definedName>
    <definedName name="n_5">#REF!</definedName>
    <definedName name="n_6">#REF!</definedName>
    <definedName name="n_7">#REF!</definedName>
    <definedName name="n_8">#REF!</definedName>
    <definedName name="n_9">#REF!</definedName>
    <definedName name="NADZOR">[1]List1!$F$36</definedName>
    <definedName name="NASELJE">[1]List1!$T$5</definedName>
    <definedName name="NEHRĐAJUĆA_BRAVARIJA" localSheetId="12">#REF!</definedName>
    <definedName name="NEHRĐAJUĆA_BRAVARIJA" localSheetId="13">#REF!</definedName>
    <definedName name="NEHRĐAJUĆA_BRAVARIJA" localSheetId="14">#REF!</definedName>
    <definedName name="NEHRĐAJUĆA_BRAVARIJA" localSheetId="15">#REF!</definedName>
    <definedName name="NEHRĐAJUĆA_BRAVARIJA" localSheetId="11">#REF!</definedName>
    <definedName name="NEHRĐAJUĆA_BRAVARIJA">#REF!</definedName>
    <definedName name="nnm" localSheetId="12">#REF!</definedName>
    <definedName name="nnm" localSheetId="13">#REF!</definedName>
    <definedName name="nnm" localSheetId="14">#REF!</definedName>
    <definedName name="nnm" localSheetId="15">#REF!</definedName>
    <definedName name="nnm" localSheetId="11">#REF!</definedName>
    <definedName name="nnm">#REF!</definedName>
    <definedName name="nnm_1" localSheetId="12">#REF!</definedName>
    <definedName name="nnm_1" localSheetId="13">#REF!</definedName>
    <definedName name="nnm_1" localSheetId="14">#REF!</definedName>
    <definedName name="nnm_1" localSheetId="15">#REF!</definedName>
    <definedName name="nnm_1" localSheetId="11">#REF!</definedName>
    <definedName name="nnm_1">#REF!</definedName>
    <definedName name="nnm_10">#REF!</definedName>
    <definedName name="nnm_2">#REF!</definedName>
    <definedName name="nnm_3">#REF!</definedName>
    <definedName name="nnm_4">#REF!</definedName>
    <definedName name="nnm_5">#REF!</definedName>
    <definedName name="nnm_6">#REF!</definedName>
    <definedName name="nnm_7">#REF!</definedName>
    <definedName name="nnm_8">#REF!</definedName>
    <definedName name="nnm_9">#REF!</definedName>
    <definedName name="o">#REF!</definedName>
    <definedName name="o_1">#REF!</definedName>
    <definedName name="o_10">#REF!</definedName>
    <definedName name="o_11">#REF!</definedName>
    <definedName name="o_2">#REF!</definedName>
    <definedName name="o_3">#REF!</definedName>
    <definedName name="o_4">#REF!</definedName>
    <definedName name="o_5">#REF!</definedName>
    <definedName name="o_6">#REF!</definedName>
    <definedName name="o_7">#REF!</definedName>
    <definedName name="o_8">#REF!</definedName>
    <definedName name="o_9">#REF!</definedName>
    <definedName name="OBRADIO">[1]List1!$F$37</definedName>
    <definedName name="OLE_LINK2" localSheetId="12">#REF!</definedName>
    <definedName name="OLE_LINK2" localSheetId="13">#REF!</definedName>
    <definedName name="OLE_LINK2" localSheetId="14">#REF!</definedName>
    <definedName name="OLE_LINK2" localSheetId="15">#REF!</definedName>
    <definedName name="OLE_LINK2" localSheetId="11">#REF!</definedName>
    <definedName name="OLE_LINK2">#REF!</definedName>
    <definedName name="OLE_LINK2_1" localSheetId="12">#REF!</definedName>
    <definedName name="OLE_LINK2_1" localSheetId="13">#REF!</definedName>
    <definedName name="OLE_LINK2_1" localSheetId="14">#REF!</definedName>
    <definedName name="OLE_LINK2_1" localSheetId="15">#REF!</definedName>
    <definedName name="OLE_LINK2_1" localSheetId="11">#REF!</definedName>
    <definedName name="OLE_LINK2_1">#REF!</definedName>
    <definedName name="OLE_LINK2_10" localSheetId="12">#REF!</definedName>
    <definedName name="OLE_LINK2_10" localSheetId="13">#REF!</definedName>
    <definedName name="OLE_LINK2_10" localSheetId="14">#REF!</definedName>
    <definedName name="OLE_LINK2_10" localSheetId="15">#REF!</definedName>
    <definedName name="OLE_LINK2_10" localSheetId="11">#REF!</definedName>
    <definedName name="OLE_LINK2_10">#REF!</definedName>
    <definedName name="OLE_LINK2_2">#REF!</definedName>
    <definedName name="OLE_LINK2_3">#REF!</definedName>
    <definedName name="OLE_LINK2_4">#REF!</definedName>
    <definedName name="OLE_LINK2_5">#REF!</definedName>
    <definedName name="OLE_LINK2_6">#REF!</definedName>
    <definedName name="OLE_LINK2_7">#REF!</definedName>
    <definedName name="OLE_LINK2_8">#REF!</definedName>
    <definedName name="OLE_LINK2_9">#REF!</definedName>
    <definedName name="oprema" localSheetId="20">#REF!</definedName>
    <definedName name="oprema" localSheetId="21">#REF!</definedName>
    <definedName name="oprema" localSheetId="22">#REF!</definedName>
    <definedName name="oprema">#REF!</definedName>
    <definedName name="OSIJEK_KOTEKS">#REF!</definedName>
    <definedName name="OSTALI_RADOVI">#REF!</definedName>
    <definedName name="PDV">[1]List1!$G$22</definedName>
    <definedName name="Pero" localSheetId="20">'[9]1.  ZEMLJANI'!$A$3:$H$28</definedName>
    <definedName name="Pero" localSheetId="21">'[9]1.  ZEMLJANI'!$A$3:$H$28</definedName>
    <definedName name="Pero" localSheetId="22">'[9]1.  ZEMLJANI'!$A$3:$H$28</definedName>
    <definedName name="Pero" localSheetId="9">'[10]1.  ZEMLJANI'!$A$3:$H$28</definedName>
    <definedName name="Pero" localSheetId="10">'[10]1.  ZEMLJANI'!$A$3:$H$28</definedName>
    <definedName name="Pero" localSheetId="2">'[11]1.  ZEMLJANI'!$A$3:$H$28</definedName>
    <definedName name="Pero" localSheetId="1">'[11]1.  ZEMLJANI'!$A$3:$H$28</definedName>
    <definedName name="Pero" localSheetId="23">'[9]1.  ZEMLJANI'!$A$3:$H$28</definedName>
    <definedName name="Pero">'[10]1.  ZEMLJANI'!$A$3:$H$28</definedName>
    <definedName name="PILOTI" localSheetId="12">#REF!</definedName>
    <definedName name="PILOTI" localSheetId="13">#REF!</definedName>
    <definedName name="PILOTI" localSheetId="14">#REF!</definedName>
    <definedName name="PILOTI" localSheetId="15">#REF!</definedName>
    <definedName name="PILOTI" localSheetId="11">#REF!</definedName>
    <definedName name="PILOTI">#REF!</definedName>
    <definedName name="po" localSheetId="12">#REF!</definedName>
    <definedName name="po" localSheetId="13">#REF!</definedName>
    <definedName name="po" localSheetId="14">#REF!</definedName>
    <definedName name="po" localSheetId="15">#REF!</definedName>
    <definedName name="po" localSheetId="11">#REF!</definedName>
    <definedName name="po">#REF!</definedName>
    <definedName name="po_1" localSheetId="12">#REF!</definedName>
    <definedName name="po_1" localSheetId="13">#REF!</definedName>
    <definedName name="po_1" localSheetId="14">#REF!</definedName>
    <definedName name="po_1" localSheetId="15">#REF!</definedName>
    <definedName name="po_1" localSheetId="11">#REF!</definedName>
    <definedName name="po_1">#REF!</definedName>
    <definedName name="po_2">#REF!</definedName>
    <definedName name="po_3">#REF!</definedName>
    <definedName name="po_4">#REF!</definedName>
    <definedName name="po_5">#REF!</definedName>
    <definedName name="po_6">#REF!</definedName>
    <definedName name="po_7">#REF!</definedName>
    <definedName name="po_8">#REF!</definedName>
    <definedName name="PODOVI">#REF!</definedName>
    <definedName name="PODRUCJE">[1]List1!$T$2</definedName>
    <definedName name="_xlnm.Print_Area" localSheetId="26">'1. ENERGETSKI RAZVOD'!$A$1:$F$75</definedName>
    <definedName name="_xlnm.Print_Area" localSheetId="3">'1.ZEM.'!$A$1:$H$76</definedName>
    <definedName name="_xlnm.Print_Area" localSheetId="12">'10.1.BRAV.ALU VANJ.'!$A$1:$H$126</definedName>
    <definedName name="_xlnm.Print_Area" localSheetId="14">'10.3. ČN BRAVARIJA'!$A$1:$H$59</definedName>
    <definedName name="_xlnm.Print_Area" localSheetId="15">'11.FASAD.'!$A$1:$H$29</definedName>
    <definedName name="_xlnm.Print_Area" localSheetId="16">'12. LIČIL.'!$A$1:$H$29</definedName>
    <definedName name="_xlnm.Print_Area" localSheetId="17">'13. PARKETARSKI'!$A$1:$H$16</definedName>
    <definedName name="_xlnm.Print_Area" localSheetId="18">'14.KER. '!$A$1:$H$36</definedName>
    <definedName name="_xlnm.Print_Area" localSheetId="19">'15.PODOPOL. '!$A$1:$H$22</definedName>
    <definedName name="_xlnm.Print_Area" localSheetId="20">'16. OPREMA'!$A$1:$H$29</definedName>
    <definedName name="_xlnm.Print_Area" localSheetId="21">'17. OKOLIŠ'!$A$1:$H$54</definedName>
    <definedName name="_xlnm.Print_Area" localSheetId="22">'18. OSTALO'!$A$1:$H$24</definedName>
    <definedName name="_xlnm.Print_Area" localSheetId="4">'2. BET. I AB'!$A$1:$H$64</definedName>
    <definedName name="_xlnm.Print_Area" localSheetId="27">'2. RASVJETA I UTIČNICE'!$A$1:$F$78</definedName>
    <definedName name="_xlnm.Print_Area" localSheetId="28">'3. STROJARSKE INSTALACIJE'!$A$1:$F$44</definedName>
    <definedName name="_xlnm.Print_Area" localSheetId="5">'3. ZID.'!$A$1:$H$65</definedName>
    <definedName name="_xlnm.Print_Area" localSheetId="29">'4. LPS-IZJEDNAČENJE  POT.'!$A$1:$F$52</definedName>
    <definedName name="_xlnm.Print_Area" localSheetId="6">'4.SKELE'!$A$1:$H$15</definedName>
    <definedName name="_xlnm.Print_Area" localSheetId="7">'5.IZOL.'!$A$1:$H$102</definedName>
    <definedName name="_xlnm.Print_Area" localSheetId="30">'5.ZAU'!$A$1:$F$68</definedName>
    <definedName name="_xlnm.Print_Area" localSheetId="31">'6. PORTAFON'!$A$1:$F$33</definedName>
    <definedName name="_xlnm.Print_Area" localSheetId="8">'6.LIM'!$A$1:$H$98</definedName>
    <definedName name="_xlnm.Print_Area" localSheetId="32">'7. STRUKTURNO KABLIRANJE'!$A$1:$F$78</definedName>
    <definedName name="_xlnm.Print_Area" localSheetId="9">'7.TES.'!$A$1:$H$38</definedName>
    <definedName name="_xlnm.Print_Area" localSheetId="33">'8. OSTALO'!$A$1:$F$29</definedName>
    <definedName name="_xlnm.Print_Area" localSheetId="10">'8.GIPS.'!$A$1:$H$27</definedName>
    <definedName name="_xlnm.Print_Area" localSheetId="11">'9. STOL. '!$A$1:$H$92</definedName>
    <definedName name="_xlnm.Print_Area" localSheetId="2">'GRAĐ_OBRT_NASL_REKAP_OPĆI U'!$A$1:$H$574</definedName>
    <definedName name="_xlnm.Print_Area" localSheetId="24">'NASLOVNICA GOR'!$A$1:$G$54</definedName>
    <definedName name="_xlnm.Print_Area" localSheetId="1">'NASLOVNICA I UKUPNA REKAP.'!$A$1:$H$73</definedName>
    <definedName name="_xlnm.Print_Area" localSheetId="25">Opće!$A$1:$C$24</definedName>
    <definedName name="_xlnm.Print_Area" localSheetId="34">REKAPITULACIJA!$A$1:$G$41</definedName>
    <definedName name="_xlnm.Print_Area" localSheetId="35">'STROJARSKE INSTALACIJE'!$A$1:$F$427</definedName>
    <definedName name="_xlnm.Print_Area" localSheetId="23">ViK!$A$1:$G$253</definedName>
    <definedName name="Ponudjac" localSheetId="12">#REF!</definedName>
    <definedName name="Ponudjac" localSheetId="13">#REF!</definedName>
    <definedName name="Ponudjac" localSheetId="14">#REF!</definedName>
    <definedName name="Ponudjac" localSheetId="15">#REF!</definedName>
    <definedName name="Ponudjac" localSheetId="11">#REF!</definedName>
    <definedName name="Ponudjac">#REF!</definedName>
    <definedName name="pop" localSheetId="12">#REF!</definedName>
    <definedName name="pop" localSheetId="13">#REF!</definedName>
    <definedName name="pop" localSheetId="14">#REF!</definedName>
    <definedName name="pop" localSheetId="15">#REF!</definedName>
    <definedName name="pop" localSheetId="11">#REF!</definedName>
    <definedName name="pop">#REF!</definedName>
    <definedName name="POPUST">'[12]FAKTORI 2'!$B$3</definedName>
    <definedName name="POPUST_1">'[12]FAKTORI 2'!$B$3</definedName>
    <definedName name="POPUST_10">'[12]FAKTORI 2'!$B$3</definedName>
    <definedName name="POPUST_11">[13]FAKTORI!$B$2</definedName>
    <definedName name="POPUST_2">'[12]FAKTORI 2'!$B$3</definedName>
    <definedName name="POPUST_2_1">[14]FAKTORI!$B$3</definedName>
    <definedName name="POPUST_2_1_1">[14]FAKTORI!$B$3</definedName>
    <definedName name="POPUST_2_10">[14]FAKTORI!$B$3</definedName>
    <definedName name="POPUST_2_11">[15]FAKTORI!$B$3</definedName>
    <definedName name="POPUST_2_2">[14]FAKTORI!$B$3</definedName>
    <definedName name="POPUST_2_3">[14]FAKTORI!$B$3</definedName>
    <definedName name="POPUST_2_4">[14]FAKTORI!$B$3</definedName>
    <definedName name="POPUST_2_5">[14]FAKTORI!$B$3</definedName>
    <definedName name="POPUST_2_6">[14]FAKTORI!$B$3</definedName>
    <definedName name="POPUST_2_7">[14]FAKTORI!$B$3</definedName>
    <definedName name="POPUST_2_8">[14]FAKTORI!$B$3</definedName>
    <definedName name="POPUST_2_9">[14]FAKTORI!$B$3</definedName>
    <definedName name="POPUST_3">'[12]FAKTORI 2'!$B$3</definedName>
    <definedName name="POPUST_4">'[12]FAKTORI 2'!$B$3</definedName>
    <definedName name="POPUST_5">'[12]FAKTORI 2'!$B$3</definedName>
    <definedName name="POPUST_6">'[12]FAKTORI 2'!$B$3</definedName>
    <definedName name="POPUST_7">'[12]FAKTORI 2'!$B$3</definedName>
    <definedName name="POPUST_8">'[12]FAKTORI 2'!$B$3</definedName>
    <definedName name="POPUST_9">'[12]FAKTORI 2'!$B$3</definedName>
    <definedName name="POSTO">[16]Rekapitulacija!$C$52</definedName>
    <definedName name="PREDH_SIT">[1]List1!$F$70</definedName>
    <definedName name="PREGRADNE_STIJENE" localSheetId="12">#REF!</definedName>
    <definedName name="PREGRADNE_STIJENE" localSheetId="13">#REF!</definedName>
    <definedName name="PREGRADNE_STIJENE" localSheetId="14">#REF!</definedName>
    <definedName name="PREGRADNE_STIJENE" localSheetId="15">#REF!</definedName>
    <definedName name="PREGRADNE_STIJENE" localSheetId="11">#REF!</definedName>
    <definedName name="PREGRADNE_STIJENE">#REF!</definedName>
    <definedName name="Print_Area_MI" localSheetId="12">#REF!</definedName>
    <definedName name="Print_Area_MI" localSheetId="13">#REF!</definedName>
    <definedName name="Print_Area_MI" localSheetId="14">#REF!</definedName>
    <definedName name="Print_Area_MI" localSheetId="15">#REF!</definedName>
    <definedName name="Print_Area_MI" localSheetId="11">#REF!</definedName>
    <definedName name="Print_Area_MI">#REF!</definedName>
    <definedName name="PROTUPOŽARNA_BRAVARIJA" localSheetId="12">#REF!</definedName>
    <definedName name="PROTUPOŽARNA_BRAVARIJA" localSheetId="13">#REF!</definedName>
    <definedName name="PROTUPOŽARNA_BRAVARIJA" localSheetId="14">#REF!</definedName>
    <definedName name="PROTUPOŽARNA_BRAVARIJA" localSheetId="15">#REF!</definedName>
    <definedName name="PROTUPOŽARNA_BRAVARIJA" localSheetId="11">#REF!</definedName>
    <definedName name="PROTUPOŽARNA_BRAVARIJA">#REF!</definedName>
    <definedName name="Q" localSheetId="12">#REF!</definedName>
    <definedName name="Q" localSheetId="13">#REF!</definedName>
    <definedName name="Q" localSheetId="14">#REF!</definedName>
    <definedName name="Q" localSheetId="15">#REF!</definedName>
    <definedName name="Q" localSheetId="11">#REF!</definedName>
    <definedName name="Q">#REF!</definedName>
    <definedName name="R_E_K_A_P_I_T_U_L_A_C_I_J_A">#REF!</definedName>
    <definedName name="RADILISTE">[1]List1!$T$3</definedName>
    <definedName name="RADOVI">[1]List1!$F$4</definedName>
    <definedName name="rbr" localSheetId="12">#REF!</definedName>
    <definedName name="rbr" localSheetId="13">#REF!</definedName>
    <definedName name="rbr" localSheetId="14">#REF!</definedName>
    <definedName name="rbr" localSheetId="15">#REF!</definedName>
    <definedName name="rbr" localSheetId="11">#REF!</definedName>
    <definedName name="rbr">#REF!</definedName>
    <definedName name="REALIZACIJA">[1]List1!$J$571</definedName>
    <definedName name="REALIZACIJA_1998">[1]List1!$F$17</definedName>
    <definedName name="RED_BROJ_SIT">[1]List1!$S$12</definedName>
    <definedName name="RTG_BRAVARIJA" localSheetId="12">#REF!</definedName>
    <definedName name="RTG_BRAVARIJA" localSheetId="13">#REF!</definedName>
    <definedName name="RTG_BRAVARIJA" localSheetId="14">#REF!</definedName>
    <definedName name="RTG_BRAVARIJA" localSheetId="15">#REF!</definedName>
    <definedName name="RTG_BRAVARIJA" localSheetId="11">#REF!</definedName>
    <definedName name="RTG_BRAVARIJA">#REF!</definedName>
    <definedName name="RUŠENJA_I_PRILAGODBE" localSheetId="12">#REF!</definedName>
    <definedName name="RUŠENJA_I_PRILAGODBE" localSheetId="13">#REF!</definedName>
    <definedName name="RUŠENJA_I_PRILAGODBE" localSheetId="14">#REF!</definedName>
    <definedName name="RUŠENJA_I_PRILAGODBE" localSheetId="15">#REF!</definedName>
    <definedName name="RUŠENJA_I_PRILAGODBE" localSheetId="11">#REF!</definedName>
    <definedName name="RUŠENJA_I_PRILAGODBE">#REF!</definedName>
    <definedName name="RUŠENJA_I_PRILAGODBE_GRAĐEVINSKIH_ELEMENATA_POSTOJEĆIH_GRAĐEVINA" localSheetId="12">[6]dvorana!#REF!</definedName>
    <definedName name="RUŠENJA_I_PRILAGODBE_GRAĐEVINSKIH_ELEMENATA_POSTOJEĆIH_GRAĐEVINA" localSheetId="13">[6]dvorana!#REF!</definedName>
    <definedName name="RUŠENJA_I_PRILAGODBE_GRAĐEVINSKIH_ELEMENATA_POSTOJEĆIH_GRAĐEVINA" localSheetId="14">[6]dvorana!#REF!</definedName>
    <definedName name="RUŠENJA_I_PRILAGODBE_GRAĐEVINSKIH_ELEMENATA_POSTOJEĆIH_GRAĐEVINA" localSheetId="15">[6]dvorana!#REF!</definedName>
    <definedName name="RUŠENJA_I_PRILAGODBE_GRAĐEVINSKIH_ELEMENATA_POSTOJEĆIH_GRAĐEVINA" localSheetId="11">[6]dvorana!#REF!</definedName>
    <definedName name="RUŠENJA_I_PRILAGODBE_GRAĐEVINSKIH_ELEMENATA_POSTOJEĆIH_GRAĐEVINA">[6]dvorana!#REF!</definedName>
    <definedName name="s" localSheetId="12">#REF!</definedName>
    <definedName name="s" localSheetId="13">#REF!</definedName>
    <definedName name="s" localSheetId="14">#REF!</definedName>
    <definedName name="s" localSheetId="15">#REF!</definedName>
    <definedName name="s" localSheetId="11">#REF!</definedName>
    <definedName name="s">#REF!</definedName>
    <definedName name="s_1" localSheetId="12">#REF!</definedName>
    <definedName name="s_1" localSheetId="13">#REF!</definedName>
    <definedName name="s_1" localSheetId="14">#REF!</definedName>
    <definedName name="s_1" localSheetId="15">#REF!</definedName>
    <definedName name="s_1" localSheetId="11">#REF!</definedName>
    <definedName name="s_1">#REF!</definedName>
    <definedName name="s_10" localSheetId="12">#REF!</definedName>
    <definedName name="s_10" localSheetId="13">#REF!</definedName>
    <definedName name="s_10" localSheetId="14">#REF!</definedName>
    <definedName name="s_10" localSheetId="15">#REF!</definedName>
    <definedName name="s_10" localSheetId="11">#REF!</definedName>
    <definedName name="s_10">#REF!</definedName>
    <definedName name="s_2">#REF!</definedName>
    <definedName name="s_3">#REF!</definedName>
    <definedName name="s_4">#REF!</definedName>
    <definedName name="s_5">#REF!</definedName>
    <definedName name="s_6">#REF!</definedName>
    <definedName name="s_7">#REF!</definedName>
    <definedName name="s_8">#REF!</definedName>
    <definedName name="s_9">#REF!</definedName>
    <definedName name="SOBOSLIKARSKI_RADOVI">#REF!</definedName>
    <definedName name="SPUŠTENI_STROPOVI">#REF!</definedName>
    <definedName name="st">#REF!</definedName>
    <definedName name="st_1">#REF!</definedName>
    <definedName name="st_10">#REF!</definedName>
    <definedName name="st_11">#REF!</definedName>
    <definedName name="st_2">#REF!</definedName>
    <definedName name="st_3">#REF!</definedName>
    <definedName name="st_4">#REF!</definedName>
    <definedName name="st_5">#REF!</definedName>
    <definedName name="st_6">#REF!</definedName>
    <definedName name="st_7">#REF!</definedName>
    <definedName name="st_8">#REF!</definedName>
    <definedName name="st_9">#REF!</definedName>
    <definedName name="STOLARSKI_RADOVI">#REF!</definedName>
    <definedName name="SWIETELSKY">#REF!</definedName>
    <definedName name="SWIETELSKY_1">#REF!</definedName>
    <definedName name="SWIETELSKY_10">#REF!</definedName>
    <definedName name="SWIETELSKY_11">[17]FAKTORI!$B$3</definedName>
    <definedName name="SWIETELSKY_2" localSheetId="12">#REF!</definedName>
    <definedName name="SWIETELSKY_2" localSheetId="13">#REF!</definedName>
    <definedName name="SWIETELSKY_2" localSheetId="14">#REF!</definedName>
    <definedName name="SWIETELSKY_2" localSheetId="15">#REF!</definedName>
    <definedName name="SWIETELSKY_2" localSheetId="11">#REF!</definedName>
    <definedName name="SWIETELSKY_2">#REF!</definedName>
    <definedName name="SWIETELSKY_3" localSheetId="12">#REF!</definedName>
    <definedName name="SWIETELSKY_3" localSheetId="13">#REF!</definedName>
    <definedName name="SWIETELSKY_3" localSheetId="14">#REF!</definedName>
    <definedName name="SWIETELSKY_3" localSheetId="15">#REF!</definedName>
    <definedName name="SWIETELSKY_3" localSheetId="11">#REF!</definedName>
    <definedName name="SWIETELSKY_3">#REF!</definedName>
    <definedName name="SWIETELSKY_4" localSheetId="12">#REF!</definedName>
    <definedName name="SWIETELSKY_4" localSheetId="13">#REF!</definedName>
    <definedName name="SWIETELSKY_4" localSheetId="14">#REF!</definedName>
    <definedName name="SWIETELSKY_4" localSheetId="15">#REF!</definedName>
    <definedName name="SWIETELSKY_4" localSheetId="11">#REF!</definedName>
    <definedName name="SWIETELSKY_4">#REF!</definedName>
    <definedName name="SWIETELSKY_5">#REF!</definedName>
    <definedName name="SWIETELSKY_6">#REF!</definedName>
    <definedName name="SWIETELSKY_7">#REF!</definedName>
    <definedName name="SWIETELSKY_8">#REF!</definedName>
    <definedName name="SWIETELSKY_9">#REF!</definedName>
    <definedName name="TEK_RACUN">[1]List1!$F$15</definedName>
    <definedName name="Tesarski" localSheetId="12">#REF!</definedName>
    <definedName name="Tesarski" localSheetId="13">#REF!</definedName>
    <definedName name="Tesarski" localSheetId="14">#REF!</definedName>
    <definedName name="Tesarski" localSheetId="17">#REF!</definedName>
    <definedName name="Tesarski" localSheetId="20">#REF!</definedName>
    <definedName name="Tesarski" localSheetId="21">#REF!</definedName>
    <definedName name="Tesarski" localSheetId="22">#REF!</definedName>
    <definedName name="Tesarski" localSheetId="4">#REF!</definedName>
    <definedName name="Tesarski" localSheetId="7">#REF!</definedName>
    <definedName name="Tesarski" localSheetId="9">#REF!</definedName>
    <definedName name="Tesarski" localSheetId="10">#REF!</definedName>
    <definedName name="Tesarski" localSheetId="2">#REF!</definedName>
    <definedName name="Tesarski" localSheetId="1">#REF!</definedName>
    <definedName name="Tesarski" localSheetId="23">#REF!</definedName>
    <definedName name="Tesarski">#REF!</definedName>
    <definedName name="ttt">#REF!</definedName>
    <definedName name="UGOV_AVANS">[1]List1!$G$19</definedName>
    <definedName name="UGOV_BROJ">[1]List1!$F$11</definedName>
    <definedName name="UGOV_DIONICE">[1]List1!$G$20</definedName>
    <definedName name="UGOV_IZNOS">[1]List1!$S$7</definedName>
    <definedName name="UKLANJANJE_OBJEKATA_I_IZGRADNJA_PRIVREMENE_SAOBRAČAJNICE" localSheetId="12">#REF!</definedName>
    <definedName name="UKLANJANJE_OBJEKATA_I_IZGRADNJA_PRIVREMENE_SAOBRAČAJNICE" localSheetId="13">#REF!</definedName>
    <definedName name="UKLANJANJE_OBJEKATA_I_IZGRADNJA_PRIVREMENE_SAOBRAČAJNICE" localSheetId="14">#REF!</definedName>
    <definedName name="UKLANJANJE_OBJEKATA_I_IZGRADNJA_PRIVREMENE_SAOBRAČAJNICE" localSheetId="15">#REF!</definedName>
    <definedName name="UKLANJANJE_OBJEKATA_I_IZGRADNJA_PRIVREMENE_SAOBRAČAJNICE" localSheetId="11">#REF!</definedName>
    <definedName name="UKLANJANJE_OBJEKATA_I_IZGRADNJA_PRIVREMENE_SAOBRAČAJNICE">#REF!</definedName>
    <definedName name="UKUPNA_ISPLATA" localSheetId="12">#REF!</definedName>
    <definedName name="UKUPNA_ISPLATA" localSheetId="13">#REF!</definedName>
    <definedName name="UKUPNA_ISPLATA" localSheetId="14">#REF!</definedName>
    <definedName name="UKUPNA_ISPLATA" localSheetId="15">#REF!</definedName>
    <definedName name="UKUPNA_ISPLATA" localSheetId="11">#REF!</definedName>
    <definedName name="UKUPNA_ISPLATA">#REF!</definedName>
    <definedName name="UNUTARNJA_ALUMINIJSKA__BRAVARIJA" localSheetId="12">#REF!</definedName>
    <definedName name="UNUTARNJA_ALUMINIJSKA__BRAVARIJA" localSheetId="13">#REF!</definedName>
    <definedName name="UNUTARNJA_ALUMINIJSKA__BRAVARIJA" localSheetId="14">#REF!</definedName>
    <definedName name="UNUTARNJA_ALUMINIJSKA__BRAVARIJA" localSheetId="15">#REF!</definedName>
    <definedName name="UNUTARNJA_ALUMINIJSKA__BRAVARIJA" localSheetId="11">#REF!</definedName>
    <definedName name="UNUTARNJA_ALUMINIJSKA__BRAVARIJA">#REF!</definedName>
    <definedName name="UNUTARNJA_ALUMINIJSKA_BRAVARIJA">#REF!</definedName>
    <definedName name="URU_BROJ">[1]List1!$F$14</definedName>
    <definedName name="valuta">[1]List1!$N$22</definedName>
    <definedName name="VANJSKA_ALUMINIJSKA__BRAVARIJA" localSheetId="12">#REF!</definedName>
    <definedName name="VANJSKA_ALUMINIJSKA__BRAVARIJA" localSheetId="13">#REF!</definedName>
    <definedName name="VANJSKA_ALUMINIJSKA__BRAVARIJA" localSheetId="14">#REF!</definedName>
    <definedName name="VANJSKA_ALUMINIJSKA__BRAVARIJA" localSheetId="15">#REF!</definedName>
    <definedName name="VANJSKA_ALUMINIJSKA__BRAVARIJA" localSheetId="11">#REF!</definedName>
    <definedName name="VANJSKA_ALUMINIJSKA__BRAVARIJA">#REF!</definedName>
    <definedName name="VANJSKA_ALUMINIJSKA_BRAVARIJA" localSheetId="12">#REF!</definedName>
    <definedName name="VANJSKA_ALUMINIJSKA_BRAVARIJA" localSheetId="13">#REF!</definedName>
    <definedName name="VANJSKA_ALUMINIJSKA_BRAVARIJA" localSheetId="14">#REF!</definedName>
    <definedName name="VANJSKA_ALUMINIJSKA_BRAVARIJA" localSheetId="15">#REF!</definedName>
    <definedName name="VANJSKA_ALUMINIJSKA_BRAVARIJA" localSheetId="11">#REF!</definedName>
    <definedName name="VANJSKA_ALUMINIJSKA_BRAVARIJA">#REF!</definedName>
    <definedName name="VRSTA_SIT">[1]List1!$S$13</definedName>
    <definedName name="W" localSheetId="12">#REF!</definedName>
    <definedName name="W" localSheetId="13">#REF!</definedName>
    <definedName name="W" localSheetId="14">#REF!</definedName>
    <definedName name="W" localSheetId="15">#REF!</definedName>
    <definedName name="w" localSheetId="7">'5.IZOL.'!$A$1:$H$103</definedName>
    <definedName name="W" localSheetId="11">#REF!</definedName>
    <definedName name="W">#REF!</definedName>
    <definedName name="x" localSheetId="12">#REF!</definedName>
    <definedName name="x" localSheetId="13">#REF!</definedName>
    <definedName name="x" localSheetId="14">#REF!</definedName>
    <definedName name="x" localSheetId="15">#REF!</definedName>
    <definedName name="x" localSheetId="11">#REF!</definedName>
    <definedName name="x">#REF!</definedName>
    <definedName name="xxx" localSheetId="14">#REF!</definedName>
    <definedName name="xxx" localSheetId="17">#REF!</definedName>
    <definedName name="xxx" localSheetId="4">#REF!</definedName>
    <definedName name="xxx" localSheetId="7">#REF!</definedName>
    <definedName name="xxx" localSheetId="10">#REF!</definedName>
    <definedName name="xxx" localSheetId="2">#REF!</definedName>
    <definedName name="xxx" localSheetId="1">#REF!</definedName>
    <definedName name="xxx">#REF!</definedName>
    <definedName name="yx">#REF!</definedName>
    <definedName name="yx_1">#REF!</definedName>
    <definedName name="yx_10">#REF!</definedName>
    <definedName name="yx_2">#REF!</definedName>
    <definedName name="yx_3">#REF!</definedName>
    <definedName name="yx_4">#REF!</definedName>
    <definedName name="yx_5">#REF!</definedName>
    <definedName name="yx_6">#REF!</definedName>
    <definedName name="yx_7">#REF!</definedName>
    <definedName name="yx_8">#REF!</definedName>
    <definedName name="yx_9">#REF!</definedName>
    <definedName name="z">#REF!</definedName>
    <definedName name="z_1">#REF!</definedName>
    <definedName name="z_10">#REF!</definedName>
    <definedName name="z_11">#REF!</definedName>
    <definedName name="z_2">#REF!</definedName>
    <definedName name="z_3">#REF!</definedName>
    <definedName name="Z_3E4F8DDF_C09F_4627_83EC_759111DC9655_.wvu.PrintArea">'STROJARSKE INSTALACIJE'!$A$8:$F$8</definedName>
    <definedName name="z_4">#REF!</definedName>
    <definedName name="z_5">#REF!</definedName>
    <definedName name="z_6">#REF!</definedName>
    <definedName name="z_7">#REF!</definedName>
    <definedName name="z_8">#REF!</definedName>
    <definedName name="z_9">#REF!</definedName>
    <definedName name="ZAGREB_MONTAŽA">#REF!</definedName>
    <definedName name="ZAP">[1]List1!$F$16</definedName>
    <definedName name="Zemljani" localSheetId="3">'1.ZEM.'!$A$2:$H$69</definedName>
    <definedName name="Zemljani" localSheetId="12">#REF!</definedName>
    <definedName name="Zemljani" localSheetId="13">#REF!</definedName>
    <definedName name="Zemljani" localSheetId="14">#REF!</definedName>
    <definedName name="Zemljani" localSheetId="17">#REF!</definedName>
    <definedName name="Zemljani" localSheetId="20">#REF!</definedName>
    <definedName name="Zemljani" localSheetId="21">#REF!</definedName>
    <definedName name="Zemljani" localSheetId="22">#REF!</definedName>
    <definedName name="Zemljani" localSheetId="4">#REF!</definedName>
    <definedName name="Zemljani" localSheetId="7">#REF!</definedName>
    <definedName name="Zemljani" localSheetId="9">#REF!</definedName>
    <definedName name="Zemljani" localSheetId="10">#REF!</definedName>
    <definedName name="Zemljani" localSheetId="2">#REF!</definedName>
    <definedName name="Zemljani" localSheetId="1">#REF!</definedName>
    <definedName name="Zemljani" localSheetId="23">#REF!</definedName>
    <definedName name="Zemljani">#REF!</definedName>
    <definedName name="ZEMLJANI_RADOVI">#REF!</definedName>
    <definedName name="ZIDARSKI_RADOVI">#REF!</definedName>
    <definedName name="ZUPANIJA">[1]List1!$F$5</definedName>
    <definedName name="zz" localSheetId="9">'7.TES.'!$A$1:$H$39</definedName>
    <definedName name="zzu" localSheetId="10">'8.GIPS.'!$A$1:$H$28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2" i="126" l="1"/>
  <c r="H16" i="79" l="1"/>
  <c r="G233" i="129"/>
  <c r="G230" i="129"/>
  <c r="G225" i="129"/>
  <c r="G222" i="129"/>
  <c r="G219" i="129"/>
  <c r="G216" i="129"/>
  <c r="G213" i="129"/>
  <c r="G206" i="129"/>
  <c r="G203" i="129"/>
  <c r="G199" i="129"/>
  <c r="G196" i="129"/>
  <c r="G193" i="129"/>
  <c r="G190" i="129"/>
  <c r="G182" i="129"/>
  <c r="G174" i="129"/>
  <c r="G165" i="129"/>
  <c r="G152" i="129"/>
  <c r="G144" i="129"/>
  <c r="G208" i="129" s="1"/>
  <c r="G130" i="129"/>
  <c r="G127" i="129"/>
  <c r="G124" i="129"/>
  <c r="G123" i="129"/>
  <c r="G120" i="129"/>
  <c r="G119" i="129"/>
  <c r="G113" i="129"/>
  <c r="G110" i="129"/>
  <c r="G107" i="129"/>
  <c r="G104" i="129"/>
  <c r="G101" i="129"/>
  <c r="G98" i="129"/>
  <c r="G97" i="129"/>
  <c r="G94" i="129"/>
  <c r="G93" i="129"/>
  <c r="G90" i="129"/>
  <c r="G89" i="129"/>
  <c r="G88" i="129"/>
  <c r="G87" i="129"/>
  <c r="G86" i="129"/>
  <c r="G85" i="129"/>
  <c r="G82" i="129"/>
  <c r="G81" i="129"/>
  <c r="G80" i="129"/>
  <c r="G73" i="129"/>
  <c r="G70" i="129"/>
  <c r="G66" i="129"/>
  <c r="G63" i="129"/>
  <c r="G60" i="129"/>
  <c r="G57" i="129"/>
  <c r="G54" i="129"/>
  <c r="G53" i="129"/>
  <c r="G52" i="129"/>
  <c r="G49" i="129"/>
  <c r="G46" i="129"/>
  <c r="G43" i="129"/>
  <c r="G40" i="129"/>
  <c r="G39" i="129"/>
  <c r="G36" i="129"/>
  <c r="G35" i="129"/>
  <c r="G32" i="129"/>
  <c r="G31" i="129"/>
  <c r="G30" i="129"/>
  <c r="G27" i="129"/>
  <c r="G26" i="129"/>
  <c r="G25" i="129"/>
  <c r="G22" i="129"/>
  <c r="G21" i="129"/>
  <c r="G17" i="129"/>
  <c r="G16" i="129"/>
  <c r="G12" i="129"/>
  <c r="H49" i="120"/>
  <c r="H44" i="120"/>
  <c r="H40" i="120"/>
  <c r="H35" i="120"/>
  <c r="H30" i="120"/>
  <c r="H27" i="120"/>
  <c r="H24" i="120"/>
  <c r="H25" i="128"/>
  <c r="H86" i="11"/>
  <c r="H40" i="11"/>
  <c r="H37" i="11"/>
  <c r="H50" i="87"/>
  <c r="H46" i="87"/>
  <c r="H43" i="87"/>
  <c r="H44" i="79"/>
  <c r="H41" i="79"/>
  <c r="H38" i="79"/>
  <c r="G133" i="129" l="1"/>
  <c r="G235" i="129"/>
  <c r="H35" i="79"/>
  <c r="F411" i="141"/>
  <c r="F410" i="141"/>
  <c r="F409" i="141"/>
  <c r="F408" i="141"/>
  <c r="F407" i="141"/>
  <c r="F406" i="141"/>
  <c r="F405" i="141"/>
  <c r="F404" i="141"/>
  <c r="F403" i="141"/>
  <c r="F402" i="141"/>
  <c r="F401" i="141"/>
  <c r="F400" i="141"/>
  <c r="F399" i="141"/>
  <c r="F398" i="141"/>
  <c r="F397" i="141"/>
  <c r="F396" i="141"/>
  <c r="F395" i="141"/>
  <c r="F394" i="141"/>
  <c r="F393" i="141"/>
  <c r="F392" i="141"/>
  <c r="F391" i="141"/>
  <c r="F390" i="141"/>
  <c r="F389" i="141"/>
  <c r="F388" i="141"/>
  <c r="F387" i="141"/>
  <c r="F386" i="141"/>
  <c r="F385" i="141"/>
  <c r="F384" i="141"/>
  <c r="F383" i="141"/>
  <c r="F382" i="141"/>
  <c r="F381" i="141"/>
  <c r="F380" i="141"/>
  <c r="F379" i="141"/>
  <c r="F378" i="141"/>
  <c r="F377" i="141"/>
  <c r="F376" i="141"/>
  <c r="F375" i="141"/>
  <c r="F374" i="141"/>
  <c r="F373" i="141"/>
  <c r="F372" i="141"/>
  <c r="F371" i="141"/>
  <c r="F370" i="141"/>
  <c r="F369" i="141"/>
  <c r="F368" i="141"/>
  <c r="F366" i="141"/>
  <c r="F362" i="141"/>
  <c r="F361" i="141"/>
  <c r="F360" i="141"/>
  <c r="F359" i="141"/>
  <c r="F358" i="141"/>
  <c r="F357" i="141"/>
  <c r="F356" i="141"/>
  <c r="F355" i="141"/>
  <c r="F353" i="141"/>
  <c r="F352" i="141"/>
  <c r="F351" i="141"/>
  <c r="F350" i="141"/>
  <c r="F349" i="141"/>
  <c r="F348" i="141"/>
  <c r="F347" i="141"/>
  <c r="F346" i="141"/>
  <c r="F345" i="141"/>
  <c r="F344" i="141"/>
  <c r="F343" i="141"/>
  <c r="F342" i="141"/>
  <c r="F341" i="141"/>
  <c r="F340" i="141"/>
  <c r="F339" i="141"/>
  <c r="F338" i="141"/>
  <c r="F337" i="141"/>
  <c r="F336" i="141"/>
  <c r="F335" i="141"/>
  <c r="F334" i="141"/>
  <c r="F333" i="141"/>
  <c r="F332" i="141"/>
  <c r="F331" i="141"/>
  <c r="F330" i="141"/>
  <c r="F329" i="141"/>
  <c r="F328" i="141"/>
  <c r="F327" i="141"/>
  <c r="F326" i="141"/>
  <c r="F325" i="141"/>
  <c r="F324" i="141"/>
  <c r="F323" i="141"/>
  <c r="F322" i="141"/>
  <c r="F321" i="141"/>
  <c r="F320" i="141"/>
  <c r="F319" i="141"/>
  <c r="F318" i="141"/>
  <c r="F317" i="141"/>
  <c r="F316" i="141"/>
  <c r="F315" i="141"/>
  <c r="F314" i="141"/>
  <c r="F313" i="141"/>
  <c r="F312" i="141"/>
  <c r="F311" i="141"/>
  <c r="F310" i="141"/>
  <c r="F309" i="141"/>
  <c r="F308" i="141"/>
  <c r="F307" i="141"/>
  <c r="F306" i="141"/>
  <c r="F305" i="141"/>
  <c r="F304" i="141"/>
  <c r="F303" i="141"/>
  <c r="F302" i="141"/>
  <c r="F301" i="141"/>
  <c r="F300" i="141"/>
  <c r="F299" i="141"/>
  <c r="F298" i="141"/>
  <c r="F297" i="141"/>
  <c r="F296" i="141"/>
  <c r="F295" i="141"/>
  <c r="F294" i="141"/>
  <c r="F293" i="141"/>
  <c r="F292" i="141"/>
  <c r="F291" i="141"/>
  <c r="F290" i="141"/>
  <c r="F289" i="141"/>
  <c r="F288" i="141"/>
  <c r="F287" i="141"/>
  <c r="F286" i="141"/>
  <c r="F285" i="141"/>
  <c r="F284" i="141"/>
  <c r="F283" i="141"/>
  <c r="F282" i="141"/>
  <c r="F281" i="141"/>
  <c r="F280" i="141"/>
  <c r="F279" i="141"/>
  <c r="F278" i="141"/>
  <c r="F277" i="141"/>
  <c r="F276" i="141"/>
  <c r="F275" i="141"/>
  <c r="F274" i="141"/>
  <c r="F273" i="141"/>
  <c r="F272" i="141"/>
  <c r="F271" i="141"/>
  <c r="F270" i="141"/>
  <c r="F269" i="141"/>
  <c r="F268" i="141"/>
  <c r="F267" i="141"/>
  <c r="F266" i="141"/>
  <c r="F265" i="141"/>
  <c r="F264" i="141"/>
  <c r="F263" i="141"/>
  <c r="F262" i="141"/>
  <c r="F261" i="141"/>
  <c r="F260" i="141"/>
  <c r="F259" i="141"/>
  <c r="F258" i="141"/>
  <c r="F257" i="141"/>
  <c r="F256" i="141"/>
  <c r="F255" i="141"/>
  <c r="F254" i="141"/>
  <c r="F253" i="141"/>
  <c r="F252" i="141"/>
  <c r="F251" i="141"/>
  <c r="F246" i="141"/>
  <c r="F245" i="141"/>
  <c r="F244" i="141"/>
  <c r="F243" i="141"/>
  <c r="F242" i="141"/>
  <c r="F241" i="141"/>
  <c r="F240" i="141"/>
  <c r="F239" i="141"/>
  <c r="F238" i="141"/>
  <c r="F237" i="141"/>
  <c r="F236" i="141"/>
  <c r="F235" i="141"/>
  <c r="F234" i="141"/>
  <c r="F233" i="141"/>
  <c r="F232" i="141"/>
  <c r="F231" i="141"/>
  <c r="F230" i="141"/>
  <c r="F229" i="141"/>
  <c r="D228" i="141"/>
  <c r="F228" i="141" s="1"/>
  <c r="F225" i="141"/>
  <c r="F224" i="141"/>
  <c r="D223" i="141"/>
  <c r="F223" i="141" s="1"/>
  <c r="F210" i="141"/>
  <c r="F209" i="141"/>
  <c r="F208" i="141"/>
  <c r="F207" i="141"/>
  <c r="F206" i="141"/>
  <c r="F205" i="141"/>
  <c r="F204" i="141"/>
  <c r="F203" i="141"/>
  <c r="F202" i="141"/>
  <c r="F201" i="141"/>
  <c r="F200" i="141"/>
  <c r="F199" i="141"/>
  <c r="F198" i="141"/>
  <c r="F197" i="141"/>
  <c r="F196" i="141"/>
  <c r="F195" i="141"/>
  <c r="F194" i="141"/>
  <c r="F193" i="141"/>
  <c r="F192" i="141"/>
  <c r="F191" i="141"/>
  <c r="F190" i="141"/>
  <c r="F189" i="141"/>
  <c r="F188" i="141"/>
  <c r="F187" i="141"/>
  <c r="F186" i="141"/>
  <c r="F185" i="141"/>
  <c r="F184" i="141"/>
  <c r="F183" i="141"/>
  <c r="F182" i="141"/>
  <c r="F181" i="141"/>
  <c r="F180" i="141"/>
  <c r="F179" i="141"/>
  <c r="F178" i="141"/>
  <c r="F177" i="141"/>
  <c r="F176" i="141"/>
  <c r="F175" i="141"/>
  <c r="F174" i="141"/>
  <c r="F173" i="141"/>
  <c r="F172" i="141"/>
  <c r="F171" i="141"/>
  <c r="F170" i="141"/>
  <c r="F169" i="141"/>
  <c r="F168" i="141"/>
  <c r="F167" i="141"/>
  <c r="F166" i="141"/>
  <c r="F165" i="141"/>
  <c r="F164" i="141"/>
  <c r="F163" i="141"/>
  <c r="F162" i="141"/>
  <c r="F161" i="141"/>
  <c r="F160" i="141"/>
  <c r="F159" i="141"/>
  <c r="F158" i="141"/>
  <c r="F157" i="141"/>
  <c r="F156" i="141"/>
  <c r="F155" i="141"/>
  <c r="F154" i="141"/>
  <c r="F153" i="141"/>
  <c r="F152" i="141"/>
  <c r="F151" i="141"/>
  <c r="F150" i="141"/>
  <c r="F149" i="141"/>
  <c r="F148" i="141"/>
  <c r="F147" i="141"/>
  <c r="F146" i="141"/>
  <c r="F145" i="141"/>
  <c r="F144" i="141"/>
  <c r="F143" i="141"/>
  <c r="F142" i="141"/>
  <c r="F141" i="141"/>
  <c r="F140" i="141"/>
  <c r="F139" i="141"/>
  <c r="F138" i="141"/>
  <c r="F137" i="141"/>
  <c r="F136" i="141"/>
  <c r="F135" i="141"/>
  <c r="F134" i="141"/>
  <c r="F133" i="141"/>
  <c r="F132" i="141"/>
  <c r="F131" i="141"/>
  <c r="F130" i="141"/>
  <c r="F129" i="141"/>
  <c r="F128" i="141"/>
  <c r="F127" i="141"/>
  <c r="F126" i="141"/>
  <c r="F125" i="141"/>
  <c r="F124" i="141"/>
  <c r="F123" i="141"/>
  <c r="F122" i="141"/>
  <c r="F121" i="141"/>
  <c r="F120" i="141"/>
  <c r="F119" i="141"/>
  <c r="F118" i="141"/>
  <c r="F114" i="141"/>
  <c r="F113" i="141"/>
  <c r="F112" i="141"/>
  <c r="F111" i="141"/>
  <c r="F110" i="141"/>
  <c r="F109" i="141"/>
  <c r="F108" i="141"/>
  <c r="F106" i="141"/>
  <c r="F105" i="141"/>
  <c r="F104" i="141"/>
  <c r="F103" i="141"/>
  <c r="F102" i="141"/>
  <c r="F101" i="141"/>
  <c r="F100" i="141"/>
  <c r="F99" i="141"/>
  <c r="F98" i="141"/>
  <c r="F97" i="141"/>
  <c r="F96" i="141"/>
  <c r="F95" i="141"/>
  <c r="F93" i="141"/>
  <c r="F92" i="141"/>
  <c r="F91" i="141"/>
  <c r="F90" i="141"/>
  <c r="F89" i="141"/>
  <c r="F88" i="141"/>
  <c r="F87" i="141"/>
  <c r="F86" i="141"/>
  <c r="F85" i="141"/>
  <c r="F84" i="141"/>
  <c r="F83" i="141"/>
  <c r="F82" i="141"/>
  <c r="F81" i="141"/>
  <c r="F80" i="141"/>
  <c r="F79" i="141"/>
  <c r="F78" i="141"/>
  <c r="F77" i="141"/>
  <c r="F76" i="141"/>
  <c r="F75" i="141"/>
  <c r="F74" i="141"/>
  <c r="F73" i="141"/>
  <c r="F72" i="141"/>
  <c r="F71" i="141"/>
  <c r="F69" i="141"/>
  <c r="F68" i="141"/>
  <c r="F67" i="141"/>
  <c r="F66" i="141"/>
  <c r="F65" i="141"/>
  <c r="F64" i="141"/>
  <c r="F63" i="141"/>
  <c r="F62" i="141"/>
  <c r="F61" i="141"/>
  <c r="F60" i="141"/>
  <c r="F59" i="141"/>
  <c r="F58" i="141"/>
  <c r="F57" i="141"/>
  <c r="F56" i="141"/>
  <c r="F55" i="141"/>
  <c r="F54" i="141"/>
  <c r="F53" i="141"/>
  <c r="F52" i="141"/>
  <c r="F51" i="141"/>
  <c r="F50" i="141"/>
  <c r="F49" i="141"/>
  <c r="F48" i="141"/>
  <c r="F47" i="141"/>
  <c r="F46" i="141"/>
  <c r="F45" i="141"/>
  <c r="F44" i="141"/>
  <c r="F43" i="141"/>
  <c r="F42" i="141"/>
  <c r="F41" i="141"/>
  <c r="F40" i="141"/>
  <c r="F39" i="141"/>
  <c r="F38" i="141"/>
  <c r="F36" i="141"/>
  <c r="F35" i="141"/>
  <c r="F34" i="141"/>
  <c r="F33" i="141"/>
  <c r="F32" i="141"/>
  <c r="F31" i="141"/>
  <c r="F30" i="141"/>
  <c r="F29" i="141"/>
  <c r="F28" i="141"/>
  <c r="F27" i="141"/>
  <c r="F26" i="141"/>
  <c r="F25" i="141"/>
  <c r="F24" i="141"/>
  <c r="F23" i="141"/>
  <c r="F22" i="141"/>
  <c r="F21" i="141"/>
  <c r="F19" i="141"/>
  <c r="F18" i="141"/>
  <c r="F17" i="141"/>
  <c r="F412" i="141" l="1"/>
  <c r="F423" i="141" s="1"/>
  <c r="F363" i="141"/>
  <c r="F421" i="141" s="1"/>
  <c r="F115" i="141"/>
  <c r="F417" i="141" s="1"/>
  <c r="F247" i="141"/>
  <c r="F419" i="141" s="1"/>
  <c r="F425" i="141" l="1"/>
  <c r="H62" i="102" s="1"/>
  <c r="F24" i="139"/>
  <c r="F22" i="139"/>
  <c r="F73" i="138"/>
  <c r="F65" i="138"/>
  <c r="F46" i="138"/>
  <c r="F30" i="138"/>
  <c r="F28" i="138"/>
  <c r="F26" i="138"/>
  <c r="F25" i="138"/>
  <c r="F24" i="138"/>
  <c r="F21" i="138"/>
  <c r="F19" i="138"/>
  <c r="F12" i="138"/>
  <c r="F11" i="138"/>
  <c r="F9" i="138"/>
  <c r="F28" i="137"/>
  <c r="F27" i="137"/>
  <c r="F26" i="137"/>
  <c r="F24" i="137"/>
  <c r="F23" i="137"/>
  <c r="F20" i="137"/>
  <c r="F17" i="137"/>
  <c r="F16" i="137"/>
  <c r="F15" i="137"/>
  <c r="F14" i="137"/>
  <c r="F13" i="137"/>
  <c r="F12" i="137"/>
  <c r="F11" i="137"/>
  <c r="F10" i="137"/>
  <c r="F63" i="136"/>
  <c r="F62" i="136"/>
  <c r="F61" i="136"/>
  <c r="F60" i="136"/>
  <c r="F59" i="136"/>
  <c r="F57" i="136"/>
  <c r="F55" i="136"/>
  <c r="F53" i="136"/>
  <c r="F51" i="136"/>
  <c r="F47" i="136"/>
  <c r="F43" i="136"/>
  <c r="F42" i="136"/>
  <c r="F41" i="136"/>
  <c r="F40" i="136"/>
  <c r="F39" i="136"/>
  <c r="F38" i="136"/>
  <c r="F37" i="136"/>
  <c r="F35" i="136"/>
  <c r="F34" i="136"/>
  <c r="F30" i="136"/>
  <c r="F29" i="136"/>
  <c r="F27" i="136"/>
  <c r="F26" i="136"/>
  <c r="F25" i="136"/>
  <c r="F24" i="136"/>
  <c r="F20" i="136"/>
  <c r="F19" i="136"/>
  <c r="F18" i="136"/>
  <c r="F16" i="136"/>
  <c r="F15" i="136"/>
  <c r="F13" i="136"/>
  <c r="F9" i="136"/>
  <c r="F47" i="135"/>
  <c r="F45" i="135"/>
  <c r="F43" i="135"/>
  <c r="F41" i="135"/>
  <c r="F40" i="135"/>
  <c r="F37" i="135"/>
  <c r="F35" i="135"/>
  <c r="F33" i="135"/>
  <c r="F31" i="135"/>
  <c r="F19" i="135"/>
  <c r="F17" i="135"/>
  <c r="F15" i="135"/>
  <c r="F13" i="135"/>
  <c r="F11" i="135"/>
  <c r="F9" i="135"/>
  <c r="F39" i="134"/>
  <c r="F38" i="134"/>
  <c r="F37" i="134"/>
  <c r="F34" i="134"/>
  <c r="F32" i="134"/>
  <c r="F30" i="134"/>
  <c r="F27" i="134"/>
  <c r="F25" i="134"/>
  <c r="F21" i="134"/>
  <c r="F19" i="134"/>
  <c r="F17" i="134"/>
  <c r="F15" i="134"/>
  <c r="F13" i="134"/>
  <c r="F11" i="134"/>
  <c r="F9" i="134"/>
  <c r="F73" i="133"/>
  <c r="F71" i="133"/>
  <c r="F68" i="133"/>
  <c r="F67" i="133"/>
  <c r="F66" i="133"/>
  <c r="F63" i="133"/>
  <c r="F62" i="133"/>
  <c r="F61" i="133"/>
  <c r="F58" i="133"/>
  <c r="F57" i="133"/>
  <c r="F56" i="133"/>
  <c r="F55" i="133"/>
  <c r="F51" i="133"/>
  <c r="F50" i="133"/>
  <c r="F49" i="133"/>
  <c r="F48" i="133"/>
  <c r="F43" i="133"/>
  <c r="F42" i="133"/>
  <c r="F41" i="133"/>
  <c r="F40" i="133"/>
  <c r="F39" i="133"/>
  <c r="F38" i="133"/>
  <c r="F37" i="133"/>
  <c r="F36" i="133"/>
  <c r="F31" i="133"/>
  <c r="F30" i="133"/>
  <c r="F29" i="133"/>
  <c r="F28" i="133"/>
  <c r="F27" i="133"/>
  <c r="F26" i="133"/>
  <c r="F25" i="133"/>
  <c r="F24" i="133"/>
  <c r="F23" i="133"/>
  <c r="F22" i="133"/>
  <c r="F21" i="133"/>
  <c r="F20" i="133"/>
  <c r="F19" i="133"/>
  <c r="F18" i="133"/>
  <c r="F17" i="133"/>
  <c r="F16" i="133"/>
  <c r="F15" i="133"/>
  <c r="F70" i="132"/>
  <c r="F68" i="132"/>
  <c r="F66" i="132"/>
  <c r="F64" i="132"/>
  <c r="F62" i="132"/>
  <c r="F60" i="132"/>
  <c r="F58" i="132"/>
  <c r="F57" i="132"/>
  <c r="F56" i="132"/>
  <c r="F55" i="132"/>
  <c r="F54" i="132"/>
  <c r="F42" i="132"/>
  <c r="F26" i="132"/>
  <c r="F21" i="132"/>
  <c r="F16" i="132"/>
  <c r="F9" i="132"/>
  <c r="F6" i="132"/>
  <c r="F31" i="137" l="1"/>
  <c r="F19" i="140" s="1"/>
  <c r="F27" i="139"/>
  <c r="F23" i="140" s="1"/>
  <c r="F76" i="138"/>
  <c r="F21" i="140" s="1"/>
  <c r="F66" i="136"/>
  <c r="F17" i="140" s="1"/>
  <c r="F50" i="135"/>
  <c r="F15" i="140" s="1"/>
  <c r="F42" i="134"/>
  <c r="F13" i="140" s="1"/>
  <c r="F76" i="133"/>
  <c r="F11" i="140" s="1"/>
  <c r="F73" i="132"/>
  <c r="F9" i="140" s="1"/>
  <c r="E225" i="129"/>
  <c r="E113" i="129"/>
  <c r="E60" i="129"/>
  <c r="F26" i="140" l="1"/>
  <c r="H60" i="102" s="1"/>
  <c r="G75" i="129"/>
  <c r="G242" i="129" s="1"/>
  <c r="G246" i="129"/>
  <c r="G244" i="129"/>
  <c r="G248" i="129"/>
  <c r="G251" i="129" l="1"/>
  <c r="H58" i="102" s="1"/>
  <c r="H96" i="11"/>
  <c r="H95" i="11"/>
  <c r="H85" i="11"/>
  <c r="H84" i="11"/>
  <c r="H72" i="11" l="1"/>
  <c r="H71" i="11"/>
  <c r="H36" i="82" l="1"/>
  <c r="H33" i="82"/>
  <c r="H49" i="127" l="1"/>
  <c r="H48" i="127"/>
  <c r="H47" i="127"/>
  <c r="H46" i="127"/>
  <c r="H45" i="127"/>
  <c r="H44" i="127"/>
  <c r="H43" i="127"/>
  <c r="H42" i="127"/>
  <c r="H41" i="127"/>
  <c r="H31" i="127"/>
  <c r="H27" i="127"/>
  <c r="H23" i="127" l="1"/>
  <c r="H27" i="128" l="1"/>
  <c r="H26" i="128"/>
  <c r="H24" i="128"/>
  <c r="H15" i="128"/>
  <c r="H14" i="128"/>
  <c r="H29" i="128" l="1"/>
  <c r="H79" i="115" s="1"/>
  <c r="H56" i="127" l="1"/>
  <c r="H19" i="127"/>
  <c r="H18" i="127"/>
  <c r="H17" i="127"/>
  <c r="H16" i="127"/>
  <c r="H15" i="127"/>
  <c r="H87" i="122"/>
  <c r="H86" i="122"/>
  <c r="H81" i="122"/>
  <c r="H80" i="122"/>
  <c r="H75" i="122"/>
  <c r="H74" i="122"/>
  <c r="H69" i="122"/>
  <c r="H68" i="122"/>
  <c r="H63" i="122"/>
  <c r="H62" i="122"/>
  <c r="H57" i="122"/>
  <c r="H56" i="122"/>
  <c r="H51" i="122"/>
  <c r="H50" i="122"/>
  <c r="H59" i="127" l="1"/>
  <c r="H77" i="115" s="1"/>
  <c r="H55" i="126"/>
  <c r="H47" i="126"/>
  <c r="H42" i="126"/>
  <c r="H41" i="126"/>
  <c r="H36" i="126"/>
  <c r="H29" i="126"/>
  <c r="H22" i="126"/>
  <c r="H64" i="126" l="1"/>
  <c r="H75" i="115" s="1"/>
  <c r="F20" i="123"/>
  <c r="F19" i="123"/>
  <c r="H123" i="125"/>
  <c r="H122" i="125"/>
  <c r="H121" i="125"/>
  <c r="H120" i="125"/>
  <c r="H119" i="125"/>
  <c r="H118" i="125"/>
  <c r="H115" i="125"/>
  <c r="H110" i="125"/>
  <c r="H105" i="125"/>
  <c r="H99" i="125"/>
  <c r="H94" i="125"/>
  <c r="H89" i="125"/>
  <c r="H83" i="125"/>
  <c r="H79" i="125"/>
  <c r="H75" i="125"/>
  <c r="H71" i="125"/>
  <c r="H63" i="125"/>
  <c r="H59" i="125"/>
  <c r="H54" i="125"/>
  <c r="H48" i="125"/>
  <c r="H38" i="125"/>
  <c r="H32" i="125"/>
  <c r="F28" i="125"/>
  <c r="H25" i="125"/>
  <c r="H125" i="125" l="1"/>
  <c r="H73" i="115" s="1"/>
  <c r="H34" i="124"/>
  <c r="F33" i="124"/>
  <c r="H31" i="124"/>
  <c r="F30" i="124"/>
  <c r="F29" i="124"/>
  <c r="H28" i="124"/>
  <c r="H27" i="124"/>
  <c r="F26" i="124"/>
  <c r="H24" i="124"/>
  <c r="H23" i="124"/>
  <c r="F22" i="124"/>
  <c r="H20" i="124"/>
  <c r="F19" i="124"/>
  <c r="F17" i="124"/>
  <c r="H16" i="124"/>
  <c r="H15" i="124"/>
  <c r="H13" i="124"/>
  <c r="H12" i="124"/>
  <c r="F10" i="124"/>
  <c r="H27" i="123"/>
  <c r="F26" i="123"/>
  <c r="H23" i="123"/>
  <c r="F22" i="123"/>
  <c r="H20" i="123"/>
  <c r="H19" i="123"/>
  <c r="H16" i="123"/>
  <c r="H13" i="123"/>
  <c r="H12" i="123"/>
  <c r="F10" i="123"/>
  <c r="H36" i="124" l="1"/>
  <c r="H85" i="115" s="1"/>
  <c r="H29" i="123"/>
  <c r="H81" i="115" s="1"/>
  <c r="H90" i="122" l="1"/>
  <c r="H44" i="122"/>
  <c r="H39" i="122"/>
  <c r="H34" i="122"/>
  <c r="H33" i="122"/>
  <c r="H29" i="122"/>
  <c r="H28" i="122"/>
  <c r="H23" i="122"/>
  <c r="H19" i="122"/>
  <c r="H18" i="122"/>
  <c r="H92" i="122" l="1"/>
  <c r="H71" i="115" s="1"/>
  <c r="H22" i="121"/>
  <c r="H21" i="121"/>
  <c r="H20" i="121"/>
  <c r="H19" i="121"/>
  <c r="H16" i="121"/>
  <c r="H12" i="121"/>
  <c r="H11" i="121"/>
  <c r="H52" i="120"/>
  <c r="H21" i="120"/>
  <c r="H18" i="120"/>
  <c r="H15" i="120"/>
  <c r="H12" i="120"/>
  <c r="H27" i="119"/>
  <c r="H24" i="119"/>
  <c r="H21" i="119"/>
  <c r="H18" i="119"/>
  <c r="H15" i="119"/>
  <c r="H11" i="119"/>
  <c r="H20" i="118"/>
  <c r="H17" i="118"/>
  <c r="H14" i="118"/>
  <c r="H14" i="116"/>
  <c r="H11" i="116"/>
  <c r="H16" i="116" l="1"/>
  <c r="H83" i="115" s="1"/>
  <c r="H22" i="118"/>
  <c r="H87" i="115" s="1"/>
  <c r="H29" i="119"/>
  <c r="H89" i="115" s="1"/>
  <c r="H24" i="121"/>
  <c r="H93" i="115" s="1"/>
  <c r="H54" i="120"/>
  <c r="H91" i="115" s="1"/>
  <c r="H55" i="80"/>
  <c r="H51" i="80" l="1"/>
  <c r="H24" i="80" l="1"/>
  <c r="H23" i="80"/>
  <c r="H22" i="80"/>
  <c r="H21" i="80"/>
  <c r="H20" i="80"/>
  <c r="H19" i="80"/>
  <c r="H18" i="80"/>
  <c r="H25" i="88" l="1"/>
  <c r="H81" i="11"/>
  <c r="H78" i="11"/>
  <c r="H60" i="11"/>
  <c r="H59" i="11"/>
  <c r="H58" i="11"/>
  <c r="H57" i="11"/>
  <c r="H56" i="11"/>
  <c r="H55" i="11"/>
  <c r="H54" i="11"/>
  <c r="H53" i="11"/>
  <c r="H52" i="11"/>
  <c r="H75" i="11"/>
  <c r="H68" i="11"/>
  <c r="H49" i="11"/>
  <c r="H46" i="11"/>
  <c r="H43" i="11"/>
  <c r="H34" i="11"/>
  <c r="H31" i="11"/>
  <c r="H27" i="11"/>
  <c r="H24" i="11"/>
  <c r="H21" i="11"/>
  <c r="H18" i="11"/>
  <c r="H15" i="11" l="1"/>
  <c r="H14" i="11"/>
  <c r="H37" i="80" l="1"/>
  <c r="H79" i="87"/>
  <c r="H86" i="87"/>
  <c r="H83" i="87"/>
  <c r="H73" i="87"/>
  <c r="H30" i="87" l="1"/>
  <c r="H47" i="80" l="1"/>
  <c r="H46" i="80"/>
  <c r="H28" i="80" l="1"/>
  <c r="H24" i="72"/>
  <c r="H38" i="72"/>
  <c r="H37" i="72"/>
  <c r="H34" i="72"/>
  <c r="H28" i="72"/>
  <c r="H56" i="79" l="1"/>
  <c r="H53" i="79"/>
  <c r="H100" i="87" l="1"/>
  <c r="H58" i="87" l="1"/>
  <c r="H64" i="87"/>
  <c r="H69" i="87"/>
  <c r="H76" i="87"/>
  <c r="H82" i="87"/>
  <c r="H96" i="87"/>
  <c r="H38" i="87"/>
  <c r="H34" i="87"/>
  <c r="H55" i="72" l="1"/>
  <c r="H62" i="72"/>
  <c r="H61" i="72"/>
  <c r="H65" i="79"/>
  <c r="H31" i="79"/>
  <c r="H26" i="79"/>
  <c r="H32" i="79" l="1"/>
  <c r="H48" i="80"/>
  <c r="H89" i="11"/>
  <c r="H92" i="11"/>
  <c r="H98" i="11" l="1"/>
  <c r="H65" i="115" s="1"/>
  <c r="H50" i="79"/>
  <c r="H49" i="79"/>
  <c r="H48" i="79"/>
  <c r="H47" i="79"/>
  <c r="H92" i="87" l="1"/>
  <c r="H89" i="87" l="1"/>
  <c r="H40" i="87" l="1"/>
  <c r="H14" i="88"/>
  <c r="H25" i="87"/>
  <c r="H19" i="87" l="1"/>
  <c r="H22" i="87"/>
  <c r="H74" i="79"/>
  <c r="H71" i="79"/>
  <c r="H68" i="79"/>
  <c r="H61" i="79"/>
  <c r="H60" i="79"/>
  <c r="H59" i="79"/>
  <c r="H30" i="79"/>
  <c r="H22" i="79"/>
  <c r="H19" i="79"/>
  <c r="H11" i="79"/>
  <c r="H76" i="79" l="1"/>
  <c r="H55" i="115" s="1"/>
  <c r="H39" i="87"/>
  <c r="H14" i="87"/>
  <c r="H58" i="72"/>
  <c r="H52" i="72"/>
  <c r="H51" i="72"/>
  <c r="H50" i="72"/>
  <c r="H47" i="72"/>
  <c r="H44" i="72"/>
  <c r="H41" i="72"/>
  <c r="H31" i="72"/>
  <c r="H27" i="72"/>
  <c r="H23" i="72"/>
  <c r="H20" i="72"/>
  <c r="H19" i="72"/>
  <c r="H16" i="72"/>
  <c r="H13" i="72"/>
  <c r="H30" i="82"/>
  <c r="H27" i="82"/>
  <c r="H24" i="82"/>
  <c r="H21" i="82"/>
  <c r="H18" i="82"/>
  <c r="H63" i="80"/>
  <c r="H60" i="80"/>
  <c r="H59" i="80"/>
  <c r="H58" i="80"/>
  <c r="H40" i="80"/>
  <c r="H34" i="80"/>
  <c r="H31" i="80"/>
  <c r="H27" i="80"/>
  <c r="H15" i="80"/>
  <c r="H12" i="80"/>
  <c r="H11" i="80"/>
  <c r="H13" i="81"/>
  <c r="H15" i="81" s="1"/>
  <c r="H61" i="115" s="1"/>
  <c r="H14" i="82"/>
  <c r="H13" i="82"/>
  <c r="H12" i="82"/>
  <c r="H11" i="82"/>
  <c r="H10" i="82"/>
  <c r="H64" i="72" l="1"/>
  <c r="H57" i="115" s="1"/>
  <c r="H38" i="82"/>
  <c r="H67" i="115" s="1"/>
  <c r="H65" i="80"/>
  <c r="H59" i="115" s="1"/>
  <c r="H102" i="87"/>
  <c r="H63" i="115" s="1"/>
  <c r="H23" i="88" l="1"/>
  <c r="F12" i="87"/>
  <c r="H17" i="88"/>
  <c r="H24" i="88"/>
  <c r="F11" i="87"/>
  <c r="B367" i="1"/>
  <c r="A367" i="1" s="1"/>
  <c r="B368" i="1"/>
  <c r="A368" i="1" s="1"/>
  <c r="B369" i="1"/>
  <c r="A369" i="1" s="1"/>
  <c r="B371" i="1"/>
  <c r="A371" i="1" s="1"/>
  <c r="B372" i="1"/>
  <c r="A372" i="1" s="1"/>
  <c r="A362" i="1"/>
  <c r="B304" i="1"/>
  <c r="A304" i="1" s="1"/>
  <c r="B305" i="1"/>
  <c r="A305" i="1" s="1"/>
  <c r="B302" i="1"/>
  <c r="B303" i="1"/>
  <c r="B306" i="1" s="1"/>
  <c r="A306" i="1" s="1"/>
  <c r="B307" i="1"/>
  <c r="A307" i="1" s="1"/>
  <c r="B308" i="1"/>
  <c r="A308" i="1" s="1"/>
  <c r="B310" i="1"/>
  <c r="A310" i="1" s="1"/>
  <c r="B311" i="1"/>
  <c r="A311" i="1" s="1"/>
  <c r="B313" i="1"/>
  <c r="A313" i="1" s="1"/>
  <c r="B314" i="1"/>
  <c r="A314" i="1" s="1"/>
  <c r="B316" i="1"/>
  <c r="A316" i="1" s="1"/>
  <c r="B317" i="1"/>
  <c r="A317" i="1" s="1"/>
  <c r="B319" i="1"/>
  <c r="A319" i="1" s="1"/>
  <c r="B320" i="1"/>
  <c r="A320" i="1" s="1"/>
  <c r="B322" i="1"/>
  <c r="A322" i="1" s="1"/>
  <c r="B323" i="1"/>
  <c r="A323" i="1" s="1"/>
  <c r="B325" i="1"/>
  <c r="A325" i="1" s="1"/>
  <c r="B326" i="1"/>
  <c r="A326" i="1" s="1"/>
  <c r="B328" i="1"/>
  <c r="A328" i="1" s="1"/>
  <c r="B329" i="1"/>
  <c r="A329" i="1" s="1"/>
  <c r="B331" i="1"/>
  <c r="A331" i="1" s="1"/>
  <c r="B332" i="1"/>
  <c r="A332" i="1" s="1"/>
  <c r="B334" i="1"/>
  <c r="A334" i="1" s="1"/>
  <c r="B335" i="1"/>
  <c r="A335" i="1" s="1"/>
  <c r="B337" i="1"/>
  <c r="A337" i="1" s="1"/>
  <c r="B338" i="1"/>
  <c r="A338" i="1" s="1"/>
  <c r="B340" i="1"/>
  <c r="A340" i="1" s="1"/>
  <c r="B341" i="1"/>
  <c r="A341" i="1" s="1"/>
  <c r="B343" i="1"/>
  <c r="A343" i="1" s="1"/>
  <c r="B344" i="1"/>
  <c r="A344" i="1" s="1"/>
  <c r="B346" i="1"/>
  <c r="A346" i="1" s="1"/>
  <c r="B347" i="1"/>
  <c r="A347" i="1" s="1"/>
  <c r="B349" i="1"/>
  <c r="A349" i="1" s="1"/>
  <c r="B350" i="1"/>
  <c r="A350" i="1" s="1"/>
  <c r="B352" i="1"/>
  <c r="A352" i="1" s="1"/>
  <c r="B353" i="1"/>
  <c r="A353" i="1" s="1"/>
  <c r="B355" i="1"/>
  <c r="A355" i="1" s="1"/>
  <c r="B356" i="1"/>
  <c r="A356" i="1" s="1"/>
  <c r="B358" i="1"/>
  <c r="A358" i="1" s="1"/>
  <c r="B359" i="1"/>
  <c r="A359" i="1" s="1"/>
  <c r="B361" i="1"/>
  <c r="A361" i="1" s="1"/>
  <c r="A298" i="1"/>
  <c r="B293" i="1"/>
  <c r="A293" i="1"/>
  <c r="B294" i="1"/>
  <c r="A294" i="1" s="1"/>
  <c r="B291" i="1"/>
  <c r="B292" i="1"/>
  <c r="B295" i="1" s="1"/>
  <c r="A295" i="1" s="1"/>
  <c r="B296" i="1"/>
  <c r="A296" i="1" s="1"/>
  <c r="B297" i="1"/>
  <c r="A297" i="1" s="1"/>
  <c r="B299" i="1"/>
  <c r="A299" i="1" s="1"/>
  <c r="B300" i="1"/>
  <c r="A300" i="1" s="1"/>
  <c r="A302" i="1"/>
  <c r="B238" i="1"/>
  <c r="A238" i="1" s="1"/>
  <c r="B236" i="1"/>
  <c r="A236" i="1" s="1"/>
  <c r="B240" i="1"/>
  <c r="A240" i="1" s="1"/>
  <c r="B241" i="1"/>
  <c r="A241" i="1" s="1"/>
  <c r="B243" i="1"/>
  <c r="A243" i="1" s="1"/>
  <c r="B244" i="1"/>
  <c r="A244" i="1" s="1"/>
  <c r="B246" i="1"/>
  <c r="A246" i="1" s="1"/>
  <c r="B247" i="1"/>
  <c r="A247" i="1" s="1"/>
  <c r="B249" i="1"/>
  <c r="A249" i="1"/>
  <c r="B250" i="1"/>
  <c r="A250" i="1" s="1"/>
  <c r="B252" i="1"/>
  <c r="A252" i="1" s="1"/>
  <c r="B253" i="1"/>
  <c r="A253" i="1"/>
  <c r="B255" i="1"/>
  <c r="A255" i="1" s="1"/>
  <c r="B256" i="1"/>
  <c r="A256" i="1"/>
  <c r="B258" i="1"/>
  <c r="A258" i="1" s="1"/>
  <c r="B259" i="1"/>
  <c r="A259" i="1" s="1"/>
  <c r="B261" i="1"/>
  <c r="A261" i="1" s="1"/>
  <c r="B262" i="1"/>
  <c r="A262" i="1"/>
  <c r="B264" i="1"/>
  <c r="A264" i="1"/>
  <c r="B265" i="1"/>
  <c r="A265" i="1" s="1"/>
  <c r="B267" i="1"/>
  <c r="A267" i="1" s="1"/>
  <c r="B268" i="1"/>
  <c r="A268" i="1" s="1"/>
  <c r="B270" i="1"/>
  <c r="A270" i="1" s="1"/>
  <c r="B271" i="1"/>
  <c r="A271" i="1" s="1"/>
  <c r="B273" i="1"/>
  <c r="A273" i="1" s="1"/>
  <c r="B274" i="1"/>
  <c r="A274" i="1"/>
  <c r="B276" i="1"/>
  <c r="A276" i="1" s="1"/>
  <c r="B277" i="1"/>
  <c r="A277" i="1" s="1"/>
  <c r="B279" i="1"/>
  <c r="A279" i="1" s="1"/>
  <c r="B280" i="1"/>
  <c r="A280" i="1"/>
  <c r="B282" i="1"/>
  <c r="A282" i="1" s="1"/>
  <c r="B283" i="1"/>
  <c r="A283" i="1"/>
  <c r="B285" i="1"/>
  <c r="A285" i="1" s="1"/>
  <c r="B286" i="1"/>
  <c r="A286" i="1"/>
  <c r="B288" i="1"/>
  <c r="A288" i="1" s="1"/>
  <c r="B289" i="1"/>
  <c r="A289" i="1"/>
  <c r="B62" i="1"/>
  <c r="A62" i="1" s="1"/>
  <c r="B64" i="1"/>
  <c r="A64" i="1" s="1"/>
  <c r="B65" i="1"/>
  <c r="A65" i="1" s="1"/>
  <c r="B67" i="1"/>
  <c r="A67" i="1" s="1"/>
  <c r="B68" i="1"/>
  <c r="A68" i="1" s="1"/>
  <c r="B70" i="1"/>
  <c r="A70" i="1" s="1"/>
  <c r="B71" i="1"/>
  <c r="A71" i="1" s="1"/>
  <c r="B73" i="1"/>
  <c r="A73" i="1" s="1"/>
  <c r="B74" i="1"/>
  <c r="A74" i="1" s="1"/>
  <c r="B76" i="1"/>
  <c r="A76" i="1" s="1"/>
  <c r="B77" i="1"/>
  <c r="A77" i="1" s="1"/>
  <c r="B79" i="1"/>
  <c r="A79" i="1" s="1"/>
  <c r="B80" i="1"/>
  <c r="A80" i="1" s="1"/>
  <c r="B82" i="1"/>
  <c r="A82" i="1" s="1"/>
  <c r="B83" i="1"/>
  <c r="A83" i="1" s="1"/>
  <c r="B85" i="1"/>
  <c r="A85" i="1" s="1"/>
  <c r="B86" i="1"/>
  <c r="A86" i="1" s="1"/>
  <c r="B88" i="1"/>
  <c r="A88" i="1" s="1"/>
  <c r="B89" i="1"/>
  <c r="A89" i="1" s="1"/>
  <c r="B91" i="1"/>
  <c r="A91" i="1" s="1"/>
  <c r="B92" i="1"/>
  <c r="A92" i="1" s="1"/>
  <c r="B94" i="1"/>
  <c r="A94" i="1" s="1"/>
  <c r="B95" i="1"/>
  <c r="A95" i="1" s="1"/>
  <c r="B97" i="1"/>
  <c r="A97" i="1" s="1"/>
  <c r="B98" i="1"/>
  <c r="A98" i="1" s="1"/>
  <c r="A99" i="1"/>
  <c r="B100" i="1"/>
  <c r="A100" i="1" s="1"/>
  <c r="B177" i="1"/>
  <c r="B178" i="1"/>
  <c r="B181" i="1" s="1"/>
  <c r="A181" i="1" s="1"/>
  <c r="B179" i="1"/>
  <c r="A179" i="1" s="1"/>
  <c r="B180" i="1"/>
  <c r="A180" i="1" s="1"/>
  <c r="B182" i="1"/>
  <c r="A182" i="1" s="1"/>
  <c r="B183" i="1"/>
  <c r="A183" i="1" s="1"/>
  <c r="B185" i="1"/>
  <c r="A185" i="1" s="1"/>
  <c r="B186" i="1"/>
  <c r="A186" i="1" s="1"/>
  <c r="B188" i="1"/>
  <c r="A188" i="1" s="1"/>
  <c r="B189" i="1"/>
  <c r="A189" i="1" s="1"/>
  <c r="B191" i="1"/>
  <c r="A191" i="1" s="1"/>
  <c r="B192" i="1"/>
  <c r="A192" i="1" s="1"/>
  <c r="B193" i="1"/>
  <c r="A193" i="1" s="1"/>
  <c r="B194" i="1"/>
  <c r="A194" i="1" s="1"/>
  <c r="B196" i="1"/>
  <c r="A196" i="1" s="1"/>
  <c r="B197" i="1"/>
  <c r="A197" i="1" s="1"/>
  <c r="B199" i="1"/>
  <c r="A199" i="1" s="1"/>
  <c r="B200" i="1"/>
  <c r="A200" i="1" s="1"/>
  <c r="B201" i="1"/>
  <c r="A201" i="1" s="1"/>
  <c r="B202" i="1"/>
  <c r="A202" i="1" s="1"/>
  <c r="B203" i="1"/>
  <c r="A203" i="1" s="1"/>
  <c r="B204" i="1"/>
  <c r="A204" i="1" s="1"/>
  <c r="B206" i="1"/>
  <c r="A206" i="1" s="1"/>
  <c r="B207" i="1"/>
  <c r="A207" i="1" s="1"/>
  <c r="B209" i="1"/>
  <c r="A209" i="1" s="1"/>
  <c r="B210" i="1"/>
  <c r="A210" i="1" s="1"/>
  <c r="B212" i="1"/>
  <c r="A212" i="1" s="1"/>
  <c r="B213" i="1"/>
  <c r="A213" i="1" s="1"/>
  <c r="B215" i="1"/>
  <c r="A215" i="1" s="1"/>
  <c r="B216" i="1"/>
  <c r="A216" i="1" s="1"/>
  <c r="B217" i="1"/>
  <c r="A217" i="1" s="1"/>
  <c r="B219" i="1"/>
  <c r="A219" i="1" s="1"/>
  <c r="B220" i="1"/>
  <c r="A220" i="1" s="1"/>
  <c r="B221" i="1"/>
  <c r="A221" i="1" s="1"/>
  <c r="B223" i="1"/>
  <c r="A223" i="1"/>
  <c r="B224" i="1"/>
  <c r="A224" i="1" s="1"/>
  <c r="B226" i="1"/>
  <c r="A226" i="1" s="1"/>
  <c r="B227" i="1"/>
  <c r="A227" i="1" s="1"/>
  <c r="B229" i="1"/>
  <c r="A229" i="1" s="1"/>
  <c r="B230" i="1"/>
  <c r="A230" i="1" s="1"/>
  <c r="B232" i="1"/>
  <c r="B233" i="1"/>
  <c r="A233" i="1" s="1"/>
  <c r="B234" i="1"/>
  <c r="A234" i="1" s="1"/>
  <c r="A231" i="1"/>
  <c r="A232" i="1"/>
  <c r="B173" i="1"/>
  <c r="A173" i="1"/>
  <c r="B171" i="1"/>
  <c r="A171" i="1" s="1"/>
  <c r="B175" i="1"/>
  <c r="A175" i="1" s="1"/>
  <c r="A177" i="1"/>
  <c r="B111" i="1"/>
  <c r="A111" i="1"/>
  <c r="B112" i="1"/>
  <c r="A112" i="1" s="1"/>
  <c r="B103" i="1"/>
  <c r="B106" i="1"/>
  <c r="A106" i="1" s="1"/>
  <c r="B108" i="1"/>
  <c r="B109" i="1"/>
  <c r="A109" i="1" s="1"/>
  <c r="B114" i="1"/>
  <c r="A114" i="1" s="1"/>
  <c r="B115" i="1"/>
  <c r="A115" i="1" s="1"/>
  <c r="B117" i="1"/>
  <c r="A117" i="1" s="1"/>
  <c r="B118" i="1"/>
  <c r="A118" i="1" s="1"/>
  <c r="B120" i="1"/>
  <c r="A120" i="1" s="1"/>
  <c r="B121" i="1"/>
  <c r="A121" i="1" s="1"/>
  <c r="B123" i="1"/>
  <c r="A123" i="1" s="1"/>
  <c r="B124" i="1"/>
  <c r="A124" i="1" s="1"/>
  <c r="B126" i="1"/>
  <c r="A126" i="1" s="1"/>
  <c r="B127" i="1"/>
  <c r="A127" i="1" s="1"/>
  <c r="B129" i="1"/>
  <c r="A129" i="1" s="1"/>
  <c r="B130" i="1"/>
  <c r="A130" i="1" s="1"/>
  <c r="B132" i="1"/>
  <c r="A132" i="1" s="1"/>
  <c r="B133" i="1"/>
  <c r="A133" i="1" s="1"/>
  <c r="B135" i="1"/>
  <c r="A135" i="1" s="1"/>
  <c r="B136" i="1"/>
  <c r="A136" i="1" s="1"/>
  <c r="B138" i="1"/>
  <c r="A138" i="1" s="1"/>
  <c r="B139" i="1"/>
  <c r="A139" i="1" s="1"/>
  <c r="B141" i="1"/>
  <c r="A141" i="1" s="1"/>
  <c r="B142" i="1"/>
  <c r="A142" i="1" s="1"/>
  <c r="B144" i="1"/>
  <c r="A144" i="1" s="1"/>
  <c r="B145" i="1"/>
  <c r="A145" i="1" s="1"/>
  <c r="B147" i="1"/>
  <c r="A147" i="1" s="1"/>
  <c r="B148" i="1"/>
  <c r="A148" i="1" s="1"/>
  <c r="B150" i="1"/>
  <c r="A150" i="1" s="1"/>
  <c r="B151" i="1"/>
  <c r="A151" i="1" s="1"/>
  <c r="B153" i="1"/>
  <c r="A153" i="1" s="1"/>
  <c r="B154" i="1"/>
  <c r="A154" i="1" s="1"/>
  <c r="B156" i="1"/>
  <c r="A156" i="1" s="1"/>
  <c r="B157" i="1"/>
  <c r="A157" i="1" s="1"/>
  <c r="B159" i="1"/>
  <c r="A159" i="1" s="1"/>
  <c r="B160" i="1"/>
  <c r="A160" i="1" s="1"/>
  <c r="B162" i="1"/>
  <c r="A162" i="1" s="1"/>
  <c r="B163" i="1"/>
  <c r="A163" i="1" s="1"/>
  <c r="B165" i="1"/>
  <c r="A165" i="1" s="1"/>
  <c r="B166" i="1"/>
  <c r="A166" i="1" s="1"/>
  <c r="B168" i="1"/>
  <c r="A168" i="1" s="1"/>
  <c r="B169" i="1"/>
  <c r="A169" i="1" s="1"/>
  <c r="A108" i="1"/>
  <c r="A103" i="1"/>
  <c r="B101" i="1"/>
  <c r="A101" i="1" s="1"/>
  <c r="B56" i="1"/>
  <c r="B57" i="1"/>
  <c r="B58" i="1"/>
  <c r="B59" i="1"/>
  <c r="A59" i="1" s="1"/>
  <c r="B60" i="1"/>
  <c r="A60" i="1" s="1"/>
  <c r="B5" i="1"/>
  <c r="A5" i="1" s="1"/>
  <c r="B6" i="1"/>
  <c r="A6" i="1" s="1"/>
  <c r="B7" i="1"/>
  <c r="A7" i="1" s="1"/>
  <c r="B9" i="1"/>
  <c r="A9" i="1" s="1"/>
  <c r="B10" i="1"/>
  <c r="A10" i="1" s="1"/>
  <c r="B12" i="1"/>
  <c r="A12" i="1" s="1"/>
  <c r="B13" i="1"/>
  <c r="A13" i="1"/>
  <c r="B15" i="1"/>
  <c r="A15" i="1" s="1"/>
  <c r="B16" i="1"/>
  <c r="A16" i="1" s="1"/>
  <c r="B17" i="1"/>
  <c r="A17" i="1" s="1"/>
  <c r="B19" i="1"/>
  <c r="A19" i="1"/>
  <c r="B20" i="1"/>
  <c r="A20" i="1" s="1"/>
  <c r="B22" i="1"/>
  <c r="A22" i="1" s="1"/>
  <c r="B24" i="1"/>
  <c r="A24" i="1" s="1"/>
  <c r="B25" i="1"/>
  <c r="A25" i="1" s="1"/>
  <c r="B27" i="1"/>
  <c r="A27" i="1" s="1"/>
  <c r="B28" i="1"/>
  <c r="A28" i="1" s="1"/>
  <c r="B30" i="1"/>
  <c r="A30" i="1" s="1"/>
  <c r="B31" i="1"/>
  <c r="A31" i="1" s="1"/>
  <c r="B33" i="1"/>
  <c r="A33" i="1" s="1"/>
  <c r="B34" i="1"/>
  <c r="A34" i="1" s="1"/>
  <c r="B36" i="1"/>
  <c r="A36" i="1"/>
  <c r="B37" i="1"/>
  <c r="A37" i="1" s="1"/>
  <c r="B38" i="1"/>
  <c r="A38" i="1"/>
  <c r="B39" i="1"/>
  <c r="A39" i="1" s="1"/>
  <c r="B41" i="1"/>
  <c r="A41" i="1"/>
  <c r="B42" i="1"/>
  <c r="A42" i="1" s="1"/>
  <c r="B44" i="1"/>
  <c r="A44" i="1"/>
  <c r="B45" i="1"/>
  <c r="A45" i="1"/>
  <c r="B47" i="1"/>
  <c r="A47" i="1" s="1"/>
  <c r="B48" i="1"/>
  <c r="A48" i="1" s="1"/>
  <c r="B50" i="1"/>
  <c r="A50" i="1"/>
  <c r="B51" i="1"/>
  <c r="A51" i="1" s="1"/>
  <c r="B53" i="1"/>
  <c r="A53" i="1" s="1"/>
  <c r="B54" i="1"/>
  <c r="A54" i="1"/>
  <c r="A291" i="1"/>
  <c r="B237" i="1"/>
  <c r="B107" i="1"/>
  <c r="A107" i="1" s="1"/>
  <c r="B172" i="1"/>
  <c r="B174" i="1" s="1"/>
  <c r="A174" i="1" s="1"/>
  <c r="B63" i="1"/>
  <c r="B66" i="1" s="1"/>
  <c r="A66" i="1" s="1"/>
  <c r="H27" i="88" l="1"/>
  <c r="B110" i="1"/>
  <c r="A110" i="1" s="1"/>
  <c r="B184" i="1"/>
  <c r="A184" i="1" s="1"/>
  <c r="A178" i="1"/>
  <c r="A292" i="1"/>
  <c r="A303" i="1"/>
  <c r="B187" i="1"/>
  <c r="A237" i="1"/>
  <c r="B239" i="1"/>
  <c r="B8" i="1"/>
  <c r="B113" i="1"/>
  <c r="A187" i="1"/>
  <c r="B190" i="1"/>
  <c r="B195" i="1" s="1"/>
  <c r="B11" i="1"/>
  <c r="A11" i="1" s="1"/>
  <c r="A63" i="1"/>
  <c r="B69" i="1"/>
  <c r="A172" i="1"/>
  <c r="B309" i="1"/>
  <c r="H69" i="115" l="1"/>
  <c r="H96" i="115" s="1"/>
  <c r="H56" i="102" s="1"/>
  <c r="H64" i="102" s="1"/>
  <c r="H66" i="102" s="1"/>
  <c r="H68" i="102" s="1"/>
  <c r="A195" i="1"/>
  <c r="A309" i="1"/>
  <c r="A113" i="1"/>
  <c r="B116" i="1"/>
  <c r="A116" i="1" s="1"/>
  <c r="B72" i="1"/>
  <c r="A72" i="1" s="1"/>
  <c r="B312" i="1"/>
  <c r="A312" i="1" s="1"/>
  <c r="A8" i="1"/>
  <c r="A69" i="1"/>
  <c r="A190" i="1"/>
  <c r="B198" i="1"/>
  <c r="A198" i="1" s="1"/>
  <c r="A239" i="1"/>
  <c r="B242" i="1"/>
  <c r="B14" i="1"/>
  <c r="B119" i="1" l="1"/>
  <c r="A119" i="1" s="1"/>
  <c r="A14" i="1"/>
  <c r="B245" i="1"/>
  <c r="B18" i="1"/>
  <c r="A18" i="1" s="1"/>
  <c r="B75" i="1"/>
  <c r="A242" i="1"/>
  <c r="B205" i="1"/>
  <c r="B315" i="1"/>
  <c r="A315" i="1" s="1"/>
  <c r="B122" i="1" l="1"/>
  <c r="A205" i="1"/>
  <c r="B208" i="1"/>
  <c r="A208" i="1" s="1"/>
  <c r="B21" i="1"/>
  <c r="A75" i="1"/>
  <c r="B78" i="1"/>
  <c r="B81" i="1" s="1"/>
  <c r="A81" i="1" s="1"/>
  <c r="B318" i="1"/>
  <c r="A245" i="1"/>
  <c r="B248" i="1"/>
  <c r="A122" i="1" l="1"/>
  <c r="B125" i="1"/>
  <c r="A318" i="1"/>
  <c r="B321" i="1"/>
  <c r="B211" i="1"/>
  <c r="A211" i="1" s="1"/>
  <c r="B324" i="1"/>
  <c r="A324" i="1" s="1"/>
  <c r="A78" i="1"/>
  <c r="B84" i="1"/>
  <c r="A248" i="1"/>
  <c r="B251" i="1"/>
  <c r="B254" i="1" s="1"/>
  <c r="A254" i="1" s="1"/>
  <c r="B214" i="1"/>
  <c r="A214" i="1" s="1"/>
  <c r="A21" i="1"/>
  <c r="B23" i="1"/>
  <c r="B128" i="1" l="1"/>
  <c r="B131" i="1" s="1"/>
  <c r="A125" i="1"/>
  <c r="B87" i="1"/>
  <c r="A23" i="1"/>
  <c r="B26" i="1"/>
  <c r="B32" i="1" s="1"/>
  <c r="A32" i="1" s="1"/>
  <c r="B29" i="1"/>
  <c r="A29" i="1" s="1"/>
  <c r="A251" i="1"/>
  <c r="B257" i="1"/>
  <c r="B260" i="1" s="1"/>
  <c r="B218" i="1"/>
  <c r="A321" i="1"/>
  <c r="A84" i="1"/>
  <c r="B90" i="1"/>
  <c r="A90" i="1" s="1"/>
  <c r="B327" i="1"/>
  <c r="B330" i="1" s="1"/>
  <c r="A131" i="1" l="1"/>
  <c r="B134" i="1"/>
  <c r="A134" i="1" s="1"/>
  <c r="A128" i="1"/>
  <c r="B137" i="1"/>
  <c r="A137" i="1" s="1"/>
  <c r="B35" i="1"/>
  <c r="A35" i="1" s="1"/>
  <c r="A330" i="1"/>
  <c r="A218" i="1"/>
  <c r="B222" i="1"/>
  <c r="A26" i="1"/>
  <c r="A87" i="1"/>
  <c r="A327" i="1"/>
  <c r="B333" i="1"/>
  <c r="A333" i="1" s="1"/>
  <c r="B93" i="1"/>
  <c r="A260" i="1"/>
  <c r="B263" i="1"/>
  <c r="A257" i="1"/>
  <c r="B40" i="1" l="1"/>
  <c r="A40" i="1" s="1"/>
  <c r="B140" i="1"/>
  <c r="B336" i="1"/>
  <c r="A336" i="1" s="1"/>
  <c r="B339" i="1"/>
  <c r="A222" i="1"/>
  <c r="B225" i="1"/>
  <c r="A93" i="1"/>
  <c r="B96" i="1"/>
  <c r="A263" i="1"/>
  <c r="B266" i="1"/>
  <c r="A140" i="1" l="1"/>
  <c r="B143" i="1"/>
  <c r="B43" i="1"/>
  <c r="A266" i="1"/>
  <c r="B269" i="1"/>
  <c r="A225" i="1"/>
  <c r="B228" i="1"/>
  <c r="A96" i="1"/>
  <c r="B99" i="1"/>
  <c r="A339" i="1"/>
  <c r="B342" i="1"/>
  <c r="B146" i="1" l="1"/>
  <c r="A143" i="1"/>
  <c r="B46" i="1"/>
  <c r="A43" i="1"/>
  <c r="A228" i="1"/>
  <c r="B231" i="1"/>
  <c r="A342" i="1"/>
  <c r="B345" i="1"/>
  <c r="A269" i="1"/>
  <c r="B272" i="1"/>
  <c r="A146" i="1" l="1"/>
  <c r="B152" i="1"/>
  <c r="A152" i="1" s="1"/>
  <c r="B149" i="1"/>
  <c r="A46" i="1"/>
  <c r="B49" i="1"/>
  <c r="A272" i="1"/>
  <c r="B275" i="1"/>
  <c r="A345" i="1"/>
  <c r="B348" i="1"/>
  <c r="A49" i="1" l="1"/>
  <c r="B52" i="1"/>
  <c r="A52" i="1" s="1"/>
  <c r="A149" i="1"/>
  <c r="B155" i="1"/>
  <c r="A275" i="1"/>
  <c r="B278" i="1"/>
  <c r="A348" i="1"/>
  <c r="B351" i="1"/>
  <c r="B158" i="1" l="1"/>
  <c r="A155" i="1"/>
  <c r="B55" i="1"/>
  <c r="A55" i="1" s="1"/>
  <c r="A278" i="1"/>
  <c r="B281" i="1"/>
  <c r="A351" i="1"/>
  <c r="B354" i="1"/>
  <c r="A158" i="1" l="1"/>
  <c r="B161" i="1"/>
  <c r="A354" i="1"/>
  <c r="B357" i="1"/>
  <c r="A281" i="1"/>
  <c r="B284" i="1"/>
  <c r="A161" i="1" l="1"/>
  <c r="B164" i="1"/>
  <c r="A357" i="1"/>
  <c r="B360" i="1"/>
  <c r="A360" i="1" s="1"/>
  <c r="A284" i="1"/>
  <c r="B287" i="1"/>
  <c r="A287" i="1" s="1"/>
  <c r="A164" i="1" l="1"/>
  <c r="B167" i="1"/>
  <c r="A167" i="1" s="1"/>
</calcChain>
</file>

<file path=xl/sharedStrings.xml><?xml version="1.0" encoding="utf-8"?>
<sst xmlns="http://schemas.openxmlformats.org/spreadsheetml/2006/main" count="4575" uniqueCount="2268">
  <si>
    <t>Strojni iskop i rušenje betonskih kon-strukcijskih elemenata malih i srednjh presjeka, kao što su temelji, nadtemeljni zidovi i podna ploča s odvozom otpadnog materijala na udaljenost do 50 m.</t>
  </si>
  <si>
    <t>01.01.008.</t>
  </si>
  <si>
    <t>Izrada montažno - demontažne viseće fasadne skele s podnicama, potrebnim ogradama i lazilima. U cijenu uključiti dovoz, montažu i demontažu elemenata. Skela služi za izvedbu svih zidarskih, fasaderskih i ostalih završnih radova na drugačije nedostupnim di</t>
  </si>
  <si>
    <t>UKUPNO SKELE I PODUPIRANJA :</t>
  </si>
  <si>
    <t>8.</t>
  </si>
  <si>
    <t>01.08.</t>
  </si>
  <si>
    <t>IZOLATERSKI RADOVI</t>
  </si>
  <si>
    <t>01.08.001.</t>
  </si>
  <si>
    <t>a) Modularne veličine 100/200</t>
  </si>
  <si>
    <t>UKUPNO STOLARSKI RADOVI:</t>
  </si>
  <si>
    <t>02.06.</t>
  </si>
  <si>
    <t xml:space="preserve">MONTAŽERSKI RADOVI </t>
  </si>
  <si>
    <t>02.06.001.</t>
  </si>
  <si>
    <t>Dobava materijala i izrada montažnog spuštenog stropa od aluminijskih zaobljenih linijskih lamela i međuprofila u tonu po izboru po izboru projektanta, završno obrađenih mat pečenim lakom. U cijenu stavke uključen je sav potreban transport, materijal, pri</t>
  </si>
  <si>
    <t>02.06.002.</t>
  </si>
  <si>
    <t>Dobava materijala i izrada montažnog spuštenog stropa od gips-kartonskih vodootpornih ploča. Ploče se postavljaju kao podgled stropova u otvorenom ulazu u garažu. U cijenu stavke uključen je sav potreban transport, materijal, pribor, spojni materijal za o</t>
  </si>
  <si>
    <t>02.06.003.</t>
  </si>
  <si>
    <t>Dobava materijala i izrada montažnog spuštenog stropa od gips-kartonkih vodootpornih ploča. Ploče se postavljaju kao podgled stropova u kolnom prolazu u krilu zgrade do Lomničke ulice. U cijenu stavke uključen je sav potreban transport, materijal, pribor,</t>
  </si>
  <si>
    <t>02.06.004.</t>
  </si>
  <si>
    <t>Dobava materijala i postavljanje hidro-izolacije Brass pod ravnom temeljnom pločom. Hidroizolacija je tipa "Rhepanol 2.5 fk" i postavlja se na pripremljenu betonsku podlogu. Stavka obuhvaća i sve potrebne od proizvođača specificirane radove i materijal.</t>
  </si>
  <si>
    <t>01.08.002.</t>
  </si>
  <si>
    <t xml:space="preserve">Izrada, doprema i montaža čelične ograde stubišta stanova u dijelu zgrade prema Savskoj cesti. Ogradu treba načiniti prema detaljnim nacrtima. U cijenu stavke uključen je sav potreban transport, materijal, pribor te spojni materijal i ugradba. Obračun po </t>
  </si>
  <si>
    <t>02.04.002.</t>
  </si>
  <si>
    <t>Dobava betona, ugradba u konstrukciju i njegovanje armiranobetonske pune ravne ploče debljine 30 cm nad skloništem, srednjeg presjeka (od 0,12-0,30 m3 betona na m2 ). Završna izvedba u glatkoj oplati, marke betona MB-30.</t>
  </si>
  <si>
    <t>Priprema i ličenje betonskih podloga unutrašnjih strana balkonskih ograda te betonskih nadstrešnica. Stavka obuhvaća: brušenje i čišćenje, neutraliziranje, kitanje manjih oštećenja i pukotina, impregniranje, i završno prevlačenje površina bojom za beton u</t>
  </si>
  <si>
    <t xml:space="preserve">02.02.005. </t>
  </si>
  <si>
    <t>Dobava materijala, izrada i postavljenje limenog pokrova na kose krovne plohe u krilu zgrade do Lomničke ulice, te nadstrešnica loggia i balkona u krilima zgrade do Savske i Lomničke ulice, jednostavnim ili ravnim pokrivanjem s ležećim i stojećim prijevoj</t>
  </si>
  <si>
    <t>02.07.002.</t>
  </si>
  <si>
    <t>Dobava betona, ugradba u konstrukciju i njegovanje naborane armiranobetonske ploče stubišta u središnjem patiu debljine 16 cm, srednjeg presjeka (od 0,12-0,30 m3   betona na m2 ). Završna izvedba u glatkoj oplati, marke betona MB-30.</t>
  </si>
  <si>
    <t>01.03.006.</t>
  </si>
  <si>
    <t>Izrada podnožja (sokla). Dobava materijala i izrada ravnog podnožja od lijevanog teraca visine do 15 cm. Stavka obuhvaća pripremu podloge, nanošenje smjese i izravnavanje, brušenje, kitanje, glačanje, čišćenje površine i zaštitu. Sastav mješavine i boja p</t>
  </si>
  <si>
    <t>02.10.005.</t>
  </si>
  <si>
    <t>Dobava materijala i oblaganje čela i gazišta i djelomično oblaganje bočnih stranica krakova stubišta teracom prosječne debljine 2,0 cm. Stavka obuhvaća pripremu podloge, nanošenje smjese i izravnavanje, brušenje, kitanje, glačanje, čišćenje površine i zaš</t>
  </si>
  <si>
    <t>Doprema i montaža ulaznih jednokrilnih punih drvenih vrata s obostranom oblogom od pune jelovine i ispunom od mineralne vune, pripremljenih za ličenje. U cijenu stavke uključen je sav potreban transport, materijal, pribor, spojni materijal, funkcionalni o</t>
  </si>
  <si>
    <t>02.05.002.</t>
  </si>
  <si>
    <t>Dobava materijala i popločenje podova u stanovima i poslovnom prostoru, keramičkim podnim protukliznim pločicama ljepljenjem betonskim ljepilom. Jednobojne pločice po izboru projektanta, veličine 20 x 20 cm, I klase, složene u šah polja, s otvorenom fugom</t>
  </si>
  <si>
    <t>02.09.002.</t>
  </si>
  <si>
    <t>Dobava materijala i popločenje podova balkona i terasa keramičkim podnim silikatnim protukliznim pločicama ljepljenjem betonskim ljepilom. Jednobojne pločice po izboru projektanta, veličine 20 x 20 cm, I klase, složene u šah polja, s otvorenom fugom. U ci</t>
  </si>
  <si>
    <t>02.09.003.</t>
  </si>
  <si>
    <t>Dobava materijala i opločenje zidova u kuhinjama i WC-ima do visine 160 cm jednobojnim mat glaziranim keramičkim pločicama po izboru projektanta, veličine 20 x 20 cm, I klase, složene u šah polja, s otvorenom fugom. Keramičke pločice ljepe se na ohrapavlj</t>
  </si>
  <si>
    <t>02.09.004.</t>
  </si>
  <si>
    <t>Izrada, postavljanje i skidanje oplate naborane, kose  i nagnute ploče stubišta od vodootporne šperploče, s podu-piranjem, uredne izvedbe za vidljiv beton bez završne obrade. U jediničnu cijenu oplate uključeni su kompletni troškovi montaže, demontaže i a</t>
  </si>
  <si>
    <t>01.06.010.</t>
  </si>
  <si>
    <t>10.</t>
  </si>
  <si>
    <t>Dobava materijala i opločenje podnožja zidova (sokla) balkona i terasa jednim redom keramičkih silikatnih protukliznih podnih pločica betonskim ljepilom. Jednobojne pločice po izboru projektanta, veličine 20 x 20 cm, I klase, s otvorenom fugom. U cijenu s</t>
  </si>
  <si>
    <t>Izrada, postavljanje i skidanje oplate stupova kvadratičnog, pravokutnog i ravnog presjeka od vodootporne šperploče, uredne izvedbe za vidljiv beton bez završne obrade. U jediničnu cijenu oplate uključeni su kompletni troškovi montaže, demontaže i amortiz</t>
  </si>
  <si>
    <t>01.06.005.</t>
  </si>
  <si>
    <t>Izrada, postavljanje i skidanje metalne oplate stupova okruglog presjeka Ć 40 cm, uredne izvedbe za vidljiv beton bez završne obrade. U jediničnu cijenu oplate uključeni su kompletni troškovi montaže, demontaže i amortizacije oplate .</t>
  </si>
  <si>
    <t>01.06.006.</t>
  </si>
  <si>
    <t xml:space="preserve"> ( "Samoborka" , Samobor).</t>
  </si>
  <si>
    <t>02.01.002.</t>
  </si>
  <si>
    <t>Dobava betona, ugradba u konstrukciju i njegovanje armirano - betonskih podpornih i obodnih zidova podzemnih etaža u jednostranoj glatkoj oplati, velikog presjeka (više od 0,30 m3 betona na m2 ), marke betona MB-30, debljine zida 40 cm. Sve kompletno s iz</t>
  </si>
  <si>
    <t>01.03.013.</t>
  </si>
  <si>
    <t>Dobava betona, ugradba u konstrukciju i njegovanje armirano - betonskih zidova skloništa u dvostranoj glatkoj oplati, srednjeg presjeka (od 0,12-0,30 m3  betona na m2 ), marke betona MB-30, debljine zida 30 cm. Sve kompletno s izvedbom potrebnih šliceva z</t>
  </si>
  <si>
    <t>01.03.014.</t>
  </si>
  <si>
    <t>Dobava betona, ugradba u konstrukciju i njegovanje armirano - betonskih zidova skloništa u dvostranoj glatkoj oplati, srednjeg presjeka ( od 0,12-0,30 m3   betona na m2 ), marke betona MB-30, debljine zida 25 cm. Sve kompletno s izvedbom potrebnih šliceva</t>
  </si>
  <si>
    <t>01.03.015.</t>
  </si>
  <si>
    <t>Dobava materijala i postavljanje sloja ploča Drvoterm DT3 - 75, na stropove otvorenih prostora u prizemlju. Ploče Drvoterm DT3 - 75 postavljaju se u jednom sloju, na oplatu prije montaže armaturne mreže. Ploče su debljine 7,5 cm. Stavka obuhvaća i sve pot</t>
  </si>
  <si>
    <t>01.08.012.</t>
  </si>
  <si>
    <t>Dobava materijala i postavljanje sloja ploča od elastificiranog ekspandiranog polistirena na podove prostorija u stanovima i poslovnim prostorima prvog kata, kao i obodni sloj elastificiranog ekspandiranog polistirena debljine 1cm koji dijeli ploču plivaj</t>
  </si>
  <si>
    <t>01.08.013.</t>
  </si>
  <si>
    <t>Doprema i montaža tipskih unutrašnjih  jednokrilnih punih drvenih jelovih vrata pripremljenih za ličenje. U cijenu stavke uključen je sav potreban transport, materijal, pribor, spojni materijal, funkcionalni okov, usadna brava, i ugradba.</t>
  </si>
  <si>
    <t>a) Modularne veličine 70/200</t>
  </si>
  <si>
    <t>a) Modularne veličine 80/200</t>
  </si>
  <si>
    <t>02.05.003.</t>
  </si>
  <si>
    <t>Doprema i montaža tipskih unutrašnjih  jednokrilnih punih drvenih jelovih vrata s nadsvjetlom, pripremljenih za ličenje. U cijenu stavke uključen je sav potreban transport, materijal, pribor, spojni materijal, funkcionalni okov, usadna brava i ugradba . U</t>
  </si>
  <si>
    <t>a) Modularne veličine 80/275</t>
  </si>
  <si>
    <t>02.05.004.</t>
  </si>
  <si>
    <t>Doprema i montaža tipskih unutrašnjih  dvokrilnih ostakljenih drvenih jelovih vrata s nadsvjetlom, pripremljenih za ličenje. U cijenu stavke uključen je sav potreban transport, materijal, pribor, spojni materijal, funkcionalni okov, usadna brava i ugradba</t>
  </si>
  <si>
    <t>a) Modularne veličine 180/275</t>
  </si>
  <si>
    <t>02.05.005.</t>
  </si>
  <si>
    <t>Doprema i montaža unutrašnjih ostakljenih drvenih stijena, pripremljenih za ličenje. U cijenu stavke uključen je sav potreban transport, materijal, pribor, spojni materijal i ugradba. Uključivo ostakljenje ornament staklom debljine 4 mm po izboru projekta</t>
  </si>
  <si>
    <t>Dobava materijala i izrada montažnog spuštenog stropa od gips-kartonkih vodootpornih ploča. Ploče se postavljaju kao podgled stropova u kolnom prolazu u krilu zgrade do Savske ceste. U cijenu stavke uključen je sav potreban transport, materijal, pribor, s</t>
  </si>
  <si>
    <t>02.06.005.</t>
  </si>
  <si>
    <t>Izrada, postavljanje i skidanje oplate ravnih greda i navoja pravokutnog presjeka od vodootporne šperploče u izvedbi za završnu obradu betonske površine, uz podupiranje. U jediničnu cijenu oplate uključeni su kompletni troškovi montaže, demontaže i amorti</t>
  </si>
  <si>
    <t>01.06.011.</t>
  </si>
  <si>
    <t>Izrada, postavljanje i skidanje oplate horizontalnih serklaža visine do 16 cm od dasaka d=24 mm. U jediničnu cijenu oplate uključeni su kompletni troškovi montaže, demontaže i amortizacije oplate, .</t>
  </si>
  <si>
    <t>01.06.012.</t>
  </si>
  <si>
    <t>Izrada, postavljanje i skidanje oplate vertikalnih serklaža širine do 20 cm od dasaka d=24 mm. U jediničnu cijenu oplate uključeni su kompletni troškovi montaže, demontaže i amortizacije oplate, .</t>
  </si>
  <si>
    <t>01.06.013.</t>
  </si>
  <si>
    <t>Poseban dodatak za povećano podupiranje oplate za visine preko 3,0 m ravnih rebrastih betonskih ploča, te greda.</t>
  </si>
  <si>
    <t>01.06.014.</t>
  </si>
  <si>
    <t>Izrada drvene krovne konstrukcije dvostrešnog, krovišta prema projektu iz piljene drvene građe od četinara II klase. U cijenu je uključena sva drvena građa, premazana zaštitnim fungicidnim premazom (kao Xiladecor) ili slično, sav potreban okov spojeva i u</t>
  </si>
  <si>
    <t>01.06.015.</t>
  </si>
  <si>
    <t xml:space="preserve">Izrada drvene krovne konstrukcije pokosa limenih krovova nad balkonima i terasama, </t>
  </si>
  <si>
    <t>01.06.016.</t>
  </si>
  <si>
    <t>Izrada drvene oplatne krovne konstrukcije daskama debljine d=24 mm, na sudar, iz piljene drvene građe od četinara II klase. U cijenu je uključena sva drvena građa, premazana zaštitnim fungicidnim premazom (kao Xiladecor) ili slično, sav potreban okov spoj</t>
  </si>
  <si>
    <t>Dobava materijala i izrada montažnog spuštenog stropa od gips-kartonkih vodootpornih ploča. Ploče se postavljaju kao podgled stropa u stubišnom prostoru na prvom katu u krilu zgrade do Lomničke ulice. U cijenu stavke uključen je sav potreban transport, ma</t>
  </si>
  <si>
    <t>Završno strojno žbukanje fasade zidova i stropova Teramineral-VF žbukom u sloju od 1 cm u boji i tonu po izboru projektanta. U cijenu stavke uključen je sav potreban transport, materijal i pribor prema uputama proizvođača ( "Samoborka" , Samobor).</t>
  </si>
  <si>
    <t xml:space="preserve">02.01.003. </t>
  </si>
  <si>
    <t xml:space="preserve">Strojno žbukanje unutrašnjih zidova i stropova gips vapnenom strojnom žbukom GV-10G. Strojno nanošenje specijalne gips žbuke u jednom sloju debljine 15 mm na očišćenu podlogu. Izravnavanje metalnom letvom, gletanje gladilicom. U cijenu stavke uključen je </t>
  </si>
  <si>
    <t>02.01.004.</t>
  </si>
  <si>
    <t>UKUPNO BETONSKI RADOVI:</t>
  </si>
  <si>
    <t>3.</t>
  </si>
  <si>
    <t>01.03.</t>
  </si>
  <si>
    <t>ARMIRANO - BETONSKI RADOVI</t>
  </si>
  <si>
    <t>U cijeni pojedine stavke armirano-betonskih radova obuhvaćena je i sva potrebna oplata oplata sa svim potrebnim podupiranjima i ne obračunava se posebno.</t>
  </si>
  <si>
    <t>01.03.001.</t>
  </si>
  <si>
    <t>Dobava betona, ugradba u konstrukciju i njegovanje armiranobetonske temeljne ploče u zemlji debljine 35 cm, marke betona MB-30, u glatkoj oplati.</t>
  </si>
  <si>
    <t>01.03.002.</t>
  </si>
  <si>
    <t>Dobava materijala, unutrašnji transport, razastiranje i izrada habajućeg sloja asfaltom u debljini sloja 3 cm. Asfaltom u boji po izboru projektanta završno se obrađuju podovi u prostorima podzemnih garaža, ulaznim prostorima i kolnom prolazu. Stavka obuh</t>
  </si>
  <si>
    <t>ASFALTERSKI RADOVI:</t>
  </si>
  <si>
    <t>01.</t>
  </si>
  <si>
    <t>REKAPITULACIJA GRAĐEVINSKIH RADOVA</t>
  </si>
  <si>
    <t>SKELE I PODUPIRANJA</t>
  </si>
  <si>
    <t>SVEUKUPNO GRAĐEVINSKI RADOVI:</t>
  </si>
  <si>
    <t>02.01.</t>
  </si>
  <si>
    <t>ŽBUKANJA I FASADERSKI RADOVI:</t>
  </si>
  <si>
    <t>02.01.001.</t>
  </si>
  <si>
    <t>13.</t>
  </si>
  <si>
    <t>Dobava i ugradba plastičnih eslinger roleta za sve plastične, ostakljene prozore i vrata u tonu kao prozori i vrata. U cijenu stavke uključen je sav potreban transport, materijal i pribor prema uputama proizvođača. Obračun po m2 .</t>
  </si>
  <si>
    <t>UKUPNO PLASTIČNI PROZORI I VRATA:</t>
  </si>
  <si>
    <t>02.04.</t>
  </si>
  <si>
    <t>BRAVARSKI RADOVI</t>
  </si>
  <si>
    <t>02.04.001.</t>
  </si>
  <si>
    <t>Oblaganje pokrovnim kamenom zidova obloženih kamenom. Pokrivanje se vrši prirodnim kamenom -paljenim granitom, debljine ploča 3 cm, širine ploča 25 cm, vrste i boje po izboru projektanta. Ploče se polažu u sloj cementnog morta vlažne konzistencije. Dobava</t>
  </si>
  <si>
    <t>UKUPNO KAMENARSKI RADOVI:</t>
  </si>
  <si>
    <t>ZELENI KROVOVI:</t>
  </si>
  <si>
    <t>02.11.001</t>
  </si>
  <si>
    <t>Nabijanje zemlje dna građevinske jame (širokog iskopa) do modula stišljivosti tla od M = 7000 kN / m3 .</t>
  </si>
  <si>
    <t>01.01.013.</t>
  </si>
  <si>
    <t>Doprema i montaža tipskih dvokrilnih metalnih vrata. U cijenu stavke uključen je sav potreban transport, materijal, pribor te spojni materijal funkcionalni okov i ugradba.</t>
  </si>
  <si>
    <t>a) Modularne veličine 160/200</t>
  </si>
  <si>
    <t>Dobava materijala i postavljanje kutnih hrastovih letvica standardne kvalitete, dimenzija 25 / 25 mm. Kutne letvice treba  pažljivo krojiti i čavlanjem u parket opšivati spoj poda i zida i prodore. U cijenu stavke uračunat je sav potreban transport, mater</t>
  </si>
  <si>
    <t>UKUPNO PARKETARSKI RADOVI :</t>
  </si>
  <si>
    <t>02.09.</t>
  </si>
  <si>
    <t>KERAMIČARSKI RADOVI</t>
  </si>
  <si>
    <t>02.09.001.</t>
  </si>
  <si>
    <t>1.</t>
  </si>
  <si>
    <t>01.01.</t>
  </si>
  <si>
    <t>PRIPREMNI RADOVI, DEMONTAŽE I RUŠENJA</t>
  </si>
  <si>
    <t>01.01.001.</t>
  </si>
  <si>
    <t>Skidanje pokrova krova s odlaganjem na odlagalište udaljenosti do 50 m.</t>
  </si>
  <si>
    <t>m2</t>
  </si>
  <si>
    <t>01.01.002.</t>
  </si>
  <si>
    <t>Demontaža drvene krovne konstrukcije s odlaganjem na udaljenost do 50 m.</t>
  </si>
  <si>
    <t>01.01.003.</t>
  </si>
  <si>
    <t>Demontaža, utovar i odvoz krovne limarije i limarije odvodnih oborinskih voda na odlagalište udaljeno do 50 m.</t>
  </si>
  <si>
    <t>m1</t>
  </si>
  <si>
    <t>01.01.004.</t>
  </si>
  <si>
    <t>Rušenje međukatnih i tavanskih konstrukcija uz sva potrebna osiguranja kako ne bi došlo do nepredviđenog urušavanja dijelova zgrade, s odvozom otpadnog materijala na udaljenost do 50 m.</t>
  </si>
  <si>
    <t>a) drveni grednici</t>
  </si>
  <si>
    <t>b) AB ploče</t>
  </si>
  <si>
    <t>01.01.005.</t>
  </si>
  <si>
    <t>Izrada, doprema i montaža čelične ograde stubišta stanova u dijelu zgrade prema Lomničkoj ulici. Ogradu treba načiniti prema detaljnim nacrtima. U cijenu stavke uključen je sav potreban transport, materijal, pribor te spojni materijal i ugradba. Obračun p</t>
  </si>
  <si>
    <t>02.04.003.</t>
  </si>
  <si>
    <t>08.</t>
  </si>
  <si>
    <t>09.</t>
  </si>
  <si>
    <t>02.05.001.</t>
  </si>
  <si>
    <t>Izrada, doprema i montaža čelične ograde balkona i terasa koje su u podpunosti metalne. Ogradu treba načiniti prema detaljnim nacrtima. U cijenu stavke uključen je sav potreban transport, materijal, pribor te spojni materijal i ugradba. Obračun po m2 .</t>
  </si>
  <si>
    <t>02.04.006.</t>
  </si>
  <si>
    <t>Izrada, doprema i montaža cijevi od nehrđajućeg čelika za rukohvate balkona, terasa, stubišta i prolaza koji imaju masivnu betonsku ogradu. Ogradu treba načiniti prema detaljnim nacrtima. U cijenu stavke uključen je sav potreban transport, materijal, prib</t>
  </si>
  <si>
    <t>02.04.007.</t>
  </si>
  <si>
    <t xml:space="preserve">Izrada, doprema i montaža obodne čelične konstrukcije stubišta u dijelu zgrade prema Savskoj cesti. Konstrukcija se sastoji od čeličnih valjanih profila  IPE - 20 međusobno varenih i sidrenih u armirano - betonsku konstrukciju, a prema detaljnim nacrtima </t>
  </si>
  <si>
    <t>kg</t>
  </si>
  <si>
    <t>02.04.008.</t>
  </si>
  <si>
    <t xml:space="preserve">Dobava materijala, izrada i montaža horizontalnog limenog pokrova s okapnicama na masivne ograde terasa i ravnih krovova s izravnim ili neizravnim pričvršćivanjem. Limeni pokrov od  titan-cink lima debljine ploča 0,7 mm, razvijene širine 40 cm. Izrada uz </t>
  </si>
  <si>
    <t>UKUPNO LIMARSKI RADOVI :</t>
  </si>
  <si>
    <t>02.08.</t>
  </si>
  <si>
    <t>PARKETARSKI RADOVI</t>
  </si>
  <si>
    <t>Izrada, doprema i montaža ostakljenog krovnog prozora stubišta na krilu zgrade do Lomničke ulice. Konstrukcija se sastoji od aluminijskih profila s ispunom od izo-stakla (8+16+4) čija je vanjska stijenka načinjena od stakla armiranog čeličnom žicom. Konst</t>
  </si>
  <si>
    <t>02.04.018.</t>
  </si>
  <si>
    <t xml:space="preserve">Izrada, doprema i montaža bangera nad prozorima u stambenim dijelovima objekta Konstrukcija se sastoji od čeličnih profila kvadratičnog presjeka o 20 / 20 mm, međusobno varenih u okvire s ispunom od ekspandiranog polistirena, a s vanjske strane obloženih </t>
  </si>
  <si>
    <t>UKUPNO BRAVARSKI RADOVI:</t>
  </si>
  <si>
    <t>02.05.</t>
  </si>
  <si>
    <t>STOLARSKI RADOVI</t>
  </si>
  <si>
    <t>Zidanje fasadnih i unutarnjih zidova objekta saćastom blok opekom M-20, dimenzija 290/190/190 mm u produžnom cementnom mortu M-10. Dobava materijala i izvedba, kao i izrada potrebne skele, te transport materijala do mjesta ugradbe.</t>
  </si>
  <si>
    <t>01.05.002.</t>
  </si>
  <si>
    <t>Dobava materijala i postavljanje horizontalne hidroizolacije Brass na balkone. Hidroizolacija je tipa "Rhepanol 2.5 fk" i postavlja se na pripremljenu betonsku podlogu. Stavka obuhvaća i sve potrebne od proizvođača specificirane radove i materijal.</t>
  </si>
  <si>
    <t>01.08.006.</t>
  </si>
  <si>
    <t>Dobava materijala i postavljanje sloja mineralne vune u podgled kosih krovova. Debljina sloja je 6 cm. Stavka obuhvaća i sve potrebne od proizvođača specificirane radove i materijal.</t>
  </si>
  <si>
    <t>01.08.016.</t>
  </si>
  <si>
    <t>Dobava materijala i postavljanje sloja ploča Drvopor DP2 - 50 u jednom sloju na zidove od blok opeke debljine 25 cm. Ploče su debljine 5 cm. Stavka obuhvaća i sve potrebne od proizvođača specificirane radove i materijal.</t>
  </si>
  <si>
    <t>01.08.017.</t>
  </si>
  <si>
    <t>Dobava materijala i postavljanje sloja ploča Drvopor DP2 - 50. Ploče Drvopor DP2 - 50 postavljaju se u jednom sloju, kao izgubljena oplata na unutrašnjim armirano - betonskim zidovima stubišta, dizala i ulaznih prostora. Ploče su debljine 5 cm. Stavka obu</t>
  </si>
  <si>
    <t>01.08.018.</t>
  </si>
  <si>
    <t>Dobava materijala i postavljanje sloja ploča Drvopor DP3 - 75, na sve vanjske zidove. Ploče Drvopor DP3 - 75 postavljaju se u jednom sloju, kao izgubljena oplata armirano - betonskih zidova ili se postavljaju ljepljenjem i dodatnim pričvršćivanjem za zido</t>
  </si>
  <si>
    <t>01.08.019.</t>
  </si>
  <si>
    <t>Izrada, postavljanje i skidanje dvostrane oplate zidova (debljine 20, 25 i 30 cm) ravne osnove od vodootporne šperploče, uredna izvedba za vidljiv beton bez završne obrade. U jediničnu cijenu oplate uključeni su kompletni troškovi montaže, demontaže i amo</t>
  </si>
  <si>
    <t>01.06.003.</t>
  </si>
  <si>
    <t>Dobava betona, ugradba u konstrukciju i njegovanje armiranobetonske pune ravne ploče debljine 24 cm, srednjeg presjeka (od 0,12-0,30 m3 betona na m2 ). Završna izvedba u glatkoj oplati, marke betona MB-30. U cijenu stavke je uključena i ugradnja usidrenih</t>
  </si>
  <si>
    <t>01.03.004.</t>
  </si>
  <si>
    <t>Dobava betona, ugradba u konstrukciju i njegovanje armiranobetonske pune ravne ploče debljine 22 cm, srednjeg presjeka (od 0,12-0,30 m3 betona na m2 ). Završna izvedba u glatkoj oplati, marke betona MB-30. U cijenu stavke je uključena i ugradnja usidrenih</t>
  </si>
  <si>
    <t>01.03.005.</t>
  </si>
  <si>
    <t xml:space="preserve">01.09.001. </t>
  </si>
  <si>
    <t>11.</t>
  </si>
  <si>
    <t>Doprema i montaža tipskih hermetičkih metalnih vrata za sklonište, koja su otporna na neposredno mehaničko, toplinsko i radijacijsko djelovanje, veličine 800/1800 mm. U cijenu stavke uključen je sav potreban transport, materijal, pribor te spojni materija</t>
  </si>
  <si>
    <t>02.04.011.</t>
  </si>
  <si>
    <t>Doprema i montaža tipskih metalnih vrata za sklonište. U cijenu stavke uključen je sav potreban transport, materijal, pribor te spojni materijal i ugradba.</t>
  </si>
  <si>
    <t>a) Veličine 625/1800 mm</t>
  </si>
  <si>
    <t>b) Veličine 800/1800 mm</t>
  </si>
  <si>
    <t>02.04.012.</t>
  </si>
  <si>
    <t>07.</t>
  </si>
  <si>
    <t>Izrada, postavljanje i skidanje dvostrane oplate zidova tankostjenih parapeta i ograda(monijerka 10 cm) ravne osnove od vodootporne šperploče, uredna izvedba za vidljiv beton bez završne obrade. U jediničnu cijenu oplate uključeni su kompletni troškovi mo</t>
  </si>
  <si>
    <t>01.06.004.</t>
  </si>
  <si>
    <t>Čišćenje terena od smeća, raslinja, šiblja i stabala do Ć 10 cm debljine pri dnu i manjih prepreka, drvenih i žičanih ograda i sl., košenje trave i korova, sve uz pomoć radnika II ktg. Siječenje gusto obraslog raslinja kod korijenja i vađenje korijenja bu</t>
  </si>
  <si>
    <t xml:space="preserve">m2 </t>
  </si>
  <si>
    <t>.</t>
  </si>
  <si>
    <t>01.01.009.</t>
  </si>
  <si>
    <t xml:space="preserve">Dobava materijala, unutrašnji transport i izrada betonske vezane podloge padnog betona MB - 20, debljine od 3 do 7 cm (položene direktno na konstrukciju). Stavka obuhvaća pripremu površina, razastiranje i ugradbu podloge, završnu obradu prema uvjetima za </t>
  </si>
  <si>
    <t>01.02.007.</t>
  </si>
  <si>
    <t xml:space="preserve">Dobava materijala, unutrašnji transport i izrada betonske vezane podloge padnog betona MB - 20, debljine od 3 do 5 cm (položene direktno na konstrukciju). Stavka obuhvaća pripremu površina, razastiranje i ugradbu podloge, završnu obradu prema uvjetima za </t>
  </si>
  <si>
    <t>01.02.008.</t>
  </si>
  <si>
    <t>Dobava materijala, unutrašnji transport i izrada betonske vezane podloge padnog betona MB - 20, debljine 8 cm (položene direktno na konstrukciju)  na rampi prema Lomničkoj ulici. Stavka obuhvaća pripremu površina, razastiranje i ugradbu podloge, završnu o</t>
  </si>
  <si>
    <t>01.02.009.</t>
  </si>
  <si>
    <t>Dobava materijala, unutrašnji transport i izrada cementnog estriha MB - 20, debljine 6 cm, armiranog merežastom armaturom oznake Q-139. Gornja površina estriha mora biti vodoravna ali ne i fino zaglađena. Stavka obuhvaća i pripremu površina, te ugradbu ar</t>
  </si>
  <si>
    <t xml:space="preserve">01.02.010. </t>
  </si>
  <si>
    <t>Dobava materijala, unutrašnji transport i izrada cementnog estriha MB - 20, debljine 5 cm, armiranog merežastom armaturom oznake Q-139. Gornja površina estriha mora biti vodoravna ali ne i fino zaglađena. Stavka obuhvaća i pripremu površina, te ugradbu ar</t>
  </si>
  <si>
    <t xml:space="preserve">01.02.011. </t>
  </si>
  <si>
    <t>Bojenje disperzivnim bojama i  eventualni popravak gletanjem unutrašnjih stropova poslovnih prostora, stubišta i ostalih pomoćnih prostorija završno obrađenih gips-vapnenom strojnom žbukom. Disperzivna boja se nanosi u dva sloja, u boji po izboru projekta</t>
  </si>
  <si>
    <t>02.02.004.</t>
  </si>
  <si>
    <t>Dobava i ugradba jednostrukih plastičnih prozora s trostrukim brtvljenjem. Prozori su ostakljeni izolacijskim staklom debljine 8+16+4 mm, Sva prozorska krila su otklopno zaokretna. U cijeni prozora, uključen je i sav funkcionalni okov i brave, vanjske i u</t>
  </si>
  <si>
    <t>a) Veličina 420/140 cm</t>
  </si>
  <si>
    <t>b) Veličina 590/140 cm</t>
  </si>
  <si>
    <t>c) Veličina 290/140 cm</t>
  </si>
  <si>
    <t>d) Veličina 190/140 cm</t>
  </si>
  <si>
    <t>e) Veličina     60/90 cm</t>
  </si>
  <si>
    <t>f) Veličina</t>
  </si>
  <si>
    <t>02.03.002.</t>
  </si>
  <si>
    <t xml:space="preserve">Dobava i ugradba jednostrukih plastičnih balkonskih vrata s trostrukim brtvljenjem. Vrata su ostakljena izolacijskim staklom debljine 8+16+4 mm. Sva vratna krila su otklopno zaokretna. U cijeni vrata uključen je i sav funkcionalni okov i brave, vanjske i </t>
  </si>
  <si>
    <t>a) Veličina 190/240 cm</t>
  </si>
  <si>
    <t>d.</t>
  </si>
  <si>
    <t>02.04.014.</t>
  </si>
  <si>
    <t>Obzidavanje kada punom opekom NF u cementnom mortu M-10. Debljina obzida 7 cm. Dobava materijala i izvedba, te transport materijala do mjesta ugradbe.</t>
  </si>
  <si>
    <t>01.05. 005.</t>
  </si>
  <si>
    <t>Utovar iskopanog materijala, zemlje III i IV kategorije , humusa, biljnog materijala , šute i građevinskog materijala nastalog rušenjem postojećih građevina i ostalih prepreka na terenu, utovarivačem 162 Kw i transport materijala na gradsku planirku udalj</t>
  </si>
  <si>
    <t>01.01.014.</t>
  </si>
  <si>
    <t>Izrada šljunčanog nasipa dobavljenim savskim agregatom prirodne granulacije u objektu nad temeljnom pločom, između nadtemeljnih zidova. U sloju od 40 cm, s nabijanjem do modula stišljivosti M=15,0 N/cm2.</t>
  </si>
  <si>
    <t>01.01.015.</t>
  </si>
  <si>
    <t>Izrada šljunčanog nasipa tucanikom granulacije od 16 do 32 mm u objektu nad armirano - betonskom pločom poda prve i druge podzemne etaže (pod  između nadtemeljnih zidova u prostorijama koje nisu garaže). U sloju od 8 cm, s nabijanjem do modula stišljivost</t>
  </si>
  <si>
    <t>UKUPNO PRIPREMNI RADOVI, DEMONTAŽE I RUŠENJA:</t>
  </si>
  <si>
    <t>2.</t>
  </si>
  <si>
    <t>01.02.</t>
  </si>
  <si>
    <t>BETONSKI RADOVI</t>
  </si>
  <si>
    <t>01.02.001.</t>
  </si>
  <si>
    <t>Dobava betona, ugradba u konstrukciju i njegovanje betonske podloge ispod temeljne ploče, a preko sloja nabijenog šljunka mikrobetonom MB - 15. Debljina podloge je 10 cm (do 0,12 m3 betona na m2 ili m1). Gornja površina podloge mora biti vodoravna i zagla</t>
  </si>
  <si>
    <t>01.02.002.</t>
  </si>
  <si>
    <t>Dobava betona, ugradba u konstrukciju i njegovanje betona zaštitnog sloja horizontalne hidroizolacije temeljne ploče mikrobetonom MB - 20. Debljina zaštitnog sloja betona je 5 cm (do 0,12 m3 betona na m2 ili m1).</t>
  </si>
  <si>
    <t xml:space="preserve">m2  </t>
  </si>
  <si>
    <t>01.02.003.</t>
  </si>
  <si>
    <t>a.</t>
  </si>
  <si>
    <t>b.</t>
  </si>
  <si>
    <t>c.</t>
  </si>
  <si>
    <t>03.</t>
  </si>
  <si>
    <t>01.03.003.</t>
  </si>
  <si>
    <t>02.02.001.</t>
  </si>
  <si>
    <t>Priprema i ličenje podloga unutrašnjih stropova za završne soboslikarske premaze dvostrukim glačanjem (gletanjem) disperzivnim kitom. Stavka obuhvaća: brušenje i čišćenje, neutraliziranje, kitanje manjih oštećenja i pukotina, impregniranje, i završno prev</t>
  </si>
  <si>
    <t>02.02.002.</t>
  </si>
  <si>
    <t>Bojenje disperzivnim bojama i  eventualni popravak gletanjem unutrašnjih zidova stanova, poslovnih prostora, stubišta i ostalih pomoćnih prostorija završno obrađenih gips-vapnenom strojnom žbukom. Disperzivna boja se nanosi u dva sloja, u boji po izboru p</t>
  </si>
  <si>
    <t>02.02.003.</t>
  </si>
  <si>
    <t>Izrada, postavljanje i skidanje jednostrane oplate zidova ravne osnove, od vodootporne šperploče u izvedbi za završnu obradu betonske površine. U jediničnu cijenu oplate uključeni su kompletni troškovi montaže, demontaže i amortizacije oplate .</t>
  </si>
  <si>
    <t>01.06.002.</t>
  </si>
  <si>
    <t xml:space="preserve">Dobava betona, ugradba u konstrukciju i njegovanje armirano - betonskih vertikalnih serklaža u zidovima od opeke i običnoj oplati, malog presjeka (do 0,12 m3   betona na m), marke betona MB-30. </t>
  </si>
  <si>
    <t>01.03.020.</t>
  </si>
  <si>
    <t>Strojno žbukanje stropova štrcanjem cijele površine cementnim mortom, debljine min 1 cm, s ulaganjem metalnog Rabitz pletiva koje se pričvrsnicama ( 10 kom / m2 ) fiksira na strop. Rabicirani cementni špric mora odležati minimalno tri tjedna nakon čega se</t>
  </si>
  <si>
    <t xml:space="preserve">02.01.005. </t>
  </si>
  <si>
    <t>Svi vanjski i unutrašnji uglovi zidova koji se žbukaju moraju biti zaštićeni kutnim profilima od isteg lima koji se ugrađuju paralelno s nanošenjem žbuke i nakon žbukanja ostaju nevidljivi na fasadama i unutrašnjim zidovima. U cijenu stavke uključen je sa</t>
  </si>
  <si>
    <t>a) Kutnici</t>
  </si>
  <si>
    <t xml:space="preserve">m </t>
  </si>
  <si>
    <t xml:space="preserve">  </t>
  </si>
  <si>
    <t>a) Kutnici  uz bangere</t>
  </si>
  <si>
    <t>UKUPNO ŽBUKANJA I FASADERSKI RADOVI:</t>
  </si>
  <si>
    <t>02.02.</t>
  </si>
  <si>
    <t>SOBOSLIKARSKO - LIČILAČKI RADOVI</t>
  </si>
  <si>
    <t xml:space="preserve">UKUPNO MONTAŽERSKI RADOVI </t>
  </si>
  <si>
    <t>02.07.</t>
  </si>
  <si>
    <t>LIMARSKI RADOVI</t>
  </si>
  <si>
    <t>02.07.001.</t>
  </si>
  <si>
    <t xml:space="preserve">Dobava materijala i izrada montažnog spuštenog stropa od gips-kartonkih vodootpornih ploča. Ploče se postavljaju kao podgled stropa u stubišnom prostoru pod kosim krovom na krilu zgrade do Savske ceste. U cijenu stavke uključen je sav potreban transport, </t>
  </si>
  <si>
    <t>02.06.006.</t>
  </si>
  <si>
    <t>a) Veličina 150/60 cm</t>
  </si>
  <si>
    <t>b) Veličina 120/60 cm</t>
  </si>
  <si>
    <t>01.05.012.</t>
  </si>
  <si>
    <t>Nabava, doprema, namještanje i ugradnja drvenih dovratnika u zidove od opeke ili betona s potrebnim obzidavanjem i brtvljenjem. Uključivo transport materijala do mjesta ugradbe.</t>
  </si>
  <si>
    <t xml:space="preserve">a) Veličina vrata do      2,00 m2 </t>
  </si>
  <si>
    <t xml:space="preserve">b) Veličina vrata preko 2,00 m2 </t>
  </si>
  <si>
    <t>01.05.013.</t>
  </si>
  <si>
    <t>Nabava, doprema, namještanje i ugradnja podnih sifona 15/15 cm  s potrebnim brtvljenjem. Uključivo transport materijala do mjesta ugradbe.</t>
  </si>
  <si>
    <t>01.05.014.</t>
  </si>
  <si>
    <t xml:space="preserve">Dobava, postava, namještanje i ugradba Fisher - vijcima penjalica od betonskog čelika Ć  18 mm. </t>
  </si>
  <si>
    <t>01.05.015.</t>
  </si>
  <si>
    <t>Popravak žbuke nakon ugradbe bravarije. Dobava materijala, potrebna radna skela i žbukanje do širine od 20 cm.</t>
  </si>
  <si>
    <t>paušalno</t>
  </si>
  <si>
    <t>UKUPNO ZIDARSKI RADOVI:</t>
  </si>
  <si>
    <t>6.</t>
  </si>
  <si>
    <t>01.06.</t>
  </si>
  <si>
    <t>TESARSKI RADOVI</t>
  </si>
  <si>
    <t>U stavkama gdje je iskazana oplata zidova i ploča uključena je i oplata svih utora i prodora.</t>
  </si>
  <si>
    <t>01.06.001.</t>
  </si>
  <si>
    <t>Dobava materijala i postavljanje sloja mineralne vune na podove prostorija ventilacije garaža  i diesel agregata, zbog sprječavanja širenja buke i vibracija. Mineralna vuna se postavlja u dva sloja po tri centimetra (ukupne debljine 6 cm). Izolacija se po</t>
  </si>
  <si>
    <t>01.08.010.</t>
  </si>
  <si>
    <t>Dobava materijala i postavljanje sloja ekspandiranog polistirena na terase,  ravne krovove i ozelenjene krovove. Ploče ekspandiranog polistirena postavljaju se u jednom sloju, a povezane su zubom na rubovima ploča, debljine 8 cm. Izolacija se postavlja na</t>
  </si>
  <si>
    <t>01.08.011.</t>
  </si>
  <si>
    <t>02.09.006.</t>
  </si>
  <si>
    <t>zidnih jednobojnih mat glaziranih keramičkih pločica po izboru projektanta, veličine 20 x 20 cm, I klase, s otvorenom fugom. Keramičke pločice ljepe se na ohrapavljenu podlogu betonskim ljepilom. U cijenu stavke uračunata je priprema površine za polaganje</t>
  </si>
  <si>
    <t>UKUPNO KERAMIČARSKI RADOVI:</t>
  </si>
  <si>
    <t>02.10.</t>
  </si>
  <si>
    <t>TARACERSKI RADOVI</t>
  </si>
  <si>
    <t>02.10.001.</t>
  </si>
  <si>
    <t>Dobava materijala i izrada teraco poda u stubišnim hodnicima i podestima debljine 2-3 cm. Stavka obuhvaća pripremu podloge, nanošenje smjese i izravnavanje, brušenje, kitanje, glačanje, te čišćenje površine i zaštitu. Sastav mješavine i boja po izboru pro</t>
  </si>
  <si>
    <t>02.10.002.</t>
  </si>
  <si>
    <t>Dobava materijala i postava dilatacijskih mesinganih traka presjeka 20 x 2 mm. Trake postaviti po detaljnom nacrtu. U cijenu stavke uračunat je, sav potreban transport, materijal, pribor i ugradba. Obračun po m ugrađene trake.</t>
  </si>
  <si>
    <t>02.10.003.</t>
  </si>
  <si>
    <t>Dobava materijala i oblaganje ravnih zidova u stubištima teracom prosječne debljine 2,0 cm. Stavka obuhvaća pripremu podloge, nanošenje smjese i izravnavanje, brušenje, kitanje, glačanje, čišćenje površne i zaštitu. Sastav mješavine i boja po izboru proje</t>
  </si>
  <si>
    <t>02.10.004.</t>
  </si>
  <si>
    <t>Dobava betona, ugradba u konstrukciju i njegovanje betona izravnavajućeg sloja na neravninama vertikalnih betonskih stijenki mikrobetonom MB - 20, koje trebaju biti izvedene u fazi iskopa i zaštite građevinske jame. Predpostavljena debljina izravna-vajuće</t>
  </si>
  <si>
    <t>01.02.004.</t>
  </si>
  <si>
    <t>Oblaganje čela i gazišta stepenica prirodnim kamenom -paljenim granitom, debljine ploča 3 cm, vrste i boje po izboru projektanta. Ploče se polažu u sloj cementnog morta vlažne konzistencije. Dobava materijala, unutrašnji transport i opločenje, zalijevanje</t>
  </si>
  <si>
    <t>02.11.004.</t>
  </si>
  <si>
    <t>Dobava izrada i montaža ozelenjenog krova tipa "Optima" prema uputama proizvođača na površine središnjeg ravnog krova, i oba patia. Stavka obuhvaća i sve potrebne od proizvođača specificirane radove, sav potreban transport, materijal, pribor i spojni mate</t>
  </si>
  <si>
    <t>UKUPNO ZELENI KROVOVI:</t>
  </si>
  <si>
    <t>02.</t>
  </si>
  <si>
    <t>REKAPITULACIJA OBRTNIČKIH RADOVA</t>
  </si>
  <si>
    <t>SVEUKUPNO OBRTNIČKIH RADOVI:</t>
  </si>
  <si>
    <t>NAPOMENA:</t>
  </si>
  <si>
    <t>Dobava materijala, unutrašnji transport i izrada cementnog estriha MB - 20, debljine 4 cm, armiranog merežastom armaturom oznake Q-139. Gornja površina estriha mora biti vodoravna ali ne i fino zaglađena. Stavka obuhvaća i pripremu površina, te ugradbu ar</t>
  </si>
  <si>
    <t xml:space="preserve">01.02.012. </t>
  </si>
  <si>
    <t>Dobava materijala, unutrašnji transport i izrada cementnog estriha MB - 20, debljine 7 cm, armiranog merežastom armaturom oznake Q-139. Gornja površina estriha mora biti vodoravna ali ne i fino zaglađena. Stavka obuhvaća i pripremu površina, te ugradbu ar</t>
  </si>
  <si>
    <t xml:space="preserve">Dobava betona, ugradba u konstrukciju i njegovanje armirano - betonskih moiner stijenki balkona i terasa u glatkoj obostranoj oplati, malog presjeka (do 0,12 m3   betona na m), marke betona MB-30. </t>
  </si>
  <si>
    <t>UKUPNO ARMIRANO - BETONSKI RADOVI:</t>
  </si>
  <si>
    <t>4.</t>
  </si>
  <si>
    <t>01.04.</t>
  </si>
  <si>
    <t>ARMIRAČKI RADOVI</t>
  </si>
  <si>
    <t>©</t>
  </si>
  <si>
    <t>Tu dolaze stavke od Berka</t>
  </si>
  <si>
    <t>UKUPNO ARMIRAČKI RADOVI:</t>
  </si>
  <si>
    <t>5.</t>
  </si>
  <si>
    <t>01.05.</t>
  </si>
  <si>
    <t>ZIDARSKI RADOVI</t>
  </si>
  <si>
    <t>01.05.001.</t>
  </si>
  <si>
    <t xml:space="preserve"> </t>
  </si>
  <si>
    <t>05.</t>
  </si>
  <si>
    <t>Dobava materijala i postavljanje dva sloja polietilenske folije na terase,  ravne krovove i ozelenjene krovove, te kao zaštita ispod sloja mineralne vune kosog krova. Debljina pojedine folije je 0,1 mm. Izolacija se postavlja na hidroizolaciju. Stavka obu</t>
  </si>
  <si>
    <t>01.08.014.</t>
  </si>
  <si>
    <t>Dobava materijala i postavljanje sloja polietilenske folije na termoizolaciju i zvučnu izolaciju podova unutar objekta, radi razdvajanja ploče plivajućeg poda od sloja elastificiranog ekspandiranog polistirena. Debljina folije je 0,1 mm. Stavka obuhvaća i</t>
  </si>
  <si>
    <t>01.08.015.</t>
  </si>
  <si>
    <t>Izrada, postavljanje i skidanje oplate ravne ploče od vodootporne šperploče, s podupiranjem, uredne izvedbe za vidljiv beton bez završne obrade. U jediničnu cijenu oplate uključeni su kompletni troškovi montaže, demontaže i amortizacije oplate .</t>
  </si>
  <si>
    <t>01.06.007.</t>
  </si>
  <si>
    <t>Izrada, postavljanje i skidanje oplate ¸kose i nagnute ploče rampi od vodootporne šperploče, s podupiranjem, uredne izvedbe za vidljiv beton bez završne obrade. U jediničnu cijenu oplate uključeni su kompletni troškovi montaže, demontaže i amortizacije op</t>
  </si>
  <si>
    <t>01.06.008.</t>
  </si>
  <si>
    <t>Izrada, postavljanje i skidanje oplate ¸kose i nagnute ploče stubišta od vodootporne šperploče, s podupiranjem, uredne izvedbe za vidljiv beton bez završne obrade. U jediničnu cijenu oplate uključeni su kompletni troškovi montaže, demontaže i amortizacije</t>
  </si>
  <si>
    <t>01.06.009.</t>
  </si>
  <si>
    <t>Oblaganje podnožja (sokla) šetnice na katu, visine 30 cm, prirodnim kamenom -paljenim granitom, debljine ploča 1 cm, vrste i boje po izboru projektanta. Ploče se polažu u sloj cementnog morta vlažne konzistencije. Dobava materijala, unutrašnji transport i</t>
  </si>
  <si>
    <t>02.11.005.</t>
  </si>
  <si>
    <t>m'</t>
  </si>
  <si>
    <t>Dobava materijala i postavljanje vertikalne hidroizolacije  Brass na obodne zidove podzemnih etaža. Hidroizolacija je tipa "Rhepanol 2.5 fk" i postavlja se na pripremljenu betonsku podlogu, a prije betoniranja obodnih zidova. Stavka obuhvaća i sve potrebn</t>
  </si>
  <si>
    <t>01.08.003.</t>
  </si>
  <si>
    <t>Dobava materijala i postavljanje horizontalne hidroizolacije Brass na kolne prolaze, ulaze u objekt i šetnicu na prvom katu. Hidroizolacija je tipa "Rhepanol 2.5 fk" i postavlja se na pripremljenu betonsku podlogu. Stavka obuhvaća i sve potrebne od proizv</t>
  </si>
  <si>
    <t>01.08.004.</t>
  </si>
  <si>
    <t>Dobava materijala, unutrašnji transport i izrada betonske vezane podloge padnog betona MB - 15, debljine od 8 do 22 cm na kolnom prolazu (položene direktno na konstrukciju). Stavka obuhvaća pripremu površina, razastiranje i ugradbu podloge, završnu obradu</t>
  </si>
  <si>
    <t>01.02.005.</t>
  </si>
  <si>
    <t>Dobava materijala, unutrašnji transport i izrada betonske vezane podloge padnog betona MB - 20, debljine od 3 do 13 cm (položene direktno na konstrukciju). Stavka obuhvaća pripremu površina, razastiranje i ugradbu podloge, završnu obradu prema uvjetima za</t>
  </si>
  <si>
    <t>01.02.006.</t>
  </si>
  <si>
    <t>Dobava i montaža  "Schiedel" dimnjaka tipa Quadro komplet sa spojnim komadima, elementima za montažu i dimnjačkom kapom. U stavku uključiti kompletnu visinu dimovodnih kanala i obradu reški u stropu. U cijeni je obuhvaćen kompletan rad po uputama proizvođ</t>
  </si>
  <si>
    <t>a) Quadro SR-18</t>
  </si>
  <si>
    <t>m</t>
  </si>
  <si>
    <t>b) Quadro SR-20</t>
  </si>
  <si>
    <t>c) Quadro SR-25</t>
  </si>
  <si>
    <t>01.05. 006.</t>
  </si>
  <si>
    <t>UKUPNO TARACERSKI RADOVI:</t>
  </si>
  <si>
    <t>(c) by Roman &amp; Sasha 1997.</t>
  </si>
  <si>
    <t>02.11.</t>
  </si>
  <si>
    <t>KAMENARSKI RADOVI:</t>
  </si>
  <si>
    <t>02.11.001.</t>
  </si>
  <si>
    <t>Izrada, doprema i montaža čelične ograde stubišta u centralnom patiu i šetnici na prvom katu u centralnom dijelu zgrade. Ogradu treba načiniti prema detaljnim nacrtima. U cijenu stavke uključen je sav potreban transport, materijal, pribor te spojni materi</t>
  </si>
  <si>
    <t>02.04.005.</t>
  </si>
  <si>
    <t>Doprema i montaža jednokrilnih metalnih vrata. U cijenu stavke uključen je sav potreban transport, materijal, pribor te spojni materijal funkcionalni okov i ugradba.</t>
  </si>
  <si>
    <t>Dobava materijala, izrada i postavljenje limenog opšava manjih prodora veličine od 0,5 do 1,0 m2 , instalacionih vertikala, dimnjaka i svjetlika stubišta na kosim krovnim plohama u krilu zgrade do Lomničke ulice, jednostavnim ili ravnim pokrivanjem. Izrad</t>
  </si>
  <si>
    <t>02.07.003.</t>
  </si>
  <si>
    <t>Dobava materijala, izrada i postavljenje limenog opšava manjih prodora veličine od 0,5 do 1,0 m2 , instalacionih vertikala i dimnjaka na ravnim krovnim plohama u centralnom dijelu  i krilu zgrade do Savske ceste, jednostavnim ili ravnim pokrivanjem. Izrad</t>
  </si>
  <si>
    <t>02.07.004.</t>
  </si>
  <si>
    <t>Strojni široki iskop u zemlji za temeljnu ploču. Iskop seže do dubine 7,70 m od od kote ±0,00 (+116,80 N.M.). U cijenu su uračunata sva potrebna podupiranja i razupiranja, osiguranje iskopa i susjednih objekata, izrada prilaznih rampi, eventualni rad u mo</t>
  </si>
  <si>
    <t>Napomena:</t>
  </si>
  <si>
    <t>Radovi iz ove stavke se ne nude, jer su obuhvaćeni posebnim projektom za široki iskop s osiguranjem građevne jame.</t>
  </si>
  <si>
    <t xml:space="preserve">m3 </t>
  </si>
  <si>
    <t>01.01.011.</t>
  </si>
  <si>
    <t>Izrada, doprema i montaža pregradnih stijena u prostorima stanarskih spremišta. Konstrukcija se sastoji od čeličnih profila kvadratičnog presjeka o 30 / 30 mm, međusobno varenih u okvire s ispunom od istegnute žice i sidrenih u armirano - betonsku konstru</t>
  </si>
  <si>
    <t>02.04.009.</t>
  </si>
  <si>
    <t xml:space="preserve">Doprema i montaža tipskih protuudarnih i hermetičkih metalnih vrata za sklonište, koja su otporna na neposredno mehaničko, toplinsko i radijacijsko djelovanje, veličine 800/1800 mm. U cijenu stavke uključen je sav potreban transport, materijal, pribor te </t>
  </si>
  <si>
    <t>02.04.010.</t>
  </si>
  <si>
    <t>Ručno rušenje u cijelosti, nosivih, zabatnih i pregradnih zidova, s odvozom otpadnog materijala na udaljenost do 50 m.</t>
  </si>
  <si>
    <t>a) od pune cigle</t>
  </si>
  <si>
    <t>m3</t>
  </si>
  <si>
    <t>01.01.007.</t>
  </si>
  <si>
    <t>Dobava materijala i postavljanje horizontalne hidroizolacije u prostore  za smeće i sanitarije. Hidroizolacija je varena traka s tkaninom HRN U.M3.300 i postavlja se na pripremljenu betonsku podlogu. Stavka obuhvaća i sve potrebne od proizvođača specifici</t>
  </si>
  <si>
    <t>01.08.007.</t>
  </si>
  <si>
    <t>Dobava materijala i postavljanje izolacijske trake krovne ljepenke na daščanu oplatu kosih krovova, a ispod pokrova limom. Stavka obuhvaća i sve potrebne od proizvođača specificirane radove i materijal.</t>
  </si>
  <si>
    <t>01.08.008.</t>
  </si>
  <si>
    <t xml:space="preserve">Dobava materijala i postavljanje parne brane sa slojem za izjednačavanje parnog pritiska u slojevima terasa,  ravnih krovova i ozelenjenih krovova. Parna brana je varena traka s uloškom od Al. folije 0,1 mm debljine 4 mm HRN U.M3.230 punoplošno varena na </t>
  </si>
  <si>
    <t>01.08.009.</t>
  </si>
  <si>
    <t>Vađenje postojeće drvene vanjske stolarije, sa svim potrebnim radovima i odvozom na odlagalište do 50 m udaljenosti.</t>
  </si>
  <si>
    <t>kom</t>
  </si>
  <si>
    <t>01.01.006.</t>
  </si>
  <si>
    <t>Oblaganje zidova i stupova prirodnim kamenom - paljenim granitom, debljine ploča 3 cm, sistemom otvorene reške, na vanjskim fasadnim površinama vrste i boje po izboru projektanta. Dobava materijala, unutrašnji transport i opločenje, kao i sidrenje spojnic</t>
  </si>
  <si>
    <t>02.11.002.</t>
  </si>
  <si>
    <t>Oblaganje podova prirodnim kamenom -paljenim granitom, debljine ploča 3 cm, vrste i boje po izboru projektanta. Ploče se polažu u sloj cementnog morta vlažne konzistencije. Dobava materijala, unutrašnji transport i opločenje, zaljevanje cementnim mortom i</t>
  </si>
  <si>
    <t>02.11.003.</t>
  </si>
  <si>
    <t>12.</t>
  </si>
  <si>
    <t>Zaštita hidroizolacije ravnih, neprohodnih, krovova sa betonskim pločama veličine 40 x 40 cm, debljine 4 cm. Sloj pijeska debljine d=5 cm, sa zaljevanjem sljubnica katranom.</t>
  </si>
  <si>
    <t>NAPOMENA:.</t>
  </si>
  <si>
    <t>Na rubovima se izolacija i parna brana podižu na nadozid. Završetak izolacije je sa završnim profilom od plasičnog materijala (Alwitra ili sl.). Reška između zidnog profila i betonskog nadozida kita se trajnoplastičnim kitom. Kod vodolovnih grla lim se po</t>
  </si>
  <si>
    <t>UKUPNO IZOLATERSKI RADOVI:</t>
  </si>
  <si>
    <t>9.</t>
  </si>
  <si>
    <t>01.09.</t>
  </si>
  <si>
    <t>ASFALTERSKI RADOVI</t>
  </si>
  <si>
    <t>Izrada, doprema i montaža metalne ventilacijske rešetke nad vratima u prizemlju od nehrđajućeg čelika. Rešetku treba načiniti prema detaljnim nacrtima. U cijenu stavke uključen je sav potreban transport, materijal, pribor te spojni materijal i ugradba. Ob</t>
  </si>
  <si>
    <t>a) Nad vratima prostorije smeća</t>
  </si>
  <si>
    <t>b) Nad vratima garaže prizemlje</t>
  </si>
  <si>
    <t>a) Nad vratima hodnika 1. kat</t>
  </si>
  <si>
    <t>02.04.015.</t>
  </si>
  <si>
    <t>Izrada, doprema i montaža metalne pregradne stijena u ulaznom prostoru u dijelu zgrade prema Savskoj cesti. Stijenu treba načiniti prema detaljnim nacrtima. U cijenu stavke uključen je sav potreban transport, materijal, pribor, te spojni materijal i ugrad</t>
  </si>
  <si>
    <t>02.04.016.</t>
  </si>
  <si>
    <t>Izrada, doprema i montaža ostakljenih fasadnih stijena lokala prizemlja i prvog kata. Konstrukcija se sastoji od čeličnih profila međusobno varenih u okvire s ispunom od izo stakla, sidrenih u armirano - betonsku konstrukciju zidova i podova, a prema deta</t>
  </si>
  <si>
    <t>02.04.017.</t>
  </si>
  <si>
    <t>Strojni iskop humusa u sloju debljine 20 cm, s guranjem buldožerom do 60 m. Odlaganje zemlje na predviđenu  lokaciju.</t>
  </si>
  <si>
    <t xml:space="preserve">m3  </t>
  </si>
  <si>
    <t>01.01.010.</t>
  </si>
  <si>
    <t>a) Modularne veličine 90/200</t>
  </si>
  <si>
    <t>b) Modularne veličine 80/210</t>
  </si>
  <si>
    <t>c) Modularne veličine 80/160</t>
  </si>
  <si>
    <t>02.04.013.</t>
  </si>
  <si>
    <t>Dobava betona, ugradba u konstrukciju i njegovanje armirano - betonskih ploča plivajućeg poda za zaštitu od vibracija u strojarnicama. Ploče su debljine 10 cm, malog presjeka (manje od 0,12 m3 betona na m2 ) i marke betona MB-30.</t>
  </si>
  <si>
    <t>01.03.012.</t>
  </si>
  <si>
    <t>Planiranje dna građevinske jame širokog iskopa za temeljnu ploču s točnošću ± 3 cm i prosječnim otkopom zemlje 0,05 m3  / m2 / m, te odvozom zemlje na udaljenost do 50 m. Obračun po m2 isplanirane površine.</t>
  </si>
  <si>
    <t>01.01.012.</t>
  </si>
  <si>
    <t>b) Veličina 170/240 cm</t>
  </si>
  <si>
    <t>c) Veličina   90/240 cm</t>
  </si>
  <si>
    <t>d) Veličina 290/240 cm</t>
  </si>
  <si>
    <t>02.03.003.</t>
  </si>
  <si>
    <t>Dobava i ugradba plastičnih punih vrata za spremišta na terasi. Vratna krila su zaokretna. U cijeni vrata uključen je i sav funkcionalni okov i brave. Vrata su u tonu po izboru projektanta. U cijenu stavke uključen je sav potreban transport, materijal i p</t>
  </si>
  <si>
    <t>a) Veličina 90/240 cm</t>
  </si>
  <si>
    <t xml:space="preserve">kom </t>
  </si>
  <si>
    <t>02.03.004.</t>
  </si>
  <si>
    <t>Strojno žbukanje zidova štrcanjem cijele površine cementnim mortom, debljine min 1 cm, s ulaganjem metalnog Rabitz pletiva koje se pričvrsnicama ( 10 kom / m2 ) fiksira na zid. Rabicirani cementni špric mora odležati minimalno tri tjedna nakon čega se nan</t>
  </si>
  <si>
    <t>Dobava betona, ugradba u konstrukciju i njegovanje naborane armiranobetonske ploče slobodno-podestnog stubišta dijela zgrade na Savskoj cesti debljine 12 cm, srednjeg presjeka (od 0,12-0,30 m3  betona na m2 ). Završna izvedba u glatkoj oplati, marke beton</t>
  </si>
  <si>
    <t>01.03.007.</t>
  </si>
  <si>
    <t>Dobava betona, ugradba u konstrukciju i njegovanje armiranobetonske ploče stubišta debljine 12 cm, srednjeg presjeka (od 0,12-0,30 m3  betona na m2 ). Završna izvedba u glatkoj oplati, marke betona MB-30.</t>
  </si>
  <si>
    <t>01.03.008.</t>
  </si>
  <si>
    <t>Dobava betona, ugradba u konstrukciju i njegovanje armiranobetonske ploče stubišta debljine 16 cm, srednjeg presjeka (od 0,12-0,30 m3  betona na m2 ). Završna izvedba u glatkoj oplati, marke betona MB-30.</t>
  </si>
  <si>
    <t>01.03.009.</t>
  </si>
  <si>
    <t>Dobava betona, ugradba u konstrukciju i njegovanje armiranobetonske kose ploče rampe debljine 16 cm, srednjeg presjeka (od 0,12-0,30 m3 betona na m2 ). Završna izvedba u glatkoj oplati, marke betona MB-30.</t>
  </si>
  <si>
    <t>01.03.010.</t>
  </si>
  <si>
    <t>Dobava betona, ugradba u konstrukciju i njegovanje armirano - betonskih stupova kružnog i kvadratičnog presjeka u glatkoj metalnoj oplati srednjeg presjeka ( od 0,12-0,30 m3 betona na m2 ), marke betona MB-30.</t>
  </si>
  <si>
    <t>01.03.011.</t>
  </si>
  <si>
    <t xml:space="preserve">Dobava betona, ugradba u konstrukciju i njegovanje armirano - betonskih nosivih zidova u dvostranoj glatkoj oplati, srednjeg presjeka (od 0,12-0,30 m3  betona na m2 ), marke betona MB-30, debljine zida 20 cm. Sve kompletno s izvedbom potrebnih šliceva za </t>
  </si>
  <si>
    <t>Bojenje disperzivnim bojama, popravak i dvostruko gletanje unutrašnjih stropova stubišta završno obrađenih gips-kartonskim pločama. Disperzivna boja se nanosi u dva sloja, u boji po izboru projektanta. U cijenu stavke uključen je sav potreban transport, m</t>
  </si>
  <si>
    <t>02.02.006.</t>
  </si>
  <si>
    <t>Priprema i ličenje oznaka ulične horizontalne signalizacije na asfaltnim podnim površinama u garažama i na rampama, bojama za uličnu horizontalnu signalizaciju. Ucrtavaju se pozicije parkirališnih mijesta i smjerokazi. U cijenu stavke uključen je sav potr</t>
  </si>
  <si>
    <t>Zidanje zidova prizemlja i katova punom  opekom NF u cementnom mortu M-10. Debljina zidova 25 cm. Dobava materijala i izvedba, kao i izrada potrebne skele, te transport materijala do mjesta ugradbe.</t>
  </si>
  <si>
    <t>01.05.003.</t>
  </si>
  <si>
    <t>Zidanje pregradnih zidova prizemlja i katova, obzidavanje dimovodnih i ventilacijskih kanala, instalacija vodovoda i kanalizacije saćastom   opekom NF u cementnom mortu M-10. Debljina zidova 12 cm. Dobava materijala i izvedba, kao i izrada potrebne skele,</t>
  </si>
  <si>
    <t>01.05.004.</t>
  </si>
  <si>
    <t>Dobava materijala, izrada i montaža horizontalnog limenog odvodnog visećeg žljeba četvrtastog oblika na krovnim plohama dijela objekta prema Lomničkoj strani. Žljeb od titan-cink lima debljine ploča 0,7 mm, razvijene širine 33,3 cm. Izrada uz pažljivo spa</t>
  </si>
  <si>
    <t>02.07.005.</t>
  </si>
  <si>
    <t>Dobava materijala, izrada i montaža horizontalnog limenog pokrova s okapnicama na masivne ograde balkona s izravnim ili neizravnim pričvršćivanjem. Limeni pokrov od  titan-cink lima debljine ploča 0,7 mm, razvijene širine 40 cm. Izrada uz pažljivo spajanj</t>
  </si>
  <si>
    <t>02.07.006.</t>
  </si>
  <si>
    <t>Dobava materijala i opločenje zidova u kupaonicama do visine 200 cm zidnim jednobojnim mat glaziranim keramičkim pločicama po izboru projektanta, veličine 20 x 20 cm, I klase, složene u šah polja, s otvorenom fugom. Keramičke pločice ljepe se na ohrapavlj</t>
  </si>
  <si>
    <t>02.09.005.</t>
  </si>
  <si>
    <t>Dobava materijala, dvostruko brušenje parketa, kitanje drvenom pilovinom i fino brušenje  ostruganog parketa, te lakiranje bezbojnim mat lakom za  parkete u tri sloja. U cijenu stavke uračunat je sav potreban transport, materijal i pribor po preporuci pro</t>
  </si>
  <si>
    <t>02.08.003.</t>
  </si>
  <si>
    <t>UKUPNO TESARSKI RADOVI:</t>
  </si>
  <si>
    <t>7.</t>
  </si>
  <si>
    <t>01.07.</t>
  </si>
  <si>
    <t xml:space="preserve">SKELE I PODUPIRANJA </t>
  </si>
  <si>
    <t>01.07.001.</t>
  </si>
  <si>
    <t xml:space="preserve">Izrada montažno - demontažne cijevne fasadne skele s podnicama, ogradom u visini svake etaže i lazilima visine do 20 m. U cijenu uključiti dovoz, montažu i demontažu elemenata. Skela služi za izvedbu svih zidarskih, fasaderskih i ostalih završnih radova. </t>
  </si>
  <si>
    <t xml:space="preserve">01.07.002. </t>
  </si>
  <si>
    <t xml:space="preserve">Izrada, doprema i montaža čelične ograde podrumskog stubišta u dijelu zgrade prema Savskoj cesti. Ogradu treba načiniti prema detaljnim nacrtima. U cijenu stavke uključen je sav potreban transport, materijal, pribor te spojni materijal i ugradba. Obračun </t>
  </si>
  <si>
    <t>02.04.004.</t>
  </si>
  <si>
    <t>06.</t>
  </si>
  <si>
    <t>01.03.016.</t>
  </si>
  <si>
    <t xml:space="preserve">Dobava betona, ugradba u konstrukciju i njegovanje armirano - betonskih greda velikog presjeka (od 0,30 m3 betona na m), u glatkoj oplati, marke betona MB-30. </t>
  </si>
  <si>
    <t>01.03.017.</t>
  </si>
  <si>
    <t xml:space="preserve">Dobava betona, ugradba u konstrukciju i njegovanje armirano - betonskih greda u glatkoj oplati, srednjeg presjeka (od 0,12-0,30 m3  betona na m), marke betona MB-30. </t>
  </si>
  <si>
    <t>01.03.018.</t>
  </si>
  <si>
    <t xml:space="preserve">Dobava betona, ugradba u konstrukciju i njegovanje armirano - betonskih nadvoja i serklaža u zidovima od opeke i običnoj oplati, malog presjeka (do 0,12 m3   betona na m), marke betona MB-30. </t>
  </si>
  <si>
    <t>01.03.019.</t>
  </si>
  <si>
    <t>Dobava materijala i postavljanje horizontalne hidroizolacije Brass na terase,  ravne krovove i ozelenjene krovove. Hidroizolacija je tipa "Rhepanol 2.5 fk" i postavlja se na sloj ekspandiranog polistirena. Stavka obuhvaća i sve potrebne od proizvođača spe</t>
  </si>
  <si>
    <t>01.08.005.</t>
  </si>
  <si>
    <t>Priprema i dvokratno ličenje unutrašnje stolarije (vrata) uljnim naličem u boji po izboru projektanta. Završno jednokratno lakiranje bezbojnim lakom. Prethodno treba sve površine pripremiti za ličenje (brušenje, gletanje kitom za drvo). U cijenu stavke uk</t>
  </si>
  <si>
    <t>UKUPNO SOBOSLIKARSKO - LIČILAČKI RADOVI:</t>
  </si>
  <si>
    <t>02.03.</t>
  </si>
  <si>
    <t>PLASTIČNI PROZORI I VRATA</t>
  </si>
  <si>
    <t>02.03.001.</t>
  </si>
  <si>
    <t>Dobava i montaža  "Schiedel" dimnjaka tipa SIH 18 komplet sa spojnim komadima, elementima za montažu i dimnjačkom kapom. U stavku uključiti kompletnu visinu dimovodnih kanala i obradu reški u stropu. U cijeni je obuhvaćen kompletan rad po uputama proizvođ</t>
  </si>
  <si>
    <t>01.05.007.</t>
  </si>
  <si>
    <t>Dobava i montaža  "Schiedel" jednorednih i dvorednih ventilacijskih kanala. Venti-lacione kanale zidati produžnim mortom M-5. U cijenu je obuhvaćen kompletan rad po uputama proizvođača, vratašca (na početku kanala i na krovu) i sve rešetke.</t>
  </si>
  <si>
    <t>L 2</t>
  </si>
  <si>
    <t>L 12</t>
  </si>
  <si>
    <t>L 13</t>
  </si>
  <si>
    <t>L 14</t>
  </si>
  <si>
    <t>L 23</t>
  </si>
  <si>
    <t>01.05.008.</t>
  </si>
  <si>
    <t>Zidanje stubišnog zida od staklene prizme dimenzija 190/190/80 mm, u čeličnoj nosivoj konstrukciji. Zida se cementnim mortom M-10 uz dodatak armaturnih šipki Ć 6 u reške koje se vare na čeličnu konstrukciju,  te naknadno kitaju trajno elastičnim kitom. De</t>
  </si>
  <si>
    <t>01.05.009.</t>
  </si>
  <si>
    <t>Izrada podloge od cementnog estriha  M-15, nagiba 5 % za limene klupčice prozora u širini 15 cm. Dobava materijala i izvedba, te transport materijala do mjesta ugradbe.</t>
  </si>
  <si>
    <t>01.05.010.</t>
  </si>
  <si>
    <t>Ugradnja mjedenih "L" profila na mjestima različite završne obrade poda, te promjene visine podnih ploha. Dobava materijala i izvedba, te transport materijala do mjesta ugradbe.</t>
  </si>
  <si>
    <t>01.05.011.</t>
  </si>
  <si>
    <t xml:space="preserve">Ugradba okvira ležećeg strugala za čišćenje obuće veličine 150/60 cm i 120/60 cm. </t>
  </si>
  <si>
    <t>02.08.001.</t>
  </si>
  <si>
    <t>Dobava materijala i postavljanje hrastovog parketa  l. klase u stanove i poslovni prostor, dimenzija daščice 500 / 55 mm, standardne kvalitete, debljine  22,5 mm. U cijenu stavke uračunata je priprema površine za polaganje  parketa, polaganje parketa ljep</t>
  </si>
  <si>
    <t>02.08.002.</t>
  </si>
  <si>
    <t>m²</t>
  </si>
  <si>
    <t>Opis stavke</t>
  </si>
  <si>
    <t>J.m.</t>
  </si>
  <si>
    <t>Kol.</t>
  </si>
  <si>
    <t>Red.</t>
  </si>
  <si>
    <t>br.</t>
  </si>
  <si>
    <t>Jed.cijena</t>
  </si>
  <si>
    <t>Uk.cijena</t>
  </si>
  <si>
    <t>14.</t>
  </si>
  <si>
    <t>15.</t>
  </si>
  <si>
    <t>16.</t>
  </si>
  <si>
    <t>17.</t>
  </si>
  <si>
    <t>18.</t>
  </si>
  <si>
    <t>19.</t>
  </si>
  <si>
    <t>PODOPOLAGAČKI RADOVI</t>
  </si>
  <si>
    <t>OPĆI UVJETI SU SASTAVNI DIO SVAKE POJEDINE STAVKE. Sve što je navedeno u njima, a nije u pojedinačnom opisu stavke smatra se uključenim u jediničnu cijenu.</t>
  </si>
  <si>
    <t>LIMARSKI RADOVI UKUPNO:</t>
  </si>
  <si>
    <r>
      <t>m</t>
    </r>
    <r>
      <rPr>
        <sz val="10"/>
        <rFont val="Tahoma"/>
        <family val="2"/>
      </rPr>
      <t>²</t>
    </r>
  </si>
  <si>
    <t>20.</t>
  </si>
  <si>
    <t>m³</t>
  </si>
  <si>
    <t>PRIPREMNI I ZEMLJANI RADOVI</t>
  </si>
  <si>
    <t>Izlazak ovlaštenog geomehaničara na lokaciju u vrijeme izvedbe iskopa za temelje najmanje 3 puta, ili po dogovoru. Jedinična cijena jednog izlaska. Obračun po stvarnoj količini izlazaka.</t>
  </si>
  <si>
    <t>e.</t>
  </si>
  <si>
    <t>SKELE</t>
  </si>
  <si>
    <t>HIDROIZOLACIJE</t>
  </si>
  <si>
    <t>Svi detalji pričvršćivanja i spojeva, izvode se prema uputstvima proizvođača, uključivo sa dobavom potrebnog spojnog materijala u cijeni stavke. Obračun po m² komplet slojeva.</t>
  </si>
  <si>
    <t>Svi detalji izvode se prema uputstvima proizvođača, uključivo sa dobavom svog potrebnog materijala u cijeni stavke. Obračun po m².</t>
  </si>
  <si>
    <t>Svi detalji pričvršćivanja i spojeva, izvode se prema uputstvima proizvođača, uključivo sa dobavom potrebnog spojnog materijala u cijeni stavke. Obračun po m².</t>
  </si>
  <si>
    <t>TOPLINSKE IZOLACIJE</t>
  </si>
  <si>
    <t>IZOLATERSKI RADOVI UKUPNO:</t>
  </si>
  <si>
    <t>TESARSKI RADOVI UKUPNO:</t>
  </si>
  <si>
    <t>FASADERSKI RADOVI</t>
  </si>
  <si>
    <t>BETONSKI I ARMIRANO - BETONSKI RADOVI</t>
  </si>
  <si>
    <t>GIPSKARTONSKI RADOVI</t>
  </si>
  <si>
    <t>SOBOSLIKARSKO LIČILAČKI RADOVI</t>
  </si>
  <si>
    <t>UKUPNO GRAĐEVINSKO OBRTNIČKI RADOVI</t>
  </si>
  <si>
    <t>U jediničnim cijenama uračunati su svi radovi dotične stavke, s dobavom potrebnog materijala, s istovarom i uskladištenjem na gradilištu, sav horizontalni i vertikalni transport do radnog mjesta, kao i sva potrebna radna snaga i režijski troškovi, te sve potrebne radove, predradnje i materijal prema uputama proizvođača. (hladni premazi, impregniranja, čišćenja).</t>
  </si>
  <si>
    <t>kompl.</t>
  </si>
  <si>
    <t>U cijenu stavke uključena sva potrebna krojenja oko prodora, istaka i sl.</t>
  </si>
  <si>
    <t>BETONSKI I ARMIRANO BETONSKI RADOVI</t>
  </si>
  <si>
    <t>U cijeni pojedine stavke armirano-betonskih radova obuhvaćeno:</t>
  </si>
  <si>
    <r>
      <t>m</t>
    </r>
    <r>
      <rPr>
        <sz val="10"/>
        <rFont val="Tahoma"/>
        <family val="2"/>
      </rPr>
      <t>³</t>
    </r>
  </si>
  <si>
    <t>BETONSKI I ARMIRANO - BETONSKI RADOVI UKUPNO:</t>
  </si>
  <si>
    <t>U cijenu svake pojedine stavke uključeno:</t>
  </si>
  <si>
    <t>PROTUPOŽARNA BRAVARIJA</t>
  </si>
  <si>
    <t>ČELIČNA BRAVARIJA</t>
  </si>
  <si>
    <t xml:space="preserve">zidovi </t>
  </si>
  <si>
    <t xml:space="preserve">Zidarske pripomoći kod svih vrsta obrtničkih i instalaterskih radova. Materijal se obračunava prema stvarno utrošenim količinama prema cjeniku odnosno pogođenim jediničnim cijenama. Sve radove iz te stavke upisuje nadzorni organ u dnevnik i obračunava prema stvarno utrošenom broju radnih sati. </t>
  </si>
  <si>
    <t>PKV</t>
  </si>
  <si>
    <t>sati</t>
  </si>
  <si>
    <t>KV</t>
  </si>
  <si>
    <t>VKV</t>
  </si>
  <si>
    <t xml:space="preserve">Čišćenje zgrade nakon dovršetka svih radova. u cijeni je sadržano čišćenje odnosno pranje podova, prozora, doprozornika, klupičca, vratiju, dovratnika, stakla, stepenica, ograda, sanitarnih predmeta, rasvjetnih tijela, ugrađenog namještaja i opreme i sl., te sva potrebna sredstva za čišćenje kao i uklanjanje smeća i otpadaka s odvozom s gradilišta, kao i popravak svih šteta nastalih uslijed čišćenja. </t>
  </si>
  <si>
    <t>ZIDARSKI RADOVI UKUPNO:</t>
  </si>
  <si>
    <t>SKELE UKUPNO:</t>
  </si>
  <si>
    <t>SOBOSLIKARSKO-LIČILAČKI RADOVI</t>
  </si>
  <si>
    <t>Dobava svog materijala, sav vanjski i unutrašnji transport do mjesta ugradbe.
Premjeravanje, ispitivanje i čišćenje podloge, izravnanje manjih neravnina, precizno izvođenje priključaka opločenja na ostale građevne djelove, zaštita izrađenih površina, čišćenje i odvoz svih otpadaka po dovršenju radova, te dobava uzoraka u svrhu odobrenja.
Sve potrebne predradnje: kitanje manjih oštećenja i pukotina, brušenja, čišćenja, neutraliziranje, impregniranje, višestruko gletanje disperzivnim kitom.  
Boja za  pojedine elemente prema izboru projektanta.       
Sve radne platforme, pomične i nepomične skele za radove do visine dvije etaže.</t>
  </si>
  <si>
    <t>zidovi</t>
  </si>
  <si>
    <t>stropovi</t>
  </si>
  <si>
    <t>SOBOSLIKARSKO - LIČILAČKI RADOVI UKUPNO:</t>
  </si>
  <si>
    <t xml:space="preserve">PARKETARSKI RADOVI </t>
  </si>
  <si>
    <r>
      <t>Svi radovi trebaju biti izvedeni prema specifikaciji proizvođača. U cijenu</t>
    </r>
    <r>
      <rPr>
        <b/>
        <sz val="10"/>
        <rFont val="Arial"/>
        <family val="2"/>
      </rPr>
      <t xml:space="preserve"> </t>
    </r>
    <r>
      <rPr>
        <sz val="10"/>
        <rFont val="Arial"/>
        <family val="2"/>
        <charset val="238"/>
      </rPr>
      <t>svake pojedine stavke uključen sav potreban materijal (ploče, čelični nosači, spojni elementi, vijci, držači, kit, trake za spojeve).
Svi uglovi trebaju biti zaštićeni odgovarajućim uglovnim profilima. Svi radovi trebaju biti izvedeni i u potpunosti pripremljeni za soboslikarske i keramičarske radove.
U cijenu uključeno i dobava i postava kamene vune za sve stavke gdje je navedena.</t>
    </r>
  </si>
  <si>
    <t>OBLOGE</t>
  </si>
  <si>
    <t>instalacijski elementi za WC školjke</t>
  </si>
  <si>
    <t>Zidna obloga od gipskartonskih ploča s predzidnom instalacijom izrađenom iz tipske čelične pocinčane potkonstrukcije CW i UW profila, ukupne debljine 17,5 mm (obzid ugradbenih vodokotlića u sanitarijama). Pregrada je jednostrano obložena dvostrukim vlagootpornim pločama deb. 2x12,5mm, visine 120 cm.</t>
  </si>
  <si>
    <t xml:space="preserve">Potkonstrukcija se montira po obodu otvora na okolne masivne građevne elemente s odgovarajućim tiplima i vijcima. U cijenu je uključena potkonstrukcija, ploče, gledanje, bandažiranje te toplinska izolacija od meke kamene vune, debljine 4 cm. </t>
  </si>
  <si>
    <t>GK obloga</t>
  </si>
  <si>
    <t>GIPSKARTONSKI RADOVI UKUPNO :</t>
  </si>
  <si>
    <t>REKAPITULACIJA GRAĐEVINSKO-OBRTNIČKI RADOVI</t>
  </si>
  <si>
    <t>komplet</t>
  </si>
  <si>
    <t>pocinčana spojna sredstva (okov)</t>
  </si>
  <si>
    <t>elastificirani ekspandirani polistiren (EePS)   2x1 cm;</t>
  </si>
  <si>
    <t>tvrde ploče od ekspandiranog polistirena (EPS) d=10 cm</t>
  </si>
  <si>
    <t>Jediničnom cijenom obračunati i traku EePS-a kojom su završna podna obloga i cementni estrih odvojeni od zida.</t>
  </si>
  <si>
    <t xml:space="preserve">Svi detalji pričvršćivanja i spojeva, izvode se prema uputstvima proizvođača, uključivo sa dobavom potrebnog spojnog materijala u cijeni stavke. Obračun po m².    </t>
  </si>
  <si>
    <t>elastificirani ekspandirani polistiren (EPS-T) u pločana (15 kg/m3) u dva sloja 2+1 cm;</t>
  </si>
  <si>
    <t>P1, P1', P2</t>
  </si>
  <si>
    <t xml:space="preserve">Dobava betona, ugradba u konstrukciju sa svim  pripremnim radovima, skele, oplata, zaštita betona od niskih i visokih temperatura, projekt betona, te ispitivanje uzoraka. Sva potrebna oplata (predviđena je glatka s bandažiranim spojevima), postava i skidanje sa svim potrebnim podupiranjima.
Svi potrebni popravci betoniranih elemenata nakon skidanja oplate kao i zapunjavanje otvora nastalih od elemenata oplate (vezači razupore, distanceri i td.) te uređenje betona na spojevima oplate. Jedinična cijena u betonskim radovima se odnosi na kompletan rad i materijal (beton s oplatom i umetcima XPS-a). Obračun radova za betonske i arm. betonske konstrukcije izvodi se prema važećim propisima i prosječnim normama u građevinarstvu, ako to nije troškovnikom drugačije predviđeno.
</t>
  </si>
  <si>
    <t>stropovi, grede, stubišni krakovi i međupodest</t>
  </si>
  <si>
    <t>04.</t>
  </si>
  <si>
    <t>Dobava, ravnanje, sječenje, savijanje, postava u oplatu i zalijevanje armature. U cijeni je obuhvaćen kompletan rad sa svim pomoćnim materijalom. Izvodi se: rebrasti čelik B500B-šipke i rebrasti čelik B500B-mreže.
Količine armature u kg su aproksimativne (100 kg/m3), točne količine odredit će se prema nacrtima savijanja armature iz izvedbenog projekta konstrukcije. Obračun po kilogramu.</t>
  </si>
  <si>
    <t>rebrasti čelik B500B-šipke</t>
  </si>
  <si>
    <t>rebrasti čelik B500B-mreže</t>
  </si>
  <si>
    <t>Odvoz viška materijala preostalog od iskopa. Odvozi se na gradsku planirku ili odobrenu deponiju. U cijenu uključen utovar, prijevoz, istovar i održavanje deponije, tj. sve naknade, kao i čiščenje prilaza gradilištu, privremena regulacija prometa i sl. Uključene sve takse deponije i drugi neposredno vezani troškovi. Obračun po m³ sraslog stanja.</t>
  </si>
  <si>
    <t>Dobava, transport i zatrpavanje  sipkim materijalom (šljunak) oko izvedenih temelja. Izvesti u slojevima od po 40 cm, s vlaženjem i strojnim zbijanjem do zbijenosti od 40 Mpa. Obračun po m³ u zbijenom stanju.</t>
  </si>
  <si>
    <t>drenažna cijev</t>
  </si>
  <si>
    <t>naboj šljunka</t>
  </si>
  <si>
    <t>geotekstil</t>
  </si>
  <si>
    <t>PE FOLIJE</t>
  </si>
  <si>
    <t>Projektantski ured:</t>
  </si>
  <si>
    <t>Studio Obris d.o.o.</t>
  </si>
  <si>
    <t>Stonska 1, 10000 Zagreb</t>
  </si>
  <si>
    <t>OIB: 81273222992</t>
  </si>
  <si>
    <t>Investitor:</t>
  </si>
  <si>
    <t>Građevina:</t>
  </si>
  <si>
    <t>Lokacija:</t>
  </si>
  <si>
    <t xml:space="preserve">Glavni projektant arhitekture: </t>
  </si>
  <si>
    <t>Lovorka Kaić Matešić, d.i.a., ovl. arh.</t>
  </si>
  <si>
    <t>Suradnik:</t>
  </si>
  <si>
    <t xml:space="preserve">Mirna Javorović Pehar, d.i.a.
</t>
  </si>
  <si>
    <t>Direktor:</t>
  </si>
  <si>
    <t>OPĆI UVJETI  IZGRADNJE</t>
  </si>
  <si>
    <t>Ovi opći uvjeti su sastavni dio troškovnika i u svemu ih se treba pridržavati, osim ako u stavci troškovnika  to nije drugačije navedeno. 
Sav ugrađeni materijal treba odgovarati uvjetima iz opisa troškovnika i nacrta te odgovarajućim Hrvatskim normama ili tehničkim uvjetima za izvođenje istih radova, a ukoliko se to posebno traži opisom i drugim propisima. 
Izvoditelj treba kvalitetu ugrađenih materijala i stručnosti radnika dokazati odgovarajućim atestima i uvjerenjima izdanim od strane za to ovlaštene organizacije. 
S obzirom na kompleksnost građevinskog zahvata obnove preporuča se da izvođač izvrši pregled lokacije prije davanja ponude, kako bi kod formiranja cijene obuhvatio sve potrebne radove i troškove na pripremnim radovima.</t>
  </si>
  <si>
    <t>Izvođenje radova mora biti usklađeno s načelom „ne čini značajnu štetu“ („do no significant harm“ - DNSH), odnosno ne smije imati značajnije negativne utjecaje na klimu, okoliš, prirodni ekosustav, vodu i ostale okolišne ciljeve u smislu Uredbe (EU) 2020/852 i izmjene Uredbe (EU) 2019/2088. Povezano s otpadom/kružnom ekonomijom: Od gospodarskih subjekata koji provode rušenje i izgradnju se zahtjeva mjera osiguranja da najmanje 70% (težinski) neopasnog građevinskog otpada i otpada od rušenja (isključujući prirodni materijal naveden u kategoriji 17 05 04 u Europska lista otpada uspostavljena Odlukom 2000/532/EZ) nastala na gradilištu budu pripremljena za ponovnu uporabu, recikliranje i oporabu drugog materijala, uključujući postupke zatrpavanja otpadom koji zamjenjuje druge materijale, u skladu s hijerarhijom otpada i EU Protokola o gospodarenju otpadom od gradnje i rušenja. U građevinsku dokumentaciju se ulažu dokaznice o nastalim količinama pojedine vrste otpada, na način da je iz istih razvidan obračun težine nastalog otpada koji je uključen u mjeru ponovne uporabe i recikliranja te njegova udjela u ukupnoj količini nastala otpada na gradilištu. Građevinski otpad koji je uključen u predmetnu mjeru se odvozi u odgovarajuće postrojenje za reciklažu, odnosno preradu u reciklirani materijal, a provedba mjere se dokazuje evidencijom o postupanju s otpadom ili očevidnikom o nastanku i tijeku otpada. Dokaznu dokumentaciju je potrebno čuvati na gradilištu te u jednom primjerku dostaviti Naručitelju. Naručitelj ima pravo provesti provjere pridržava li se gospodarski subjekt odredbi o izvršenju ugovora u skladu s EU načelima, u bilo kojem trenutku tijekom trajanja ugovora.</t>
  </si>
  <si>
    <t xml:space="preserve">Izvedba radova treba biti prema nacrtima, općim uvjetima i opisu radova, detaljima te važećim standardima i tehničkim uvjetima za odgovarajuću vrstu radova i obračunata u skladu s važećim građevinskim normama. Ukoliko građevinske norme ne postoje za istu vrstu radova, treba se služiti tehničkim uvjetima za izvođenje odgovarajućih radova. Eventualna odstupanja treba prethodno dogovoriti s nadzornim inženjerom i projektantom za svaki pojedini slučaj. U slučaju nesuglasica između građevinskih normi i tehničkih uvjeta, važeći su uvjeti obračuna i rada iz građevinskih normi. </t>
  </si>
  <si>
    <t>Prije početka radova izvođač treba kontrolirati na gradilištu sve mjere potrebne za njegov rad te pregledati sve podloge prema kojima će izvoditi radove. Naročitu pažnju kod toga treba posvetiti usuglašavanju građevinskih i instalaterskih nacrta. Ako ustanovi neke razlike u mjerama, nedostatke ili pogreške u podlogama, dužan je pravovremeno obavijestiti nadzornog inženjera i projektanta te zatražiti rješenja. Sve eventualne nejasnoće treba izvođač riješiti sa projektantom prije davanja ponude, jer se naknadni zahtjevi neće uvažiti. Prije izvođenja radova treba provjeriti kvalitetu materijala koji se ugrađuje, od strane projektanta ili nadzornog inženjera i izvesti radove u skladu s detaljima izvedbe i opisom iz troškovnika.</t>
  </si>
  <si>
    <t xml:space="preserve">Izvoditelj radova će na gradilištu voditi propisani dnevnik građenja u koji se unose svi podaci i događaji tijekom građenja, upisuju primjedbe projektanta, predstavnika investitora, nadzornog inženjera i pomoćnika nadzornog inženjera te inspekcije. Uz dnevnik građenja izvoditelj mora voditi građevinsku knjigu u dva primjerka, u koju će se prema ugovorenim stavcima unositi podaci za obračun. Građevinska knjiga dostavlja se kompjuterski obrađena u excel formatu, na papiru i CD-u u formi koja će prethodno biti usuglašena sa nadzorom. Prilog građevinske knjige su obračunski nacrti u boji. Prihvatiti će se i kontrolirati samo građevinska knjiga koja je dostavljena u traženoj formi, sa svim potrebnim prilozima te je jednoznačna u pogledu dokaza izvedenih količina. </t>
  </si>
  <si>
    <t>Po završetku radova kvalitetu izvedenih radova treba izvoditelj ustanoviti zapisnički sa nadzornim inženjerom. Ukoliko se ustanovi da su radovi izvedeni nekvalitetno, izvoditelj je dužan iste ponovo izvesti u traženoj kvaliteti ili iste naručiti kod drugog izvoditelja, a sve u najkraćem dogovorenom roku i na svoj trošak. 
Količine radova koje nakon dovršenja cjelokupnog posla nije moguće provjeriti neposredno izmjerom, treba  po izvršenju pojedinog takovog rada preuzeti od izvođača  nadzorni inženjer, uz dostavu dokaznog materijala i fotodokumentacije. Svi radovi koji bi se izveli protivno opisanom postupku neće biti uzeti u obzir prilikom obračuna od strane nadzora i naručitelja.</t>
  </si>
  <si>
    <t>Ovlašteni predstavnik izvođača radova unosit će u građ. knjigu količine izvedenih radova sa svim potrebnim skicama i izmjerama uz dogovor i kontrolu istih od strane nadzornog inženjera te će svojim potpisima jamčiti za njihovu točnost. Samo tako utvrđeni radovi mogu se uzeti u obzir kod izrade privremenog ili konačnog obračuna radova.</t>
  </si>
  <si>
    <t xml:space="preserve">Osim navedenih općih uvjeta, za određene grupe radova vrijede posebne opće napomene kojih se zajedno sa ovim općim uvjetima treba pridržavati.
Eventualne promjene u detaljima ili materijalu treba izvođač dogovoriti sa projektantom ili nadležnim nadzornim inženjerom. Zabranjena je upotreba materijala - osnovnog ili pomoćnog, koji nije predviđen opisom, nacrtima i detaljima, osim ukoliko to nije dogovorno utvrđeno sa projektantom ili nadzornim inženjerom. </t>
  </si>
  <si>
    <t xml:space="preserve">Ukoliko izvođač ipak izvede radove na neodgovarajući način i od neodgovarajućih materijala, dužan je na svoj trošak izvesti iste od materijala tražene kvalitete i na opisan način, uz prethodno otklanjanje nekvalitetnih radova. </t>
  </si>
  <si>
    <t>Ukoliko prije početka izvođenja radova izvođač ustanovi da je došlo do promjene uvjeta za izvođenje radova, dužan je o tome upozoriti nadzornog inženjera i dogovorno riješiti i zapisnički ustanoviti kvalitetu izvođenja radova. 
Tolerancije mjera izvedenih radova određene su uzancama zanata, odnosno prema odluci projektanta i nadzorne službe. Sva odstupanja od dogovore¬nih tolerantnih mjera dužan je izvođač otkloniti o svom trošku. To vrijedi za sve vrste radova, kao što su građevinski, obrtnički i instalaterski, montažerski, opremanje i ostali radovi.</t>
  </si>
  <si>
    <t xml:space="preserve">Za eventualne promjene pojedinih projektnih rješenja zbog ekonomičnosti izvedbe, izvođač je dužan na svoj prijedlog o svom trošku izraditi kompletnu izvedbenu dokumentaciju promijenjenog dijela i dati na odobrenje nadzornom inženjeru i projektantu. Pod kompletnom izradom dokumentacije smatra se osim građevinskih nacrta i projekti instalacija i opreme sa svim pripadajućim troškovnicima i proračunima onog dijela koji se mijenja. </t>
  </si>
  <si>
    <t>Jedinične cijene trebaju uključivati:</t>
  </si>
  <si>
    <t xml:space="preserve">Zbog toga je potrebno da izvođač ugovara radove s obrtnicima u smislu ovih općih uvjeta i da na ime svojih manipulativnih troškova dodaje na obrtničke radove određeni postotak.
Pri radu treba obavezno primjenjivati sve potrebne mjere zaštite na radu, naročito zaštite od požara. Ukoliko nadzorni inženjer uoči da se ovih pravila izvoditelj doslovce ne pridržava, može mu se zabraniti daljnji rad dok ga ne organizira u skladu s pravilima. 
Prilikom izvođenja radova, izvoditelj treba zaštititi sve susjedne plohe, dijelove konstrukcije i prethodno izvedene radove na prikladan način te u skladu sa pravilima zaštite na radu, tako da ne dođe do oštećenja gore navedenoga. Troškove zaštite treba izvoditelj uračunati u jediničnu cijenu. </t>
  </si>
  <si>
    <t xml:space="preserve">Ukoliko ipak dođe do oštećenja prethodno izvedenih radova za koje je odgovoran izvoditelj ili njegov kooperant, dužan je iste o svom trošku dovesti u stanje prije oštećenja ili naručiti iste radove kod drugog izvoditelja na svoj teret. Popravak treba izvesti u primarno određenom roku ili dogovorno. </t>
  </si>
  <si>
    <t xml:space="preserve">Po završetku izvedenih radova, ali i u toku radova ukoliko je nužno zbog usklađivanja s drugim izvoditeljima, izvoditelj je dužan počistiti radni prostor i susjedne prostore, plohe i prethodno izvedene radove koje je svojim radom zaprljao, ili iste radove dogovoriti sa drugim izvoditeljem, a sve na svoj trošak. 
Izvoditelj je također dužan ukloniti sve zaštitne i pomoćne konstrukcije u roku koji je predviđen za izvođenje radova i na svoj trošak. </t>
  </si>
  <si>
    <t>NORME</t>
  </si>
  <si>
    <t>Sve navedene norme u ovom troškovniku su prijedlog projektantskog tima u odnosu na zahtjeve svakog specifičnog proizvoda, materijala ili rada, te je moguće prilikom davanja ponude navesti i jednakovrijednu normu u svakom pojedinačnom slučaju. Ova napomena odnosi se na sve opće uvjete i stavke u ovom troškovniku građevinsko-obrtničko-instalaterskih radova.</t>
  </si>
  <si>
    <t>1.  GRAĐEVINSKI RADOVI</t>
  </si>
  <si>
    <t>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t>
  </si>
  <si>
    <t>Izvođač i njegovi kooperanti dužni su svaki dio investiciono tehničke dokumentacije pregledati te dati primjedbe na eventualne tehničke  probleme koji bi mogli prouzročiti slabiji kvalitet, postojanost ugrađenih elemenata ili druge štete. U protivnom biti će dužan ovakve štete sanirati o svom trošku. Naročitu pažnju kod toga treba posvetiti usaglašavanju građevinskih i instalaterskih nacrta. Ako ustanovi neke razlike u mjerama, nedostatke ili pogreške u podlogama, dužan je pravovremeno obavijestiti nadzornog inženjera i odgovornog projektanta te zatražiti rješenja.</t>
  </si>
  <si>
    <t>UREÐENJE GRADILIŠTA</t>
  </si>
  <si>
    <t xml:space="preserve">Uređenje gradilišta dužan je izvođač izvesti prema shemi organizacije gradilišta koju je obavezan dostaviti uz ponudu. </t>
  </si>
  <si>
    <t>Izvođač je dužan po završetku radova gradilište kompletno očistiti, skinuti i odvesti sve nasipe, betonske podloge, temelje strojeva, radnih i pomoćnih prostorija i drugo do zdrave zemlje da se može pristupiti hortikulturnom uređenju.</t>
  </si>
  <si>
    <t>MATERIJAL</t>
  </si>
  <si>
    <t>Pod tim nazivom se podrazumjeva samo cijena materijala tj. dobavna cijena i to kako glavnog materijala, tako i pomoćnog, veznog i slično. U tu cijenu uključena je i cijena transportnih troškova bez obzira na prijevozno sredstvo sa svim prijenosima, utovarima i istovarima, te uskladištenje i čuvanje na gradilištu od uništenja (prebacivanje, zaštita i slično). Tu je uključeno i davanje potrebnih uzoraka kod izvjesnih vrsta materijala.</t>
  </si>
  <si>
    <t>RAD</t>
  </si>
  <si>
    <t xml:space="preserve">U kalkulaciji rada treba uključiti sav rad, kako glavni, tako i pomoćni, te sav unutarnji transport. Ujedno treba uključiti sav rad oko zaštite gotovih konstrukcija i dijelova objekta od štetnog utjecaja vrućine, hladnoće i slično. </t>
  </si>
  <si>
    <t xml:space="preserve">Sve lake, pokretne, pomoćne  skele,  bez obzira na visinu, ulaze u jediničnu cijenu dotičnog rada, osim fasadne skele za obradu fasade, te zaštitna skela potoka, koje se obračunavaju kao posebne stavke. Skela mora biti na vrijeme postavljena kako ne bi nastao zastoj u radu. Pod pojmom skela podrazumijeva se i prilaz istoj, te ograda. Kod zemljanih radova u jediničnu cijenu ulaze razupore, te mostovi za prebacivanje iskopa većih dubina. Ujedno su tu uključeni i prilazi, te mostovi za betoniranje konstrukcije i slično. </t>
  </si>
  <si>
    <t>FASADNE SKELE</t>
  </si>
  <si>
    <t>Materijal za izradu skela mora biti potpuno ispravan. Odgovorna osoba dužna je izvršiti pregled materijala prije ugradbe. Skele moraju biti izvedene po mjerama i na način označen u statičkom računu i crtežima za skele.  
Skele moraju biti izvedene tako da se mogu skinuti lako, bez potresa i oštećenja konstrukcije koju podupiru ili uz koju su izvedene.
Odgovorna osoba dužna je prije upotrebe, jednom mjesečno u toku upotrebe i nakon dužeg prekida rada izvršiti pregled skele.
Izvedba lakih pokretnih skela do 2 m2 uključena je u standardnoj izvedbi ostalih građevinskih radova i ne obračunavaju se posebno. 
Pod nosivim skelama podrazumjevaju se skele izrađene sa svrhom da podnesu opterećenja oplate kod betonskih i armirano-betonskih radova, zidanih svodova i sličnih konstrukcija ili radi pridržavanja teških elemenata kod montaže i slično.</t>
  </si>
  <si>
    <t>Opis rada</t>
  </si>
  <si>
    <t>Izrada skela prema opisu i pojedinim stavkama s izradom radnih podova, zaštitnih ograda (ako u pojedinim stavkama nije drugačije određeno), sidrenjem, podupiranjem i ukrućenjem skele.
Prijenos svega potrebnog materijala (drvene građe, željeznih bešavnih cijevi, spojnih sredstava) od deponija do mjesta izrade skele, skidanje skele sa spuštanjem materijala. Čišćenje materijala, vađenje čavala, prijenos na deponiju i sortiranje.
Izvedba svih pripremnih i pomoćnih radova na izradi skele kao: primjena odredaba važećih propisa zaštite na radu, uzimanje mjera na gradilištu, pregled prije ugradbe.</t>
  </si>
  <si>
    <t>Način obračuna</t>
  </si>
  <si>
    <t>Lake pokretne, lake nepokretne i konzolne skele obračunavaju se po m2 horizontalne projekcije skele.
Prilaz na skele (trepne) obračunava se po m2 mjereno po visini. Zaštitne oplate na skelama obračunavaju se po m2  razvijene površine oplate. Fasadne skele obračunavaju se po m2 vertikalne projekcije skele mjereno po vanjskom rubu i 1 m2 nad najvišom površinom.
Nosive skele obračunavaju se po m3 zapremnine skele, mjereno po vanjskim konturama skele.
Zaštitne ograde računaju se po m2 ograde.</t>
  </si>
  <si>
    <t>OPLATA</t>
  </si>
  <si>
    <t xml:space="preserve">Kod izrade oplate predviđeno je podupiranje, uklještenje, te postava i skidanje iste. U cijenu ulazi kvašenje oplate prije betoniranja, kao i mazanje limenih kalupa. Po završetku betoniranja, sva se oplata nakon određenog vremena mora očistiti i sortirati. </t>
  </si>
  <si>
    <t>IZMJERE</t>
  </si>
  <si>
    <t>Ukoliko nije u pojedinoj stavci iskazan način obračuna radova, treba se u svemu pridržavati prosječnih normi u građevinarstvu.</t>
  </si>
  <si>
    <t>ZIMSKI I LJETNI RAD</t>
  </si>
  <si>
    <t xml:space="preserve">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jedinični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normi 6,006 ali u tom slučaju izvođač snosi punu odgovornost za ispravnost i kvalitetu rada. To isto vrijedi i za zaštitu radova tokom ljeta od prebrzog sušenja uslijed visoke temperature. </t>
  </si>
  <si>
    <t>OPĆI UVJETI</t>
  </si>
  <si>
    <t>Prije početka zemljanih radova potrebno je iskolčiti gabarite objekta, te po potrebi postaviti druge potrebne oznake, označiti stalne visine, te snimiti postojeći teren radi obračuna količine iskopa. Izvođenje radova na gradilištu započeti tek kada je ono uređeno prema odredbama Pravilnika o zaštiti na radu u građevinarstvu.</t>
  </si>
  <si>
    <t>Sav iskop se mora izvesti točno prema nacrtima, s potpuno vertikalnim stranama, te vodoravnim dnom, ukoliko u nacrtima nije drugačije predviđeno. Predviđenu kategoriju tla u troškovniku treba provjeriti na licu mjesta uz prisustvo geomehaničara, te ukoliko ne odgovara ustanoviti ispravnu i to unijeti u građevinski dnevnik, a što obostrano potpisuju nadzorni inženjer i voditelj građenja. Završen iskop temeljne jame i rovova pregleda i preuzima unaprijed određena komisija (geomehaničar) prije početka izvođenja temelja, što se posebno ne obračunava, a podaci o pregledu unose se u građevinski dnevnik.</t>
  </si>
  <si>
    <t xml:space="preserve">Dimenzija iskopa građevne jame mjerodavna za obračun radova iskopa, nasipa i tampona definirana je kako slijedi:
- visinski mjerodavne točke za obračun iskopa, nasipa i tampona su isključivo postojeće kote terena, projektirane dubine iskopa, projektirane visine nasipa i tampona, kao maksimalno mogući visinski parametri priznati za obračun radova. Veće količine iskopa, nasipa i tampona od navedenih neće biti priznate. Ako budu izvedene manje količine, iste će biti mjerodavne za obračun.
-obračun količine iskopa, nasipa i tampona računa se horizontalno u dnu građevne jame do linije udaljene maksimalno 60 cm mjereno od vanjske površine podzemnog dijela građevine, po cijeloj visini iskopa, bez obzira na stvarno izveden pokos. Veće količine iskopa, nasipa i tampona od navedenih neće biti priznate. </t>
  </si>
  <si>
    <t>U jediničnim cijenama uključen je sav rad oko iskopa (ručnog ili mehaničkog) i to do bilo koje potrebne dubine, sa svim potrebnim pomoćnim radovima, kao što je niveliranje i planiranje, nabijanje površine, obrubljivanje stranica, osiguranje od urušavanja, postava potrebne ograde, crpljenje i odstranjivanje oborinske ili procjedne vode. U slučaju pojave veće količine podzemne vode izvođač je dužan obavijestiti nadzornog inženjera radi poduzimanja odgovarajućih mjera.</t>
  </si>
  <si>
    <t>Ako se prilikom iskopa naiđe na zemlju drugog sastava nego što je ispitivanjem terena utvrđeno, izvođač je dužan obavijestiti nadzornog inženjera i projektanta, radi poduzimanja potrebnih mjera, a postojeći sastav upisati u građ. dnevnik.</t>
  </si>
  <si>
    <t>Obračun iskopanog materijala izvršiti po m³ u sraslom stanju, s tim što količine iskopa moraju biti jednake zbroju količine ugradbe i odvoza materijala. Faktor rastresitosti uključiti u jediničnu cijenu, jer se isti količinski neće obračunavati. Po završetku gradnje ukloniti sve nepotrebno sa gradilišta. Ovo uključiti u faktor u okviru režije gradilišta, te se ne  plaća posebno. Preostali iskopani materijal utovaruje se i odvozi, a izvođačje dužan sam zbrinuti i deponirati građevinski otpad o svom trošku. Prevezeni materijal računa se u sraslom stanju, tj. postotak za rastresitost ukalkulirati u cijeni.
Prije početka radova treba odrediti točno mjesto deponije, odnosno daljinu prijevoza, jer se naknadno povećanje cijene na račun prijevoza ili troškova kod odlaganja na deponiju, neće priznati.</t>
  </si>
  <si>
    <t>Ukoliko dođe do zatrpavanja, urušavanja, odrona ili bilo koje druge štete nepažnjom izvođača (radi nedovoljnog podupiranja, razupiranja ili drugog nedovoljnog osiguranja), izvođač je dužan dovesti iskop u ispravno stanje odnosno popraviti štetu bez posebne odštete.
Ukoliko na terenu ima grmlja, panjeva i sl. izvođač je dužan odstraniti ih, bez obzira da li je to troškovnikom predviđeno. Ovaj rad obračunat će se na temelju odgovarajućih pozicija građevinskih normi, prema posebnoj analizi potvrđenoj od nadzornog inženjera. Isto vrijedi i za zaštićivanje stabala na parceli.</t>
  </si>
  <si>
    <t>Jedinična cijena pojedine stavke mora sadržavati: sav rad na iskopu, sva nalijeganja temelja i nanosne skele, razupiranja i podupiranja, osiguranja iskopa, sva potrebna planiranja, sve vertikalne i horizontalne transporte, sva deponiranja i prebacivanja materijala, sve skele, ograde, zaštite prolaza i građevinske jame u skladu s pravilima zaštite na radu, sva moguća otežanja rada, održavanje čistoće na vanjskim putevima kroz koje prolazi transport s i na gradilište, mjesto za pranje vozila unutar gradilišta, sva osiguranja gradilišta i objekta, sve mjere zaštite na radu.</t>
  </si>
  <si>
    <t>Ovaj troškovnik ne uključuje zemljane radove vezane uz izvođenje instalacija.</t>
  </si>
  <si>
    <t>Ovlašteni mjernik naručitelja izvršit će pismenu primopredaju geodetske mreže ovlaštenom mjerniku izvoditelja građevinskih radova – glavnom izvođaču radova. Izvoditelj građevinskih radova je dužan izvršiti kontrolu, oznaku i zaštitu predmetnih točaka, te ju održavati i kontrolirati tijekom cijele izvedbe radova, a u slučaju oštećenja dužan je izvršiti sa ovlaštenim mjernikom naručitelja kontrolu i obnovu točaka o svom trošku.</t>
  </si>
  <si>
    <t>Prije početka radova geodetski snimiti teren i postaviti veznu točku na rubu parcele. Ukoliko ne postoji u blizini nikakova čvrsta podloga u koju se može ukopati metalni trn za oznaku mjerne točke , potrebno je  ugraditi bet. prizmu  20/20/60 cm koja bi virila iz okolnog terena 10 cm i na kojoj bi se postavila oznaka. Visina vezne točke mora imati sračunatu apsolutnu kotu sa preračunom konstante do rel. visine ±0.00 ( aspolutna kota 374,70 mnm ).</t>
  </si>
  <si>
    <t>Točku obavezno zaštititi drvenom ogradom od dasaka kako bi bila uočljiva , da je se nebi oštetilo. Navedena točka biti će reper za cijelo gradilište i geodetska opažanja treba uvijek obavljati od nje na dalje. Svi podaci o veznoj točki moraju se dati voditelju građenja u vidu zapisnika sa skicom položaja i visine točke. Sve ove radove usaglasiti sa mjernikom naručitelja.</t>
  </si>
  <si>
    <t>Ovlašteni mjernik naručitalje izvršiti će iskolčenje objekta na parceli, izraditi će elaborat iskolčenja, te izvršiti pismenu primopredaju iskolčenja izvoditelju građevinskih radova.</t>
  </si>
  <si>
    <t>Izrada nanosne skele, prenošenje točaka iskolčenja na nanosnu skelu, osiguranje točka, održavanje i eventualna obnova istih obveza je izvoditelja, te su predmetni troškovi sadržani u jediničnim cijenama i neće biti iskazani kao posebne stavke.</t>
  </si>
  <si>
    <t>Dio zemljanog materijala iz iskopa pohraniti u zoni gradilišta na pogodnoj poziciji, gdje neće smetati izvođenju radova, pa po završetku izrade temelja može poslužiti za djelomično poravnanje terena, samo u zoni hortikulture. Prekomjerno pohranjeni materijal biti će odvezen sa gradilišta na deponiju, što je sadržano u stavki iskopa i odvoza te se neće posebno naplaćivati. Nasipavanje oko objekta u zoni iskopa oko objekta predviđeno je sa šljunkom.</t>
  </si>
  <si>
    <t>Planiranje dna širokog iskopa i iskopa za temelje izvesti sa točnošću od ±2 cm te isto dokazati geodetskom izmjerom po ovlaštenom mjerniku, što je uključeno u jediničnu cijenu. 
Primanje iskopa vrši se u prisustvu nadzornog inženjera i nadzora geomehaničkih radova. Iskop do određene dubine provjeravati kontrolnim geodetskim opažanjem bez čega se neće moći dokazati projektom zadane dubine iskopa, koje služe kao i dokaz za naplatu. Bezrazložno produbljenje projektom predviđenih kota, koja nisu pismeno odobrena od strane nadzora i naručitelja, neće se priznati, te su trošak izvoditelja.					
Eventualno potrebni dodatni iskopi ili radovi platit će se prema stvarnim količinama kao dodatni ili vantroškovnički radovi, prema ugovorenim jediničnim cijenama.</t>
  </si>
  <si>
    <t>Eventualno crpljenje vode iz iskopa u slučaju jačih oborina ili visokih podzemnih voda riješiti muljnim crpkama, što se podrazumijeva da je obuhvaćeno u jediničnim cijenama zemljanih radova .</t>
  </si>
  <si>
    <t>Modul zbijenosti nosive podloge ispod temelja kao i unutar temelja objekta izvesti prema uputi geomehaničara i statičara. Kod zatrpavanja nakon izvedbe temelja, postave i zaštite horizontalne kanalizacije, materijal je potrebno nabijati kako bi se dobila potrebna zbijenost. Nabijanje izvesti u slojevima do najviše 30 cm s vibro-nabijačima ili žabama. Kontrola kvalitete za izradu nasipa, tekuća i kontrolna ispitivanja vrše se prema slijedećim standardima:</t>
  </si>
  <si>
    <t>HRN.  U.B1.010. -Uzimanje uzoraka</t>
  </si>
  <si>
    <t>HRN.  U.B1.012. -Određivanje vlažnosti tla</t>
  </si>
  <si>
    <t>HRN.  U.B1.014. -Određvanje specifične težine tla</t>
  </si>
  <si>
    <t>HRN.  U.B1.016. -Određivanje zapr. težine tla</t>
  </si>
  <si>
    <t>HRN.  U.B1.018. -Određivanje granulometrijskog sastava</t>
  </si>
  <si>
    <t>HRN.  U.B1.020. -Određ. granice tečenja i valjanja</t>
  </si>
  <si>
    <t>HRN.  U.B1.024. -Određ. sadržaja sagorivih i organskih materija tla</t>
  </si>
  <si>
    <t>HRN.  U.B1.038. -Određivanje optimalnog sadržaja vode</t>
  </si>
  <si>
    <t>HRN.  U.B1.046. -Određivanje modula stišnjivosti metodom kružne ploče</t>
  </si>
  <si>
    <t>HRN.  B.B3.050. -Kamen i kameni materijal</t>
  </si>
  <si>
    <t>OPĆI UVJETI:</t>
  </si>
  <si>
    <t>Kod izvedbe betonskih i armirano betonskih radova treba se u svemu pridržavati postojećih propisa i standarda, te statičkog računa. Prije početka izvedbe betonskih radova treba pregledati i zapisnički konstatirati podatke o agregatu, cementu i vodi, odnosno o faktorima koji će utjecati na kvalitetu radova i ugrađenog betona.
Prije početka radova izvoditelj je dužan izraditi projekt betona, te redovito pratiti kvalitetu betonskih konstrukcija u skladu sa elementima iz projekta betona.</t>
  </si>
  <si>
    <t>Za armirano betonske konstrukcije primjenjivat će se:</t>
  </si>
  <si>
    <t xml:space="preserve">HRN EN 206-1, HRN EN 206-1/A1:2004, HRN EN 206-1/A2, HRN EN 12350-1, HRN EN 12350-2, HRN EN 12350-3, HRN EN 12350-4, HRN EN 12350-5, HRN EN 12350-6, HRN EN 12350-7, prCEN/TS 12390-9, HRN EN 12504-1 </t>
  </si>
  <si>
    <t>NORME ZA CEMENT:</t>
  </si>
  <si>
    <t xml:space="preserve">HRN EN 197-1:2003, HRN EN 197-2:2004, HRN EN 196-1, HRN EN 196-2, HRN EN 196-3, HRN EN 196-6, HRN EN 196-7 </t>
  </si>
  <si>
    <t>NORME ZA VODU:</t>
  </si>
  <si>
    <t>HRN EN 1008:2002, HRN ISO 4316, HRN ISO 7890-1, HRN ISO 7887,HRN ISO 6878,</t>
  </si>
  <si>
    <t xml:space="preserve">HRN ISO 9280, HRN ISO 9297, HRN ISO 9964-1, HRN ISO 9964-2, HRN 10530 </t>
  </si>
  <si>
    <t>NORME ZA ČELIK ZA ARMIRANJE:</t>
  </si>
  <si>
    <t xml:space="preserve">nHRN EN 10080-1, nHRN EN 10080-2, HRN EN 10020, HRN EN 10027-1, HRN EN 10027-2, </t>
  </si>
  <si>
    <t xml:space="preserve">HRN EN ISO 15630-1 </t>
  </si>
  <si>
    <t>NORME ZA AGREGAT:</t>
  </si>
  <si>
    <t>HRN EN 932-1, HRN EN 932-2, HRN EN 932-3, HRN EN 932-3/A1, HRN EN 933-1, HRN EN 933-2, HRN EN 933-3, HRN EN 933-3/A1, HRN EN 933-4, HRN EN 933-5, HRN EN 1097-1/A1,</t>
  </si>
  <si>
    <t xml:space="preserve">HRN EN 1097-1, HRN EN 1097-3, HRN EN 1097-5, HRN EN 1097-6, HRN EN 1097-6/AC, </t>
  </si>
  <si>
    <t xml:space="preserve">HRN EN 1367-1, HRN EN 1367-4, HRN EN 12504-2, HRN EN 12504-3, HRN EN 12504-4, prEN13791:2003  </t>
  </si>
  <si>
    <t xml:space="preserve">Prilikom isporuke cementa isporučitelj je dužan dostaviti i ateste. Čvrstoća betona određuje se markom betona. Beton spravljati isključivo strojnim putem. Za izradu betona upotrijebiti istu vrstu cementa i granulirani agregat. </t>
  </si>
  <si>
    <t>Armirano betonski  elementi moraju imati potpuno ravne i glatke površine i izvode se u pravilu u glatkoj oplati. Oplata mora biti izvedena prema važećem tehničkom propisu u skladu sa obaveznim hrvatskim normama. Pod glatkom oplatom podrazumijeva se oplata s glatkim pločama ili daskama sa stisnutim sljubnicama. Površina betona mora imati jednoliku strukturu i boju. Izvođač je dužan bez posebne naknade, nakon skidanja oplate, očistiti površinu betona od eventualnih curki, ostataka premaza oplate i sl.</t>
  </si>
  <si>
    <t>Ugradbu betona treba izvesti pažljivo, uz prethodno polijevanje oplate. U pravilu, kod ugradbe, beton se sabija vibratorom, odnosno pervibratorom, ovisno o konstrukciji. Vibriranje vršiti do te mjere da ne dođe do segregacije betona. 
Ako je temperatura visoka prije betonaže obavezno politi podlogu, odnosno tlo ili oplatu, kako ne bi došlo do upijanja vode iz betona. Sa ugradnjom betona može se početi kada je oplata i armatura definitivno postavljena i učvršćena te podloga u potpunosti očišćena od svih nečistoća, žica, lišća, čikova, itd.
Posebnu pažnju obratiti na neophodnu njegu betona i zaštitu betonske površine od atmosferskih utjecaja (toplina, hladnoća, kiša, mraz, snijeg), kako ne bi došlo do pukotina i oštećenja.</t>
  </si>
  <si>
    <t>Izvođač je dužan tokom gradnje uzimati probne betonske kocke od svake karakteristične konstrukcije. Sve troškove oko redovnog ili izvanrednog ispitivanja kvalitete betona snosi izvođač. Tehnologiju izvedbe te eventualno prekida izvesti po uputi konstruktera. Obrada gornjih površina betona treba biti ravno zaribana, osim gdje se u stavci traži drugačija obrada. Sve visine pri izradi oplate davati, a poslije betoniranja kontrolirati instrumentom.
Arm. betonski montažni elementi moraju imati potpuno ravne i glatke površine i izvode se u pravilu u glatkoj ili limenoj oplati. Svu dokumentaciju za montažne elemente koju izrađuje izvođač, dužan je dati na odobrenje projektantu i nadzornom inženjeru.</t>
  </si>
  <si>
    <t>Za premazivanje oplate prije betoniranja predvidjeti premaze koji se mogu obrisati sa gotove betonske površine – dužan ih je obrisati izvoditelj, tj. premaze koji se sami razgrađuju. Oplata ploha betona koji se ne žbuka, ne smije se vezati kroz beton limom ili žicom.
Sve betone predvidjeti granulacije 0-32, osim u iznimnim slučajevima ako to gustoća armature zahtjeva beton granulacije 0-16.
Prilikom ugradbe kod nepovoljnih uvjeta (kiša) treba spriječiti segregaciju betona i ispiranje cementa iz smjese, naročito kod prekida betoniranja, odgovarajućim zaštitnim mjerama (pokrivanje i sl.).</t>
  </si>
  <si>
    <t>Ako u stavci nije posebno opisano, podrazumijeva se obična dvostrana oplata, a pod glatkom oplatom podrazumijeva se oplata od vodootporne šperploče.</t>
  </si>
  <si>
    <t xml:space="preserve">Cijevi i kutije elektroinstalacija postavljaju se na oplatu prije betoniranja, kanalizacione cijevi u podu zalijevaju se betonom prilikom betoniranja podne ploče, a za cijevi vodovoda i kan. u arm. bet. zidovima ostavljaju se utori koji se poslije montaže popunjavaju mortom. U cijenu stavke uključene sve zaštite instalacija te pridržavanje instalacija prilikom betoniranja. Beton na spojevima svih ploča oplate mora biti lako uklonjiv nakon skidanja oplate. Naknadna izravnanja zbog neprecizno postavljene oplate izvesti će izvođač o svom trošku. </t>
  </si>
  <si>
    <t>Obračun radova za betonske i arm. betonske konstrukcije izvodi se prema važećim propisima i prosječnim normama u građevinarstvu, ako to nije troškovnikom drugačije predviđeno.</t>
  </si>
  <si>
    <t>ARMATURA:</t>
  </si>
  <si>
    <t>U cijeni armature podrazumijeva se dobava, doprema, čišćenje od rđe, rezanje, savijanje i montaža. Prilikom isporuke betonskog čelika isporučitelj je dužan dostaviti ateste koji garantiraju: vlačnu čvrstoću i varivost čelika.
Obračun ugrađene armature vrši se po kg bez obzira na profil.</t>
  </si>
  <si>
    <t>Za armiračke radove primjenjuju se:</t>
  </si>
  <si>
    <t>OPLATA:</t>
  </si>
  <si>
    <t xml:space="preserve">Oplate moraju biti stabilne, otporne i dovoljno poduprte da se ne bi izvile ili popustile u bilo kojem pravcu. Moraju biti izrađene točno po mjerama označenim u crtežima plana oplate za pojedine dijelove konstrukcije koji će se betonirati sa svim potrebnim podupiračima.
Unutarnje površine oplate moraju biti ravne i potpuno glatke bilo da su horizontalne, vertikalne ili nagnute, prema tome kako je to u crtežima planova oplate predviđeno. Raspored oplatnih ploča mora biti pravilan, izrađen od oplatnih ploča jednake veličine, bez ubacivanja  manjih komada. Nastavci oplate  ne smiju izlaziti iz ravnine, tako da nakon njihovog skidanja vidljive površine betona budu ravne i s oštrim rubovima.
Oplate, kao i razna razupiranja, moraju imati takvu sigurnost i krutost da bez slijegavanja i štetnih deformacija mogu primiti opterećenja i utjecaje koji nastaju za vrijeme izvedbe radova. </t>
  </si>
  <si>
    <t xml:space="preserve">Oplate moraju biti tako izvedene da se mogu skidati lako i bez potreba i oštećenja konstrukcija, sa svim njenim elementima, kao i slaganje i sortiranje građe na određenim mjestima. Također je uključeno i čišćenje dasaka, gredica, potpora i drugog, vađenje čavala, sjećenje vezne žice, vađenje klanfi i zavrtnja, kao i čišćenje tih elemenata od eventualnih ostataka stvrdnutog betona. </t>
  </si>
  <si>
    <t xml:space="preserve">Građevni proizvodi proizvode se u proizvodnim pogonima (tvornicama) izvan gradilišta, izuzev morta, betona, armature i predgotovljenog ziđa koji mogu biti izrađeni na gradilištu za potrebe toga gradilišta. Pod gradilištem se, podrazumijeva i proizvodni pogon u kojem se mort, beton, armatura i predgotovljeno ziđe, primjenom odgovarajuće tehnologije građenja, proizvode ili izrađuju za potrebe određenog gradilišta a u skladu s projektom zidane konstrukcije te po posebnoj narudžbi investitora odnosno izvođača radova. </t>
  </si>
  <si>
    <t xml:space="preserve">Građevni proizvod proizveden u proizvodnom pogonu (tvornici) izvan gradilišta smije se ugraditi u zidanu konstrukciju ako ispunjava propisane zahtjeve i ako je za njega izdana isprava o sukladnosti. Mort, beton, armatura i predgotovljeno ziđe izrađeni na gradilištu za potrebe toga gradilišta, smiju se ugraditi u zidanu konstrukciju ako je za njih dokazana uporabljivost u skladu s projektom zidane konstrukcije i Tehničkim propisom. </t>
  </si>
  <si>
    <t>Norme za zidarske radove :</t>
  </si>
  <si>
    <t xml:space="preserve">Za ziđe:HRN-ENV 1996-1-1:2007, HRN-ENV 1996-1-2:2007, HRN-ENV 1996-1-3:2007, HRN EN 1745:2003, HRN EN 13501-1:2002	</t>
  </si>
  <si>
    <t>Za zidne elemente :HRN EN 771-1:2005, HRN EN 771-2:2005, HRN EN 771-3:2005, HRN EN 771-4:2005, HRN EN 771-4/A1:2005, HRN EN 771-5:2005, HRN EN 771-6:2005, HRN EN 12859:2002</t>
  </si>
  <si>
    <t>Za mort. :HRN EN 998-2:2003, HRN CEN/TR 15225:2006, HRN EN 13501-1:2002</t>
  </si>
  <si>
    <t>Za veziva: HRN EN 459-1:2004, HRN EN 459-3:2004</t>
  </si>
  <si>
    <t>Za cement i zidarski cement:HRN EN 413-1:2004, HRN EN 197-2:2004, HRN CR 14245:2004, HRN EN 13279-1:2006</t>
  </si>
  <si>
    <r>
      <t>Za dodatke mortu: nHRN EN 934-3:2004, HRN EN 934-6:2004, HRN EN 998-	2:2003</t>
    </r>
    <r>
      <rPr>
        <b/>
        <sz val="10"/>
        <color theme="1"/>
        <rFont val="Arial"/>
        <family val="2"/>
        <charset val="238"/>
      </rPr>
      <t xml:space="preserve">	</t>
    </r>
  </si>
  <si>
    <t xml:space="preserve"> Za agregat za mort:HRN EN 13139:2003, HRN EN 13055-1:2003, HRN EN 13139/AC:2006, HRN EN 13055-1/AC:2006</t>
  </si>
  <si>
    <t>Za pomoćne dijelove: HRN EN 845-2:2003, HRN EN 845-3:2003</t>
  </si>
  <si>
    <t>Za projektiranje zidanih konstrukcija: HRN ENV 1991, HRN ENV 1996, HRN ENV 1997, HRN ENV 1998, id r. navedeno u Tehničkom propisu (NN 04/07)</t>
  </si>
  <si>
    <t xml:space="preserve">Dopuštena je primjena i drugih pravila projektiranja zidanih konstrukcija koja se razlikuju od navedenih hrvatskih normi, ako se dokaže da se primjenom tih pravila ispunjavaju zahtjevi najmanje na razini određenoj hrvatskim normama. 
Pri izvođenju zidane konstrukcije izvođač je dužan pridržavati se projekta zidane konstrukcije i tehničkih uputa za ugradnju i uporabu građevnih proizvoda. </t>
  </si>
  <si>
    <t xml:space="preserve">Sve utvrđeno prilikom preuzimanja proizvoda zapisuje se u građevinski dnevnik, a dokumentacija s kojom je građevni proizvod isporučen se pohranjuje među dokaze o sukladnosti građevnih proizvoda koje izvođač mora imati na gradilištu. </t>
  </si>
  <si>
    <t>Ugradnju građevnog proizvoda odnosno nastavak radova mora odobriti nadzorni inženjer, što se zapisuje građevinski dnevnik.
Izvođenje zidane konstrukcije mora biti takvo da zidana konstrukcija ima tehnička svojstva i ispunjava zahtjeve određene projektom i Tehničkim propisom.</t>
  </si>
  <si>
    <t xml:space="preserve">Mort, veziva i agregat moraju biti transportirani do gradilišta i složeni na gradilištu po vrstama i razredima, te osigurani od djelovanja atmosferilija, vlage i drugih štetnih utjecaja na specificirana njihova svojstva. Mort i veziva ne smiju se bez prethodnih kontrolnih ispitivanja ugrađivati nakon provedena 3 mjeseca na gradilištu. Mort se mora miješati strojno i ne smije se ugrađivati ukoliko je započeo proces stvrdnjavanja. </t>
  </si>
  <si>
    <t>Utvrđivanje razreda kontrole proizvodnje zidnih el. utvrđuje izvođač. Kontrolu razreda izvedbe provodi nadzorni inženjer. 
Temperatura svježeg morta ne smije biti niža od +5° C, niti viša od +35° C. Kada je srednja dnevna temp. zraka manja od +50° C ili viša od +35° C, zidanje ziđa treba izvoditi pod posebnim uvjetima sukladno odredbama iz projekta zidane konstrukcije.</t>
  </si>
  <si>
    <t>Odstupanje od projektom predviđenih dimenzija dozvoljeno je samo u sporazumu s nadzornim inženjerom i projektantom. Isto vrijedi i za materijal koji se ugrađuje.</t>
  </si>
  <si>
    <t>Ako za ugradbe treba dubiti zidove ili stropove, onda se to mora vršiti pažljivo bez suvišnih oštećenja. Armatura se u tom slučaju kao ni tlačna zona betona ne smije dirati.
Čišćenje zgrade vrši se prema potrebi, a najmanje 3 puta u toku gradnje (uklanjanje otpadaka, popravak šteta nastalih uslijed čišćenja). Ovo čišćenje tokom gradnje neće se posebno obračunavati.</t>
  </si>
  <si>
    <t>U jedinične cijene osim rada i materijala uključena radna skela, horizontalni i vertikalni transport, čišćenje u toku i nakon završetka radova. Izvođač je obavezan ostaviti utore većeg presjeka (za instalacije) označene na nacrtu u toku zidanja, a ne kasnijim probijanjem. Svi popravci uključivo i rušenje i ponovno izvođenje zbog loše kvalitete (neravnine, pucanja, slijeganja, nejednolične izvedbe i sl.) izvest će se na trošak izvođača. Zatvaranje utora za instalacije, površine presjeka do 10 cm², ne obračunavaj se posebno već je uključeno u jediničnu cijenu žbukanja po m².</t>
  </si>
  <si>
    <t>U jediničnim cijenama  uračunati su svi radovi dotične stavke, s dobavom potrebnog materijala i građevnih dijelova, s istovarom i uskladištenjem na gradilištu, sav horizontalni i vertikalni transport do radnog mjesta, kao i sva potrebna radna snaga i režijski troškovi.
Sve potrebne skele za građevinske radove moraju biti uračunate u jediničnim cijenama pojedinih stavaka troškovnika, te se ne smiju posebno obračunavati. Ovo se ne odnosi na fasadnu skelu.</t>
  </si>
  <si>
    <t>ČIŠĆENJE I PRIPOMOĆI:</t>
  </si>
  <si>
    <t>U čišćenju osim čišćenja podova, podrazumijeva se I čišćenje vrata, prozora, stijena sa pranjem stakla bez obzira da li su izrađeni od drva ili metala, kao I čišćenje I pranje zidnih pločica, sanitarnih predmeta I ostalo. Prilikom čišćenja treba paziti da se završna obrada ne ošteti.
Čišćenje iza svakog pojedinog rada, dužnost je izvođača tog rada I ne obračunava se u posebnoj stavci već je uključeno u jediničnu cijenu.</t>
  </si>
  <si>
    <t>Radove oko raznih ugradbi treba izvršiti u dogovoru s izvođačima stolarskih, bravarskih i ostalih obrtničkih radova i instalacija.
Sve ugradbe izvesti točno po propisima i na mjestu označenom po projektu. Kod stavaka gdje je uz ugradbu označena i dobava, istu treba uključiti, a također, i eventualnu izradu pojedinih elemenata koji se izvode na gradilištu i ugrađuju montažno. 
Ugradbu treba vršiti tako, da se ne čini šteta na ostalom dijelu objekta. Izvoditi prema detaljnim izmjerama na licu mjesta!</t>
  </si>
  <si>
    <t>Jedinična cijena treba sadržavati: sav rad i transport, sav materijal uključujući i vezni, pomagala pri radu (skela), izrada eventualnih uzoraka, ukoliko je to za koji rad potrebno, sva priručna pomagala potrebna prema propisima zaštite na radu, čišćenje prostorija za vrijeme i nakon završetka rada, zaštitu od nepovoljnih atmosferskih utjecaja, zaštitu već ugrađenih elemenata ili opreme pri izvođenju radova (prozori, vrata i sl.), svu štetu kao i troškove popravka kao posljedica nepažnje u tijeku izvedbe, .troškove zaštite na radu i troškove atesta.</t>
  </si>
  <si>
    <t>2.  OBRTNIČKI RADOVI</t>
  </si>
  <si>
    <t xml:space="preserve">Ovi uvjeti odnose se na sve izolaterske radove na prohodnim terasama i drugim podovima, te zidovima podruma, kao i na radove koji su u vezi s tim radovima. </t>
  </si>
  <si>
    <t>Standardi za izolaterske radove:</t>
  </si>
  <si>
    <t>Hladni premazi   HRN‑U.M3.240, HRN‑U.M3.242</t>
  </si>
  <si>
    <t>Vrući premazi   HRN‑U.M3.244</t>
  </si>
  <si>
    <t>Bitumenizirani stakleni voal HRN‑U.M3.248</t>
  </si>
  <si>
    <t>Bitumenizirana al.folija  HRN‑U.M3.229, HRN‑U.M3.230</t>
  </si>
  <si>
    <t>Aluminijska folija nebitumenizirana  HRN‑U.M3.100</t>
  </si>
  <si>
    <t>Bit. trake s uloškom od staklene tkanine  HRN‑U.M3.234</t>
  </si>
  <si>
    <t>Bit. trake s uloškom od staklenog voala  HRN‑U.M3.231</t>
  </si>
  <si>
    <t>Bit. stakleni voal   HRN‑U.M3.227</t>
  </si>
  <si>
    <t>Bit. trake s uloškom od sirove kr. ljepenke HRN‑U.M3.226</t>
  </si>
  <si>
    <t>Bitumenizirana krovna ljepenka HRN‑U.M3.232</t>
  </si>
  <si>
    <t>Lake ploče za toplinsku izolaciju  HRN‑G.C7.201, HRN-G.C7.202</t>
  </si>
  <si>
    <t>Mineralna vuna   HRN‑U.M9.015</t>
  </si>
  <si>
    <t>Toplinsko-izolacijski materijali  HRN EN 13163</t>
  </si>
  <si>
    <t>Opće odredbe za ispitivanje folija HRN  G.C8.520</t>
  </si>
  <si>
    <t>Certifikat o klasi gorivosti toplinske izolacije u dijelu fasade i evakuacijskih puteva u klasi A.</t>
  </si>
  <si>
    <t>Hidroizolacija mora po svom sastavu obzirom na slojeve odgovarati Pravilniku o tehničkim mjerama i uvjetima za ugljikovodične hidroizolacije krovova i terasa. Svi materijali koji se ugrađuju moraju po svom sastavu, fizičko mehaničkim osobinama i obliku odgovarati hrvatskim standardima, odnosno atestima potvrđenim mišljenjima ovlaštenih stručnih institucija, a moraju se ugrađivati prema uputstvima proizvođača.</t>
  </si>
  <si>
    <t>Ukoliko je opis koje stavke izvođaču nejasan, treba pravovremeno prije predaje ponude tražiti objašnjenje od projektanta. Eventualne izmjene materijala, te način izvedbe tokom gradnje moraju se izvršiti isključivo pismenim dogovorom sa projektantom i nadzornim organom. Sve više radnje, koje neće biti na taj način utvrđene, neće se priznati u obračunu.</t>
  </si>
  <si>
    <t>Kod izrade hidroizolacije treba se u potpunosti pridržavati uputstva proizvođača materijala, kako u pogledu pripreme podloge, svih faza rada, zaštite izvedene izolacije, te uvjeta rada (atmosferskih prilika, temperatura i sl.). Kod pripreme podloge za sve vrste izolacija potrebno je površinu zida ili poda dobro očistiti od svih nečistoća, prašine, krhotina i masnoća, a eventualne veće neravnine kod betonskih površina zapuniti mortom za izravnanje.
Svi spojevi izvedeni sa potrebnim min. preklopima od 5-8 cm, pažljivo izvesti savijanje, jer će sve manjkavosti i štete nastale lošom izvedbom izolacije snositi izvođač.
Oštećeni, slijepljeni ili na bilo koji drugi način neispravni materijali ne smiju se ugrađivati.
Ukoliko se naknadno ustanovi tj. pojavi vlaga zbog nesolidne izvedbe, ne dozvoljava se krpanje, već se mora ponovno izvesti izolacija cijele površine na trošak izvođača. Izvođač mora u tom slučaju o svom trošku izvesti i popravak pojedinih građevinskih i obrtničkih radova, koji se prilikom ponovne izvedbe oštete ili moraju demontirati.</t>
  </si>
  <si>
    <t xml:space="preserve">Prije polaganja parne brane moraju biti izvedena podnožja u uglovima (holkeri), tako da se izolacijske trake ne lome pod pravim kutem, nego se koso postavljaju na vertikalnu plohu. Podloga mora biti očišćena od prašine, mora biti ravna i potpuno suha. Max. vlažnost podloge je 3% mase. Parna brana se može polagati samo po suhu vremenu. Za parnu branu primjenjuju se metalne (aluminijske) folije, a kao sredstvo za ljepljenje bitumen i bitumenska masa u vrućem stanju. </t>
  </si>
  <si>
    <t xml:space="preserve">Kod polaganja hidroizolacije od sintetičkih folija ( vinil- acetat - etilen )  potrebno je osigurati izvedbu svih slojeva prema uputama  proizvođača. Za ravni krov treba izvesti betonske podloge na stropnoj konstrukciji s površinom koja mora biti ravna, suha, bez oštrih ispupčenja, brazgotina i gnijezda. Eventualne fuge u podlozi moraju biti zapunjene kitom, odnosno mortom za reprofiliranje i u istoj ravnini s podlogom. Kod polaganja izolacije u podu na tlu sistemom na sloj šljunka ispod podne ploče, podlogu od nasipa tučenca treba prethodno izravnati slojem mršavog betona da bi se spriječilo probijanje izolacije oštrim rubovima kamena. 
Hidroizolacijska traka polaže se na podlogu bez fiksiranja specijalnim postupkom varenja tako da se trake spajaju međusobno preklopima širine prema uputstvima proizvođača. Nakon varenja potrebno je provjeriti nepropusnost spoja posebnim aparatom upuhivanjem zraka u eventualne pukotine, koje onda treba naknadno popraviti varenjem. Sve spojeve nakon varenja potrebno je dodatno osigurati nanošenjem VAE otopine. 
Sve spojeve izvesti sa originalnim komadima za prodore i uglove te rubnim trakama odnosno rubnim PVC limovima istom metodom kao spajanja traka. </t>
  </si>
  <si>
    <t>Na krovu koji ostaje izložen (sve horizontalne površine sa hidroizolacijskim završnim slojem)  izvodi se hidroizolacija specijalnim folijama. To je izolacija od meke VAE folije ojačane sintetskim vlaknima, visoke otpornosti na temperaturna naprezanja ( -40 do 100° C ). Polaže se mehaničkim pričvršćenjem traka sve prema uputi proizvođača. Na lomovima izolacije primjenjivati tipske rubne trake, limove.</t>
  </si>
  <si>
    <t xml:space="preserve">Toplinske izolacije izvode se prema opisu troškovnika, kvalitetno i prema HRN-a, te tehničkim propisima  za toplinsku i zvučnu izolaciju. 
Prije ugradnje izolacijskih materijala potrebno je ispitati ili dokazati atestom vrijednosti koeficijanata provodljivosti topline i difuznog otpora za sve materijale koji su korišteni u proračunima prolaza topline i otpora difuziji vodene pare, na osnovu podataka danih u U.J5.600. 
U slučaju da se kao toplinska izolacija krova upotrijebi okipor, mora biti odležan barem 90 dana. </t>
  </si>
  <si>
    <t>Prije početka izvedbe izolacionih radova mora se kontrolirati ispravnost već izvršenih građevinskih, zanatskih i drugih radova, koji bi mogli utjecati na kvalitet, sigurnost i trajnost izolacija. 
Izvođač je dužan dati za izolaterske radove garanciju od 5 godina od dana tehničkog preuzimanja objekta.</t>
  </si>
  <si>
    <t>Izolaterski radovi moraju biti izvedeni prema projektu, a ako se ne može upotrijebiti materijal naveden u opisu radova, upotrijebiti se smije samo istovjetan proizvod, uz odobrenje projektanta. Ako u opisu radova nije izričito propisan određeni materijal, izvođač mora na vlastitu odgovornost izabrati i pripremiti materijal koji odgovara mjestu ugradbe, a u skladu je s važećim propisima i standardima. Ukoliko se za hidroizolaciju ili toplinsku izolaciju upotrebljava materijal koji ne odgovara navedenim propisima, izvoditelj radova mora predočiti ateste i odrediti prema kojim su standardima izvršena ispitivanja.</t>
  </si>
  <si>
    <t>Izvođač treba prema svom saznanju odlučiti da li je izolaciju potrebno dilatirati još na dodatnim mjestima, osim na mjestu dilatacije konstrukcije.</t>
  </si>
  <si>
    <t>U jediničnim cijenama uračunati su svi radovi dotične stavke, s dobavom potrebnog materijala, istovarom i uskladištenjem na gradilištu, sav horizontalni i vertikalni transport do radnog mjesta, kao i sva potrebna radna snaga i režijski troškovi,te uklanjanje svih otpada nakon izvedenih radova.</t>
  </si>
  <si>
    <t xml:space="preserve">Limarske radove izvesti prema opisu u troškovniku, uz eventualne korekcije projektom predviđenih razvijenih širina i opisa detalja po izmjeri na licu mjesta. </t>
  </si>
  <si>
    <t>Radove izvoditi po pravilima struke i primjenjujući važeće opće i posebne tehničke propise i norme, naročito temeljem čl. 20. Zakona o tehničkim zahtjevima za prizvode i ocjennjivanju sukladnosi (NN 158/03, 80/13, 14/14) preuzetih iz:
Pravilnika o tehn.normativima za projektiranje i izvođenje završnih radova u građevinarstvu (Sl.list 21/90), te hrvatske norme:</t>
  </si>
  <si>
    <t>HRN U.N9.052 -Građ.prefabr.elementi: Prozorska limena klupčica,</t>
  </si>
  <si>
    <t>HRN U.N9.053 -Građ.prefabr.elementi: Odvodnjavanje krovova i dijelova zgrada limenim elementima</t>
  </si>
  <si>
    <t>HRN U.N9.054 -Građ.prefabr.elementi: Pokrivanje krovnih ravnina limom</t>
  </si>
  <si>
    <t>HRN U.N9.055 -Građ.prefabr.elementi: Opšivanja vanjskih dijelova zgrada limom</t>
  </si>
  <si>
    <t>Ugrađeni materijali moraju biti kvalitetni i odgovarati hrvatskim normama i to:</t>
  </si>
  <si>
    <t>Cinčani lim HRN‑C.E4.020</t>
  </si>
  <si>
    <t>Pocinčani lim HRN‑C.B4.081</t>
  </si>
  <si>
    <t>Olovni lim  HRN‑C.E4.030</t>
  </si>
  <si>
    <t>Bakreni lim  HRN‑C.D4.020</t>
  </si>
  <si>
    <t>Aluminijski lim HRN‑C.C4.020</t>
  </si>
  <si>
    <t>Čelični lim HRN C.B4.017, HRN C.B4.110 - 113</t>
  </si>
  <si>
    <t>Svi ostali materijali koji nisu obuhvaćeni normama moraju imati certifikate od za to ovlaštenih institucija.</t>
  </si>
  <si>
    <t>Limarske radove vezane na pokrov i izolaterske radove treba obavezno izvoditi paralelno s tim radovima. Ispod lima treba obavezno i uvijek položiti traku bitumenske ljepenke širu za 15 cm od ruba lima, radi povezivanja s pokrovom ili slojevima izolacije.
U principu se ne smije upotrebljavati više vrsta lima na istom elementu, a ako se iznimno upotrijebi, onda spojeve treba na pogodan način izolirati (premaz, izol.trake i dr.), kako ne bi došlo do galvanskog elektriciteta.
Razne standardne detalje, spajanje lima pertlanjem, zakivanjem ili lemljenjem izvesti prema pravilima struke i važećim tehničkim uvjetima. Sastav i učvršćenja moraju biti tako izvedeni da elementi pri temperaturnim promjenama mogu nesmetano dilatirati, a da pri tome ostanu nepropusni. Moraju se osigurati od oštećenja koje može izazvati vjetar i sl.</t>
  </si>
  <si>
    <t>Eventualne promjene detalja ili vrsta materijala obavezno dogovoriti sa nadzornim organom i projektantom. Sve više radnje koje neće biti na taj način utvrđivane, neće se priznati u obračun.</t>
  </si>
  <si>
    <t xml:space="preserve">Izvođač je dužan prije početka radova provjeriti sve građevinske elemente na koje ili za koje se se pričvršćuje limarija i pismeno dostaviti naručitelju svoje primjedbe u vezi eventualnih nedostataka posebno u slučaju: neodgovarajućeg izbora projektiranog materijala i loše riješenog načina vezivanja limarije za građevinske radove. Također je dužan prije izrade limarije uzeti sve izmjere u naravi.
Dijelovi različitog materijala ne smiju se dodirivati jer bi uslijed toga moglo doći do korozije. </t>
  </si>
  <si>
    <t>Način izvedbe i ugradbe, te obračun u svemu prema postojećim normama za izvođenje završnih radova u građevinarstvu, po jedinici mjere u troškovniku i stvarno izvedenim količinama na gradilištu.</t>
  </si>
  <si>
    <t>Ovi opći i posebni uvjeti mijenjaju se ili nadopunjuju opisom pojedinih stavki troškovnika.</t>
  </si>
  <si>
    <t>Svi materijali za spuštene stropove i pregradne stijene moraju biti prvoklasni, moraju odgovarati važećim standardima, te moraju posjedovati ateste, a moraju se izvoditi prema uputama proizvođača elemenata od kojih se radovi izvode.</t>
  </si>
  <si>
    <t>Ploče koje se ugrađuju su standardnih dimenzija 200/125 cm. Spojevi ploča moraju se prekriti trakama od staklenog voala i zagladiti propisanom glet masom. Rubovi ploča gdje je potrebno osiguranje od oštećenja , ojačavaju se kant al. perforiranim profilima, te se gletaju. Po završetku gletanja površine treba prebrusiti finim brusnim papirom tako da plohe budu potpuno glatke i vez vidljivih tragova spajanja i sl. Spoj sa zidom ili vertikalnim plohama stropa mora biti zapunjen akrilnim kitom.</t>
  </si>
  <si>
    <t>Kod izvođenja radova potrebno je pridržavati se svih uputa proizvođača naročito glede uskladištenja ploča i uvjeta temperature i vlažnosti zraka prostora u kojima će se  vršiti ugradba (temp. od 11-35° C i rel. vlažnost zraka do 70%). Prije početka ugradbe ploče treba donijeti u prostor u koji se ugrađuju min. 24 sata ranije da bi se prilagodile mikroklimatskim uvjetima.</t>
  </si>
  <si>
    <t>Montaža potkonstrukcije za pregradne zidove započinje prije izrade estriha. Pregradni zidovi moraju imati traženo prigušenje zvuka od 35 dBa, sa ugradbom min. 5 cm mineralne vune tež. 50 kg/m² unutar zida. Obavezno je brtvljenje sudarnih spojnica uz zidove, strop i pod brtvenom trakom. Izvedba prema detaljima proizvođača . Po završetku je potrebno o trošku izvoditelja radova zatražiti ispitivanje prigušenja zvuka od ovlaštene pravne osobe uz predočenje rezultata mjerenja ( atest ).</t>
  </si>
  <si>
    <t>MONTAŽNI ZIDOVI I ZIDNE OBLOGE</t>
  </si>
  <si>
    <t>Montažni zidovi izvode se od nosivih CW profila od pocinčanog lima debljine 0,7 mm, presjeka 50/100 mm na maksimalnom razmaku cca 60 cm (određenom po proizvođaču) te s donjim i gornjim UW-profilom. Između profila se umeće mineralna vuna i osigurava se od micanja. Na spoju sa zidom, stropom i podom na profile se nanosi brtvena masa, a posebno i temeljito kod zahtjeva za zaštitu od buke. Sve rubne profile na spojevima s podom, stropom i sa zidovima treba učvrstiti odgovarajućim učvrsnim elementima.</t>
  </si>
  <si>
    <t xml:space="preserve">Na potkonstrukciju se obostrano pričvršćuju gipskartonske ploče, prema opisu u stavki, pomoću vijaka za brzu ugradnju. Nakon montaže, spojeve zapuniti punjačem rešaka i zagladiti lopaticom. Rezani rubovi GK ploča obrađuju se papirnatom, bandažnom trakom. Glave vijaka treba pregletati. Kod dvostrukih obloga spojevi donjih ploča se samo zapunjavaju, a spojevi vanjskog sloja se završno obrađuju gletanjem. </t>
  </si>
  <si>
    <t>Nakon obrade spojeva završno čitavu površinu pregletati smjesom za izravnanje što ulazi u stavku, tako da su zidovi potpuno pripremljeni za ličenje ili oblaganje keramičkim pločicama. Kod neprekidnih zidova potrebno je u razmaku od 15-20 m ugraditi dilatacijske spojeve. Kod neprekidnih zidnih obloga potrebno je u razmaku od ca.10 m ugraditi dilatacijske spojeve.</t>
  </si>
  <si>
    <t>S polaganjem se može započeti tek nakon što su završeni svi radovi žbukanja, izrade estriha i sl., te su dovoljno suhi, nakon ugradnje prozora/staklenih stijena, montaže svih instalacija koje dolaze unutar stropa. Zimi se za montažu mora grijati prostor, a ljeti treba osigurati prozračivanje.
Montirane zidne ili stropne ploče treba po montaži očistiti od eventualnih nečistoća suhim postupkom. Eventualna manja oštećenja može se otkloniti kitanjem, a kod većih je potrebno zamijeniti ploču.
Učvrsni element za masivni zid, pod ili strop je tipla s vijkom. Za ostale priključne površine koriste se učvrsna sredstva koja odgovaraju podlozi. Sve profile koji su u dodiru s bočnim zidovima i s podom odn. stropom treba prije montaže obložiti samoljepivom PE brtvenom trakom odgovarajuće širine.</t>
  </si>
  <si>
    <t xml:space="preserve">Radove izvoditi tek pošto su montirane i ispitane instalacije koje se nalaze unutar GK konstrukcija.
U cijeni stavaka je uključeno bušenje - obrada ploča za potrebe ugradbe elemenata instalacija u završnim GK oblogama (utičnice, priključci i sl. ) . </t>
  </si>
  <si>
    <t>KONSTRUKCIJA:</t>
  </si>
  <si>
    <t>Kod odabira konstrukcije zida treba poštivati odredbe norme ÖNORM B 3415.</t>
  </si>
  <si>
    <t>RAZRED VATROOTPORNOSTI:</t>
  </si>
  <si>
    <t>Dokaz za postizanje zahtjevanih razreda vatrootpornosti za zidnu konstrukciju osigurava izvođač radova putem atesta ovlaštene institucije, ako razred vatrootpornosti ne proizlazi iz normi: ÖNORM B 3800 / HRN U.J1.090 / DIN 4102.
Radovi za prilagodbu na instalacijske i ugradbene dijelove, koji su ugrađeni prije oblaganja, posebno se ne obračunava.
Prekidi rada:
Prekidi rada (vrijeme čekanja) koji su posljedica instalacijskih radova ukalkulirani su u jedinične cijene.</t>
  </si>
  <si>
    <t>Svi radovi moraju biti izrađeni u skladu sa zahtjevima važećih standarda i u skladu sa uzancama zanata u građevinarstvu te prema Tehničkom propisu za prozore i vrata (NN 69/06) i prema podacima iz projekta.</t>
  </si>
  <si>
    <t>Ponuđač je dužan nuditi solidan i ispravan rad, na temelju shema i troškovnika, pa se neće uzeti u obzir naknadno pozivanje na eventualno nerazumijevanje ili manjkavosti opisa ili nacrta. 
Ponuđač je dužan prije izvedbe stolarije dostaviti projektantu na uvid uzorak materijala u mjerilu 1:1 sa probnom postavom uzorka na mjestu ugradbe. Davanjem ponude ponuđač usvaja u cijelosti ove uvjete.
Materijal za izradu elemenata kao i svi gotovi elementi i njihova montaža moraju biti najbolje kvalitete koja postoji na tržištu, a trebaju odgovarati propisima važećih standarda i normi.</t>
  </si>
  <si>
    <t>MATERIJALI</t>
  </si>
  <si>
    <t>Sav upotrebljeni materijal mora biti najbolje kvalitete koja postoji na tržištu, a treba odgovarati propisima važećih standarda.
Kvaliteta materijala za izradu unutrašnjih vrata, dovratnika i krila od obrađenih dasaka, šper ploča, lesonit ploča, iverice ploča i MDF ploča prema HRN B.E1.011 i HRN D.E1.012.</t>
  </si>
  <si>
    <t>IZRADA I OBRADA</t>
  </si>
  <si>
    <t>Prije pristupa izradi stolarije izvoditelj je obavezan prekontrolirati količine i zidarske veličine otvora na gradilištu. Radioničke nacrte izrađuje izvoditelj stolarskih radova i dostavlja na usaglašavanje i potpis projektantu.
Izvoditelj je dužan s voditeljem građenja definirati redosljed izrade i montaže stolarskih elemenata, a u iznimnom slučaju mogu zapisnički utvrditi količine i zidarske veličine otvora.</t>
  </si>
  <si>
    <t>Svi stolarski elementi isporučuju se na gradilište kao gotov finalni proizvod osim onog dijela stolarije koji se liči na gradilištu. Ličenu stolariju treba tako pripasati da sa slojem boje krila ne zapinju, a da u pogledu propustljivosti udovolje zahtjevu propisa HRN D.E8.193.
Sva stolarija kod dostave mora biti zaštićena, dok se finalno obrađeni proizvodi zaštićuju i nakon ugradbe od nenamjernog oštećenja, a što je sadržano u jediničnoj cijeni.</t>
  </si>
  <si>
    <t>Pokretne pregradne stijene predvidjeti od elemenata obostrano obloženih MDF pločama. Stijene su maximalne debljine 88 mm, zvučne izolacije 46 dB i maximalne težine po m² 24 kg. U cijenu uključena potkonstrukcija, sav materijal i montaža.  Obračun po komadu kompletno postavljene pokretne stijene.</t>
  </si>
  <si>
    <t xml:space="preserve">Sve dimenzije vrata u troškovniku odnose se isključivo na svijetli otvor. Vratno krilo sastavljeno je od drvenog roštilja sa saćastom ispunom, obostrano obloženo laminatom u boji po izboru projektanta. Ugrađuje se u dovratnik ("futer" štok). Dovratnik čelični lim, ličen. Dovratnike fiksirati uz zidove poliuretnaskom pjenom uz potrebno razupiranje okvira vrata, da ne dođe do vitoperenja kod ekspandiranja pjene. </t>
  </si>
  <si>
    <t>Okov u inox brušenoj izvedbi je sljedeći:</t>
  </si>
  <si>
    <t>Kvake u paru  i obična brava s ključevima, s rozetama, podni ili zidni odbojnik. Jedino se kod sanitarnih prostora ugrađuje brava i kvaka sa ključem pričvršćenim uz štitnik (standardizirano za kupaonice). Pri tome treba voditi računa da se odabere kvaka iz istog dizajnerskog paketa.</t>
  </si>
  <si>
    <t>U jediničnu cijenu uključena je: izrada, dobava i ugradnja, uvijenje turbo vijcima te zaptivanje poliuretnaskom pjenom, odnosno sve potrebmo za dovršenje pojedine stavke.</t>
  </si>
  <si>
    <t>Ovi opći uvjeti dopunjuju se u pojedinim stavkama troškovnika.</t>
  </si>
  <si>
    <t>SVE MJERE OBAVEZNO KONTROLIRATI U NARAVI I STANJE ZAPISNIČKI KONSTATIRATI.
PRIJE IZRADE STOLARIJE SVE MJERE OBAVEZNO UZETI NA SAMOJ GRAÐEVINI.</t>
  </si>
  <si>
    <t xml:space="preserve">Protupožarne stavke izvesti u sistemu čeličnih profila s protupožarnom ispunom, materijal čelika je u kvaliteti HRN EN 10025-2:2007, S235JR; toplo valjani proizvodi od konstrukcijskih čelika; HRN EN 10346:2009; čelični plosnati proizvodi s prevlakom nanesenom kontinuiranim vrućim uranjanjem. Svi sistemi moraju imati atestnu dokumentaciju sukladnu važećim zakonskim propisima u RH (HRN EN 13501, HRN DIN 4102, HRN EN 14600, Pravilnik o otpornosti na požar i drugim zahtjevima koje građevine moraju zadovoljiti u slučaju požara, NN 29/13, i dr.). Izvođač radova je dužan iskazati svojstva građevnog proizvoda u izjavi o svojstvima. Izjava o svojstvima mora sadržavati objavljeno svojstvo prozora/vrata u skladu s klasifikacijom uređenom HRN EN 13501-2, a u vezi s odredbama HRN EN 1460, pri čemu klasifikacijski izvještaj može izraditi tijelo koje ispunjava zahtjeve propisane za odobreno tijelo, sve u skladu sa Zakonom o građevinskim proizvodima (NN 76/13). </t>
  </si>
  <si>
    <t>Protupožarnost prema HRN EN 13501, obuhvaća zaštitu od plamena, dima i prolaza topline u roku od min. 30 min. Sistem je ispitan u skladu s normom HRN EN 1364 (fiksni elementi) i HRN EN 1634 (otvarajući elementi).</t>
  </si>
  <si>
    <t>U cijeni stavke uključiti komplet sav potreban rad i materijal prema opisu u troškovniku, kao i sve dodatne radove i materijale potrebne da se izradi kompletna stavka kao oblikovna i funkcionalna cjelina. Svi spojni limovi, opšavi, ekspandirajuće trake, PP laminati, PP gips ploče priključka i dr., koji se ugrađuju, sastavni su dio predmetnih stavki.</t>
  </si>
  <si>
    <t>Ugradnju PP stavki izvesti prema smjernicama dobavljača sistema i u skladu s važećim normam i propisima u RH (HRN EN 13501, Pravilnik o otpornosti na požar i drugim zahtjevima koje građevine moraju zadovoljiti u slučaju požara, NN 29/13, i dr.).</t>
  </si>
  <si>
    <t>Karakteristike protupožarne ostakljene stijene:</t>
  </si>
  <si>
    <t>- tražena vatrootpornost,   HRN EN 13501:   30 min.</t>
  </si>
  <si>
    <t>- max. dim. krila:             1400x3000 mm (230 kg)</t>
  </si>
  <si>
    <t>- preporučena visina stijene sa vratima i nadsvjetlom:  4000 mm</t>
  </si>
  <si>
    <t xml:space="preserve">- debljina protupožarnog stakla /panela do 45 mm.    </t>
  </si>
  <si>
    <t xml:space="preserve">- materijal za brtvljenje,     HRN EN 13501-1  </t>
  </si>
  <si>
    <t>- protuprovalnost,              HRN ENV 1627:  WK3</t>
  </si>
  <si>
    <t xml:space="preserve">- mehanička trajnost,        HRN EN 14600 (HRN EN 1191):  klasa 5 </t>
  </si>
  <si>
    <t xml:space="preserve">  (200000 ciklusa)</t>
  </si>
  <si>
    <t xml:space="preserve">      </t>
  </si>
  <si>
    <t>Svi ugrađeni sistemi za vanjske stavke moraju zadovoljiti zahtjeve "Tehničkog pravilnika o racionalnoj uporabi energije i toplinskoj zaštiti u zgradama" (NN 97/14) odnosno posebni uvjet da ukupni toplinski koeficijenti prozora ne prelaze vrijednosti:</t>
  </si>
  <si>
    <t>PANIK OKOV na evakuacijskim vratima, puna panika, prema HRN EN 1125:
- funkcija "B" - s vanjske strane kvaka, s unutarnje potisna letva; vrata su prohodna u oba smjera dok su otključana, zaključana su prohodna samo u smjeru evakuacije. 
- funkcija "E" - s vanjske strane rukohvat, s unutarnje potisna letva; vrata su u smjeru evakuacije prohodna uvijek, u smjeru suprotnom od evakuacije su prohodna samo pomoću ključa. 
Djelomična panika, HRN EN 179, za poznate korisnike - sve isto, samo iznutra kvaka umjesto potisne letve.</t>
  </si>
  <si>
    <t xml:space="preserve">Kvaliteta čeličnih profila je HRN EN 10025-2:2007, S235JR; toplo valjani proizvodi od konstrukcijskih čelika; HRN EN 10346:2009; čelični plosnati proizvodi s prevlakom nanesenom kontinuiranim vrućim uranjanjem. </t>
  </si>
  <si>
    <t>Jedinična cijena mora sadržavati:
1.	dobavu, transport, skladištenje te montažu svih elemenata do konačne ugradnje
2.	sve predradnje prije montaže (geodetska izmjera, iscrtavanje potrebnih osi, visinske kote, uzimanje izmjere građevinskih otvora u naturi, te određivanje stvarne 	geometrije elemenata)
3.	potrebne podkonstrukcije, svi sidreni i pričvrsni elementi neovisno o vrsti podloge
4.	štemanje i prilagodbu konstrukcije gdje je to potrebno
5.	ostakljenje
6.	okove, brtve i sve vrste limarskih opšava
7.	svi prodori, otvori iI bušenje rupa u aluminijskim profilima
8.	svi priključci na druge konstrukcije i radove
9.	priključci na konstrukciju uključivo toplinsku izolaciju, s vodonepropusnim a paropropusnim folijama i paronepropusnim folijama				
10.	izradu izvedbene radioničke dokumentacije – detalji ugradbe elemenata sa potrebnim statičkim provjerama i označenim tipovima, karakteristikama i debljinama 	materijala, te usaglašenje detalja sa glavnim projektantom i glavnim nadzornim 	inženjerom</t>
  </si>
  <si>
    <t>Soboslikarske radove treba izvoditi prema Tehničkim uvjetima za izvođenje soboslikarskih radova HRN U.F2.013 i Tehničkim uvjetima za izvođenje ličilačkih radova HRN U.F2.012..
Materijali za soboslikarsko ličilačke radove moraju biti prema standardu HRN H.C1.001 i HRN H.C1.002. Svi materijali trebaju odgovarati propisima HRN-a za kvalitetu i moraju imati odgovarajući certifikat koji je potrebno dostaviti nadzoru prije početka izvođenja radova.</t>
  </si>
  <si>
    <t>Ukoliko opis neke od vrste dovodi do sumnje u način izvedbe, izvođač treba pravovremeno tražiti objašnjenje od projektanta.
Ako u opisu radova nije izričito naveden određeni materijal već samo kvaliteta, izvođač treba na vlastitu odgovornost izabrati materijal koji odgovara kvaliteti, vrsti podloge u uvjetima u kojima će se obrađena podloga nalaziti za vrijeme rada i eksploatacije.
Materijali se mogu primjenjivati samo na onim površinama za koje su prema svojim kemijsko fizičkim osobinama namijenjeni. Gotovi, tvornički proizvedeni materijali se moraju upotrebljavati strogo prema uputstvima proizvođača. Materijali se na gradilište moraju donijeti u orginalnom pakiranju.</t>
  </si>
  <si>
    <t>Ponuđač je dužan prije kompletne izvedbe soboslikarsko ličilačkih radova napraviti probni uzorak projektantu na uvid na mjestu ugradbe i tek po izboru i odobrenju projektanta može otpočeti sa radovima.</t>
  </si>
  <si>
    <t>Podloga mora biti čista (bez prašine, smole, masti, čađe, rđe, bitumena i sl). Premazi moraju čvrsto prijanjati na podlogu, imati jednoličnu površinu bez tragova četke ili valjka, a boja mora biti jednoli­čna i bez mrlja, tragova kitanja i oštećenja.</t>
  </si>
  <si>
    <t>Vanjski premazi moraju biti otporni na atmosferilije. Podloga za sve radove mora biti u pravilu čista i bez prljavština (prašina, smola, ulje, mast, čađa, rđa, bitumen i sl.). Opće je pravilo da prije završne obrade treba sve metalne dijelove ugrađene u podlozi zaštititi premazivanjem antikorozivnim sredstvom.
Posebno treba voditi računa o dozvoljenoj temperaturi zraka za primjenu pojedine vrste materijala.
Izvođač radova dužan je prije početka rada pregledati sve površine na gradnji, te izvođaču građevinskih radova dati svoje eventualne primjedbe.
Ako se u garantnom roku pojave bilo kakve promjene na obojenim površinama uslijed loše kvalitete materijala i izvedbe, izvođač mora o svom trošku izvršiti popravke.</t>
  </si>
  <si>
    <t>U jedinične cijene uključen: osnovni i pomoćni materijal, rastur materijala, transport do gradilišta i na gradilištu, trošak za izradu skela i ostalih pomoćnih konstrukcija, trošak održavanja kvalitete izvedenog rada i zaštite dopremljenog materijala na gradilište, uklanjanja nečistoća ili šteta pruzrokovanih vlastitim radom, kao i trošak otpreme materijala. Jedinična cijena prema tome treba obuhvatiti sve troškove za izvedbu jedinice vrste rada prema opisu u troškovniku.</t>
  </si>
  <si>
    <t>Izvedeni rad i upotrebljeni materijal mora u svemu (vrsti, boji i kvaliteti) biti jednak uzorku, što ga odabere projektant od najmanje 5 uzoraka, koje proizvođač izrađuje bez naplate. Materijal za izvedbu soboslikarskih-ličilačkih radova je naveden u stavkama troškovnika.</t>
  </si>
  <si>
    <t>Priprema podloge - čišćenje površine od prašine, eventualno potrebni popravci na podlozi i izravnavanje manjih neravnina, precizno izvođenje priključaka na druge površine i materijale (susjedne građevinske dijelove ili ugradbene cjeline) sa akrilnim kitom
Impregniranje - produžne žbuke, vapnene žbuke i beton impregnirati odgovarajućom impregnacijom. Prije upotrebe treba impregnaciju razrijediti čistom vodom prema uputama  proizvođača, impregniranje mrlja od vode i hrđe od armature je također uključeno u cijenu</t>
  </si>
  <si>
    <t>Zaglađivanje - za zaglađivanje valja primijeniti odgovarajući kit i nanijeti ga gladilicom u dva do tri tanja sloja. Nakon sušenja prebrusiti papirom broj 120 ili broj 150.</t>
  </si>
  <si>
    <t>Završno ličenje - izvoditi u 3 naliča, materijal pripremiti prema uputama proizvođača. Nanositi krznenim valjkom ili četkom.</t>
  </si>
  <si>
    <t>U cijenu uključena i: zaštita obrađenih površina, čišćenje i pranje staklenih površina stolarije i podova i zidova od keramike, odvoz otpadaka po dovršenju radova te dobava uzoraka i izrada uzoraka u svrhu odobrenja.</t>
  </si>
  <si>
    <t>Od primjenjenih  se materijala traži da imaju prionljivost za podlogu, po mogućnosti da penetriraju u podlogu, da se njima jednostavno radi, da dobro "pokrivaju", da su im boje stalne, da su otporni na utjecaj sredine kojima su izloženi, da se ne brišu sa ploha na koje su naneseni, da su bezopasni za okolinu, da se premazi njima mogu obnavljati bez posebnih prethodnih radova i sl.</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</si>
  <si>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 nije dobar radi loše podloge, neće se uzimati u obzir. Na neuredne podloge ne može se izvoditi rad dok se podloge ne urede. Predviđa se da se svi stropovi i zidovi koji budu bojeni prethodno obrade glet masom i potpuno zaglade, a zatim da ih se boji disperzivnom bojom za unutarnje radove.</t>
  </si>
  <si>
    <t>Svi premazi izvode se najmanje s tri premazivanja i to: osnovnim ili podložnim slojem, zaštitnim premazom i završnim premazom, ako to u troškovniku nije drugačije označeno. Svako od tih premazivanja mora biti čvrsto povezano za podlogu na koju se nanosi.</t>
  </si>
  <si>
    <t>Prilikom izvođenja, utvrđivanja kvalitete izvedbe i obračuna vrijede uvjeti iz knjižice SB  "Soboslikarsko-ličilački radovi" izdanje R. Hrvatske.</t>
  </si>
  <si>
    <t>Ako se u garantnom roku pojave bilo kakve promjene na obojenim površinama uslijed loše kvalitete materijala ili izvedbe, izvođač mora o svom trošku izvršiti popravke.</t>
  </si>
  <si>
    <t>Keramičarske radove treba izvoditi u skladu s Tehničkim uvjetima za izvođenje keramičarskih radova ‑ HRN‑U.F2.011, a upotrebljavati samo materijale koji odgovaraju normama s obaveznom primjenom i to:</t>
  </si>
  <si>
    <t>Pločice za oblaganje zidova HRN‑B.D1.300, HRN‑B.D1.301, HRN‑B.D8.460</t>
  </si>
  <si>
    <t>Podne pločice HRN‑B.D1.310,HRN‑B.D1.305, HRN‑B.D1.306,HRN‑B.D1.335</t>
  </si>
  <si>
    <t>Klinker pločice HRN‑B.D1.321</t>
  </si>
  <si>
    <t>Cement za mort HRN‑B.C1.010 ‑ 015</t>
  </si>
  <si>
    <t>Za specijalnu vrstu pločica kao otporne na habanje, udar ili kiselo otporne, treba predočiti atest.</t>
  </si>
  <si>
    <t>Ljepljenje pločica izvodi se cementnim mortom ili ljepilom. Za ljepljenje pločica mogu se upotrijebiti samo ona ljepila koja su od strane proizvođača deklarirana za određenu vrstu radova i atestirana u ovlaštenoj instituciji. Kod svih predradnji i ljepljenja pločica izvođač se mora strogo pridržavati receptura i uputa proizvođača ljepila.
Čvrstoća ljepila na posmik na zidovima mora biti 0,5 N/cm2. Čvrstoća na pritisak na podovima ne smije biti manja od čvrstoće podloge.</t>
  </si>
  <si>
    <t>Kod oblaganja u unutrašnjosti objekta, keramičarski radovi se izvode kada su prostorije obložene gipskartonom, postavljeni stolarski dovratnici i bravarski okovi, te provedena i ispitana instalacija, ako to nije u opisu radova drugačije predviđeno. 
Prije polaganja pločica potrebno je pripremiti podlogu, tj. očistiti od prašine i masnoća. Prema uputama  proizvođača ljepila pripremiti smjesu, a zatim je nanositi na podlogu prvo ravnom, onda nazubljenom lopaticom kako bi se dobila točna optimalna debljina sloja ljepila. Pločicu utisnuti u ljepilo. Koristiti isključivo dvokomponentna ljepila provjerene kakvoće. 
Ukoliko je podloga za ljepljenje pločica loša u pogledu prionjivosti treba ju prije ljepljenja pločica impregnirati. Isto treba zapisnički utvrditi uz prisustvo izvoditelja i nadzornog inženjera. Otklanjanje nedostataka na podlozi ide na teret izvoditelja podloge.</t>
  </si>
  <si>
    <t>Ako se tekstom troškovnika ne zahtjeva drugačije, pločice se postavljaju reška na rešku. Sve fuge moraju biti međusobno paralelne, ispunjene smjesom iste boje i obrade. Sve spojeve podnog i zidnog opločenja ili sokla treba izvesti potpuno pravilno i ravno, zapunjene istom smjesom kao i fuge.  Pločice treba ugrađivati sa metalnim Al kutnim profilima i fugama 2 mm. Uračunati i križiće za fuge. Redove pločica izvesti paralelno sa zidovima.</t>
  </si>
  <si>
    <t>Reške se zatvaraju pogodnim materijalom (masa za fugiranje). Masa za fugiranje od istog proizvođača keramičkih pločica, u tonu po izboru projektanta. Sudare zidne i podne obloge, te zidne obloge i kade zapuniti trajno elastičnim kitom. Na svim izbočenim uglovima pločice brusiti pod kutem 45°. Kod polaganja pločica u većim količinama obvezno miješati pločice iz min. 5 paketa kako bi se dobila ujednačenost sljubnice i nijanse pločice.</t>
  </si>
  <si>
    <t xml:space="preserve">Sve pločice trebaju biti A klase, iste boje, te posve ravne i ne smiju imati na glazuri pukotine. </t>
  </si>
  <si>
    <t xml:space="preserve">Sve obložene površine moraju biti izvedene potpuno ravno, bez ispupčenja ili udubljenja sa ujednačenim propisanim sljubnicama. Pločice se moraju namočiti prije lijepljenja. Nanešeni sloj ljepila mora biti takove debljine da se u njega potpuno utisnu neravnine (rebra) na poleđini pločice. </t>
  </si>
  <si>
    <t>Prije početka izvođenja radova izvođač je dužan dostaviti gl. projektantu na pregled i izbor uzorke pločica za oblaganje sa probnom postavom uzorka na mjestu ugradbe, sve ev. detalje izvođenja i masu za fugiranje te tek po izboru i odobrenju projektanta može otpočeti s radovima. Ukoliko se ugrade pločice koje projektant nije odobrio ili u neodgovarajućoj kvaliteti radovi će se morati ponoviti u traženoj kvaliteti i izboru uz prethodno uklanjanje neispravnih radova, sve o trošak izvođača. U slučaju kada kod rada neka pločica pukne mora se zamijeniti cijelom bez posebne naplate. Obračun opločenja vrši se po m² razvijene površine opločenja.</t>
  </si>
  <si>
    <t xml:space="preserve">Kod izvedbe podopolagačkih radova u svemu se treba pridržavati tehničkih uvjeta za ovu vrstu radova kao i pravilnika o tehničkim normativima za projektiranje i izvođenje završnih radova u građevinarstvu (Sl. list br.21/90). </t>
  </si>
  <si>
    <t>Izvođač treba prije polaganja ispitati horizontalost podloge. Podloga za polaganje podova mora biti suha, očišćena i odmašćena.</t>
  </si>
  <si>
    <t>U slučaju pojave neispravnosti na položenom podu, treba se prvo ustanoviti razlog iste, tj. da li je zbog lošeg materijala, loše izrade ili lošeg rukovanja. Nakon ustanovljenog razloga, podove treba popraviti na račun krivca.
Ponuđač je dužan prije izvedbe podopolagačkih radova dostaviti projektantu na uvid uzorak materijala u mjerilu 1:1 sa probnom postavom uzorka na mjestu ugradbe, i to za svaku vrstu poda po 3 komada.</t>
  </si>
  <si>
    <t>Sve radove izvesti prema detaljnim nacrtima, opisima troškovnika, tehničkim propisima, te uputama projektanta i nadzornog inženjera. Izradu podopolagačkih radova mogu izvoditi samo stručno osposobljene osobe, ovlaštene od proizvođača obloge.</t>
  </si>
  <si>
    <t>Materijal za izradu poda mora biti prvoklasan i odgovarati navedenim standardima, tj. mora biti negoriv, visoke otpornosti na mehanička oštećenja, jednostavan za održavanje, antistatičan, mora upijati zvuk i imati dobar koeficijent provodljivosti topline.
Ukoliko za neki materijal ne postoje standardi proizvođač je dužan uvjerenjem o kvaliteti potvrditi tražene karakteristike materijala.
Svaki proizvod koji služi za oblaganje podova mora imati uvjerenje o kvaliteti za navedene osobine.
Ljepila moraju biti takva da se njima postiže čvrsta i trajna veza. Ne smiju štetno utjecati na podlogu, oblogu ni zdravlje ljudi koji s njima rade. Proizvođač je dužan za ljepilo priložiti uvjerenje o kvaliteti kojim se potvrđuje da je ljepilo pogodno i  isprobano za određenu vrstu obloge.</t>
  </si>
  <si>
    <t>Masa za izravnanje neravnina podloge ili za dobivanje neutralnog međusloja (u slučaju da se ljepilo ne podnosi s podlogom) moraju se čvrsto i trajno vezati za podlogu i moraju biti prionljive za ljepila. Ne smiju štetno djelovati na podlogu, ljepilo i podnu oblogu.</t>
  </si>
  <si>
    <t>ZA KVALITETNU POSTAVU PREDUVJET JE PRAVILNA PRIPREMLJENOST PODLOGE, MIN. VLAŽNOST PODLOGE I POSTOJANJE HIDROIZOLACIJE ISPOD PODLOGE. 
UKOLIKO POVRŠINE NISU KVALITETNO PRIPREMLJENE PRISTUPITI PRIPREMI KOJU JE POTREBNO PRILAGODITI ZATEČENOM STANJU.</t>
  </si>
  <si>
    <t xml:space="preserve">Osnovni preduvijeti jesu:
Novi betoni/estrisi trebaju biti maturirani min. 28 dana. Podloga treba biti u potpunosti čista bez kontaminata, bez labavih i djelova koji slabo prianjaju, bez "trunjenja", bez raslojavanja ili listanja podloge, oslobođena cementnog mlijeka/skramice, obrađena pjeskarenjem, brušenjem ili rezanjem površina na manje plohe u nedostatku dilatacija, sa pravilno obrađenim pukotinama. 
• relativna vlažnost zraka 74 - 85 %,
• vlažnost podloge najviše W &lt; 5%
• temperatura podloge 12°C - 35°C
• vlačna čvrstoća prijanjanja 1,5 N/mm2
• tlačna čvrstoča min R28 =15MPa	</t>
  </si>
  <si>
    <t xml:space="preserve">Podovi se postavljaju na dobro postavljenu podlogu prema uputama proizvođača. Moraju biti trajno antistatični i otporni na toplinu trenja i goruće opuške. </t>
  </si>
  <si>
    <t>U jedinične cijene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 Boja i uzorak poda prema izboru projektanta.</t>
  </si>
  <si>
    <t>TROŠKOVNIK GRAĐEVINSKO OBRNIČKIH RADOVA</t>
  </si>
  <si>
    <t>BETONSKI  I  ARMIRANO  BETONSKI  RADOVI</t>
  </si>
  <si>
    <t xml:space="preserve">ZEMLJANI RADOVI </t>
  </si>
  <si>
    <t>PRIPREMNI RADOVI</t>
  </si>
  <si>
    <t>LIMARSKI   RADOVI</t>
  </si>
  <si>
    <t xml:space="preserve">STOLARSKI RADOVI </t>
  </si>
  <si>
    <t>SOBOSLIKARSKO  LIČILAČKI   RADOVI</t>
  </si>
  <si>
    <t xml:space="preserve">KERAMIČARSKI RADOVI </t>
  </si>
  <si>
    <t xml:space="preserve">PODOPOLAGAČKI RADOVI </t>
  </si>
  <si>
    <t>Izvođač radova dužan je preuzete radove stručno i kvalitetno izvesti po opisu troškovnika, statičkom proračunu, te uzancama struke, u skladu sa tehničkim propisima i HRN-a. 
Upotrebljena rezana građa mora odgovarati i hrvatskim normama i to: hrastova piljena građa  HRN D. C1 021, jelova   HRN D.C1.041, borova  HRN D.C1.040, dok je na tesanu četinarsku građu obavezan HRN D.41.052.</t>
  </si>
  <si>
    <t xml:space="preserve">Obrada građe za tesarske radove vrši se pomoću mehanizacije na pilanama ili gradilištima. Građu na gradilištu treba zaštititi od vlage i ne deponirati je na mjesta predviđenom za krojenje građe. Mjesto za krojenje građe planirati do najveće udaljenosti 30,0 metara od mjesta ugrađivanja, kao uzdignuti pod na kojem će se vršiti crtanje i krojenje, a s jedne i druge strane podići nadstrešnice za smještaj neobrađene i skrojene građe. </t>
  </si>
  <si>
    <t>Obračun i detaljan opis radova prema tehničkim uvjetima za tesarske radove. Ovi uvjeti se mijenjaju ili dopunjuju pojedinim stavkama troškovnika.</t>
  </si>
  <si>
    <t>Svi radovi moraju biti izrađeni u skladu sa zahtjevima važećih standarda i u skladu sa uzancama zanata u građevinarstvu, te prema Tehničkom propisu za prozore i vrata (NN 69/06) i prema podacima iz projekta.
Ponuđač je dužan prije izvedbe bravarije dostaviti projektantu na uvid uzorak materijala u mjerilu 1:1 sa probnom postavom uzorka na mjestu ugradbe.</t>
  </si>
  <si>
    <t>Svi bravarski radovi moraju se izvesti prema nacrtima, opisu troškovnika i uputama projektanta ili nadzornog inženjera.
Vlastita konstruktivna rješenja i posebnost načina ugradnje, opšavni profili i predloženi okov prije ugovaranja ponuđač će usuglasiti sa zahtjevima projektanta.
Izvođač je dužan uzeti na gradilištu sve mjere otvora u koje se treba ugraditi bravarija te nakon toga pristupiti izradi iste. Prije početka izrade obavezno se moraju uskladiti mjere i količine na objektu s onima u projektima.
Svi materijali za izradu elemenata navedeni u troškovniku, kao i svi gotovi elementi i njihova montaža moraju odgovarati normama, a izrada mora biti prema pravilima zanata.</t>
  </si>
  <si>
    <t>Jedinična cijena mora sadržavati kompletno izrađene i ugrađene bravarske stavke na objektu do potpune funkcionalne i pogonske gotovosti. Sve mjere treba kontrolirati u naravi. Ako se zbog rokova ne može čekati da se za neki element uzmu mjere na objektu, izvodi se prema izvedbenom projektu uz pismeni dogovor sa glavnim izvođačem radova i nadzornom službom. Izvođač bravarskih radova treba s glavnim izvođačem radova u pisanoj formi  utvrditi  toleranciju mjera za pojedine stavke.
Svi radovi izvode se u dogovoru sa glavnim nadzornim inženjerom i gl.projektantom.
Sve bravarske radove izvesti iz kvalitetnog materijala, a prema detaljima i ovom opisu.</t>
  </si>
  <si>
    <t>Svi spojevi trebaju biti  vareni, obrađeni odnosno nitani prema propisu za te vrste radova. Upotrijebiti se mora točno odgovarajući profil i debljina lima.</t>
  </si>
  <si>
    <t xml:space="preserve">Ukoliko pojedinom stavkom nije drugačije propisano, ugradba će se izvesti upucavanjem na dozvoljenom broju mjesta, te će se smatrati da je sav materijal i rad za ovakav način ugradbe uračunat u jediničnu cijenu. 
Izvoditelj je obavezan po sklapanju ugovora, a prije početka proizvodnje, dostaviti glavnom projektantu i Naručitelju izvedbene nacrte i detalje na kontrolu i ovjeru te da zajedno s glavnim projektantom i investitorom izvrši pregled istih i njihovo usklađivanje sa ostalim građevinskim i građevinsko-obrtničkim  i instalaterskim radovima.
Svi definitivno izrađeni izvedbeni nacrti i detalji, predočeni uzorci okova odnosno predočeni prospekti tipiziranih elemenata moraju biti potpisani od strane glavnog projektanta i investitora.
</t>
  </si>
  <si>
    <t xml:space="preserve">Svi tehnički i fizikalni zahtjevi trebaju biti ispunjeni prema propisima ili prema posebnim traženjima projektanta. Konstrukcija mora biti dimenzionirana tako da sigurno prihvaća opterećenja i funkcije elemenata. </t>
  </si>
  <si>
    <t xml:space="preserve">OKOV:
Sav okov treba biti kvalitetne izvedbe i sa detaljima bravarije predočen nadzornom inženjeru i projektantu na odobrenje, a sadržan je u cijeni. </t>
  </si>
  <si>
    <t>OSTAKLJENJE
Izvođač staklarskih radova mora imati sistem osiguravanja kvalitete.
Za područje izolacijskog stakla potrebno je imati ugovor i vanjsku kontrolu nezavisne institucije te sistem unutranje kontrole. Proizvod mora biti dokazan prema standardu HRN - EN 1279 
Za područje sigurnosnog-kaljenog stakla ESG potrebno je imati sistem unutranje kontrole. Proizvod mora biti dokazan prema standardu HRN - EN 12150-1. 
Za područje sigurnosnog-kaljenog stakla ESG sa HST potrebno je raditi prema standardu HRN - EN 14179 i dokazati dokumentacijom.
Za područje djelomično-kaljenog stakla TVG potrebno je imati sistem unutranje kontrole. Proizvod mora biti dokazan prema standardu HRN - EN 1863-1.
Za područje sigurnosnog-ljepljenog stakla VSG potrebno je imati sistem unutranje kontrole. Proizvod mora biti dokazan prema standardu HRN - EN 12543-3, -4, -5, -6.</t>
  </si>
  <si>
    <t>Staklo od kojeg se proizvode izolacijsko staklo, ESG, ESG + HST, TVG i VSG mora odgovarati standardima HRN - EN 572-1, -2, nanosi za toplotnu i sunčanu zaštitu standardu HRN - EN 1096-1 i -2.
Izrada staklenih elemenata strukturalne fasade mora odgovarati zahtjevima standarda HRN - EN 13022. Vizualna kvaliteta ocenjuje se prema Smjernici za građevinska stakla – Hadamar</t>
  </si>
  <si>
    <t>Izvođač radova je prije izrade obavezan osigurati uzorke s tipovima stakla odabranim od strane glavnog projektanta.</t>
  </si>
  <si>
    <t>ALUMINIJSKA I ČELIČNA BRAVARIJA</t>
  </si>
  <si>
    <t xml:space="preserve">Izrada, dobava i ugradnja stavki vanjske i unutarnje bravarije u sistemima aluminijskih profila s ili bez prekida toplinskog mosta. Svi primijenjeni sistemi za vanjsku ugradnju moraju zadovoljiti opće zahtjeve "Tehničkog propisa o racionalnoj uporabi energije i toplinskoj zaštiti u zgradama" (NN 97/14, 130/14, 128/15) te projektne zahtjeve da prosječni koeficijent prolaza topline svih vanjskih otvarajućih stavki, iznosi Uw ≤ 1.55 W/m2K, a vanjskih fiksnih stavki Uw ≤ 1.30 W/m2K; uključujući linijske gubitke. Kvaliteta aluminijskih profila je HRN EN 573: EN AW 6060 T66. </t>
  </si>
  <si>
    <t xml:space="preserve">Tražena razina zaštite od buke ugrađenih elemenata iznosi Rw= 35 dB.  Prema potrebi mjerenjem dokazati utjecaj korekturnih koeficijenata (C, Ctr) na prigušenje buke u ugrađenom stanju.
Smjer otvaranja otvarajućih elemenata mora biti u skladu s HRN EN 12519.
Ugradbene dubine nosivih profila fasade i debljine stakla prema potrebi provjeriti od strane statičara.
Sastavni dio podloga za ponudu bravarskih stavki čine sheme iz projekta i radionički nacrti izrađeni od strane izvođača bravarskih radova, ovjereni od strane glavnog projektanta. </t>
  </si>
  <si>
    <t xml:space="preserve">Opšave i izolacijske radove (npr. RAL ugradnja) na priključcima stavki na nosivu konstrukciju uključiti u ponudu. </t>
  </si>
  <si>
    <t>Aluminijske unutarnje stijene:
Tražena razina zaštite od buke ugrađenih ostakljenih elemenata na zajedničkim prostorima iznosi Rw= min 40 dB. Pokretne pregradne stijene predvidjeti od elemenata obostrano obloženih MDF pločama. Stijene su debljine 10 cm, zvučne izolacije 55 dB.</t>
  </si>
  <si>
    <t>Preklapanje svih izolacionih folija (najmanje 100 mm) izvesti na objektu uz mehaničko učvršćenje i potrebnu toplinsku izolaciju. Izvoditelj radova obavezan je ispravno izabrati sve izolacijske materijale na unutarnjoj i vanjskoj strani fasade i to biti u stanju dokazati.</t>
  </si>
  <si>
    <t xml:space="preserve">UGRADNJA
</t>
  </si>
  <si>
    <t>Svi materijali za izradu fasada i obloga moraju biti prvoklasni, moraju odgovarati važećim standardima i moraju posjedovati ateste, a svi radovi moraju se izvoditi prema uputama proizvođača elemenata od kojih se radovi izvode.Ponuđač je dužan prije izvedbe fasade dostaviti projektantu na uvid uzorak materijala u mjerilu 1:1 sa probnom postavom uzorka na mjestu ugradbe.</t>
  </si>
  <si>
    <t>Za ponuđene radove izvođač preuzima obvezu potpunosti, što znači da treba ukalkulirati radove i sporedne radove, koji su nužni za izvedbu pojedine stavke, bez obzira jesu li navedeni u troškovniku. Troškovnik po potrebi treba dopuniti kada nisu navedeni dobave i radovi potrebni za propisnu izvedbu. Primjedbe treba dati u pisanom obliku prije preuzimanja posla.</t>
  </si>
  <si>
    <t>Jedinične cijene su fiksne i podrazumijevaju se za dobavu i obradu svih potrebnih materijala i pričvrsnih sredstava, uključujući istovar i skladištenje na gradilištu. 
Ponuditelj treba provjeriti lokalne uvjete (kolni i pješački pristup gradilištu, mogućnost postave skele i dr.). Investitor treba dati na raspolaganje struju, vodu i sanitarije bez nadoknade.
Sve stavke vrijede bez obzira na visinu zgrade. Mjere se uzimaju na građevini. Potrebno je uskladiti radove pojedinih struka na gradilištu. (Koordinator).</t>
  </si>
  <si>
    <t>Sve materijale treba prilikom transporta i skladištenja čuvati od vlage i stvaranja kondenzata, nagle promjene temperature i izlaganja suncu.</t>
  </si>
  <si>
    <t xml:space="preserve">Toplinsko-izolacijski fasadni sustav sa završnom obradom u klinker opeci prema uputama proizvođača.  Podloga mora biti suha, čista, bez nataloženih slojeva, prljavštine, prašine ili masnoće, ravna i nosiva. Obavezna je zaštita bravarije, stolarije, klupčica i okapa.  Sve izvesti do potpune  gotovosti prema uputstvima proizvođača i prema pravilima struke, projektnoj dokumentaciji i u skladu s odobrenjem projektanta.
</t>
  </si>
  <si>
    <t>OBLOGA OD KLINKER OPEKE</t>
  </si>
  <si>
    <t>U cijenu svih fasadnih elemenata su uključena sva spojna sredstva, okviri panela i potkonstrukcija, te sva krojenja i pripasivanja atipičnih panela. Svi detalji pričvršćivanja, spojeva, te rubnih panela izvode se prema uputstvima proizvođača.</t>
  </si>
  <si>
    <t>SVE MJERE OBAVEZNO KONTROLIRATI U NARAVI I STANJE ZAPISNIČKI KONSTATIRATI.
PRIJE IZRADE BRAVARIJE SVE MJERE OBAVEZNO UZETI NA SAMOJ GRAÐEVINI.</t>
  </si>
  <si>
    <t>SVE MJERE OBAVEZNO KONTROLIRATI U NARAVI I STANJE ZAPISNIČKI KONSTATIRATI.</t>
  </si>
  <si>
    <t>Sav materijal za izradu parketarskih radova mora zadovoljavati odgovarajuće propise i standarde:
HRN D.D5.021, 022  (hrast),
HRN D.D5.023  (bukva),
HRN D.D5.024   (jasen),
HRN D.D5.022 - ljepila atest proizvođača,
HRN U.F1.016 - lak atest proizvođača
HRN U.F2.016 - pokrivne i zidne letvice</t>
  </si>
  <si>
    <t>Kvaliteta svih upotrijebljenih materijala i izvedba mora odgovarati normama s obaveznom primjenom. 
Podloga za postavljanje parketa mora biti izvedena precizno i kvalitetno i mora biti potpuno horizontalna. Parketi se lijepe na podlogu specijalnim ljepilom za parkete koje se nanosi na podlogu nazubljenim gleterom, a premazana mora biti cijela površina.</t>
  </si>
  <si>
    <t xml:space="preserve">Polaganje se mora vršiti prema uputi proizvođača, uz predočenje atesta za ljepilo.
	Kutne letvice pričvršćuju se vijcima s plastičnim tiplom, moraju uz zid biti dobro priljubljene a spajanje letvica po dužini izvoditi kosim rezom. </t>
  </si>
  <si>
    <t>Ponuđač je dužan prije izvedbe parketa dostaviti projektantu na uvid uzorak materijala u mjerilu 1:1 sa probnom postavom uzorka na mjestu ugradbe. Nijansu parketa odredit će projektant.</t>
  </si>
  <si>
    <t>U izvedbi je uključeno ispitivanje i čišćenje podloge, izravnanje manjih neravnina, zaštita izrađenih površina, odvoz svih otpadaka po dovršenju radova, te dobava uzoraka u svrhu odobrenja.</t>
  </si>
  <si>
    <t>U jedinične cijene uključen je sav potreban materijal, uključivo ljepilom za parkete, transport do radnog mjesta, uskladištenje, izmjere potrebne za izvedbu i obračun, davanje uzoraka, čišćenje podloga od manjih nečistoća, sav rad na postavi parketa, brušenje, te lakiranje parketa u tri sloja, kao i dobava, pripasivanje i montaža odgovarajućih kutnih letvica. Uključivo čišćenje prostorija nakon radova, zatvaranje prostorija i zaštita izvedenih radova do primopredaje.</t>
  </si>
  <si>
    <t>Ako nije u troškovniku drugačije naznačeno, prijelaz iz prostorije u prostoriju istog nivoa učiniti kontinuirano bez prekida i praga. U cijenu uključiti dobavu i postavu inox T-lajsni na spoju parketa s drugim vrstama poda.</t>
  </si>
  <si>
    <t>Parketarske radove treba izvoditi u skladu s Tehničkim uvjetima za parketarske radove HRN U.F2.016, kao i pravilnika o tehničkim normativima za projektiranje i izvođenje završnih radova u građevinarstvu (Sl. list br.21/90).</t>
  </si>
  <si>
    <t>Agencija za pravni promet i posredovanje nekretninama, Savska cesta 41/VI, Zagreb</t>
  </si>
  <si>
    <t>OIB: 69331375926</t>
  </si>
  <si>
    <t>Višestambena zgrada</t>
  </si>
  <si>
    <t>Skela mora biti opremljena ogradama te čvrstom zaštitnom ceradom u punoj visini, penjalicama te  laganim zaštitnim krovom od plastičnih ploča na svakoj gornjoj otvorenoj etaži radi kontinuirane izvedbe radova. Skela se montira na svim pročeljima. Visina skele od kote terena iznosi do 12,50 m zavisno o koti terena koja varira. Neposredno iznad poda treba izvesti punu daščanu ogradu visine 20 cm u svrhu zaštite od padanja materijala sa poda skele. Visina ograde sa vanjske strane skele iznosi 120 cm.
Skelu treba izvesti uz propisnu signalizaciju  kako to nalažu postojeći HTZ propisi.</t>
  </si>
  <si>
    <t>Pomoćne skele prema općim uvjetima ovog troškovnika.</t>
  </si>
  <si>
    <r>
      <t>U jediničnim cijenama</t>
    </r>
    <r>
      <rPr>
        <sz val="10"/>
        <rFont val="Arial"/>
        <family val="2"/>
        <charset val="238"/>
      </rPr>
      <t xml:space="preserve"> uračunati su svi radovi  potrebni za izvršenje stavke, s dobavom potrebnog materijala i građevnih dijelova, s istovarom i uskladištenjem na gradilištu, sav horizontalni i vertikalni transport do radnog mjesta, kao i sva potrebna radna snaga i režijski troškovi.
Sve potrebne skele za građevinske radove moraju biti uračunate u jediničnim cijenama pojedinih stavaka troškovnika, te se ne smiju posebno obračunavati. Ovo se ne odnosi na fasadnu skelu.
</t>
    </r>
  </si>
  <si>
    <t>f.</t>
  </si>
  <si>
    <t>rogovi 12/16 cm</t>
  </si>
  <si>
    <t>trakasti temelji 40x80 cm</t>
  </si>
  <si>
    <t>Izvedba unutarnjih AB zidova prizemlja, 1.  i 2 kata  debljine  20 cm betonom C25/30 u dvostranoj glatkoj oplati. U cijenu uključena potrebna oplata za glatki  beton, te kutije za otvore i prodore u zidovima. Brtvljenje dilatacionih reški izvesti elastomernim brtvama. Kod betoniranja obavezno pratiti projekte instalacija. Obračun po m³ ugrađenog betona.</t>
  </si>
  <si>
    <t xml:space="preserve">ploča strop prizemlja </t>
  </si>
  <si>
    <t>ploča strop 1. kata</t>
  </si>
  <si>
    <r>
      <t>ploča strop 2. kata</t>
    </r>
    <r>
      <rPr>
        <b/>
        <sz val="10"/>
        <rFont val="Arial CE"/>
        <charset val="238"/>
      </rPr>
      <t xml:space="preserve"> </t>
    </r>
  </si>
  <si>
    <t>VZ3</t>
  </si>
  <si>
    <t>VZ1', VZ2', VZ3</t>
  </si>
  <si>
    <r>
      <t>m</t>
    </r>
    <r>
      <rPr>
        <vertAlign val="superscript"/>
        <sz val="10"/>
        <rFont val="Arial"/>
        <family val="2"/>
        <charset val="238"/>
      </rPr>
      <t>2</t>
    </r>
  </si>
  <si>
    <t>tvrde ploče od ekstrudiranog polistirena (XPS) d=3 cm</t>
  </si>
  <si>
    <t>elastificirani ekspandirani polistiren (EPS-T) u pločana (15 kg/m3) u dva sloja 2X1 cm;</t>
  </si>
  <si>
    <t>MK3</t>
  </si>
  <si>
    <t xml:space="preserve">Izvedba toplinske izolacije poda lođa iz ploča extrudiranog polistirena XPS ukupne debljine 10 cm. Svi detalji izvode se prema uputstvima proizvođača, uključivo sa dobavom potrebnog spojnog materijala u cijeni stavke.Obračun po m².  </t>
  </si>
  <si>
    <t>MK5</t>
  </si>
  <si>
    <t>Po postavi treba spojeve ploča gletati odgovarajućom masom i vidljive plohe zida premazati odgovarajućom impregnacijom (u cijeni) za završnu obradu bojanjem (bojanje u posebnoj stavci soboslikarskih radova)  ili za postavu keramičkih pločica (obračunate u keramičarskim radovima).  
Razred kvalitete obrade površine i spojeva K2. U cijenu su uključeni sav potreban rad i materijal: GK ploče, sva spojna sredstva, potkonstrukcija, te sva krojenja i pripasivanja. Svi detalji pričvršćivanja i spojeva, izvode se prema uputstvima proizvođača, koristeći samo materijale i alate koji su za to predviđeni. Obračun po m² izvedene obloge.</t>
  </si>
  <si>
    <t>obloga</t>
  </si>
  <si>
    <t>Dobava i postava PE folije, d=0,2 mm sa preklopom 10 cm u slojevima plivajućeg poda i oblogama zidova. PE folija se postavlja na slojeve toplinske izolacije u podovima na tlu i u međukatne konstrukcije (prema fizici). Postava horizontalno - slobodno položeno; postava vertikalno- točkasto fiksirano. Svi detalji pričvršćivanja i spojeva, izvode se prema uputstvima proizvođača, uključivo sa dobavom potrebnog spojnog materijala u cijeni stavke. Obračun po m².</t>
  </si>
  <si>
    <t>Dobava, razastiranje i planiranje sloja nabijenog šljunka ili tucanika debljine 20 cm u iskopu kao podloge ispod ab temeljne konstrukcije okoliša, građevine, te podnih ploča uz nabijanje do potrebne zbijenosti po uputi geomehaničara. Obračun po m³ planiranog nabijenog šljunka.</t>
  </si>
  <si>
    <t>Izvedba pripremnih radova što prema općim i posebnim uvjetima obuhvaća slijedeće: kontrolu i određivanje točnih geodetskih visina, provjeru mjera i veličina obuhvata, kontrolu i markiranje trasa instalacija i priključaka, kao i druge pripremne radove koje je potrebno izvesti kako bi se mogao definirati opseg radova, potrebni zahvati, te izraditi plan i redoslijed aktivnosti. Radove je obvezan izvršiti izvođač prije nego pristupi izvođenju ostalih radova, prema zajednički utvrđenoj dinamici od strane investitora i izvođača.</t>
  </si>
  <si>
    <t>OKOLIŠ</t>
  </si>
  <si>
    <t>Po izvršenom iskolčenju sastaviti zapisnik o iskolčenju. Obračun se vrši po izlasku na teren.</t>
  </si>
  <si>
    <t xml:space="preserve">Iskolčenje građevine i svih elemenata uređenja parcele (elemenata krajobraznog uređenja, pješačkih i kolnih površina ). Pri izvođenju iskolčenja izraditi nanosnu skelu i  postavljanje i održavanje dobro uočljivih iskolčenih oznaka na terenu od početka radova do predaje Skela mora biti čvrsto ugrađena u zemlju tako da ne postoji mogućnost njenog pomicanja tokom trajanja radova. Iskolčenje izvršiti geodetskim instrumentima. </t>
  </si>
  <si>
    <t>Armiranobetonski radovi za vodomjerno okno obračunati su u troškovniku vodoopskrbe i odvodnje.</t>
  </si>
  <si>
    <t>debljine 20 cm (ispod građevine)</t>
  </si>
  <si>
    <t>OPREMA</t>
  </si>
  <si>
    <t>Dobava, nabava i ugradnja podnog inox dilatacijskog "L" profila (praga) na mjestima spoja podnih obloga od različitih materijala. Profil minimalne širine  5 mm, visine prema visini završne podne obloge, učvršćen za podlogu navarenim sidrima. Profil ne smije viriti iz podne obloge. U cijeni kompletan materijal, sva pričvrsna i spojna sredstva, rad i alat do potpune gotovosti. Obračun po m'.</t>
  </si>
  <si>
    <t>Dobava i postava vanjske limene plastificirane prozorske klupčice od pocinčanog lima debljine 0.55 mm, razvijene širine do 33 cm. U cijeni je uključena dobava i postava klupčice, sve pomoćne konstrukcije i nosači od plosnog željeza, sva učvršćenja, podložna bitumenska ljepenka, te bojanje klupčice cink temeljnom bojom i završnom bojom prema boji boji aluminijske bravarije. Obračun po m' izvedene klupčice.</t>
  </si>
  <si>
    <t>kpl</t>
  </si>
  <si>
    <t>Ugradnja svih gore navedenih stavki dimnjaka</t>
  </si>
  <si>
    <t>Iskop prema kotama u izvedbenom projektu:</t>
  </si>
  <si>
    <t>do kote -1.02</t>
  </si>
  <si>
    <t>Planiranje dna iskopa za radove u st. 1.05.- 1.09., s točnošću +/- 2 cm, uključivo odsijecanje i prebacivanje viška iskopa. Izvesti ručno. Obračun po m².</t>
  </si>
  <si>
    <t>debljine 20 cm (pristupni pješački putevi)</t>
  </si>
  <si>
    <t>debljine 30 cm (parkirališta)</t>
  </si>
  <si>
    <t>Dobava, transport i zatrpavanje  humusnim zemljanim materijalom do završne kote projektiranog terena. Obračun po m³.</t>
  </si>
  <si>
    <t>Izvedba armiranobetonske podloge C12/15 debljine d=5 cm ispod podne ploče građevine i podnih ploča terasa. Oplata ruba uključena u cijenu. Kod betoniranja obavezno pratiti projekte instalacija. Ugradba strojna. Obračun po m³ ugrađenog betona.</t>
  </si>
  <si>
    <t>nadtemeljni zidovi 20 cm</t>
  </si>
  <si>
    <t>Izvedba AB ploče prizemlja zgrade na tlu debljine d=16 cm  i podnih ploča terasa debljine d=16 cm. Ploče su zaglađene s gornje strane kao priprema za postavljanje hidroizolacije i izvode se betonom C25/30 u glatkoj rubnoj oplati. 
Ploča se betonira po redosljedu i na način po uputi projektanta konstrukcije.
Jediničnom cijenom obračunati svu potrebnu oplatu i sva  potrebna podupiranja. Kod betoniranja obvezno pratiti projekte instalacija. Ugradba strojna. Obračun po m³ ugrađenog betona.</t>
  </si>
  <si>
    <t>Izvedba vanjskih AB zidova prizemlja, 1.  i 2 kata debljine  20 cm betonom C25/30 u dvostranoj glatkoj oplati. U cijenu uključena potrebna oplata za glatki  beton, te kutije za otvore i prodore u zidovima. Brtvljenje dilatacionih reški izvesti elastomernim brtvama. Kod betoniranja obavezno pratiti projekte instalacija. Obračun po m³ ugrađenog betona.</t>
  </si>
  <si>
    <t>Betoniranje AB greda raznih presjeka betonom C25/30, u glatkoj oplati.  
Grede izvesti prema izvedbenoj dokumentaciji. U jediničnu cijenu uključena sva podupiranja i oplate. Obračun po m³ ugrađenog betona.</t>
  </si>
  <si>
    <t>Betoniranje AB ploča međukatnih konstrukcija - stropova prizemlja, 1. i 2.  kata, debljine 20 cm, betonom C25/30, u glatkoj oplati.  U jediničnoj cijeni uključena izvedba potrebne oplate i podupiranja, te radnih skela. Kod betoniranja obavezno pratiti projekte instalacija.  Ugradba strojna. Ploču izvesti prema izvedbenoj dokumentaciji. Obračun po m³ ugrađenog betona.</t>
  </si>
  <si>
    <t>Zidarska obrada armiranobetonskih ploha izvedenih u glatkoj oplati za finalnu obradu (zidovi, stropovi, grede, stubište). Brušenje sitnih neravnina, naročito na sastavima oplate i rubovima. Zatvaranje i krpanje rupa od vezica i sl. Dobava materijala, transport do mjesta ugradbe, obrada ploha i obrada oko otvora obračunati su jediničnom cijenom.</t>
  </si>
  <si>
    <t>P1, P1', P2, P3, P4</t>
  </si>
  <si>
    <t xml:space="preserve">Obračun po m²   razvijene površine krova, uključivo sav pričvrsni materijal i zaštitni impregnacijski premaz sredstvom za zaštitu protiv insekata i gljivica. 
</t>
  </si>
  <si>
    <t xml:space="preserve">Dobava i izvedba toplinske izolacije poda na tlu grijanog, negrijanog i slabogrijanog prostora. Na zaglađenu betonsku podlogu postavljaju se </t>
  </si>
  <si>
    <t xml:space="preserve">Izvedba toplinske izolacije na odvajanju konstruktivnih elemenata iz XPS-a ukupne debljine 5 cm. Svi detalji izvode se prema uputstvima proizvođača, uključivo sa dobavom potrebnog spojnog materijala u cijeni stavke. Obračun po m².  </t>
  </si>
  <si>
    <r>
      <t>Bojenje vodootpornom bojom za beton u tonu po izboru projektanta  svih potpornih, ogradnih i parapetnih zidova okoliša. U cijenu uključiti: sve potrebne prethodne radnje i pripreme podloge, temeljni premaz impregnacijom prema uputi proizvođača, završni premaz valjkom ili prskalicom do potpune pokrivenosti, a najmanje u dva sloja.  Obračun po m</t>
    </r>
    <r>
      <rPr>
        <sz val="10"/>
        <rFont val="Tahoma"/>
        <family val="2"/>
      </rPr>
      <t>²</t>
    </r>
    <r>
      <rPr>
        <sz val="10"/>
        <rFont val="Arial"/>
        <family val="2"/>
        <charset val="238"/>
      </rPr>
      <t>.</t>
    </r>
  </si>
  <si>
    <r>
      <t>Bojenje gipskartonskih površina disperzivnim bojama u tonu prema izboru investitora. U cijenu uključiti: sve potrebne prethodne radnje i pripreme podloge, temeljni premaz disperzivnom impregnacijom prema uputi proizvođača, popravljanje disperzivnim kitom u završnom tonu, završni premaz valjkom ili prskalicom do potpune pokrivenosti, a najmanje u dva sloja.  Boja po izboru projektanta   Visina prostora do max 270 cm. Obračun po m</t>
    </r>
    <r>
      <rPr>
        <sz val="10"/>
        <rFont val="Tahoma"/>
        <family val="2"/>
      </rPr>
      <t>²</t>
    </r>
    <r>
      <rPr>
        <sz val="10"/>
        <rFont val="Arial"/>
        <family val="2"/>
        <charset val="238"/>
      </rPr>
      <t>.</t>
    </r>
  </si>
  <si>
    <t>Bojanje žbukanih/gletanih zidova i stropova  disperzivnom bojom u 2 premaza, uključivo  sve potrebne prethodne radnje i pripreme podloge (uključivo temeljni premaz disperzivnom impregnacijom prema uputi proizvođača). U stavku uključena obrada svih spojeva zidova međusobno, kao i zidova i stropova. Boja po izboru projektanta. Visina prostora do max 270 cm Obračun po m²</t>
  </si>
  <si>
    <t>21.</t>
  </si>
  <si>
    <t>22.</t>
  </si>
  <si>
    <t xml:space="preserve">Kod izvedbe vanjskih obloga u svemu se treba pridržavati tehničkih uvjeta za ovu vrstu radova kao i pravilnika o tehničkim normativima za projektiranje i izvođenje završnih radova u građevinarstvu (Sl. list br.21/90). </t>
  </si>
  <si>
    <t>Svi materijali za izradu vanjskih obloga moraju biti prvoklasni, moraju odgovarati važećim standardima i moraju posjedovati ateste, a svi radovi moraju se izvoditi prema uputama proizvođača elemenata od kojih se radovi izvode. Svi materijali kojima se oblažu podovi na evakuacijskim putevima moraju biti najmanje u klasi B1 prema normi HRN DIN 4102/1.</t>
  </si>
  <si>
    <t>Ponuđač je dužan prije izvedbe vanjskih obloga dostaviti projektantu na uvid uzorak materijala u mjerilu 1:1 sa probnom postavom uzorka na mjestu ugradbe i tek po izboru i odobrenju projektanta može otpočeti sa radovima</t>
  </si>
  <si>
    <t xml:space="preserve">Betonski opločnici su izrađeni prema normi HRN EN 1339:2004 i moraju zadovoljiti visoka trajnosna svojstva (otpornost na djelovanje mraza i soli, otpornost na habanje, vodonepropusnost i protukliznost). Polažu se na mikroarmiranu betonsku ploču, sa sljubnicama 3 - 5 mm, koje se zapunjavaju gotovim fug masama na bazi kvarcnog pijeska. Popločenje vatrogasnih pristupa je na mikroarmiranoj betonskoj ploči sa stabilizacijom podloge. Ploče su površinske obrade i boje po izboru projektanta. </t>
  </si>
  <si>
    <t>U jedinične cijene opreme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 Treba uračunati i izradu/popravak svih potrebnih ležajnih ploha, te dobavu i postavu tipskih potkonstrukcija i sidrenih detalja, svih pomoćnih materijala, sredstava za vezivanje i učvršćenje.</t>
  </si>
  <si>
    <t>BILJNI MATERIJAL
Kvalitetu biljnog materijala prethodno potvrđuju nadzorni inženjer i projektant. Sve sadnice moraju imati zdravstvene certifikate i garanciju o vrsti i varijetetu.
Jedinična cijena uključuje plitko prekopavanje, dobavu plodne zemlje, gnojiva, potrebne  kolce, vezivo, vodu za zalijevanje, sav ostali potreban rad, materijal i sredstva za sadnju. Obračun po komadu sadnice  i zatravljenoj površini.
Za početak radova na krajobraznom uređenju (sadnja i sjetva) potrebno je završiti sve građevinske radove na trasi. Ukoliko je upitan početak radova, sadnja i sjetva bi se trebala prebaciti na slijedeći pogodan period.</t>
  </si>
  <si>
    <t>TROŠKOVNIK 
GRAĐEVINSKO OBRNIČKO INSTALATERSKIH RADOVA</t>
  </si>
  <si>
    <t>GRAĐEVINSKO OBRTNIČKI RADOVI</t>
  </si>
  <si>
    <t>VODOOPSKRBA I ODVODNJA</t>
  </si>
  <si>
    <t>ELEKTROTEHNIČKE INSTALACIJE</t>
  </si>
  <si>
    <t>STROJARSKE INSTALACIJE</t>
  </si>
  <si>
    <t>SVEUKUPNI RADOVI</t>
  </si>
  <si>
    <t>PDV 25%</t>
  </si>
  <si>
    <t>SVEUKUPNI RADOVI S PDV-om</t>
  </si>
  <si>
    <t>A</t>
  </si>
  <si>
    <t>B</t>
  </si>
  <si>
    <t>C</t>
  </si>
  <si>
    <t>D</t>
  </si>
  <si>
    <t>SVEUKUPNA REKAPITULACIJA GRAĐEVINSKO OBRTNIČKO INSTALATERSKIH RADOVA</t>
  </si>
  <si>
    <t>U organizaciji gradilišta izvođač je dužan uz ostalo posebno predvidjeti:
 - prostorije za svoje kancelarije,
 - gradilište osigurati ogradom ili drugim posebnim elementima za sigurnost ljudi i zaštitu prometa i objektata,
 - postaviti vodootpornu natpisnu ploču od cca 3,5 x 2,5 metra sa svim potrebnim informacijama vezanim za gradilište u skladu s hrvatskim zakonima i smjernicama EU,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
 -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t>
  </si>
  <si>
    <t>Minimalna tekuća tehnološka ispitivanja su:
 - jedno ispitivanje stupnja zbijenosti na 1000 m2
 - jedno ispitivanje modula stišnjivosti na 1000 m2
 - jedno ispitivanje granulometrijskog sastava na 6000 m2
Ovi uvjeti se mjenjaju ili nadopunjuju pojedinim stavkama troškovnika.</t>
  </si>
  <si>
    <t>Kod izvedbe betonskih i armirano betonskih radova izvođač se u svemu mora pridržavati svih tehničkih propisa i standarda s obveznom primjenom za čelik, cement, agregat i ostale materijale:
 - Pravilnik o tehničkim normativima za izgradnju objekata visokogradnje u seizmičkim područjima (Sl. list 31/81, 29/83, 49/82, 20/88, 52/90)
 - Pravilnik o tehničkim normativima za temeljenje građevinskih objekata (Sl. list 15/90)
 - Pravilnik o tehničkim mjerama i uslovima za beton i armirani beton ( Sl. list 10/87 )
 - Tehnički propis za cement za betonske konstrukcije ( NN 64/05, 74/06 )
 - Tehnički propis za betonske konstrukcije ( NN 101/05, 139/09, 14/10, 125/10, 136/12) 
 - Svih tehničkih propisa i normativa s obaveznom primjenom za čelik, cement, agregat i ostale materijale.</t>
  </si>
  <si>
    <t>NORME ZA BETON:</t>
  </si>
  <si>
    <t>Jediničnom cijenom treba obuhvatiti:
 - uzimanje izmjera na objektu
 - izvedba betonske mase u betonari
 - dostava na gradilište
 - zaštita betona od niskih i visokih temperatura
 - ugradba u konstrukciju sa svim potrebnim horizontalnim i vertikalnim transportima 
 - potrebnu oplatu i radnu skelu ( izuzev fasadne skele )
 - uzimanje potrebnih uzoraka i ispitivanje materijala s predočenjem atesta
 - pregled armature prije savijanja sa čišćenjem i sortiranjem
 - sječenje, ravnanje i savijanje armature na gradilištu sa transportom do mjesta ugradnje ili savijanje u centralnom savijalištu, transport do radilišta, te horiz. i vert. transport već gotovog savijenog čelika do mjesta ugradnje.
 - postavljanje i vezanje armature točno prema armaturnim nacrtima, sa podmetanjem podložaka, kako bi se osigurala potrebna udaljenost između armature i oplate.
 - pregled armature od strane izvođača, statičara i nadzornog inženjera prije početka betoniranja.
 - čišćenje nakon završetka svih radova
 - svu štetu kao i troškove popravka kao posljedica nepažnje u toku izvedbe
 - troškove zaštite na radu i troškove atesta</t>
  </si>
  <si>
    <t>Jediničnom cijenom treba obuhvatiti:
 - pregled armature prije savijanja sa čišćenjem i sortiranjem
 - sječenje, ravnanje i savijanje armature na gradilištu sa transportom do mjesta ugradnje ili savijanje u centralnom savijalištu, transport do radilišta, te horiz. i vert. transport već gotovog savijenog čelika do mjesta ugradnje.
 - postavljanje i vezanje armature točno prema armaturnim nacrtima, sa podmetanjem podložaka, kako bi se osigurala potrebna udaljenost između armature i oplate.
 - pregled armature od strane izvođača, statičara i nadzornog inženjera prije početka betoniranja.</t>
  </si>
  <si>
    <t>Zidarski radovi i građevni proizvodi moraju imati tehnička svojstva i moraju se izvesti u skladu sa:
 - Tehničkim propisom za zidane konstrukcije (NN 01/07). 
 - Tehničkim propisom za cement za betonske konstrukcije ( NN 64/05, 74/06 )
 - Tehničkim propisom za betonske konstrukcije (NN 101/05, 139/09, 14/10, 125/10, 136/12))</t>
  </si>
  <si>
    <t>Na gradilištu se ne smije ugraditi građevni proizvod koji:
 - je isporučen bez oznake,
 - je isporučen bez tehničke upute za ugradnju i uporabu,
 - nema svojstva zahtijevana projektom ili mu je istekao rok uporabe, odnosno čiji podaci značajni za ugradnju, uporabu i utjecaj na svojstva i trajnost zidane konstrukcije nisu sukladni podacima određenim glavnim projektom.</t>
  </si>
  <si>
    <t>Svi materijali za izolaciju krova, podova i zidova trebaju odgovarati važećim tehničkim propisima i to:
 - Pravilnik o tehničkim mjerama i uvjetima za ugljikovodične hidroizolacije krovova i 	terasa (Sl. list br. 26/69)	
 - Tehničkim uvjetima izvođenja izolacijskih radova na ravnim krovovima HRN U.F2.024.
 -  Pravilnik o tehničkim mjerama i uvjetima za nagibe krovnih ploha (Sl. list br. 26/64)
 - Pravilnik o tehničkim normativima za projektiranje i izvođenje završnih radova u 	građevinarstvu (Sl. list br. 21/90)</t>
  </si>
  <si>
    <t>Jedinična cijena treba sadržavati:
 - uzimanje mjera za izvođenje i obračune,
 - sav materijal, uključujući pomoćni i vezni (čel.papuče, vijci itd.),
 - dobava materijala, te unutarnji transport do mjesta ugradbe,
 - sav rad,
 - zaštita na radu,
 - poravak štete na svojim i tuđim radovima,
 - uklanjanje svih ostataka i čišćenje,
 - zaštita izvedenih radova,
 - sva potrebna ispitivanja i atesti,
 - eventualni statički obračun za skele i druge pomoćne konstrukcije.</t>
  </si>
  <si>
    <t>Kod OSB ploča treba poštivati odredbe norme ÖNORM EN 300:
 - Klasa uporabe 1: nosivost,  suha gradnja
 - Klasa uporabe 2: nosivost, vlažni prostori</t>
  </si>
  <si>
    <t>U jediničnoj cijeni sadržano je:
 - dobava svog materijala: nosivih i montažnih profila, GK ploča i spojinih sredstava i materijala za zapunjavanje spojeva, bandažiranje i gletanje,
 - potrebna skela, 
 - sav rad opisan u stavci,
 - čišćenje po završrnom  radu, s odvozom otpadaka na gradsku deponiju,
 - popravci štete na vlastitim i drugim radovima nastali zbog nepažnje,
 - troškovi zaštite na radu, 
 - troškovi atesta</t>
  </si>
  <si>
    <t>Ponuđač nudi gotov stolarski element u čiju cijenu je uključeno:
 - izrada u radionici sa dostavom na gradilište, svim potrebnim materijalom i prvoklasnom izvedbom,
 - predočenje uzoraka materijala projektantu, sve pripremne i međufaze rada potrebne za korektno dovršenje stavke prema pravilima struke i važećim propisima bez obzira da li je sve to napomenuto u pojedinoj stavci
 - svi horizontalni i vertikalni transporti do mjesta ugradnje, 
 - montaža na gradilištu,
 - eventualno potrebna radna skela sa postavom i skidanjem (izuzima se fasadna skela)
 - ostakljenje vrstom stakla, naznačenom u troškovniku
 - završna obrada elementa kako je to u stavci posebno naznačeno
 - sav potreban okov sa sistemom dodatnog prozračivanja, poluolivama za prozore, kvakama sa štitnicima, bravom brtvljenje prema zidu i trajno elastični kit 
 - spojni i pričvrsni materijal renomiranih proizvođača, ev. sekundarne potrebne potkonstrukcije, završne obrade, uredno izvedene međusobne spojeve pojedinih stavaka unutar ove grupe radova ili raznovrsnih grupa radova 
 - čišćenje prostorija i okoliša nakon završetka radova, uključivo odvoz otpadnog materijala na gradsku planirku
 - sva šteta i troškovi popravka kao posljedica nepažnje u toku izvedbe,
 - troškovi zaštite na radu,
 - troškovi atesta.</t>
  </si>
  <si>
    <t>Potrebna dokumentacija koju će izvođač radova priložiti u cilju dokazivanja svojstava dijelova sistema i gotovih stavki određenih projektom i ovim troškovnikom (osim potrebnih karakteristika svakog sistema posebno):
 - Izjava o svojstvima, u skladu sa Zakonom o građevinskim proizvodima   (NN 76/13, 30/14) i klasifikacijskom normom HRN EN 14351-1 (prozori i vrata) i 
 - HRN EN 13830 (aluminijska ostakljena fasada)
 - Iskaz tolerancija mjera i oblika za profile, u skladu s   HRN EN 12020-2:2001.
 - Dokaz o čvrstoći spoja, tj. otpornosti na smik između profila i izolatora,  prozorskih profila, u skladu s EN 14024
 - Dokaz o sigurnosti od ispadanja i izbijanja  stakla iz fasadnih i prozorskih  okvira, u skladu s DIN EN 1999-1-1 (Eurocode 9 - fasade) i smjernicama TRAV  (prozori).
 - Proračune koeficijenta prolaza topline profila Uf i ukupnog koeficijenta prolaza topline Ucw, u skladu s EN ISO 10077-2
 - Statički proračuni profila i stakla prema potrebi</t>
  </si>
  <si>
    <t xml:space="preserve">Ugradnju vanjskih prozora izvesti u skladu s radioničkim nacrtima, ovjerenim od strane glavnog projektanta, a koji u moraju obuhvaćati slijedeće elemente ugradnje prozora (npr. RAL smjernice):
 - ugradnju prozora na pravilnu liniju izoterme 
 - paronepropusnost spoja s unutarnje strane i vodonepropusnost s vanjske
 - odgovarajuću širinu bočne fuge između štoka i zida širine  
 - ugradnju stakla s okvirom u skladu sa zahtjevima zaštite od buke </t>
  </si>
  <si>
    <t>Jedinična cijena mora sadržavati:
 - dobavu, transport, skladištenje te montažu svih elemenata do konačne ugradnje
 - sve predradnje prije montaže (geodetska izmjera, iscrtavanje potrebnih osi, visinske kote, uzimanje izmjere građevinskih otvora u naturi, te određivanje stvarne geometrije elemenata)
 - potrebne potkonstrukcije, svi sidreni i pričvrsni elementi neovisno o vrsti podloge štemanje i prilagodbu konstrukcije gdje je to potrebno
 - sve vrste limarskih opšava
 - svi prodori, otvori iI bušenje rupa u fasadnim elementima
 - svi priključci na druge konstrukcije i radove
 - priključci na konstrukciju uključivo toplinsku izolaciju, s vodonepropusnim a paropropusnim -folijama i paronepropusnim folijama	(osim ako u stavci nije drugačije navedeno)	
 - izradu izvedbene radioničke dokumentacije – detalji ugradbe elemenata sa 	potrebnim statičkim provjerama i označenim tipovima, karakteristikama i debljinama materijala, te usaglašenje detalja sa glavnim projektantom i glavnim nadzornim inženjerom
 - izradu oglednog uzorka 1:1 na objektu sa svim priključcima za odobrenje isporuke i montaže od strane Naručitelja, glavnog projektanta i glavnog nadzornog inženjer
 - dostava atestne dokumentacije - svih potrebnih certifikata, ispitivanja i uvjerenja
 - troškovi zaštite na radu
 - sudjelovanje voditelja gradilišta na koordinacijskim sastancima, te usklađivanje sa glavnim izvođačem radova i ostalim izvođačima
 - zaštita obloge zaštitnom folijom koja će biti uklonjena neposredno prije primopredaje
 - čišćenje i pranje fasade i svih elemenata i skidanje naljepnica
 - svi potrebni popravci i regulacije do preuzimanja
 - kontinuirano čišćenje mjesta rada i zbrinjavanje vlastitog otpada
 - svi troškovi šteta i popravaka na svojim ili tuđim radovima, koji su nastali nepažnjom u tijeku izvedbe
 - svi ostali radovi koji nisu navedeni, a neophodni su za dovršenje troškovničkih stavaka 	do potpune gotovosti</t>
  </si>
  <si>
    <t>11. izradu oglednog uzorka 1:1 na objektu sa svim priključcima za odobrenje isporuke i montaže od strane Naručitelja, glavnog projektanta i glavnog nadzornog inženjera
12. dostava atestne dokumentacije - svih potrebnih certifikata, ispitivanja i uvjerenja
13. sistemska fasada mora posjedovati ateste: vodotjesnosti, zrakotjesnosti, o zvučnoj izolaciji, o toplinskoj izolaciji, dokaz o kvaliteti površinske obrade elemenata
14. troškovi zaštite na radu
15. sudjelovanje voditelja gradilišta na koordinacijskim sastancima, te usklađivanje sa glavnim izvođačem radova i ostalim izvođačima
16. zaštita prozora zaštitnom folijom koja će biti uklonjena neposredno prije 	primopredaje
17.  čišćenje i pranje fasade i svih elemenata i skidanje naljepnica
18. zaštita prozora u cjelosti nakon ugradnje
19. svi potrebni popravci i regulacije do preuzimanja
20. kontinuirano čišćenje mjesta rada i zbrinjavanje vlastitog otpada
21. svi troškovi šteta i popravaka na svojim ili tuđim radovima, koji su nastali nepažnjom u tijeku izvedbe
22. svi ostali radovi koji nisu navedeni a neophodni su za dovršenje troškovničkih stavaka do potpune gotovosti</t>
  </si>
  <si>
    <t>Jedinična cijena mora sadržavati:
 - dobavu, transport, skladištenje te montažu svih elemenata do konačne ugradnje
 - sve predradnje prije montaže  (npr. određivanje stvarne geometrije elemenata)
 - svi prodori, otvori iI bušenje rupa 
 - svi priključci na druge konstrukcije i radove
 - priključci na konstrukciju uključivo toplinsku izolaciju, s vodonepropusnim a 	paropropusnim folijama i paronepropusnim folijama (osim ako u stavci nije drugačije 	navedeno)			
 - izradu oglednog uzorka 1:1 na objektu sa svim priključcima za odobrenje isporuke i 	montaže od strane Naručitelja, glavnog projektanta i glavnog nadzornog inženjera
 - dostava atestne dokumentacije - svih potrebnih certifikata, ispitivanja i uvjerenja troškovi 	zaštite na radu</t>
  </si>
  <si>
    <t>Za izbor podnih obloga važne su, ovisno o namjeni, slijedeće karakteristike  koje je izvođač dužan atestom potvrditi:
- kategorizacija materijala		DIN 66095
- otpornost na klizanje	
- otpornost prema habanju		DIN 54324
- čvrstoću na pritisk i savijanje	   	BS 4682, DIN 54318
- statičku i dinamičku stabilnost	BS 4682, DIN 54318
- dimenzionalna stabilnost
- klasa otpornosti na požar: 		B1 prema HRN-DIN 4102</t>
  </si>
  <si>
    <t>U jedinične cijene stavki uključiti: 
- transport do radnog mjesta, uključivo vertikalni i horizontalni prijevoz pločica unutar zone gradilišta (od mjesta uskladištenja na gradilištu do mjesta ugradbe) 
-  uključiti sav potreban materijal za ugradbu (pločice, kutnike, križiće, dvokomponentno ljepilo i masu za fugiranje iIi sitni spojni i brtveni materijal)
- sav rad, s rezanjem, brušenjem, pripasivanjem (izrezivanje pločica za razne 	instalacije i sl.), postavom pločica te fugiranjem.
- ispitivanje i čišćenje podloge, izravnanje manjih neravnina, precizno izvođenje 	priključaka opločenja na ostale građevne djelove, zaštita izrađenih površina
- Ponuđač je dužan prije izvedbe keramike dostaviti projektantu na uvid uzorak materijala u mjerilu 1:1 sa probnom postavom uzorka na mjestu ugradbe.
- pranje pločica i temeljito  čišćenje prostorija po završenom radu sa uklanjanjem šute i otpadaka, odvoz svih otpadaka po dovršenju radova</t>
  </si>
  <si>
    <t>Jedinična cijena mora sadržavati:
 - dobavu, transport, skladištenje te montažu svih elemenata do konačne ugradnje
 - sve predradnje prije montaže (geodetska izmjera, iscrtavanje potrebnih osi, visinske kote, uzimanje izmjere građevinskih otvora u naturi, te određivanje stvarne geometrije elemenata)
 - potrebne podkonstrukcije, svi sidreni i pričvrsni elementi neovisno o vrsti podloge
 - štemanje i prilagodbu konstrukcije gdje je to potrebno
 - ostakljenje
 - okove, brtve i sve vrste limarskih opšava
 - svi prodori, otvori iI bušenje rupa u aluminijskim profilima
 - svi priključci na druge konstrukcije i radove
 - priključci na konstrukciju uključivo toplinsku izolaciju, s vodonepropusnim a paropropusnim folijama i paronepropusnim folijama				
 - izradu izvedbene radioničke dokumentacije – detalji ugradbe elemenata sa potrebnim statičkim provjerama i označenim tipovima, karakteristikama i debljinama materijala, te usaglašenje detalja sa glavnim projektantom i glavnim nadzornim 	inženjerom
 - izradu oglednog uzorka 1:1 na objektu sa svim priključcima za odobrenje isporuke i montaže od strane Naručitelja, glavnog projektanta i glavnog nadzornog inženjera
 - dostava atestne dokumentacije - svih potrebnih certifikata, ispitivanja i uvjerenja
 - sistemska fasada mora posjedovati ateste: vodotjesnosti, zrakotjesnosti, o zvučnoj izolaciji, o toplinskoj izolaciji, dokaz o kvaliteti površinske obrade elemenata
 - troškovi zaštite na radu
 - sudjelovanje voditelja gradilišta na koordinacijskim sastancima, te usklađivanje sa glavnim - izvođačem radova i ostalim izvođačima
 - zaštita prozora zaštitnom folijom koja će biti uklonjena neposredno prije primopredaje
 - čišćenje i pranje fasade i svih elemenata i skidanje naljepnica
 - zaštita prozora u cjelosti nakon ugradnje
 - svi potrebni popravci i regulacije do preuzimanja
 - kontinuirano čišćenje mjesta rada i zbrinjavanje vlastitog otpada
 - svi troškovi šteta i popravaka na svojim ili tuđim radovima, koji su nastali nepažnjom u tijeku izvedbe
 - svi ostali radovi koji nisu navedeni a neophodni su za dovršenje troškovničkih stavaka do potpune gotovosti</t>
  </si>
  <si>
    <t xml:space="preserve">U jediničnoj cijeni sadržano je:
- dobava svog materijala: nosivih i montažnih profila, GK ploča i spojnih sredstava i materijala za zapunjavanje spojeva, bandažiranje i gletanje,
- potrebna skela, 
- sav rad opisan u stavci,
- čišćenje po završrnom  radu, s odvozom otpadaka na gradsku deponiju,
- popravci štete na vlastitim i drugim radovima nastali zbog nepažnje,
- troškovi zaštite na radu, 
- troškovi atesta
</t>
  </si>
  <si>
    <t>Pod kompletnom izvedbom  bravarskih  radova podrazumijeva se:
 - kontrola mjera na objektu
- izrada radioničke i montažne dokumentacije i usaglašavanje svih detalja sa glavnim projektantom, nadzornom službom i koordinacija sa kooperantima drugih radova
 - dokaz nosivosti -  statički račun ponuđene konstrukcije
 - kompletna dobava glavnih i pomoćnih materijala i stakla 
 - kompletna radionička izrada
 - transport do objekta i na objektu
 - skladištenje u radionici i na objektu
 - kompletna montaža
 - stavljanje svih elemenata u funkciju te kvantitativna i kvalitativna primopredaja uz predaju atesta, certifikata i dokumentacije</t>
  </si>
  <si>
    <t>Jedinična cijena mora sadržavati:
- sve predradnje prije montaže (geodetska izmjera, iscrtavanje potrebnih osi, visinske kote, uzimanje izmjere građevinskih elemenata u naturi, te određivanje stvarne geometrije elemenata)
- izradu radioničke dokumentacije – detalji ugradbe elemenata sa potrebnim statičkim provjerama i označenim tipovima, karakteristikama i debljinama materijala, te usaglašenje detalja sa glavnim projektantom i glavnim nadzornim inženjerom
- izradu statičkog proračuna i dokaza nosivosti, mehaničke otpornosti i stabilnosti, te usaglašenje i ovjera statike od strane glavnog projektanta statike
- izradu oglednih uzoraka 1:1 na objektu sa svim priključcima za odobrenje isporuke i montaže od strane Naručitelja, glavnog projektanta i glavnog nadzornog inženjera
- sudjelovanje voditelja gradilišta na koordinacijskim sastancima, te usklađivanje sa glavnim izvođačem radova i ostalim izvođačima
- sav rad u radionici, pripremu i rezanje te rad na gradnji
- transport materijala na gradilište, uskladištenje te doprema na mjesto ugradbe,
- korištenje manjih strojeva i alata,
- potrebne potkonstrukcije, svi sidreni i pričvrsni elementi neovisno o vrsti podloge
- svi bravarski spojevi na priključne konstrukcije
- potrebnu skelu,
- svi potrebni popravci i regulacije do preuzimanja
- kontinuirano čišćenje mjesta rada i zbrinjavanje vlastitog otpada
- svi troškovi šteta i popravaka na svojim ili tuđim radovima, koji su nastali nepažnjom u tijeku izvedbe
- zaštitu izvedenih radova do primopredaje,
- provođenje mjera HTZ
- dostava atestne dokumentacije - svih potrebnih certifikata, ispitivanja i uvjerenja
- svi ostali radovi koji nisu navedeni, a neophodni su za dovršenje troškovničkih stavaka do potpune gotovosti</t>
  </si>
  <si>
    <t>Jedinična cijena treba sadržavati:
- sav rad uključivo i uzimanje mjere na gradnji za izvedbu i obračun,
- sav materijal uključivo pomoćni te pričvrsni materijal,
- sav rad na gradnji i u radionici,
- sav transport i uskladištenje materijala,
- čišćenje i miniziranje željeznih dijelova
- dobavu i polaganje podložne ljepenke,
- ugradbu limarije upucavanjem,
- potrebne platforme, pokretnu skelu za montažu, kuke, užad, ljestve,
- ugradbu u ziđe ili sl. potrebnih obujmica, slivnika i sl.,
- čišćenje od otpadaka nakon izvršenih radova,
- zaštitu izvedenih radova do primopredaje.</t>
  </si>
  <si>
    <t xml:space="preserve">Kod preuzimanja građevnog proizvoda proizvedenog izvan gradilišta izvođač mora utvrditi: 
- je li građevni proizvod isporučen s oznakom u skladu s posebnim propisom i podudaraju li se podaci na dokumentaciji s kojom je građevni proizvod isporučen s podacima u oznaci, 
- je li građevni proizvod isporučen s tehničkim uputama za ugradnju i uporabu, 
- jesu li svojstva, uključivo rok uporabe građevnog proizvoda te podaci značajni za njegovu ugradnju, uporabu i utjecaj na svojstva i trajnost zidane  konstrukcije sukladni svojstvima i podacima određenim glavnim projektom. </t>
  </si>
  <si>
    <t>a) materijalne troškove tj. nabavnu cijenu materijala, povećanu za visinu cijena transporta (utovar, prijevoz, istovar i uskladištenje na gradilištu). Uskladištenje materijala treba provesti tako da materijal bude osiguran od vlaženja i lomova, jer se samo neoštećen i kvalitetan materijal smije ugrađivati. Ovo se odnosi na sve gotove prefabrikate, obrtničke proizvode i materijal za obrtničke radove. 
	Vezna sredstva također moraju biti prvorazredna. Cement, opeka, kameni agregat, pijesak, bitumen i sl. treba ispitati prema važećim tehničkim propisima i ateste predočiti nadzornom inženjeru.</t>
  </si>
  <si>
    <t xml:space="preserve">b) prijenose, prijevoze, dizanje, utovare i istovare materijala, pripremanje morta i betona, zaštićivanje konstrukcija od štetnih atmosferskih utjecaja, sve pomoćne radove kao skupljanje rasutog materijala, održavanje čistoće gradilišta, čišćenje objekta za 	vrijeme i nakon gradnje i sl. </t>
  </si>
  <si>
    <t>c)  skele, podupore i razupore. Skele moraju biti u skladu s propisima. Osim toga treba ukalkulirati sve potrebne zaštitne ograde, te rampe i mostove za prijevoz materijala po gradnji.</t>
  </si>
  <si>
    <t xml:space="preserve">d) Obračunska cijena koju izvođač nudi po pojedinim stavkama troškovnika treba obuhvatiti sve troškove, što se naročito odnosi na :
 - režijske troškove gradilišta te plaće tehničkog, administrativnog, čuvarskog i pomoćnog osoblja zaposlenog na gradilištu
 - pripomoć obrtnicima i instalaterima kojima treba osigurati prostoriju za smještaj alata i pohranu materijala, ustupanje radne snage za dubljenje, probijanje i bušenje te popravak žbuke nakon stolarskih i bravarskih, a prije soboslikarsko ličilačkih radova. Kod rada za vrijeme ljetnih vrućina, zime i kišnih dana treba osigurati konstrukcije od štetnih atmosferkih utjecaja, a u slučaju da dođe do oštećenja uslijed prokišnjavanja ili smrzavanja, izvođač će izvršiti popravke o svom trošku
 - čišćenje gradilišta od blata i odvođenje oborinske vode
 - krpanje, popravak obojenih ploha, te svi popravci oštećenja koja su nastala tokom gradnje, a trebaju se obaviti u garantnom roku
 - ispitivanje materijala, vodovodne instalacije, odnosno svi troškovi u vezi s dobavljanjem potrebnih atesta.
 - sve troškove osiguranja uskladištenog materijala, sve do ugradbe ili primopredaje istog. </t>
  </si>
  <si>
    <t xml:space="preserve">HRN EN 13830:2008             Ovješene fasade - norma za proizvod
HRN EN 12152:2002             Ovješene fasade - propusnost zraka, zahtjevi i razredba
HRN EN 12153:2000             Ovješene fasade - propusnost zraka, metoda ispitivanja
HRN EN 12154:1999             Ovješene fasade - vodonepropusnost
HRN EN 12155:2000             Ovješene fasade - vodonepropusnost – lab. ispitivanje pod statičkim tlakom
HRN EN 13116:2001             Ovješene fasade - otpornost na opterećenje vjetrom - zahtjevi za svojstva
HRN EN 12179:2008             Ovješene fasade - otpornost na opterećenje vjetrom – Metoda ispitivanja
HRN EN 14019:2008             Ovješene fasade - otpornost na mehanički udar, izvedbena svojstva
HRN EN ISO 10848-2:2008    Ovješene fasade - lab. mjerenje bočnog prijenosa zračnog i udarnog zvuka
HRN EN 13947:2008             Ovješene fasade - toplinske značajke ovješenih fasada- proračun koeficijent prolaska topline
</t>
  </si>
  <si>
    <t>HRN EN 410:1998       Staklo u graditeljstvu - određivanje svjetlosnih i sunčanih značajka ostakljenja
HRN EN 947:1998       Zaokretna i okretna vrata - određivanje otpornosti na vertikalno opterećenje
HRN EN 948:1999       Zaokretna i okretna vrata - određivanje otpornosti na statičku torziju
HRN EN 949:1998       Prozori i ovješene fasade vrata, rebrenice i zasloni - određivanje otpornosti na udar mekoga i teškoga tijela
HRN EN 950:1999       Određivanje otpornosti na udar tvrdim tijelom
HRN EN 1026:2000     Prozori i vrata - propusnost zraka, metoda ispitivanja
HRN EN 1027:2000     Prozori i vrata - metoda ispitivanja
HRN EN 1121:2000     Ponašanje između dva različita klimatska uvjeta - metoda ispitivanja
HRN EN 1191:2000     Prozori i vrata - otpornost na uzastopno otvaranje i zatvaranje - metoda ispitivanja
HRN EN 12046-1:2003 Sile otvaranja i zatvaranja - ispitne metode - 1.dio: prozori
HRN EN 12046-2:2000 Sile otvaranja i zatvaranja - metoda ispitivanja - 1.dio: vrata 
HRN EN 12211:2000   Prozori i vrata - Otpornost na opterećenje vjetrom - metoda ispitivanja
HRN EN ISO 140-3     Akustika - mjerenje razine zvuka u zgradama i elem. zgrada - 3.dio: lab. mjerenja
HRN EN ISO 717-1     Akustika - određivanje razine zvuka u zgradama
HRN EN ISO 12657  Termička svojstva prozora i vrata - lab. ispitivanjeprolaza topline pomoću vruće kutije 1. dio: gotovi prozori i vrata; 2.dio: krovni prozori</t>
  </si>
  <si>
    <t>HRN EN 14351-1:2006 prozori i vrata - norma za proizvod, izvedbene značajke; 1.dio: prozori i vanjska
                                  pješačka vrata bez otpornosti na požar
HRN EN 12207:2001    Prozori i vrata – Propusnost zraka, razredba
HRN EN 12208:2001    Prozori i vrata – Vodonepropusnost, razredba
HRN EN 12210:2001    Prozori i vrata – Otpornost na opterećenje vjetrom – Razredba
HRN EN 12211:2001    Prozori i vrata – Otpornost na opterećenje vjetrom – Metoda ispitivanja
HRN EN 1192: 2001     Vrata - razredba zahtjeva čvrstoče
HRN EN 1529:2001      Vratna krila - visina, širina, debljina i pravokunost - razredba dopuštenih odstupanja
HRN EN 1530:2001      Vratna krila - opća i lokalna ravnost - razredba dopuštenih odstupanja
HRN EN 12217:2005    Vrata - sile otvaranja i zatvaranja - zahtjevi i razredba
HRN EN 12219:2001    Vrata - klimatski utjecaji - zahtjevi i razredba
HRN EN 13115:2001    Prozori - razredba mehaničkih svojstava - vertikalno opterećenje, torzija, sile
                                  otvaranja i zatvaranja
HRN EN 179:2001       Građevni okovi - dijelovi izlaza za nuždu s kvakom ili pritisnom pločom - zahtjevi i
                                  metode ispitivanja</t>
  </si>
  <si>
    <t>HRN EN 12206:      Boje i lakovi - prekrivni materijali za aluminij i alu legure za arhitektonske potrebe  
HRN EN ISO 2808: Boje i lakovi- određivanje debljine filma
HRN EN ISO 8501: Priprema čeličnih podloga prije nanošenja boja i srodnih proizvoda - vizualna
                             procjena čistoče površine - 1.dio: Stupnjevi hrđanja i stupnjevi pripreme
                             nezaštićenih čeličnih površina nakon potpunog uklanjanja prethodnih prevlaka; 2.
                             dio: Stupnjevi pripreme prethodno zaštićenih čeličnih površina nakon
                             mjestimičnog uklanjanja prethodnih prevlaka
HRN EN 8503:        Priprema čeličnih podloga prije nanošenja boja i srodnih proizvoda - 1.dio:
                             specifikacije i definicije ISO komparatora profila površine; 2.dio: Metoda
                             stupnjevanja profila površine čelika čišćenog mlazom abraziva
HRN EN 12944-1:   Boje i lakovi - Zaštita od korozije čeličnih konstrukcija zaštitnim sustavom boja -  
                                     opći uvod</t>
  </si>
  <si>
    <t>HRN EN 13479:      Opća norma za dodatni i potrošni materijal za zavarivanje čelika - dodatni materijali i praškovi za zavarivanje taljenjem
HRN EN ISO 2560: Dodatni i potrošni materijal za ručno elektrolučno zavarivanje nelegiranih sitnozrnatih čelika - razredba
HRN EN 439:          Dodatni i potrošni materijali - zaštitni plinovi za REL i rezanje
HRN EN 440:          Dodatni materijali za zavarivanje čelika - žice za elektrolučno zavarivanje taljivom  elektrodom u zaštitnoj atmosferi plinova
HRN EN 1670:        Građevni okovi - otpornost na koroziju - zahtjevi i ispitne metode</t>
  </si>
  <si>
    <t xml:space="preserve">HRN EN 573:           Aluminij i alu legure - kem. sastav i oblici gnječenih proizvoda: EN AW 6060
HRN EN 755:           Aluminij i alu legure - istisnute šipke, cijevi i profili - dopuštena odstupanja mjera i
                              oblika
HRN EN 12020:       Aluminij i alu legure - istisnuti precizni profili od legura EN AW 6060 - dopuštena
                              odstupanja mjera i oblika
HRN EN 485:           Aluminij i alu legure - limovi, trake i ploče
HRN EN 1090:         Komponente čeličnih i aluminijskih konstrukcija: 1. dio - opći uvjeti isporuke
HRN EN 1090:         Izvedba čeličnih i aluminijskih konstrukcija: 2. dio -Tehnički zahtjevi za čelične
                              konstrukcije
HRN EN 10025;       Čelična legura: S235JR (sirovi profil)
HRN EN 10346;       Čelična legura: S 250 GD (valjani profili iz vruće pocinčanih  traka);
HRN EN 10149:       čelična legura:  S 260 NC (vučeni i normalizirani profili, elektrogalvanizirani)
HRN EN 10088        Legure inox profila - 1.4307 (AISI 304), 1.4401 (AISI 316), 1.4404 (316L)
HRN EN 10020:       Definicije i razredba vrsta čelika
HRN EN 10021:       Opći tehnički uvjeti isporuke za čelik i čelične proizvode
HRN EN 10027:       Sustavi označavanja za čelike; 1. dio nazivi čelika; 2. dio brojčani sustav
HRN EN 10025:       Toplo valjani proizvodi od konstrukcijskih čelika; 1. dio - Opći tehnički uvjeti isporuke 2. dio - Tehnički uvjeti isporuke za nelegirane čelike
HRN EN 10210-1:    Toplo oblikovani šuplji profili od nelegiranih i sitnozrnatih čelika; 1.dio: Tehnički uvjet isporuke
</t>
  </si>
  <si>
    <t xml:space="preserve">1.2  Izvođač se obavezuje izraditi i ugraditi aluminijsku/čeličnu fasadu i ostale otvore do potpune gotovosti, u već provjerenim i certifiranim sustavima, te se od njega očekuju visoka kvaliteta izvedbe. Prije početka radova izvođač je dužan izvršiti pripremne radnje propisane Zakonom o gradnji (NN br.153/13) i Zakonom zaštite na radu (NN 71/14...154/14).
Sva tehnička rješenja koja izvođač predlaže i primjenjuje moraju biti usklađena s HRN-ma i propisi
ma te usvojenim EN (kada je zakonom utvrđena njihova obvezna primjena).
Popis hrvatskih propisa i normi za izvođenje:
  </t>
  </si>
  <si>
    <t>VANJSKA ALUMINIJSKA BRAVARIJA I PVC STOLARIJA</t>
  </si>
  <si>
    <t>OSTAKLJENJE</t>
  </si>
  <si>
    <t>IZVOĐENJE</t>
  </si>
  <si>
    <t xml:space="preserve">Prije početka radova izvođač je dužan provjeriti sve građevinske elemente na koje ili u koje se ugrađuju elementi aluminijskih radova, i kontrolirati sve mjere na licu mjesta.
Obavezna je dostava izvješća o ispitivanju za prozore prije ugradnje! (u skladu s Tehničkim propisom za prozore i vrata NN 69/06). Rad uključuje i ugradnju elemenata, prema detaljima proizvođača, tj. izradu slijepih okvira i sidrenje u armirano betonski zid ili zid od opeke. Prilikom postave potrebno je u konstrukciji učvršćenja eliminirati sve toplinske mostove i galvanske spojeve, te izvesti potrebne dilatacije zbog temperaturnih rastezanja materijala zbog veličine stavki.
Na površinama koje čine cjelinu mora se upotrebljavati isti materijal, jednake kvalitete i iste boje.
Prije početka izvođenja radova izvođač mora pregledati i ispitati podobnost podloge, ispravnost rubova za ugradnju. S podloge treba prije ugradnje ukloniti sve nečistoće i otpatke. Sve pozicije vanjske stolarije izvesti prema shemama koje su sastavni dio troškovnika. Stavke i sheme se nadopunjuju, te ih ponuditelj treba proučiti. Na površinama koje čine cjelinu mora se upotrebljavati isti materijal, jednake kvalitete i iste boje. Prije početka izvođenja radova izvođač mora pregledati i ispitati podobnost podloge,
ispravnost rubova za ugradnju. S podloge treba prije ugradnje ukloniti sve nečistoće i otpatke. Ukoliko se stolarija na objekt ugrađuje prije žbukanja objekta, izvođač se obvezuje da će
ugrožene dijelove zaštititi od prskanja žbukom (vapnom, cementom) samoljepljivim trakama ili na drugi način. Ponuditelj je obvezan cijenom obuhvatiti izradu sve potrebne dokumentacije za izvođenje
(tehnološki projekt, radionička dokumentacija, detalje ugradnje i ostalo), te osigurati svu dokumentaciju za dokaz kvalitete izvedenih radova i ugrađenih materijala za sve pozicije aluminijskih radova. Za sve stijene pročelja kao i za unutarnje aluminijske stijene ponuditelj treba na temelju ponuđenih elemenata dati dokaz stabilnosti u pogledu krutosti stijena i pričvršćenja na zidove i ateste o otpornosti na udar vjetra za sve stavke „velikih“ dimenzija sigurnosti i stabilnosti (stijene i stakla). Obveza Izvoditelja je pribaviti suglasnost projektanta konstrukcije za svu navedenu tehničku dokumentaciju.
• Za stavke gdje je nužno ugraditi sigurnosno staklo Ponuditelj je obvezan sagledati isto te dopuniti opis stavke ako to u njoj nije predviđeno.
• Ako postoje neusklađenosti između projektnih rješenja i opisa troškovnika u odnosu na parametre iz elaborata fizike zgrade, mjerodavan je elaborat. Stoga je kod nuđenja alubravarskih+ radova ponuditelj dužan voditi računa da ponuđene sheme u svemu zadovoljavaju i fizikalna svojstva iz Elaborata fizike zgrade (toplina, zvuk). Ovo se dakako odnosi na unutarnje i vanjske stijene i ostakljenja.
• Svi ponuđeni materijali trebaju udovoljavati važećim normama što Izvoditelj dokazuje valjanim atestima kako je to niže navedeno.
</t>
  </si>
  <si>
    <t xml:space="preserve">• Protupožarna vrata i stijene trebaju biti izvedena u svemu da zadovolje uvjete protupožarne zaštite prema Projektu zaštite od požara, a za njih Izvoditelj treba ishoditi ateste ovlaštene institucije.Sva stakla na protupožarnim stavkama također moraju biti vatrootporna prema požarnom elaboratu.• Kod spoja aluminija ili PVC-a sa čelikom (veza PVC ili al-profil i slijepi štok te posebno detalji okova) riješiti detalj na način da se spriječi izjedanje materijala uslijed galvanske struje.
• Za sidrenje se ne dozvoljava uobičajeni sistem bušenja i nasilno utiskivanje betonskog željeza u rupu, već ugradnje tipskih normiranih i atestiranih uložaka.
• Završna tvornička boja na aluminijskoj bravariji mora biti izvedena stručno, bez vidljivih tragova ili oštećenja, ujednačenog tona prema RAL karti. Sve naknadne dopune i ispravke neće biti dopuštene.
• Izvoditelj je dužan ugraditi originalni okov za primijenjene aluminijske profile, a za sve eventualne prilagodbe prethodno ishoditi suglasnost projektanta i nadzornog inženjera.
• Prije početka rada Izvoditelj je dužan kontrolirati sve mjere na samom gradilištu za svaki pojedini element.
• Od Izvoditelja će se tražiti izrada ogledne stavke alu-bravarije.
• Kod protupožarnih stavki nisu dozvoljene nikakve inačice ili kombinirana rješenja već isključivo atestirana alu-bravarija ovlaštenog proizvođača.
• U cijeni alu-bravarskih radova kalkulirati i troškove ispitivanja zrakotijesnosti i zaštite od buke.
</t>
  </si>
  <si>
    <t xml:space="preserve">JEDINICA MJERE I JEDINIČNA CIJENA </t>
  </si>
  <si>
    <t>Obračun se vrši jedinicom mjere koja je određena stavkom. Jediničnom cijenom je obuhvaćena dobava i ugradnja materijala, provjera dimenzija na licu mjesta, prijevoz, skladištenje i manipulacija na gradilištu, rad na izradi i ugradnji, alati i potrebna energija za izvođenje radova, kao i propisana kontrola kvalitete. Isto tako jedinična cijena obuhvaća uklanjanje nedostataka i čišćenje otpadaka nastalih pri izvođenju aluminarskih radova.
Jediničnom cijenom je obuhvaćeno:
- Zastakljenje IZO staklom s jednim staklom niske emisije (Low-E obloge), Uf=1,5 W/m2K.
- svi prozori moraju biti izrađeni sa okovima, a stavka obuhvaća pripadajući okov, standardne kvalitete, po izboru projektanta i specijalni okov za pojedine stavke prema opisu
- posebnu pažnju posvetiti brtvljenju sa zidovima
- brtvi se sa metalno plastičnim kitovima, odnosno EPDM materijalima
- u cijeni je i sav uzidni i spojni materijal, okov, cilindar, brave, ručke rukohvata, kao i svi radovi oko nabave, transporta i ugradnje istog
- svi vijci i spojna sredstva se izvode od nehrđajućeg čelika, aluminija i sl. u antikorozivnoj izvedbi
- ispune se izvode od aluminijskih sendviča sastavljenih od termoizolacijskog materijala obostrano kaširanog aluminijskim limom. Ispune se u osnovnu konstrukciju učvršćuju na isti
način kao i ostakljenje.
- U stavku uračunati eventualne unutarnje klupčice i sve potrebne okapne limove i slično.
- U cijenu uračunati i podštok širine kao širina profila radi prilagodbe prozora postavljanju toplinske izolacije na špale kao i dobavu i montažu mehanizma s metalnim daljinskim ručkama za otvaranje dva gornja dijela. Kvaliteta, vrsta i oblik materijala određuje se na
osnovi namjene konstrukcije.</t>
  </si>
  <si>
    <t xml:space="preserve">HRN EN 14351-1:2006 Prozori i vrata – norma za proizvod, izvedbene značajke – 1. dio: Prozori i vanjska pješačka vrata bez otpornosti na požar i/ili propuštanje dima (EN 14351-1:2006) - HRN EN 1192:2001 Vrata – Razredba zahtjeva čvrstoće (EN 1192:1999)  (ili jednakovrijedne)
 HRN EN 1529:2001 Vratna krila – Visina, širina, debljina i pravokutnost – Razredba dopuštenih odstupanja (EN 1529:1999)  (ili jednakovrijedne)
- HRN EN 1530:2001 Vratna krila – Opća i lokalna ravnost – Razredba dopuštenih odstupanja (EN 1530:1999)  (ili jednakovrijedne)
- HRN EN 12207:2001 Prozori i vrata – Propusnost zraka – Razredba (EN 12207:1999)  (ili jednakovrijedne)
- HRN EN 12208:2001 Prozori i vrata – Vodonepropusnost – Razredba (EN 12208:1999)  (ili jednakovrijedne)
- HRN EN 12210:2001 Prozori i vrata – Otpornost na opterećenje vjetrom – Razredba (EN 12210:1999)  (ili jednakovrijedne) </t>
  </si>
  <si>
    <t xml:space="preserve">HRN EN 12210/AC:2005 Prozori i vrata – Otpornost na opterećenje vjetrom – Razredba (EN 12210:1999/AC:2002)  (ili jednakovrijedne)
- HRN EN 12217:2005 Vrata – Sile otvaranja i zatvaranja – Zahtjevi i razredba (EN 12217:2003)  (ili jednakovrijedne)
- HRN EN 12219:2001 Vrata – Klimatski utjecaji – Zahtjevi i razredba (EN 12219:1999) (ili jednakovrijedne)
- HRN EN 12608:2003 Profili od neomekšanog polivinil-klorida (PVC-U) za proizvodnju prozora i vrata – Razredba, zahtjevi i ispitne metode (EN 12608:2003) (ili jednakovrijedne)
- HRN EN 13115:2001 Prozori – Razredba mehaničkih svojstava – Vertikalno opterećenje,  torzija i sile otvaranja i zatvaranja (EN 13115:2001) (ili jednakovrijedne)
- HRN EN 179:2001 Građevni okovi – Dijelovi izlaza za nuždu s kvakom ili pritisnom pločom -– Zahtjevi i metode ispitivanja (EN 179:1997+A1:2001) (ili jednakovrijedne)
- HRN EN 179/A1/AC:2003 Građevni okovi – Dijelovi izlaza za nuždu s kvakom ili pritisnom pločom – Zahtjevi i metode ispitivanja (EN 179:1997/A1:2001/AC:2002) (ili jednakovrijedne)
- HRN EN 1125:2003 Građevni okovi – Dijelovi izlaza za nuždu s pritisnom šipkom – Zahtjevi i ispitne metode (EN 1125:1997+A1:2001) (ili jednakovrijedne)
- HRN EN 1125/A1/AC:2005 Građevni okovi – Naprave izlaza za nuždu s pritisnom horizontalnom šipkom – Zahtjevi i ispitne metode (EN 1125:1997/A1:2001/AC:2002) (ili jednakovrijedne)
- HRN EN ISO 10077-1:2002 Toplinske značajke prozora, vrata i zaslona – Proračun koeficijenta prolaska topline – 1. dio: Pojednostavljena metoda (ISO 10077-1:2000; EN ISO 10077-1:2000) (ili jednakovrijedne)
- HRN EN ISO 10077-2:2004 Toplinske značajke prozora, vrata i zaslona – Proračun koeficijenta prolaska topline – 2. dio: Numerička metoda za okvire (ISO 10077- 2:2003; EN ISO 10077-2:2003) (ili jednakovrijedne)
Norme za određivanje djelovanja vjetra
- HRN ENV 1991-2-4 Eurokod 1: Osnove projektiranja i djelovanja na konstrukcije – 2-4– dio: Djelovanja na konstrukcije – Opterećenje vjetrom (ENV 1991-2-3:1995) (ili jednakovrijedne)
</t>
  </si>
  <si>
    <t xml:space="preserve"> PVC STOLARIJA VANJSKA</t>
  </si>
  <si>
    <t>Ovi tehnički uvjeti odnose se na vanjsku PVC  stolariju građevine koje se ugrađuju na objektu. Kvalitetu izvedenih radova jamči izvođač dvije godine od dana kada su radovi preuzeti od strane nadzornog inženjera. Ako se u garantnom roku uoče nedostaci zbog loše izvedbe ili nekvalitetnog materijala, izvođač ih je dužan otkloniti o svom trošku. Prozori i vrata smiju se ugraditi u građevinu ako ispunjavaju zahtjeve propisane Tehničkim propisom za prozore i vrata (69/06) i ako su za njih izdane izjave o sukladnosti u skladu sa odredbama posebnog propisa. Dokumentacija s kojom se isporučuju prozori i/ili vrata mora sadržavati:
- Podatke koje povezuju radnje i dokumentaciju o sukladnosti prozora odnosno vrata i izjave
o sukladnosti u skladu sa odredbama posebnog propisa.
- Podatke u vezi s označavanjem prozora odnosno vrata propisane Tehničkim propisom za
prozore i vrata
- Druge podatke značajne za rukovanje, prijevoz, pretovar, skladištenje, ugradnju, uporabu i održavanje prozora i vrata, te podatke za njihov utjecaj na bitna svojstva i trajnost građevine.
Kod rekonstrukcije odnosno adaptacije građevine, novougrađeni prozori/vrata smiju imati
jednaka ili povoljnija svojstva od postojećih ugrađenih prozora/vrata odgovarajućeg položaja i namjene u građevini, a dokazivanje uporabljivosti tih prozora odnosno vrata provodi se odgovarajućom primjenom norma na koje upućuje Tehnički propis za prozore i vrata (NN 69/06).
Kod održavanja građevine vrijedi isto što i za rekonstrukciju s tim da se ne smije mijenjati
oblik i veličina zamijenjenog prozora odnosno vrata.</t>
  </si>
  <si>
    <t>Materijali koji se ugrađuju moraju biti novi - neupotrebljavani u skladu s hrvatskim normama i propisima. Materijali za koje ne postoje hrvatske norme moraju biti atestirani od strane ovlaštene institucije u Hrvatskoj, da odgovaraju predviđenoj namjeni. Osnovni materijali za izvođenje PVC radova su PVC profili. Kao osnovni materijali za izvođenje prozora upotrijebiti PVC peterokomorne profile s koeficijentom prolaza topline cijelog otvora s okviromprema navodu u stavkama s odgovarajućim okovom, dimenzioniranih prema shemi i dogovoru sa proizvođačem, u boji prema odabiru projektanta. Profili trebaju biti ugradbene širine minimalno 70 mm sa koestrudiranim brtvama i čeličnim ojačanjem. Ostakljenje treba biti prema specifikaciji u stavkama.</t>
  </si>
  <si>
    <t>Ostakljenje treba biti prema specifikaciji u stavkama. Izvođač staklarskih radova mora imati sistem osiguravanja kvalitete. Za područje izolacijskog stakla potrebno je imati ugovor i vanjsku kontrolu nezavisne institucije te sistem unutrašnje kontrole. 
Izvođač je u obvezi izraditi statički i toplinski proračun stakla. Proračun treba izraditi ili ovlašteni inženjer, ili treba biti izrađen certificiranim software-om. Statički proračun sastoji se od: Proračun sigurnosti stakla protiv loma pri projektnom pritisku vjetra, dokaz progiba za svaki tip i veličinu stakla. Izračun je potrebno izraditi za glavnu i rubnu zonu.  Proračun silikona i kompatibilnost odnosno pravilni odabir potvrditi izjavom ili certifikatom proizvođača silikona. Za svako staklo pripremiti toplinski proračun certificiranim software-om ili dokazati proračunom nezavisne institucije.</t>
  </si>
  <si>
    <t xml:space="preserve"> - sudjelovanje voditelja gradilišta na koordinacijskim sastancima, te usklađivanje sa glavnim izvođačem radova i ostalim izvođačima
 - čišćenje okoliša nakon rada tj, čišćenje vanjske obloge
 - svi potrebni popravci i regulacije do preuzimanja
 - kontinuirano čišćenje mjesta rada i zbrinjavanje vlastitog otpada
 - svi troškovi šteta i popravaka na svojim ili tuđim radovima, koji su nastali nepažnjom u tijeku izvedbe
 - svi ostali radovi koji nisu navedeni, a neophodni su za dovršenje troškovničkih stavaka 	do potpune gotovosti
</t>
  </si>
  <si>
    <t>na novoformiranoj k.č.br. 1148/4 k.o. Ivanić - Grad u Ivanić – Gradu</t>
  </si>
  <si>
    <t>(formirana od dijela k.č.br. 1148/1 k.o. Ivanić – Grad)</t>
  </si>
  <si>
    <t>TD: 228/24-IZ</t>
  </si>
  <si>
    <t>ZOP: APN-IG-228/24</t>
  </si>
  <si>
    <t>Mjesto i datum: Zagreb, veljača 2025.</t>
  </si>
  <si>
    <t>Čišćenje terena na mjestu izgradnje. U cijenu je obuhvaćeno sječenje grmlja,  stabala, te uklanjanje korjenja,  te svog otpadnog materijala i sl.   Stavka uključuje utovar i odvoz,  a raspolaganje drvom dogovoriti s predstavnikom Investitora i Nadzornim inženjerom.  Obračun po m² očišćene površine.</t>
  </si>
  <si>
    <t>debljine 35 cm (kolni pristup - zbijenost podloge (Ms&gt;=80 MN/m2))</t>
  </si>
  <si>
    <t>Dobava svih elemenata, materijala i ugradba drenažne cijevi uz  ukopani dio zgrade. Uključena izrada posteljice za drenažu od zbijenog zemljanog materijala i zatrpavanje iskopa za cijev šljunčanim materijalom. Drenažne cijevi su tvornički proizvedene perforirane cijevi od tvrdog PVC profila 200 mm. Zatrpavanje   i   zatvaranje   rova drenaže drenažnim kamenim materijalom - separirani drobljeni    kamen    granulacije    Ø30    -    Ø60 mm (alternativno riječni šljunak). U cijenu stavke uključen sloj kamena iznad geotekstila i geotekstil. Obračun cijevi po m', a drenažnog šljunka po m³.</t>
  </si>
  <si>
    <t>Izvedba AB trakastih temelja (80x80 cm) i nadtemeljnih zidova (d=20 cm)  betonom C25/30 u glatkoj rubnoj oplati. Temelji i nadtemeljni zidovi se betoniraju po redosljedu i uputi projektanta konstrukcije. Kod betoniranja obvezno pratiti projekte instalacija, te prodore cijevi brtviti. Ugradnja strojna.  
Jediničnom cijenom obračunati svu potrebnu oplatu kao i sva potrebna podupiranja. 
Temelje izvesti prema izvedbenoj dokumentaciji. Obračun po m³ ugrađenog betona.</t>
  </si>
  <si>
    <t>trakasti temelji 80x80 cm</t>
  </si>
  <si>
    <t>trakasti temelji stuba dim 40x100 i 50x97 cm</t>
  </si>
  <si>
    <t>trakasti temelji rampe dim 40x80 i 50x85 cm</t>
  </si>
  <si>
    <t>Izvedba AB trakastih temelja vanjskih stuba i rampa na tlu betonom C25/30 u glatkoj rubnoj oplati. Temelji stuba su dim 40x100 i 50x97 cm, a rampe su dim 40x80 i 50x85 cm. Temelji se betoniraju po redosljedu i uputi projektanta konstrukcije. Kod betoniranja obvezno pratiti projekte instalacija, te prodore cijevi brtviti. Ugradnja strojna.  
Jediničnom cijenom obračunati svu potrebnu oplatu kao i sva potrebna podupiranja. 
Temelje izvesti prema izvedbenoj dokumentaciji. Obračun po m³ ugrađenog betona.</t>
  </si>
  <si>
    <t>Izvedba AB ploče rampe na tlu debljine d=16 cm. Ploča se izvodi u nagibu od 5%,  zaglađena je s gornje strane kao priprema za postavljanje hidroizolacije i izvodi se betonom C25/30 u glatkoj rubnoj oplati. 
Ploča se betonira po redosljedu i na način po uputi projektanta konstrukcije.
Jediničnom cijenom obračunati svu potrebnu oplatu i sva  potrebna podupiranja. Kod betoniranja obvezno pratiti projekte instalacija. Ugradba strojna. Obračun po m³ ugrađenog betona.</t>
  </si>
  <si>
    <t>Izvedba AB vanjskih stubišnih krakova i ulaznog podesta na tlu. AB ploča podesta je d=16 cm i  zaglađena je s gornje strane kao priprema za postavljanje hidroizolacije. Stube i podest izvode se betonom C25/30 u glatkoj rubnoj oplati. Sve prema izvedbenom projektu i statičkom proračunu.
Jediničnom cijenom obračunati svu potrebnu oplatu i sva  potrebna podupiranja. Kod betoniranja obvezno pratiti projekte instalacija. Ugradba strojna. Obračun po m³ ugrađenog betona.</t>
  </si>
  <si>
    <t>stube</t>
  </si>
  <si>
    <t>ulazni podest</t>
  </si>
  <si>
    <r>
      <rPr>
        <sz val="10"/>
        <rFont val="Arial CE"/>
      </rPr>
      <t>d=20</t>
    </r>
    <r>
      <rPr>
        <b/>
        <sz val="10"/>
        <rFont val="Arial CE"/>
      </rPr>
      <t xml:space="preserve">  VZ1, VZ1', VZ2, VZ2', VZ3</t>
    </r>
  </si>
  <si>
    <r>
      <rPr>
        <sz val="10"/>
        <rFont val="Arial CE"/>
      </rPr>
      <t>d=20</t>
    </r>
    <r>
      <rPr>
        <b/>
        <sz val="10"/>
        <rFont val="Arial CE"/>
      </rPr>
      <t xml:space="preserve"> RZ1,  RZ2, RZ3, RZ4</t>
    </r>
  </si>
  <si>
    <t>Betoniranje AB krovne atike (zabati) zgrade debljine 20 cm i  promjenjive visine (iznad AB ploče), betonom 25/30 cm. Atiku izvesti prema izvedbenoj dokumentaciji. U jediničnu cijenu uključena sva podupiranja i oplate. Kod betoniranja obavezno pratiti projekte instalacija.  Ugradba strojna. Atiku izvesti prema izvedbenoj dokumentaciji. Obračun po m³ ugrađenog betona.</t>
  </si>
  <si>
    <t>Betoniranje AB unutarnjih stubišnih krakova d=14 cm i podesta trokrakog stubišta d=14 cm (prizemlje - 1.kat - 2. kat).
Jediničnom cijenom obračunati svu potrebnu oplatu i sva potrebna podupiranja. Ugradba strojna. Stube i ploče izvesti prema izvedbenoj dokumentaciji. Obračun po m³ ugrađenog betona.</t>
  </si>
  <si>
    <t>Iskopi i zatrpavanja  za sve rovove za polaganje vodovoda i kanalizacije, te kanalizaciona okna i vodomjerno okno obračunati su u troškovniku vodoopskrbe i odvodnje.</t>
  </si>
  <si>
    <r>
      <t xml:space="preserve">Izvedba betonske podloge C12/15 temeljnih konstrukcija debljine d=10 cm ispod trakastih temelja građevine, trakastih temelja </t>
    </r>
    <r>
      <rPr>
        <sz val="10"/>
        <rFont val="Arial CE"/>
        <charset val="238"/>
      </rPr>
      <t>zidova</t>
    </r>
    <r>
      <rPr>
        <sz val="10"/>
        <rFont val="Arial CE"/>
        <family val="2"/>
      </rPr>
      <t xml:space="preserve"> okoliša i rubnih temelja podnih ploča. Izvodi se na prethodno zbijenoj podlozi. Oplata ruba uključena u cijenu. Kod betoniranja obavezno pratiti projekte instalacija. Ugradba strojna. Obračun po m³ ugrađenog betona.</t>
    </r>
  </si>
  <si>
    <t>Zidarska obrada armiranobetonskih ploha okoliša izvedenih u glatkoj oplati za finalnu obradu (parapetni zidovi ulaznog podesta). Brušenje sitnih neravnina, naročito na sastavima oplate i rubovima. Zatvaranje i krpanje rupa od vezica i sl. Dobava materijala, transport do mjesta ugradbe, obrada ploha i obrada oko otvora obračunati su jediničnom cijenom.</t>
  </si>
  <si>
    <t>Izvedba   plivajućeg cementnog estriha mikrobetona armiranog vlaknima (2200 kg/m³), fino zaglađenog u izvedbi i dilatiranog u polja, debljina prema specifikaciji u stavci.
Postavlja se na PE foliju obračunatu u izolaterskim radovima.
Podloga mora biti bočno odijeljen od zidova trakom elastificiranog polistirena d=2 cm u debljini podloge, obračunatog u izolaterskim radovima. 
Površina podloge mora biti ravna i završno fino zaglađena i obrađena te pripremljena za polaganje završnog poda, u lokalnom padu ka podnim slivnicima. 
Jediničnom cijenom obračunati potrebnu armaturu, kao i izvedbu radnih reški i njihovu obradu. Obračun po m².</t>
  </si>
  <si>
    <r>
      <t>Izvedba mikrobetona armiranog vlaknima (2500 kg/m³) i armaturnom mrežom fino za</t>
    </r>
    <r>
      <rPr>
        <sz val="10"/>
        <rFont val="Arial CE"/>
      </rPr>
      <t xml:space="preserve">glađenog u izvedbi debljina prema specifikaciji u stavci  - otvoreni prostori.
Površina podloge mora biti ravna i završno fino zaglađena i </t>
    </r>
    <r>
      <rPr>
        <sz val="10"/>
        <rFont val="Arial CE"/>
        <family val="2"/>
      </rPr>
      <t>obrađena te pripremljena za polaganje završnog poda, u lokalnom padu ka podnim slivnicima. 
Jediničnom cijenom obračunati potrebnu armaturu, kao i izvedbu radnih reški i njihovu obradu. Obračun po m².</t>
    </r>
  </si>
  <si>
    <r>
      <t>u padu 6-8 cm -</t>
    </r>
    <r>
      <rPr>
        <b/>
        <sz val="10"/>
        <rFont val="Arial"/>
        <family val="2"/>
        <charset val="238"/>
      </rPr>
      <t xml:space="preserve"> P3, MK5</t>
    </r>
  </si>
  <si>
    <r>
      <t xml:space="preserve">ulazni podest d=6 cm - </t>
    </r>
    <r>
      <rPr>
        <b/>
        <sz val="10"/>
        <rFont val="Arial"/>
        <family val="2"/>
        <charset val="238"/>
      </rPr>
      <t>P4</t>
    </r>
  </si>
  <si>
    <t xml:space="preserve"> RZ5</t>
  </si>
  <si>
    <t>Gletanje svih armiranobetonskih zidova i stropova u građevini na kojima je napravljena zidarska obrada AB ploha izvedenih u glatkoj oplati za finalnu obradu. Gletanje u dva sloja do potpune glatkoće zida, s bandažiranjem svih  spojeva s drugim materijalima i postavom kutnih profila i bandažiranjem špaleta, s brušenjem poslije 1. i 2. sloja, te čišćenjem prostora nakon izvedbe.
U cijeni uračunata priprema, radna skela, sva zaštita, sav potreban materijal i rad do potpune gotovosti. Obračun po m² površine.</t>
  </si>
  <si>
    <t>Dobava montažnog dimovodno-dozračnog sustava koji se sastoji od dimovodnih cijevi od profilne izostatičke tehničke keramike (visina 66cm i 33cm), plašteva od laganog betona (visina 33cm, gustoća 1150 kg/m3), te ostalih elemenata prema uputi proizvođača. U negrijanom dijelu dimnjak je potrebno dodatno izolirati, a odvod kondenzata spojiti na kanalizacijski sustav preko sifona pri ugradnji.</t>
  </si>
  <si>
    <t>Namjena: ložište na plinsko gorivo</t>
  </si>
  <si>
    <t>Svojstva 1 prema HRN EN 13063-2: T200 P1 W2 O00 ili jednakovrijednoj; Svojstva 2 prema HRN EN 13063-3: T200 P1 W2 O00 ili jednakovrijednoj</t>
  </si>
  <si>
    <t>Dimenzije: dimovodni otvor Φ12cm, koncentrični dozračni otvor 19*19cm, vanjska mjera 28*28cm</t>
  </si>
  <si>
    <t>Materijal za skelu mora biti ispravan, prema svim važećim hrvaskim normama i pregledan od odgovorne osobe prije montaže.
Skela je obračunata kao cjelokupna površina pročelja i može biti obračunata samo jednom u toku cjelokupne izgradnje. Prije izvedbe skele izvođač je dužan izraditi projekt skele što je u cijeni stavke. Obračun se vrši po m² vertikalne projekcije površine skele.</t>
  </si>
  <si>
    <t xml:space="preserve">Dovoz, montaža, najam i demontaža cijevne fasadne skele s podnicama, ogradom u visini svake etaže. Skela služi za izvedbu svih radova izvan objekta odnosno na fasadi objekta i krovištu objekta, ali i svim drugim radovima koji zahtijevaju fasadnu skelu. Svi radovi oko postave, razne preinake i odvoz fasadne skele uključeni su u jediničnu cijenu. Skelu treba postaviti tako da se nesmetano može pristupiti svim pročeljnim elementima. Širina skele je 100 cm,  montira se na nužnoj udaljenosti od pročelja za nesmetano odvijanje radova. Skela mora biti propisno popođena mosnicama i ukrućena prema svim važećim propisima zaštite na radu i hrvatskim normama, a sigurna za sve prolaznike. Sidrenjem u objekt skela se mora osigurati od prevrtanja,  a isto tako skelu je potrebno uzemljiti i osigurati od udara groma. Za skelu je potrebno napraviti statički proračun i nacrt te dati na potvrdu nadzornom inženjeru. </t>
  </si>
  <si>
    <t>Membrana se ugrađuje u 2 sloja (bočni preklopi; 100mm, čeoni preklopi: 150mm) na podlogu pripremljenu sa temeljnim bitumenskim premazom u sustavu proizvođača membrane. Svi proizvodi trebaju biti kompatibilni. Radove izvesti prema uputama proizvođača materijala. Uključena obrada prodora. Obračun po m² površine.</t>
  </si>
  <si>
    <t xml:space="preserve">Hidroizolacija podnih ploča na tlu. Dobava i postava hidroizolacijske polimer-bitumenske plastomerne membrane težine 4.0 kg/m2, obostrano zaštićene sa PE folijom, ojačana staklenim voalom, prema EN 13707 ili jednakovrijedan ____________.                 Karakteristike: vlačna čvrstoća, uzdužna/poprečna: min. 300/200 N/mm (±20%) (12311-1 ili jednovrijedna __________), rastezanje, uzdužno/poprečno: min. 2/2 % (EN 12311-1 ili jednakovrijedan ____________). </t>
  </si>
  <si>
    <t xml:space="preserve">jednakovrijedna, EN 14891 ili jednakovrijedna, te EN 15814  ili jednakovrijedna____________. Karakteristike: gustoća min 1,50 kg/lit (EN 2811-1 ili jednakovrijedna________________); sadržaja VOC manje od 2g/l (EN 11890-2 ili jednakovrijedna________________); vlačna uzdužna čvrstoća armiranog sustava: min. 660 N (EN 12311-2 ili jednakovrijedna _________); poprečna vlačna čvrstoća armiranog sustava: min. 650 N (EN 12311-2 ili jednakovrijedna __________);    izduljenje pri slomu armiranog sustava uzdužno: min. 48% (EN 12311-2 ili jednakovrijedna __________); izduljenje pri slomu armiranog sustava poprečno: min. 50% (EN 12311-2 ili jednakovrijedna_____________); vlačna čvrstoća prionjivosti : min. 2,5 MPa( En 1542 ili jednakovrijedna______________), na beton min: 1,5 N/mm2 (EN 14891 ili jednakovrijedna ___________); premošćenje pukotina: min. 3,5 mm pri 20 °C / min. 1,5 mm pri -5 °C  (EN 14891 ili jednakovrijedna___________) i klasa CB2 (EN 15812 ili jednakovrijedna__________); paropropusnost :klasa II (EN 7783 ili jednakovrijedna___________); vodonepropusnost : min. 500 kPa (EN 14891 ili jednakovrijedna_________). </t>
  </si>
  <si>
    <t>Dobava i postava horizontalne i vertikalne hidroizolacije ukopanih dijelova građevine (dijelovi temelja i nadtemeljnih zidova) te sokla građevine. Izvodi se iz jednokomponentene elastomerne bitumenske tekuće membrane na vodenoj bazi, sve prema  EN 1504-2 ili</t>
  </si>
  <si>
    <t>Tekuća membrana se ugrađuje četkom, valjkom , gleterom ili strojno na podlogu (cementna, opeka, pločice, metal, drvo...) i sa svim dodatnim elementima istog sustava specificiranim od strane proizvođača materijala. Zaštita membrane na vertikali sa HDPE čepastom membranom ili XPSom (obračunato u drugoj stavci). Uključena obrada svih prodora uključujući cjevi, gromobran, pilote i sl.). Radove izvesti prema uputama proizvođača materijala. Svi proizvodi u sustavu trebaju biti kompatibilni. Obračun po m² površine.</t>
  </si>
  <si>
    <r>
      <t xml:space="preserve">Dobava i postava jednokomponentnog hidroizolacijskog morta na bazi cementa za brtvljenje betonskih ili cementnih površina. Prekid kapilarne vlage. Karakteristike:  tlačne čvrstoće~ 35 N/mm2 prema EN 12190 ili jednovrijedna __________ , vlačne čvrstoće ~ 6 N/mm2 prema EN 12190 jednovrijedna _________, propusnost vodene pare SD &lt; 5 m (klasa I) prema  EN ISO 7783 jednovrijedna __________ , na betonskim površinama. Premaz se ugrađuje u 2 sloja na pripremljenu betonsku podlogu  četkom i/ili gleterom s potrošnjom ca 4,0 kg/m2. Radove izvesti prema uputama proizvođača materijala. Obračun po m² obrađene površine.            </t>
    </r>
    <r>
      <rPr>
        <sz val="9"/>
        <rFont val="Arial CE"/>
      </rPr>
      <t xml:space="preserve">                                     </t>
    </r>
  </si>
  <si>
    <t>MK1', MK2', MK4'</t>
  </si>
  <si>
    <t>Dobava i ugradba drenažne PEHD čepasta traka za oblaganje ekstrudiranog polistirena vanjskog zida u tlu.  Čepovi okrenuti prema vanjskoj hidroizolaciji. Obavezno izvesti preklapanje od 10 cm s  žbukom pročelja.</t>
  </si>
  <si>
    <t>P1, P1', P2, P4</t>
  </si>
  <si>
    <t>Izvedba sigurnosne hidroizolacije sanitarnih
prostora na katovima, postavom dvokomp. elastičnog hidroizolacijskog morta na bazi cementa sa specijalnim alkalno otpornim polimerima, i sadržajem finih čestica agregata i odgovarajućih aditiva za
hidroizolaciju. Mort se izvodi na za to pripremljenu podlogu (podloga mora biti suha, čista, bez udjela ulja i masti, bez nevezanog materijala i cementnog mlijeka) u  dva sloja ukupne debljine 3 mm. U slučaju većih deformacija u prvi sloj je potrebno ugraditi polipropilensku mrežicu za armiranje. Sve spojeve zidova i ploča izvesti sa dodatnim ojačanjem (PP mrežica sa PVC ojačanjem za veće pomake). Potrošnja cca. 5 - 6  kg/mm/m². Svi detalji pričvršćivanja i spojeva, izvode se prema uputstvima proizvođača, uključivo sa dobavom potrebnog spojnog materijala u cijeni stavke. Obračun po m².</t>
  </si>
  <si>
    <t>K1</t>
  </si>
  <si>
    <t>Dobava i ugradnja razdjelnog sloja krovne oplatne folije (podložna membrana većeg stupnja vodonepropusnosti) ispod krovnog falcanog lima iz polimernog bitumena ojačanog staklenim voalom sa površinskim slojem od perforirane sintetičke tkanine, debljine 1,5 mm. Specifična težina cca. 1400 g/m2, samoljepljivi uzdužni spojevi. Polaganje s preklopima 10 cm oplatu od dasaka (uključena u tesarskim radovima). Sve  prema uputstvima proizvođača, uključivo sa dobavom potrebnog spojnog materijala u cijeni stavke. 
Obračun po m²  ugrađenog materijala.</t>
  </si>
  <si>
    <t xml:space="preserve">Dobava i montaža sigurnosnog žljeba koji se sastoji iz polimerne jednoslojne membrane -TPO/FPO  folije kojom se oblaže potkonsktrukcija ispod upuštenog žljeba RŠ 100cm. </t>
  </si>
  <si>
    <r>
      <t>Zatrpavanje mješanim zemljanim materijalom od iskopa oko zidova zgrade</t>
    </r>
    <r>
      <rPr>
        <sz val="10"/>
        <rFont val="Arial CE"/>
        <charset val="238"/>
      </rPr>
      <t xml:space="preserve"> i okolišnih zidova</t>
    </r>
    <r>
      <rPr>
        <sz val="10"/>
        <rFont val="Arial CE"/>
        <family val="2"/>
      </rPr>
      <t>, sa formiranjem terena. Obračun po m³.</t>
    </r>
  </si>
  <si>
    <t>Iskop prema kotama u izvedbenom projektu: do kote -0.75</t>
  </si>
  <si>
    <r>
      <t>Strojni iskop zemlje za temeljne trake prema zadanom profilu u zemlji "C" kategorije</t>
    </r>
    <r>
      <rPr>
        <sz val="10"/>
        <color rgb="FFFF0000"/>
        <rFont val="Arial CE"/>
        <charset val="238"/>
      </rPr>
      <t>.</t>
    </r>
    <r>
      <rPr>
        <sz val="10"/>
        <rFont val="Arial CE"/>
        <family val="2"/>
      </rPr>
      <t xml:space="preserve"> U cijeni je uključen iskop i osiguranje iskopa od urušavanja s  razupiranjem ako je to potrebno, utovar i odvoz, odnosno odbacivanje zemlje na rub jame za naknadno zatrpavanje iskopa oko temelja. Obračun po m³  iskopa zbijene zemlje.</t>
    </r>
  </si>
  <si>
    <t xml:space="preserve">do kote -1.65 </t>
  </si>
  <si>
    <t>do kote -1.40</t>
  </si>
  <si>
    <r>
      <t>Strojni iskop gornjeg sloja humusa debljine cca 30 cm. Stavka obuhvaća strojni iskop humusa sa guranjem do 50 m, te utovar i odvoz na privremenu deponiju na gradilištu za kasniju upotrebu. 
Obračun po m</t>
    </r>
    <r>
      <rPr>
        <sz val="10"/>
        <rFont val="Tahoma"/>
        <family val="2"/>
      </rPr>
      <t>³</t>
    </r>
    <r>
      <rPr>
        <sz val="10"/>
        <rFont val="Arial CE"/>
        <family val="2"/>
      </rPr>
      <t xml:space="preserve">  iskopa u sraslom stanju. </t>
    </r>
  </si>
  <si>
    <t>Strojni široki iskop u zemlji "C" kategorije sa odbacivanjem materijala u stranu. Iskop izvesti sa kosinama iskopa prilagođenim kategoriji terena (60°). Ako geomehaničar odredi uvidom na licu mjesta da treba izvesti zamjenu materijala ispod temelja iskop se vrši do nosivog terena.  
Stavka obuhvaća strojni iskop zemlje sa guranjem do 50 m, te utovar i odvoz na privremenu deponiju na gradilištu za kasniju upotrebu. Obračun po m³  iskopa zbijene zemlje.</t>
  </si>
  <si>
    <t>Dobava i ugradnja geotekstila (netkani geotekstil 300 g/m2) ispod tamponskog sloja vanjskih površina opločenja. Isti treba položiti na pripremljeno temeljno tlo (isplanirano i sabijeno). Minimalni preklop je 30 cm. Stavkom obuhvaćen sav materijal, oprema i rad.</t>
  </si>
  <si>
    <r>
      <t>Zatrpavanje oko temelja građevine,</t>
    </r>
    <r>
      <rPr>
        <sz val="10"/>
        <rFont val="Arial CE"/>
        <charset val="238"/>
      </rPr>
      <t xml:space="preserve"> okolišnih  zidova, pril</t>
    </r>
    <r>
      <rPr>
        <sz val="10"/>
        <rFont val="Arial CE"/>
        <family val="2"/>
      </rPr>
      <t xml:space="preserve">aznih puteva, stubišta i terasa </t>
    </r>
  </si>
  <si>
    <t>Dobava i izvedba folije za apsolutnu parnu branu s Sd˃700 - polimerbitumenska hidroizolacijska traka s uloškom Alu folije (1000 kg/m³), d=0,4 cm, trake za zavarivanje na hladnom bitumenskom prednamazu.  Membrana se slobodno polaže na podlogu u preklopu spoja od 8 cm. Ljepljenje uračunato u stavku.</t>
  </si>
  <si>
    <r>
      <t xml:space="preserve">7 cm - međukatne konstrukcije - </t>
    </r>
    <r>
      <rPr>
        <b/>
        <sz val="10"/>
        <rFont val="Arial"/>
        <family val="2"/>
        <charset val="238"/>
      </rPr>
      <t>MK3</t>
    </r>
  </si>
  <si>
    <t>Dobava i izvedba toplinske izolacije poda međukatnih konstrukcija. Na zaglađenu betonsku podlogu (tj. na sigurnosnu hidroizolaciju (MK1', MK2') postavljaja se:</t>
  </si>
  <si>
    <t>MK1, MK1', MK2, MK2', MK4, MK4'</t>
  </si>
  <si>
    <t>Dobava i izvedba toplinske izolacije poda međukatnih konstrukcija (negrijani iznad negrijanih prostora). Na zaglađenu betonsku podlogu postavljaja se:</t>
  </si>
  <si>
    <t>MK2, MK2'</t>
  </si>
  <si>
    <t>RZ3</t>
  </si>
  <si>
    <r>
      <t>VZ3</t>
    </r>
    <r>
      <rPr>
        <sz val="10"/>
        <rFont val="Arial CE"/>
        <charset val="238"/>
      </rPr>
      <t>, d=14 cm</t>
    </r>
  </si>
  <si>
    <r>
      <t>VZ3</t>
    </r>
    <r>
      <rPr>
        <sz val="10"/>
        <rFont val="Arial CE"/>
        <charset val="238"/>
      </rPr>
      <t>, d=10 cm</t>
    </r>
  </si>
  <si>
    <t xml:space="preserve">Izvedba toplinske izolacije nadtemeljnih zidova u tlu iz ploča extrudiranog polistirena XPS300 ukupne debljine 10 i 14 cm. Ploče su s rubnim preklopom u jednom sloju (30kg/m³) i na podlogu su ljepljene bitumenskom pastom bez organiskih otapala. Sve izvesti bez mehaničkog učvršćenja ploča TI (bez prodora u hidroizolaciju u dijelu zida u tlu). Svi detalji izvode se prema uputstvima proizvođača, uključivo sa dobavom potrebnog spojnog materijala u cijeni stavke.Obračun po m².  </t>
  </si>
  <si>
    <t xml:space="preserve">Izvedba toplinske izolacije podgleda i vertikalnih elemenata na spojevima sa spuštenom AB pločom međukatnih konstrukcija (grijani iznad negrijanih prostora) tvrdim pločama kamene vune. Debljina ploča je d=12 cm. Svi detalji pričvršćivanja i spojeva, izvode se prema uputstvima proizvođača, uključivo sa dobavom potrebnog spojnog materijala u cijeni stavke.Obračun po m².  </t>
  </si>
  <si>
    <t xml:space="preserve">Izvedba toplinske izolacije podgleda lođa i dijela grijanih iznad vanjskih prostora polutvrdim, hidrofobnim pločama kamene vune, vanjski sloj kaširan bitumeniziran staklenim voalom. Debljina ploča je d=16 cm. Svi detalji pričvršćivanja i spojeva, izvode se prema uputstvima proizvođača, uključivo sa dobavom potrebnog spojnog materijala u cijeni stavke.Obračun po m².  </t>
  </si>
  <si>
    <t>MK4, MK4', MK5'</t>
  </si>
  <si>
    <t>RZ1</t>
  </si>
  <si>
    <t xml:space="preserve">Izvedba toplinske izolacije zidova susjednih stanova. Debljina ploča je d= 5 cm. Svi detalji pričvršćivanja i spojeva, izvode se prema uputstvima proizvođača, uključivo sa dobavom potrebnog spojnog materijala u cijeni stavke. Obračun po m².  </t>
  </si>
  <si>
    <t xml:space="preserve">Dobava materijala i ugradnja kombi ploča kao toplinske izolacije zidova koji dijele grijani od negrijanog prostora zajedničkog hodnika i stubišta.
Kombi ploče su gotov proizvod koji se sastoji od obloge iz drvene vune i ispune od mineralne vune, ukupne debljine 10 cm. Pričvršćenje je sa min 9 kom pričvrsnica dimenzioniranih prema proizvođaču. U cijenu je potrebno uračunati dobavu i postavu potrebnog materijala, a radove izvesti prema uputama proizvođača. Svi slojevi i karakteristike materijala moraju biti usklađeni s projektom građevinske fizike. Završno izvedba lake podložne, rabicirane vapneno-cementne žbuke. Obračun po m² gotove obloge prema opisu. </t>
  </si>
  <si>
    <t>Dobava i postava hidroizolacije iz sintetičke membrane na bazi mekog PVC-a na balkonima/lođama, tj. na prohodnim krovovima, armirana poliesterskom mrežicom,  debljine d= 1,5 mm, obostrano zaštićene sa slojem geotekstila : donji 500 g/m2 , gornji : 300 g/m2. Membrane se polažu i mehanički fiksiraju za podlogu, nehrđajućim vijcima s podložnom pločicom u skladu s proračunom proizvođača hidroizolacijske membrane. Spojevi se obrađuju toplinskim ili kemijskim putem sa širinom vara od min. 3 cm, preklop 12 cm, u skladu s propisanom tehnologijom od strane proizvođača membrane.  Radove treba izvoditi tvrtka sa važećom potvrdom sa školovanja kod proizvođača membrane. Obračun po m² ugrađenog materijala.</t>
  </si>
  <si>
    <t>Jediničnom cijenom obračunata je i postava dvostrukog PP/PES filc (geotekstil) na slojeve hidroizolacije.
Uključivo vertikalno podizanje hidroizolacije na bočne zidove u visini od 10 cm. U cijeni su svi potrebni odgovarajući holkeri za vertikalno povijanje izolacije.</t>
  </si>
  <si>
    <t xml:space="preserve">Izvedba toplinske izolacije koja se polaže po podu potkrovlja iz ploča meke mineralne vune polagane u dva sloja s izmicanjem spojnica ploča, gornji sloj ploča kaširan paropropusnim staklenim voalom, ukupne debljine d=18 cm. 
Ploče mineralne vune se postavljaju na parnu branu koja je položena na armirano betonsku ploču (obračunata kao zasebna stavka).  </t>
  </si>
  <si>
    <t>MK3', MK3''</t>
  </si>
  <si>
    <t>MK1, MK1', MK2, MK2', MK3, MK3', MK3'', MK4, MK4', MK4''</t>
  </si>
  <si>
    <t>Zidanje unutarnjih zidova  blok opekom d=12 cm. Za zidanje  zidova upotrebljava se produžni cementni mort M-5. U cijenu je uključen sav rad i materijal te potrebna skela. Obračun po m³.</t>
  </si>
  <si>
    <t>Zidanje instalacijskih šahtova u etaži potkrovlja punom opekom d=12 cm. Za zidanje  zidova upotrebljava se produžni cementni mort M-5. U cijenu je uključen sav rad i materijal te potrebna skela. Obračun po m³.</t>
  </si>
  <si>
    <t>Gletanje svih ožbukanih zidova. Gletanje u dva sloja do potpune glatkoće zida, s bandažiranjem svih  spojeva s drugim materijalima i postavom kutnih profila i bandažiranjem špaleta, s brušenjem poslije 1. i 2. sloja, te čišćenjem prostora nakon izvedbe.
U cijeni uračunata priprema, radna skela, sva zaštita, sav potreban materijal i rad do potpune gotovosti. Obračun po m² površine.</t>
  </si>
  <si>
    <t xml:space="preserve">U cijenu svake pojedine stavke uključeno:
svi radovi dotične stavke, s dobavom potrebnog materijala, s istovarom i uskladištenjem na gradilištu, sav horizontalni i vertikalni transport do radnog mjesta, kao i sva potrebna radna snaga i režijski troškovi, te sve potrebne radove, predradnje i materijal prema uputama proizvođača. U svim stavkama uključen je sav vezni materijal, kuke, silikonski kit, ljepila, podložna protukondezacijska folija itd.    </t>
  </si>
  <si>
    <r>
      <t>Dobava i montaža</t>
    </r>
    <r>
      <rPr>
        <b/>
        <sz val="10"/>
        <rFont val="Arial"/>
        <family val="2"/>
      </rPr>
      <t xml:space="preserve"> </t>
    </r>
    <r>
      <rPr>
        <sz val="10"/>
        <rFont val="Arial"/>
        <family val="2"/>
        <charset val="238"/>
      </rPr>
      <t xml:space="preserve">krovnog pokrova na krovima s različitim nagibima od 15-28° iz </t>
    </r>
    <r>
      <rPr>
        <b/>
        <sz val="10"/>
        <rFont val="Arial"/>
        <family val="2"/>
      </rPr>
      <t xml:space="preserve"> </t>
    </r>
    <r>
      <rPr>
        <sz val="10"/>
        <rFont val="Arial"/>
        <family val="2"/>
        <charset val="238"/>
      </rPr>
      <t>aluminijskih traka u boji prema odabiru projektanta u izvedbi s dvostrukim stojećim prijevojem (falc). Vertikalni dio prijevoja je stožast, tako da u donjem ležajnom području traka ostane dilatacijski razmak 3-5 mm. Postava na glatku daščanu oplatu debljine min. 24 mm, vlaga do 20%, širina daske do 16 cm. (obuhvačeno zasebnom stavkom u tesarskim radovima).</t>
    </r>
  </si>
  <si>
    <t>Pričvršćenje traka pomoću nerđajućih fiksnih (2/3) i kliznih učvršćivača (1/3) uključeni u cijeni. Koristiti pričvrsnice sustavnog rješenja sa užljebljenih čavala od nehrđajućeg čelika i/ili vijke. Na oplatu položiti razdjelni bitumenski sloj sloj, krovna membrana sa samoljepljivim preklopom debljine 1.5mm (obuhvaćeno posebnom stavkom u izolaterskim radovima). Izvedba prema detaljnim uputama proizvođača. Obavezna uporaba gela za falcanje za nagibe ≥ 7° (13%) uključen u cijeni. U stavku uključiti sve krovne površine. Obračun po m² neto gotove površine krovova.</t>
  </si>
  <si>
    <t xml:space="preserve"> krovovi nagiba do 7°</t>
  </si>
  <si>
    <t>krovovi nagiba iznad 7°</t>
  </si>
  <si>
    <t>Dobava i ugradnja donjeg početka pokrova iznad visećih žljebova u ventiliranoj izvedbi uključivo: 
1.početnu traku za falcani alu lim r.š. 25 cm, 1,00 mm, 
2. uljevni lim (okapni lim) r.š. 33 cm, 0,70 mm,
3. perforirane rešetke za dovod zraka od alu lim r.š. 12.5 cm, 0,7 mm. Rupe perforacije su promjera 5 mm.
Boje i kvalitete materijala kao i osnovna pozicija. U cijenu uključiti eventualno potrebni pomoćni i spojni materijal, montirati vjetrootporno i s omogućenim dilatacijskim radom. Izvesti sve strogo prema uputstvima proizvođača kao sistemsko rješenje. 
Obračun po m'.</t>
  </si>
  <si>
    <t>Dobava i montaža opšava spoja upuštenog žljeba s fasadom sastavljen od: 
1. aluminijske dopunske trake R.Š. 25cm debljine 0,70 mm u boji i kvaliteti materijala kao osnovna pozicija. Falcani spoj svakih 2m.
2. početne aluminijske limove RŠ 12 x 2 debljine 1,00 mm.
3. perforirane rešetke za dovod zraka od alu lim r.š. 12.5 cm, 0,7 mm. Rupe perforacije su promjera 5 mm. 
Postaviti na daščanu podlogu zaštićena razdjelnim slojem kao i u stavci 06.01.
Obračun po m'.</t>
  </si>
  <si>
    <t>Dobava i ugradnja donjeg početka pokrova iznad upuštenih žljebova u ne-ventiliranoj izvedbi uključivo: 
1.početnu traku za falcani alu lim r.š. 25 cm, 1,00 mm, 
2. uljevni lim (okapni lim) r.š. 25 cm, 0,70 mm,
Boje i kvalitete materijala kao i osnovna pozicija. U cijenu uključiti eventualno potrebni pomoćni i spojni materijal, montirati vjetrootporno i s omogućenim dilatacijskim radom. Izvesti sve strogo prema uputstvima proizvođača kao sistemsko rješenje.
Obračun po m'.</t>
  </si>
  <si>
    <t>Dobava i ugradnja opšava zabatnih djelova krova pokrovnim limom kao osnovna pozicija od alu trakam debljine 0,70 mm (postava bočno-vertikalno na strehu) boje i kvalitete materijala kao osnovna pozicija (stavka 1) R.Š 35cm, uključivo donje početno-okapne alu trake r.š.20cm iz aluminija 1,00 mm montirati vjetrootporno i s omogućenim dilatacijskim radom. Obračun po m'.</t>
  </si>
  <si>
    <t>Dobava i ugradnja krovnih uvala u ne-ventiliranoj izvedbi uključivo uvalni lim RŠ 50 s duplim prevojem. Kvaliteta i boja materijala kao i osnovna pozicija pokrova. U cijenu uključiti nosivi lim (s obje strane plohe po jedan) RŠ 10 iz aluminija 1,0 mm i eventualno potrebni pomoćni i spojni materijal, montirati vjetrootporno i s omogućenim dilatacijskim radom. Napomena: Prelaz zraka iz jedne krovne plohe u drugoj izvodi se skraćivanjem letvama u drvenoj potkonstrukciji. Obračun po m¹ uključivo sve elemente.</t>
  </si>
  <si>
    <t>Dobava i ugradnja lomova krovnih ploha . Spoj je sastavljen od nosivog početnog lima za falcanje debljine 1,0 mm, (RŠ) 15 cm, te uključuje falc gel i pričvrsnice za završetak donjih krovnih traka. Obračun se vrši po dužnom metru (m¹), uključujući sve potrebne elemente za potpunu izvedbu. Obračun po m'.</t>
  </si>
  <si>
    <t xml:space="preserve">Dobava i ugradnja opšava otvora za odimljavanje dim. 126x126cm od aluminijskim limom d=0.7mm, r.š. 40 boje i kvalitete kao i osnovna pozicija. Montirati stručno u utorima ispod pokrivnih kapa prozora. Sve prema uputama proizvođača. </t>
  </si>
  <si>
    <t>Dobava i montaža cijevnog snjegobrana za falcani pokrov od alu lima, u boji kao osnovna pozicija (plastificirano). Sastoji se iz jednostrukih alu stezaljki s izduženom rupom (materjal EN AW 6060 T66) za falcani pokrov s 1 alu cijevi kružnog presjeka Ø 28x2 mm. Uključivo hvatača leda, dva kom po traci, odnosno 5 kom m1. Snjegobrani postavljaju se uzduž upuštenih žlejbova odnosno iznad donjeg početka krova strogo prema uputama proizvođaća. Na svaki falc postavlja se po jedna stezaljka. Obračun po m'.</t>
  </si>
  <si>
    <t>Dobava i ugradnja opšava dimnjaka 38x38 cm  (uključiti kitne lajsne)  aluminijskim limom RŠ 40 boje i kvalitete kao i osnovna pozicija. Lim uzdignut minimalno 15 cm. Uklljučiti sav spojni i brtveni materijal.
Obračun po komadu.</t>
  </si>
  <si>
    <t>Dobava i ugradnja opšava oko ventilacijskih otvora LRH na falcanom krovu od aluminijskim limom 0.7mm RŠ 40cm u boji i kvalitete kao i osnovna pozicija. Specijalno ljepilo uključeno u stavci. Element uzdignuti minimalno 15 cm oko prodora. Uklljučiti sav spojni i brtveni materijal.</t>
  </si>
  <si>
    <t>krovna kapa LRH 51x164 cm</t>
  </si>
  <si>
    <t>krovna kapa LRH 51x89 cm</t>
  </si>
  <si>
    <t>krovna kapa LRH 51x124 cm</t>
  </si>
  <si>
    <t>krovna kapa LRH 51x101 cm</t>
  </si>
  <si>
    <t>krovna kapa LRH 51x96 cm</t>
  </si>
  <si>
    <t>krovna kapa LRH 51x194 cm</t>
  </si>
  <si>
    <t>g.</t>
  </si>
  <si>
    <t>krovna kapa LRH 96x94 cm</t>
  </si>
  <si>
    <t>krovna kapa LRH 51x55 cm</t>
  </si>
  <si>
    <t>h.</t>
  </si>
  <si>
    <t>krovna kapa LRH 51x93 cm</t>
  </si>
  <si>
    <t>i.</t>
  </si>
  <si>
    <t>KROVNA ODVODNJA</t>
  </si>
  <si>
    <t xml:space="preserve">Dobava i ugradnja upuštenog sandučastog žlijeba iz aluminijskog lima u boji i kvaliteti kao osnovna pozicija, debljine 0,70 mm. Žljeb prati pad krovnih ploha. Žlijeb je razvijene širine 50 cm. Ugraditi u kutiju od dasaka obloženu folijama (stavka sigurnosni žljeb). Obračun po m'. </t>
  </si>
  <si>
    <t xml:space="preserve">Dobava i montaža visećih krovnih žljebova RŠ 333 (širina 120mm), sandučaste izvedbe, debljina 0,70 mm, boja standardna, s potrebnim kukama iz alu legure otporne na savijanje i zaokretanje, pričvrstiti na svakoj roženici ili pogodnoj strešnoj dasci (min. debljine 30 mm), dodatak sredstva za brtvljenje i lijepljenje, te odgovarajućih  alu patentnih zakovica (poštivati propise proizvođača!), stručno montirati u padu, uklj. upuštanje žljebnih kuka. Obavezno ugradnju dilatacije svakih 12 m dužine. Uključena sva potrebna zavešna bočna čela.
Obračun po m'. </t>
  </si>
  <si>
    <t>Dobava i ugradnja dilatacija za viseći žljeb RŠ 333 iz aluminijskog lima i EPDM gumom sa obrubom i blendom. Postava na svakih 12m visećeg žljeba. Dužina 260mm. Kvaliteta materijala kao osnovna pozicija. Obračun po kom.</t>
  </si>
  <si>
    <t>Dobava i ugradnja okruglih spojnih kotliča za viseći žljeb 333 Ø100mm iz aluminijskog lima 0.7mm boja i kvaliteta materijala kao osnovna pozicija. Uključivo sve spojne elemente prema uputama proizvođaća. Obračun po kom.</t>
  </si>
  <si>
    <t>Dobava i ugradnja odvodne cijevi DN 100 i DN 150 iz aluminijskog lima s dvostrukim prevojem. Boja i kvaliteta materijala kao osnovna pozicija uključivo sve potrebne obujmice, držače, trnove, revizijske otvore i koljena. Sve u kompletu prema uputama proizvođača. Obračun po m'.</t>
  </si>
  <si>
    <t>DN 100</t>
  </si>
  <si>
    <t>DN 150</t>
  </si>
  <si>
    <t xml:space="preserve">Dobava i montaža  aluminijske perforirane mrežice na donjim rubovima krovišta - mrežica za insekte, sve pozicije kao u izvedbenim detaljima. Obračun po m'.  
</t>
  </si>
  <si>
    <t>stupovi 14/14 cm</t>
  </si>
  <si>
    <t>nazidnice 14/16 cm</t>
  </si>
  <si>
    <t>grede 14/16 cm</t>
  </si>
  <si>
    <t xml:space="preserve">Dobava, krojenje elemenata,  i ugradnja drvenog višestrešnog krovišta iznad AB ploče drugog kata. Drveno krovište sastoji se od rogova, podrožnica i stupova.Građa: četinjače II klase klase (HRN U.C9.200 ili jednakovrijednoj).  Rogovi se postavljaju na razmaku 82-85 cm.  Izvesti sve prema  izvedbenom projektu. grede na drvene stupove osloniti tesarskim vezom i povezati čavlima. Stupove osloniti na stropnu ploču preko metalne papuče te povezati sa 2 M20 za ploču. Sve spojeve nosivih elemenata krovišta izvesti tesarskim tipskim detaljima (čavlana veza). Stavka uključuje sav vertikalni i horizontalni prijenos, sav materijal i spojna i pričvrsna sredstva, kompletno. </t>
  </si>
  <si>
    <t xml:space="preserve">Dobava i postava daščane oplate d=2,4cm. Ugrađuje se na drvenu konstrukciju krovišta za postavljanje pokrova od traka falcanog lima. Građa: četinjače II klase klase (HRN U.C9.200 ili jednakovrijednoj).
Stavka obuhvaća: završnu obradu blanjanjem, sve potrebne završne premaze i sav spojni materijal. Izvesti sve prema  izvedbenom projektu. Jediničnom cijenom obuhvatiti podizanje do mjesta ugradnje. Nagib krovnih ploha je do 7° i od 7-28°. </t>
  </si>
  <si>
    <t>Dobava, postava i ugradnja OSB ploča debljine d=18 mm kao zatvaranje krovišta prema dijelu ravnog krova. Obračun po m², uključivo sav pričvrsni materijal i zaštitni impregnacijski premaz sredstvom za zaštitu protiv insekata i gljivica.</t>
  </si>
  <si>
    <t>Dobava, postava i ugradnja "sanduka" za upušteni žlijeb od OSB ploča debljine d=18 mm. Obračun po m², uključivo sav pričvrsni materijal i zaštitni impregnacijski premaz sredstvom za zaštitu protiv insekata i gljivica</t>
  </si>
  <si>
    <t>Dobava, postava i ugradnja letvi dimenzija 8/5 cm, na maksimalnom razmaku od 80 cm. Postavljaju se na dašćanu oplatu krova (pokrov obračunat u zasebnoj stavci).
Građa: četinjače II klase klase (HRN U.C9.200 ili jednakovrijednoj). Stavka obuhvaća: završnu obradu blanjanjem, sve potrebne završne premaze i sav spojni materijal. Izvesti sve prema detalju u izvedbenom projektu. Obračun u m².</t>
  </si>
  <si>
    <t>Dobava i izvedba gipskartonske zidne obloge unutrašnjih AB zidova (zidovi susjednih stanova i dio zidova prema hodniku).</t>
  </si>
  <si>
    <t>Direktan ovjes na čelične pocinčane profile CD  odgovarajuće širine i razmaka postavljanja prema  debljini izolacije koja se ugrađuje ispod obloge, jednostruka obloga GK pločama deb. 1x12,5 mm (ispuna od mineralne vune, raznih debljina i PE folija obračunati su u izolaterskim radovima ovog troškovnika)</t>
  </si>
  <si>
    <t xml:space="preserve">Dobava i izvedba obloge za šahte EI 90.
Pregrada ukupne debljine 8,5 cm, s potkonstrukcijom iz jednostrukih profila  1x CW 50 na razmacima 62,5 cm. Pregrada je  obložena troslojnom oblogom GKF ploča 3x15.0 mm u vlažnim prostorima završna ploča je i vlagootporna, s PE folijom i postavom kamene vune  debljine d=4 cm po čitavoj površini i osiguranje od micanja.  Metalna potkonstrukcija se oslanja na podne i stropne konstrukcije, te obodne zidove ili stupove.  Svi učvrsni elementi kao što su vijci i čavli pocinčani su ili fosforizirani. Svi spojevi moraju biti izgletani i bandažirani trakom, a spojevi na strop zapunjeni bijelim akrilom. Postupak montaže prema smjernicama i uputama proizvođača.
U cijenu uključene ploče, potkonstrukcija i toplinska izolacija od kamene vune, PE folija, gletanje, bandažiranje (odnosno priprema podloge za ličenje),  sva potrebna protupožarna brtvljenja na granicama požarnih sektora i oko prodora (reviziona okna).  Razred kvalitete obrade površine i spojeva K2. Obračun po m² izvedenog kanala. </t>
  </si>
  <si>
    <t>RZ1, RZ2</t>
  </si>
  <si>
    <t>instalacijski elementi za umivaonik</t>
  </si>
  <si>
    <r>
      <t xml:space="preserve">Strojni široki iskop zemlje u prosječnom sloju od 40 cm za izvedbu slojeva kolne površine  na terenu interne pritsupne prometnice prema zadanom profilu, </t>
    </r>
    <r>
      <rPr>
        <sz val="10"/>
        <rFont val="Arial CE"/>
        <charset val="238"/>
      </rPr>
      <t xml:space="preserve"> u zemlji "C" kategorije</t>
    </r>
    <r>
      <rPr>
        <sz val="10"/>
        <rFont val="Arial CE"/>
      </rPr>
      <t>. Stavka obuhvaća strojni iskop zemlje sa guranjem do 50 m, te utovar i odvoz na privremenu deponiju na gradilištu za kasniju upotrebu. Obračun po m³  iskopa zbijene zemlje.</t>
    </r>
  </si>
  <si>
    <r>
      <t xml:space="preserve">Strojni široki iskop zemlje u prosječnom sloju od 40 cm za izvedbu slojeva na terenu za vanjska parkirališta prema zadanom profilu, </t>
    </r>
    <r>
      <rPr>
        <sz val="10"/>
        <rFont val="Arial CE"/>
        <charset val="238"/>
      </rPr>
      <t xml:space="preserve"> u zemlji "C" kategorije.</t>
    </r>
    <r>
      <rPr>
        <sz val="10"/>
        <rFont val="Arial CE"/>
      </rPr>
      <t xml:space="preserve"> Stavka obuhvaća strojni iskop zemlje sa guranjem do 50 m, te utovar i odvoz na privremenu deponiju na gradilištu za kasniju upotrebu. Obračun po m³  iskopa zbijene zemlje.</t>
    </r>
  </si>
  <si>
    <r>
      <t>Strojni iskop iskop zemlje u prosječnom sloju 20 za izvedbu slojeva popločane pješačke površine</t>
    </r>
    <r>
      <rPr>
        <sz val="10"/>
        <rFont val="Arial CE"/>
      </rPr>
      <t xml:space="preserve"> prema zadanom profilu  u  zemlji "C" kategorije. Stavka obuhvaća strojni iskop zemlje sa guranjem do 50 m, te utovar i odvoz na privremenu deponiju na gradilištu za kasniju upotrebu. Obračun po m³  iskopa zbijene zemlje.</t>
    </r>
  </si>
  <si>
    <t>Dobava, razastiranje i planiranje sloja pijeska  s dodatkom 10% hidrauličkog vapna debljine  5cm u iskopu kao podloge za postavljanje završnih obloga uređenja okolišnih staza oko građevine. Obračun po m³ planiranog sloja.</t>
  </si>
  <si>
    <t>Izvedba AB rubnih trakastih temelja (40x80 cm) podnih ploča terasa betonom C25/30 u glatkoj rubnoj oplati. U cijenu stavke uključiti i izvedbu AB nadtemeljnog zida okoliša (ulazni podest) d=20 cm. Temelji se betoniraju po redosljedu i uputi projektanta konstrukcije. Kod betoniranja obvezno pratiti projekte instalacija, te prodore cijevi brtviti. Ugradnja strojna.  
Jediničnom cijenom obračunati svu potrebnu oplatu kao i sva potrebna podupiranja. 
Temelje izvesti prema izvedbenoj dokumentaciji. Obračun po m³ ugrađenog betona.</t>
  </si>
  <si>
    <t>Komplet se sastoji od: posuda za kondenzat, otvor za reviziju i čišćenje x2, priključak ložišta x2, završna ploča s dozračnom rešetkom i konusom - ukupna visina 8,5 m</t>
  </si>
  <si>
    <t>Komplet se sastoji od: posuda za kondenzat, otvor za reviziju i čišćenje x2, priključak ložišta x3, završna ploča s dozračnom rešetkom i konusom - ukupna visina 11,4 m</t>
  </si>
  <si>
    <r>
      <t>5,5 cm - podovi na tlu (parket) -</t>
    </r>
    <r>
      <rPr>
        <b/>
        <sz val="10"/>
        <rFont val="Arial"/>
        <family val="2"/>
        <charset val="238"/>
      </rPr>
      <t xml:space="preserve"> P1</t>
    </r>
  </si>
  <si>
    <r>
      <t>6 cm - podovi na tlu (keramika) -</t>
    </r>
    <r>
      <rPr>
        <b/>
        <sz val="10"/>
        <rFont val="Arial"/>
        <family val="2"/>
        <charset val="238"/>
      </rPr>
      <t xml:space="preserve"> P1</t>
    </r>
  </si>
  <si>
    <r>
      <t>5 cm - podovi na tlu -</t>
    </r>
    <r>
      <rPr>
        <b/>
        <sz val="10"/>
        <rFont val="Arial"/>
        <family val="2"/>
        <charset val="238"/>
      </rPr>
      <t xml:space="preserve"> P1' i P2</t>
    </r>
  </si>
  <si>
    <r>
      <t xml:space="preserve">5,5 cm - međukatne konstrukcije (parket) - </t>
    </r>
    <r>
      <rPr>
        <b/>
        <sz val="10"/>
        <rFont val="Arial"/>
        <family val="2"/>
        <charset val="238"/>
      </rPr>
      <t>MK1, MK2, MK4</t>
    </r>
    <r>
      <rPr>
        <sz val="10"/>
        <rFont val="Arial"/>
        <family val="2"/>
        <charset val="238"/>
      </rPr>
      <t xml:space="preserve">, </t>
    </r>
    <r>
      <rPr>
        <b/>
        <sz val="10"/>
        <rFont val="Arial"/>
        <family val="2"/>
        <charset val="238"/>
      </rPr>
      <t>MK4''</t>
    </r>
  </si>
  <si>
    <r>
      <t xml:space="preserve">6 cm - međukatne konstrukcije (keramika) - </t>
    </r>
    <r>
      <rPr>
        <b/>
        <sz val="10"/>
        <rFont val="Arial"/>
        <family val="2"/>
        <charset val="238"/>
      </rPr>
      <t>MK1, MK2,</t>
    </r>
  </si>
  <si>
    <r>
      <t xml:space="preserve">5 cm - međukatne konstrukcije - </t>
    </r>
    <r>
      <rPr>
        <b/>
        <sz val="10"/>
        <rFont val="Arial"/>
        <family val="2"/>
        <charset val="238"/>
      </rPr>
      <t>MK1', MK2',</t>
    </r>
    <r>
      <rPr>
        <sz val="10"/>
        <rFont val="Arial"/>
        <family val="2"/>
        <charset val="238"/>
      </rPr>
      <t xml:space="preserve"> </t>
    </r>
    <r>
      <rPr>
        <b/>
        <sz val="10"/>
        <rFont val="Arial"/>
        <family val="2"/>
        <charset val="238"/>
      </rPr>
      <t>MK4'</t>
    </r>
  </si>
  <si>
    <t xml:space="preserve">Nabava doprema i ugradnja materijala za protupožarno brtvljenje na prodoru instalacija (strojarske, elektro i instalacije vodovoda i idvodnje) kroz stropne, podne i zidne konstrukcije na granicama požarnih sektora. Protupožarno brtvljenje se izvodi atestiranim materijalom iste klase vatrootpornosti kao klasa građevinskog elementa, a sve u skaldu sa HRN EN 1366-3. Stavka obuhvaća sav potreban materijal i alat na ugradnji istih. Obračun se vrši po komadu kompletno izvedenog protupožarnog brtvljenja. </t>
  </si>
  <si>
    <t>Krpanje šliceva instalacijskih prodora</t>
  </si>
  <si>
    <t xml:space="preserve">Krpanje šliceva instalacijskih prodora cementnim mortom. Obračun po m1. </t>
  </si>
  <si>
    <t xml:space="preserve">U cijenu svake pojedine stavke uključeno:
Dobava svog materijala, sav vanjski i unutrašnji transport do mjesta ugradbe. 
</t>
  </si>
  <si>
    <t xml:space="preserve">Dobava, doprema i postavljenje hrastovog panel parketa, gotovi, lakirani dvoslojni parket predstavlja lakiranu ploču s klik profilom, sa uzorkom parketa 70x500 mm  i boje po odabiru prokjektanta. Postavlja se  ljepljenjem  na podlogu odgovarajućim jednokomponentnim ljepilom postavljen po sistemu brodski pod. Sastoji se od međusobno slijepljena 2 sloja od kojih je  Ljepilo koje se koristi za međusobno povezivanje slojeva je PVAC vlagootporno ljepilo, a završna obrada je poliuretanski UV lak. Parket se polaže na suhu, čistu, tvrdu i ravnu podlogu. Ukoliko je visinska razlika veća od 2 mm na tekući metar, treba pod, prije polaganja, odgovarajuće izravnati. Sadržaj vlage u podlozi mora biti niži od 2% za betonski pod. Parket mora biti skladišten u zapakiranoj ambalaži u prostoru gdje će biti položen bar 10-15 dana prije početka polaganja.
Prije početka polaganja, treba pregledati sve daske, zbog odgovarajuće kombinacije.
U svemu prema uputstvu proizvođača. Obračun po m².                         </t>
  </si>
  <si>
    <t>Dobava i polaganje gotovih, lakiranih kutnih sokl letvice od hrastovine visine cca 10 cm za gotovi hrastov panel parket, završne obrade kao parket, prema odabiru projektanta. Uključivo sav pričvrsni materijal, vijci s upuštenom glavom.
Postavljanje na pripremljenu podlogu zidova točno po uputi proizvoditelja. Po m' razvijene dužine.</t>
  </si>
  <si>
    <t>PARKETARSKI RADOVI UKUPNO:</t>
  </si>
  <si>
    <t>U cijenu svake pojedine stavke uključeno:
Dobava svog materijala, sav vanjski i unutrašnji transport do mjesta ugradbe. Ljepljenje pločica, fugiranje i čišćenje.
Sve radne platforme, pomične i nepomične skele za radove do visine jedne etaže (do max 265 cm).</t>
  </si>
  <si>
    <r>
      <t>Popločenje podova zajedničkih</t>
    </r>
    <r>
      <rPr>
        <sz val="10"/>
        <rFont val="Arial"/>
        <family val="2"/>
        <charset val="238"/>
      </rPr>
      <t xml:space="preserve"> prostora</t>
    </r>
    <r>
      <rPr>
        <sz val="10"/>
        <rFont val="Arial"/>
        <family val="2"/>
      </rPr>
      <t xml:space="preserve"> hodnika i  stubišta protukliznim (R9) podnim pločicama A klase, mat izvedbe. </t>
    </r>
    <r>
      <rPr>
        <sz val="10"/>
        <rFont val="Arial"/>
        <family val="2"/>
        <charset val="238"/>
      </rPr>
      <t>Pločice su dimenzija 60x60 cm, boje po odabiru projektanta,</t>
    </r>
    <r>
      <rPr>
        <sz val="10"/>
        <rFont val="Arial"/>
        <family val="2"/>
      </rPr>
      <t xml:space="preserve"> slažu se fuga na fugu.  Pločice se specijalnim cem.ljepilom lijepe na cem.estrih, te fugiraju masom za fugiranje iste boje kao pločice, sve od istog proizvođača.  Uz zid izvesti sokl istom pločicom visine 7 cm. Na spojevima keramičke podne obloge za drugim vrstama podnih obloga ugraditi aluminijski profil </t>
    </r>
    <r>
      <rPr>
        <sz val="10"/>
        <rFont val="Arial"/>
        <family val="2"/>
        <charset val="238"/>
      </rPr>
      <t>(uključen u zidarskim radovima).</t>
    </r>
    <r>
      <rPr>
        <sz val="10"/>
        <rFont val="Arial"/>
        <family val="2"/>
      </rPr>
      <t xml:space="preserve"> Plohe moraju biti vodoravne ili u padu prema odvodima u podu. Pojedine pločice ne smiju viriti izvan ravnine poda. U cijenu uključeno ljepilo i masa za fugiranje. Obračun po m</t>
    </r>
    <r>
      <rPr>
        <sz val="10"/>
        <rFont val="Tahoma"/>
        <family val="2"/>
      </rPr>
      <t>²</t>
    </r>
    <r>
      <rPr>
        <sz val="10"/>
        <rFont val="Arial"/>
        <family val="2"/>
        <charset val="238"/>
      </rPr>
      <t xml:space="preserve"> opločenog poda.</t>
    </r>
  </si>
  <si>
    <t>zajednički prostori</t>
  </si>
  <si>
    <t>pod</t>
  </si>
  <si>
    <t>sokl</t>
  </si>
  <si>
    <r>
      <t>m</t>
    </r>
    <r>
      <rPr>
        <sz val="10"/>
        <rFont val="Tahoma"/>
        <family val="2"/>
      </rPr>
      <t>'</t>
    </r>
  </si>
  <si>
    <t>stubište</t>
  </si>
  <si>
    <t>čela i nagazi</t>
  </si>
  <si>
    <t>kosi sokl</t>
  </si>
  <si>
    <r>
      <t xml:space="preserve">Popločenje podova kuhinja stanova protukliznim (R9) podnim pločicama A klase. </t>
    </r>
    <r>
      <rPr>
        <sz val="10"/>
        <rFont val="Arial"/>
        <family val="2"/>
        <charset val="238"/>
      </rPr>
      <t xml:space="preserve">Pločice su dimenzija 60x60 cm, boje po odabiru projektanta, slažu se fuga na fugu.  </t>
    </r>
    <r>
      <rPr>
        <sz val="10"/>
        <rFont val="Arial"/>
        <family val="2"/>
      </rPr>
      <t xml:space="preserve"> Pločice se specijalnim cem.ljepilom lijepe na cem.estrih, te fugiraju masom za fugiranje iste boje kao pločice, sve od istog proizvođača. Uz zid izvesti sokl istom pločicom visine 7 cm. Na spojevima keramičke podne obloge za drugim vrstama podnih obloga ugraditi aluminijski profil. Plohe moraju biti vodoravne ili u padu prema odvodima u podu. Pojedine pločice ne smiju viriti izvan ravnine poda. U cijenu uključeno ljepilo i masa za fugiranje. Obračun po m</t>
    </r>
    <r>
      <rPr>
        <sz val="10"/>
        <rFont val="Tahoma"/>
        <family val="2"/>
      </rPr>
      <t>²</t>
    </r>
    <r>
      <rPr>
        <sz val="10"/>
        <rFont val="Arial"/>
        <family val="2"/>
        <charset val="238"/>
      </rPr>
      <t xml:space="preserve"> opločenog poda.</t>
    </r>
  </si>
  <si>
    <t>Popločenje podova lođa i balkona stanova vanjskim protukliznim (R9) podnim pločicama A klase. Pločice su dimenzija 60x60 cm, boje po odabiru projektanta, slažu se fuga na fugu. Pločice se specijalnim cem.ljepilom lijepe na cem.estrih, te fugiraju masom za fugiranje iste boje kao pločice, sve od istog proizvođača. Uz zid izvesti sokl istom pločicom visine 7 cm. Na spojevima keramičke podne obloge za drugim vrstama podnih obloga ugraditi aluminijski profil. Plohe moraju biti vodoravne ili u padu prema odvodima u podu. Pojedine pločice ne smiju viriti izvan ravnine poda. Posebnu pažnju obratiti obradi spoja opločenja i sanitarnih elemenata. U cijenu uključeno ljepilo i masa za fugiranje. Obračun po m² opločenog poda.</t>
  </si>
  <si>
    <r>
      <t xml:space="preserve">Popločenje zidova u kupaonicama stanova zidnim pločicama A klase pune visine prostora (h=265 cm).  Veličina pločica 30x60 cm, složene fuga na fugu, u boji po izboru projektanta, u sjajnoj izvedbi. </t>
    </r>
    <r>
      <rPr>
        <sz val="10"/>
        <rFont val="Arial CE"/>
        <family val="2"/>
      </rPr>
      <t>Pločice se slažu fuga na fugu, te fuge zidnih pločica prate fuge podnih pločica. Pločice se specijalnim ljepilom lijepe na AB, žbukani zid iz opeke ili</t>
    </r>
    <r>
      <rPr>
        <sz val="10"/>
        <rFont val="Arial CE"/>
      </rPr>
      <t xml:space="preserve"> </t>
    </r>
    <r>
      <rPr>
        <sz val="10"/>
        <rFont val="Arial CE"/>
        <family val="2"/>
      </rPr>
      <t xml:space="preserve"> </t>
    </r>
    <r>
      <rPr>
        <sz val="10"/>
        <rFont val="Arial CE"/>
      </rPr>
      <t>gipskartonsku oblogu</t>
    </r>
    <r>
      <rPr>
        <sz val="10"/>
        <rFont val="Arial CE"/>
        <family val="2"/>
      </rPr>
      <t>. Fugiraju se masom za fugiranje, sve od istog proizvođača. Sve reške moraju biti ravno izvedene, horizontalno odnosno vertikalno, fugirane kao podne. Posebnu pažnju obratiti spoju sa opločenjem poda i sanitarnih elemenata. U cijenu uključeno ljepilo i masa za fugiranje. Obračun po m</t>
    </r>
    <r>
      <rPr>
        <sz val="10"/>
        <rFont val="Tahoma"/>
        <family val="2"/>
      </rPr>
      <t>²</t>
    </r>
    <r>
      <rPr>
        <sz val="10"/>
        <rFont val="Arial"/>
        <family val="2"/>
        <charset val="238"/>
      </rPr>
      <t xml:space="preserve"> obloženog zida.</t>
    </r>
  </si>
  <si>
    <r>
      <t xml:space="preserve">Popločenje zidova u kuhinjama stanova zidnim pločicama A klase. Veličina pločica 30x60 cm, složene fuga na fugu, u boji po izboru projektanta, u sjajnoj izvedbi. Pločice se postavljaju u području između 85 i 145 cm visine na zidove na kojima je projektom predviđeno postavljanje kuhinjskih elemenata. </t>
    </r>
    <r>
      <rPr>
        <sz val="10"/>
        <rFont val="Arial CE"/>
        <family val="2"/>
      </rPr>
      <t xml:space="preserve">Pločice po odabiru projektanta, slažu se fuga na fugu. Pločice se specijalnim ljepilom lijepe na AB, žbukani zid iz opeke ili </t>
    </r>
    <r>
      <rPr>
        <sz val="10"/>
        <rFont val="Arial CE"/>
      </rPr>
      <t>gipskartonsku oblogu.</t>
    </r>
    <r>
      <rPr>
        <sz val="10"/>
        <rFont val="Arial CE"/>
        <family val="2"/>
      </rPr>
      <t xml:space="preserve"> Fugiraju se masom za fugiranje, sve od istog proizvođača. Sve reške moraju biti ravno izvedene, horizontalno odnosno vertikalno. U cijenu uključeno ljepilo i masa za fugiranje. Obračun po m</t>
    </r>
    <r>
      <rPr>
        <sz val="10"/>
        <rFont val="Tahoma"/>
        <family val="2"/>
      </rPr>
      <t>²</t>
    </r>
    <r>
      <rPr>
        <sz val="10"/>
        <rFont val="Arial"/>
        <family val="2"/>
        <charset val="238"/>
      </rPr>
      <t xml:space="preserve"> obloženog zida.</t>
    </r>
  </si>
  <si>
    <t>KERAMIČARSKI RADOVI UKUPNO:</t>
  </si>
  <si>
    <t>Dobava materijala i izvedba dvokomponentnog poliuretanskog samoliva na cementni estrih u prostorima spremišta i komunalnog otpada. Premaz se nanosi u debljini d=2,5 mm. Priprema površine podloge prema uputama proizvođača. U cijenu uključiti reprofilaciju većih uočenih neravnih površina tiksotropnim mikroarmiranim reparaturnim mortom, te grubo i fino brušenje površine estriha.</t>
  </si>
  <si>
    <t xml:space="preserve">Na pripremljenu podlogu nanosi se epoksidni dvokomponentni prajmer.  Podloga treba biti suha (max. 5% vlažnosti). Nanošenje izvesti u jednom sloju, u svemu prema uputama proizvođača lijevanog poda zbog potrebne prionjivosti podne obloge za podlogu. </t>
  </si>
  <si>
    <t xml:space="preserve">Na prajmer se nanosi dvokomponentni poliuretantski pod. Slojeve nanijeti ručno gleterom jednom sloju, u ukupnoj potrošnji od 800 g/m2 . </t>
  </si>
  <si>
    <t>Obloga mora zadovoljiti zahtjeve visoke mehaničke i kemijske otpornosti, vodootpornosti, protukliznosti te lakog održavanja. U cijeni uključen dodatak kvarcnog pijeska radi protukliznosti, te završni transparentni polumat lak. Obračun po m².</t>
  </si>
  <si>
    <t>Izrada zaobljenog spoja zida i poda tzv. holkera od epoksidne smole, radijusa R=3-5 cm, uz dodatak sitnog suhog kvarcnog pijeska. Obračun po m'.</t>
  </si>
  <si>
    <t>Dobava i montaža otirača za vanjsku primjenu koji se ugrađuje u ravnini poda. Rešetke su od pocinčanog čelika, s gumiranim umetkom, okvir od pocinčanog čelika i kadica od polimerbetona. Otirači se postavljaju na za to pripremljeni utor u podnoj ploči ispred ulaza odnosno u pripremljeno ležište od sitnog šljunka (gornji rub otirača nalazi se na istoj visini kao okolno popločenje) postavlja se kadica od polimerbetona uz dodatno poravnanje, na kadicu se postavi željena pokrovna rešetka, te se nastavlja s polaganjem završne obloge. Obračun po komadu.</t>
  </si>
  <si>
    <t>dim. 150x60 cm</t>
  </si>
  <si>
    <t>PODOPOLAGAČKI RADOVI UKUPNO:</t>
  </si>
  <si>
    <t xml:space="preserve">Dobava i ugradnja boxa od 18 kom poštanskih sandučića za stanove izrađenog od kvalitetnog čeličnog lima otpornog na vodu i hrđanje. Sandučić mora biti opremljen vratima s cilindrom i minimalno dva ključa, pločicom za prezimena, visina otvora za pisma: 225 mm.  Box 3/1 dimenzija 400x290x220 mm, boja: tamno siva. Cijenom obuhvatiti sav potreban rad i materijal do potpune gotovosti ugrađenih sandučića. </t>
  </si>
  <si>
    <t>Dobava i ugradnja gravirane pločice za vrata stana od plastike. Na istoj je potrebno upisati broj stana. U cijenu je potrebno uračunati sav potreban rad i materijal za potpunu gotovost predmetne stavke. Konačno odobrenje na izgled daje Investitor.</t>
  </si>
  <si>
    <t>Dobava i ugradnja gravirane pločice za oznake etaža zgrade od plastke (pločica - 20x20 cm). Na istoj je potrebno upisati oznaku kata (prizemlje, 1 kat, 2. kat). U cijenu je potrebno uračunati sav potreban rad i materijal za potpunu gotovost predmetne stavke.</t>
  </si>
  <si>
    <t>Dobava i ugradnja ploče sa oznakom kućnog broja zgrade izrađenog od aluminijskog lima debljine 2mm.  Ploču izraditi u dimenzijama propisanim od strane lokalne samouprave. Na istoj je potrebno upisati kućni broj i ime ulice.  U cijenu je potrebno uračunati sav potreban rad i materijal za potpunu gotovost predmetne stavke.</t>
  </si>
  <si>
    <t>Dobava, doprema i montaža protupožarnih aparata tip 43A (12JG). Ugradba prema izvedbenim  nacrtima arhitekture. 
Uključivo nosači aparata i sidrenje (pričvršćenje) istih prema propisima. Sa certifikatom i uputstvom za uporabu. 
U cijeni komplet funkcionalan i ugrađen aparat.</t>
  </si>
  <si>
    <t xml:space="preserve">Izrada i dobava kompleta ključeva za stanare. Po stanu osigurati komplet ključeva koji sadržavaju ključeve za: glavni i sporedne ulaze u zgradu, spremište stana, spremište bicikala, zajedničke prostorije stanara. </t>
  </si>
  <si>
    <t>RAZNO UKUPNO:</t>
  </si>
  <si>
    <t xml:space="preserve">U cijenu svake pojedine stavke uključeno:
Dobava svog materijala, sav transport do mjesta ugradbe. 
</t>
  </si>
  <si>
    <t>Red. br.</t>
  </si>
  <si>
    <t>VANJSKE OBLOGE</t>
  </si>
  <si>
    <t>Izvedba vanjske obloge pristupne prometnice  i parkirališnih mjesta od habajućeg sloja asfaltbetona debljine 6 cm  na bitumeniziranom nosivom sloju od 8 cm koji se postavlja na  nosivi sloj od nevezanog kamenog materijala zbijenog na potrebnu nosivost  (Ms&gt;=80 MN/m2) za pristup vatroganog vozila (obračunato u zemljanim radovima). U cijeni su sadržani svi troškovi nabave materijala, prijevoz, oprema i sve ostalo što je potrebno za potpuno izvođenje radova. Obračun po m².</t>
  </si>
  <si>
    <r>
      <t>Dobava, postava i ugradnja  popločenja</t>
    </r>
    <r>
      <rPr>
        <sz val="10"/>
        <rFont val="Arial"/>
        <family val="2"/>
        <charset val="238"/>
      </rPr>
      <t xml:space="preserve"> pješačke  površine  (oznaka  PP) </t>
    </r>
    <r>
      <rPr>
        <sz val="10"/>
        <rFont val="Arial"/>
        <family val="2"/>
      </rPr>
      <t>na terenu oko zgrade betonskim opločnicima dim  2</t>
    </r>
    <r>
      <rPr>
        <sz val="10"/>
        <rFont val="Arial"/>
        <family val="2"/>
        <charset val="238"/>
      </rPr>
      <t xml:space="preserve">0/20/6 </t>
    </r>
    <r>
      <rPr>
        <sz val="10"/>
        <rFont val="Arial"/>
        <family val="2"/>
      </rPr>
      <t xml:space="preserve">cm. Gornji habajući sloj je izrađen od prirodnih kamenih agregata, pjeskarene završne obrade, u boji prema izboru projektanta.
Ploče se postavljaju u sloj pijeska  s dodatkom 10% hidrauličkog vapna </t>
    </r>
    <r>
      <rPr>
        <sz val="10"/>
        <rFont val="Arial"/>
        <family val="2"/>
        <charset val="238"/>
      </rPr>
      <t>debljine  4 cm i nosivi sloj od nevezanog kamenog materijala (obračunato u zemljanim radovima). U cijenu uključeno završno fugiranje između elemenata. Sve prema specifikacijama proizvođača. 
Stavka uključuje sve radove i materijale.  Obračun po m</t>
    </r>
    <r>
      <rPr>
        <sz val="10"/>
        <rFont val="Tahoma"/>
        <family val="2"/>
      </rPr>
      <t>²</t>
    </r>
    <r>
      <rPr>
        <sz val="10"/>
        <rFont val="Arial"/>
        <family val="2"/>
        <charset val="238"/>
      </rPr>
      <t>.</t>
    </r>
  </si>
  <si>
    <r>
      <t>Dobava, postava i ugradnja  popločenja</t>
    </r>
    <r>
      <rPr>
        <sz val="10"/>
        <rFont val="Arial"/>
        <family val="2"/>
        <charset val="238"/>
      </rPr>
      <t xml:space="preserve"> podesta i pješačke rampe</t>
    </r>
    <r>
      <rPr>
        <sz val="10"/>
        <rFont val="Arial"/>
        <family val="2"/>
      </rPr>
      <t xml:space="preserve"> betonskim pločama dim  4</t>
    </r>
    <r>
      <rPr>
        <sz val="10"/>
        <rFont val="Arial"/>
        <family val="2"/>
        <charset val="238"/>
      </rPr>
      <t xml:space="preserve">0/40/4 </t>
    </r>
    <r>
      <rPr>
        <sz val="10"/>
        <rFont val="Arial"/>
        <family val="2"/>
      </rPr>
      <t>cm. Gornji habajući sloj je izrađen od prirodnih kamenih agregata, pjeskarene završne obrade, u boji prema izboru projektanta.
Ploče se polažu na sloj izvedene hidroizolacije (obračunata u izolaterskim radovima) koja je položena na AB ploču u padu</t>
    </r>
    <r>
      <rPr>
        <sz val="10"/>
        <rFont val="Arial"/>
        <family val="2"/>
        <charset val="238"/>
      </rPr>
      <t>. U cijenu uključeno završno fugiranje između elemenata. Sve prema specifikacijama proizvođača. 
Stavka uključuje sve radove i materijale.  Obračun po m</t>
    </r>
    <r>
      <rPr>
        <sz val="10"/>
        <rFont val="Tahoma"/>
        <family val="2"/>
      </rPr>
      <t>²</t>
    </r>
    <r>
      <rPr>
        <sz val="10"/>
        <rFont val="Arial"/>
        <family val="2"/>
        <charset val="238"/>
      </rPr>
      <t>.</t>
    </r>
  </si>
  <si>
    <t>Dobava, postava i ugradnja  drenažnog  sloja od oblutaka (prethodno  pohranjenog  na  gradilištu),  uz podnožje građevine. Sloj je širine 30 cm uz južno, zapadno i istočno pročelje (na kontaktu sa zelenilom), dubine 15  cm.   U  cijenu  uključiti odvoz preostale količine oblutaka na gradsku deponiju što uključuje  utovar, prijevoz kamionom te istovar. Stavka uključuje sve radove i materijale. Obračun po m².</t>
  </si>
  <si>
    <t>Dobava, postava i ugradnja  skošenog rubnjaka 100/15/25 cm od betona C40/50 u temelju betona C12/15 presjeka približno 35x30 cm (sve obuhvaćeno stavkom). Stavka uključuje sve radove i materijale. Obračun po m' rubnjaka.</t>
  </si>
  <si>
    <t>Dobava, postava i ugradnja taktilne površine s čepastom strukturom koja se postavlja na pješačku stazu uz parkirno mjesto za osobe smanjene pokretljivosti (oznaka K) od betonskih ploča 40x40x5 cm. Taktilno polje treba izvesti  na poziciji prema izvedbenom projektu. Polaže se u sloj pijeska s dodatkom 10% hidrauličkog vapna na cementom stabilizirani sloj kamenog materijala i nosivi sloj od nevezanog kamenog materijala koji je obračunat u zemljanim radovima. Prije polaganja ploča pijesak treba isplanirati u zadanom nagibu i debljini, a ploče prilikom polaganja nabiti drvenim nabijačem, kako bi se postigli potrebni nagibi i stabilnost. Obračun po m² izvedene površine.</t>
  </si>
  <si>
    <t>Dobava materijala i izrada uzdužnih oznaka na kolniku -  linije osi kolnika, a služe za detaljno utvrđivanje načina upotrebe kolničke površine. Crte su širine 10 cm.</t>
  </si>
  <si>
    <t>Uzdužne oznake su:
• puna crta,
• isprekidana crta</t>
  </si>
  <si>
    <t>Stavka obuhvaća nabavu materijala i izradu oznaka.</t>
  </si>
  <si>
    <t>Obračun po m' izvedene crte</t>
  </si>
  <si>
    <t>Dobava materijala i izrada poprečnih oznaka na kolniku.Crte su širine 10 cm.</t>
  </si>
  <si>
    <t>Poprečne oznake na kolniku su:
• crte zaustavljanja.</t>
  </si>
  <si>
    <t>crta zaustavljanja - puna bijela - H14</t>
  </si>
  <si>
    <t>Dobava materijala  ostalih oznaka na kolniku.  Crte su širine 10 cm.</t>
  </si>
  <si>
    <t>natpis "STOP" - H63</t>
  </si>
  <si>
    <t>BILJNI MATERIJAL</t>
  </si>
  <si>
    <t>Rahljenje tla, gnojenje sa 5 lit/m2 gnojiva, fino planiranje + - 2 cm, sjetva travne smjese 5 dag/m2, ježenje, valjanje, jednokratno zalijevanje, sa svim radovima i materijalima uključujući sjeme. Travna  smjesa  treba  biti  prikladna  za  gaženje,  za  polusjenovit  do  sunčan  položaj,  te  s  primjesom  bijele  djeteline. Sjemena smjesa treba imati deklaraciju i certifikat koji treba predočiti nadzornom inženjeru. Obračunava se po m²  travnjaka.</t>
  </si>
  <si>
    <t>Sjetva travne smjese 5 dag/m2 u travnu  rešetku predviđenu na parkirališnim mjestima, ispunjenu  prikladnim zemljanim materijalom  u  sloju  od  4 cm, uz jednokratno zalijevanje, sa svim radovima i materijalima uključujući sjeme. Travne rešetke se pune smjesom rahle zemlje pjeskovite strukture bez korova, humusnog supstrata u vrećama za travnjake, mljevenog zeolita, perlita G i sporo-otpuštajućeg gnojiva u granulama. Smjesa se nabija da utone 1 cm u travnu rešetku. Sije se travno sjeme i zagrne slojem rahle mješavine od 1 cm visine radi lakšeg klijanja i da se poravna tlo sa rubom rešetke. Travna  smjesa  treba  biti  prikladna  za  gaženje,  za  sunčani  položaj,  te  s  primjesom  bijele  djeteline. Sjemena smjesa treba imati deklaraciju i certifikat koji treba predočiti nadzornom inženjeru. U  cijenu  obračunata  dobava  zemljanog   i  sjemenog materijala  te  svih transporta i radova. Obračunava se po m²  travnjaka.</t>
  </si>
  <si>
    <t>OKOLIŠ UKUPNO:</t>
  </si>
  <si>
    <t>OSTALO</t>
  </si>
  <si>
    <t>U cijenu svake pojedine stavke uključeno:
Dobava svog materijala, sav rad i pomoćni materijal, te sav vanjski i unutrašnji transport do mjesta ugradbe.</t>
  </si>
  <si>
    <t xml:space="preserve">Mjerenje i izrada izvještaja stvarnog stanja omotača višestambene zgrade u smislu nepropusnosti. Mjerenje se vrši Blower door ispitnim uređajem.  Ispitivanje u fazi gradnje po B metodi otkrivanje propusnosti i nakon završetka gradnje ispitivanje po A metodi (prije tehničkog pregleda zgrade).
Zahtjevi za ispitivanje: kod višestambenih zgrada ispitivanje moraju zadovoljiti sve stambene jedinice odnosno za građevine koje nisu namijenjene  stanovanju zahtjevi se odnose na omotač grijanog prostora.
Uvjeti prihvatljivosti propisani su u: Ispitivanje zrakonepropusnosti ovojnice zgrade dana je Tehničkim propisom o racionalnoj uporabi energije i toplinskoj zaštiti zgrada (NN 128/15, 70/18, 73/18, 86/18, NN 102/20) i Ispunjavanje zahtjeva o zrakonepropusnosti dokazuje se ispitivanjem PREMA HRN EN ISO 9972:2015 i svim ostalim naputcima dani navedenim tehiničkim propisom.
</t>
  </si>
  <si>
    <t>ispitivanje i izvješće - metoda B - faza izgradnje</t>
  </si>
  <si>
    <t>ispitivanje i izvješće - metoda A - nakon završetka izgradnje</t>
  </si>
  <si>
    <t>Izrada energetskog certifikata. Nakon završetka radova izgradnje izvoditelj je dužan izraditi energetski certifikat i predati ga Investitoru. Jedan primjerak certifikata tiskati u boji, uokviriti te ugraditi na  zid u ulaznom hodniku.</t>
  </si>
  <si>
    <t>Stavka uključuje sav potreban rad i materijal do potpune gotovosti.</t>
  </si>
  <si>
    <t xml:space="preserve">Izrada projekta izvedenog stanja građevine i svih instalacija (podzemnih i nadzemnih) s unesenim svim promjenama tijekom izvođenja građevine. Prilaganje sve radioničke dokumentacije i detalja, koja je izrađena temeljem prethodnog projekta obnove konstrukcije i projekta obnove zgrade za cjelovitu obnovu zgrade. Dokumentacija se predaje Investitoru u formatu elektroničkog zapisa CD-a (dwg, doc, jpg formati) i ovjerene uvezane mape od strane Nadzora i izvoditelja u tri primjerka. U cijenu je uključeno sve kompletno. </t>
  </si>
  <si>
    <t>arhitektonsko građevinski projekt izvedenog stanja</t>
  </si>
  <si>
    <t>projekt izvedenog stanja  vodovoda i kanalizacije</t>
  </si>
  <si>
    <t>projekt izvedenog stanja elektroinstalacija</t>
  </si>
  <si>
    <t>projekt izvedenog stanja strojarskih instalacija</t>
  </si>
  <si>
    <t>Dobava, postava i ugradnja ravnog rubnjaka oko opločenih  pješačkih površina  na  terenu i oko šljunčanog pojasa oko zgrade, dimenzija 100/8/22 cm od betona C30/37 u temelju C12/15 presjeka približno 20x40 cm (sve obuhvaćeno stavkom). Stavka uključuje sve radove i materijale. Obračun po m' rubnjaka.</t>
  </si>
  <si>
    <t>Dobava svog materijala, sav vanjski i unutrašnji transport do mjesta ugradbe, sav potreban okov (petlje, brave s ključem, zaustavnici, odbojnici, rubne letvice, te svi spojni elementi).</t>
  </si>
  <si>
    <t>Prije izrade stolarskih stavki sve mjere ugradbe i broj komada obavezno je kontrolirati na objektu.</t>
  </si>
  <si>
    <r>
      <t xml:space="preserve">Sve iskazane mjere su mjere </t>
    </r>
    <r>
      <rPr>
        <sz val="10"/>
        <rFont val="Arial CE"/>
        <charset val="238"/>
      </rPr>
      <t>svijetlih otvora,</t>
    </r>
    <r>
      <rPr>
        <sz val="10"/>
        <rFont val="Arial CE"/>
        <family val="2"/>
      </rPr>
      <t xml:space="preserve"> a moguće je usklađivanje nakon odabira proizvođača.</t>
    </r>
  </si>
  <si>
    <t>UNUTARNJA STOLARIJA</t>
  </si>
  <si>
    <t xml:space="preserve">Izrada, dobava i ugradnja - unutarnja, puna, jednokrilna, zaokretna vrata svijetlog otvora 60/210 cm. Vrata se ugrađuju u zid od opeke debljine 12 cm. Krilo obostrano obloženo laminatom u boji po izboru projektanta. Dovratnik i letvice izrađeni od medijapana, zaobljenih rubova, a ugrađuju se na tipski slijepi dovratnik. 
U cijenu uključen standardni okov za unutrašnja vrata s gumenim odbojnikom, kvakom, bravom za sobna vrata. Kvake i maske oko kvaka od eloksiranog aluminija. Obračun po komadu izvedenih vrata.  </t>
  </si>
  <si>
    <t>U donjoj zoni ugraditi ventilacionu rešetku koja je uključena u stavku.</t>
  </si>
  <si>
    <r>
      <t>Sve izvesti prema</t>
    </r>
    <r>
      <rPr>
        <b/>
        <sz val="10"/>
        <rFont val="Arial"/>
        <family val="2"/>
        <charset val="238"/>
      </rPr>
      <t xml:space="preserve"> shemi stolarije U1a</t>
    </r>
    <r>
      <rPr>
        <sz val="10"/>
        <rFont val="Arial"/>
        <family val="2"/>
        <charset val="238"/>
      </rPr>
      <t>.</t>
    </r>
  </si>
  <si>
    <t>lijeva</t>
  </si>
  <si>
    <t>desna</t>
  </si>
  <si>
    <t xml:space="preserve">Izrada, dobava i ugradnja - unutarnja, puna, jednokrilna, zaokretna vrata svijetlog otvora 70/210 cm. Vrata se ugrađuju u zid od opeke debljine 12 cm. Krilo obostrano obloženo laminatom u boji po izboru projektanta. Dovratnik i letvice izrađeni od medijapana, zaobljenih rubova, a ugrađuju se na tipski slijepi dovratnik. 
U cijenu uključen standardni okov za unutrašnja vrata s gumenim odbojnikom, set kvaka i brava za kupaonicu. Kvake i maske oko kvaka od eloksiranog aluminija. Obračun po komadu izvedenih vrata.  </t>
  </si>
  <si>
    <r>
      <t>Sve izvesti prema</t>
    </r>
    <r>
      <rPr>
        <b/>
        <sz val="10"/>
        <rFont val="Arial"/>
        <family val="2"/>
        <charset val="238"/>
      </rPr>
      <t xml:space="preserve"> shemi stolarije U2</t>
    </r>
    <r>
      <rPr>
        <sz val="10"/>
        <rFont val="Arial"/>
        <family val="2"/>
        <charset val="238"/>
      </rPr>
      <t>.</t>
    </r>
  </si>
  <si>
    <r>
      <t>Sve izvesti prema</t>
    </r>
    <r>
      <rPr>
        <b/>
        <sz val="10"/>
        <rFont val="Arial"/>
        <family val="2"/>
        <charset val="238"/>
      </rPr>
      <t xml:space="preserve"> shemi stolarije U2A</t>
    </r>
    <r>
      <rPr>
        <sz val="10"/>
        <rFont val="Arial"/>
        <family val="2"/>
        <charset val="238"/>
      </rPr>
      <t>.</t>
    </r>
  </si>
  <si>
    <t xml:space="preserve">Izrada, dobava i ugradnja - unutarnja, puna, jednokrilna, zaokretna vrata svijetlog otvora 80/210 cm. Vrata se ugrađuju u zid od opeke debljine 12 cm. Krilo obostrano obloženo laminatom u boji po izboru projektanta. Dovratnik i letvice izrađeni od medijapana, zaobljenih rubova, a ugrađuju se na tipski slijepi dovratnik. 
U cijenu uključen standardni okov za unutrašnja vrata s gumenim odbojnikom, kvakom, bravom za sobna vrata. Kvake i maske oko kvaka od eloksiranog aluminija. Obračun po komadu izvedenih vrata.  </t>
  </si>
  <si>
    <r>
      <t>Sve izvesti prema</t>
    </r>
    <r>
      <rPr>
        <b/>
        <sz val="10"/>
        <rFont val="Arial"/>
        <family val="2"/>
        <charset val="238"/>
      </rPr>
      <t xml:space="preserve"> shemi stolarije U3</t>
    </r>
    <r>
      <rPr>
        <sz val="10"/>
        <rFont val="Arial"/>
        <family val="2"/>
        <charset val="238"/>
      </rPr>
      <t>.</t>
    </r>
  </si>
  <si>
    <t xml:space="preserve">Izrada, dobava i ugradnja - unutarnja, puna, jednokrilna, zaokretna vrata svijetlog otvora 80/210 cm. Vrata se ugrađuju u zid od opeke debljine 12 cm. Krilo obostrano obloženo laminatom u boji po izboru projektanta. Dovratnik i letvice izrađeni od medijapana, zaobljenih rubova, a ugrađuju se na tipski slijepi dovratnik. 
U cijenu uključen standardni okov za unutrašnja vrata s gumenim odbojnikom,  set kvaka i brava za kupaonicu. Kvake i maske oko kvaka od eloksiranog aluminija. Obračun po komadu izvedenih vrata.  </t>
  </si>
  <si>
    <r>
      <t>Sve izvesti prema</t>
    </r>
    <r>
      <rPr>
        <b/>
        <sz val="10"/>
        <rFont val="Arial"/>
        <family val="2"/>
        <charset val="238"/>
      </rPr>
      <t xml:space="preserve"> shemi stolarije U3A</t>
    </r>
    <r>
      <rPr>
        <sz val="10"/>
        <rFont val="Arial"/>
        <family val="2"/>
        <charset val="238"/>
      </rPr>
      <t>.</t>
    </r>
  </si>
  <si>
    <t xml:space="preserve">Izrada, dobava i ugradnja - unutarnja, puna, jednokrilna, zaokretna vrata svijetlog otvora 90/210 cm. Vrata se ugrađuju u zid od opeke debljine 12 cm. Krilo obostrano obloženo laminatom u boji po izboru projektanta. Dovratnik i letvice izrađeni od medijapana, zaobljenih rubova, a ugrađuju se na tipski slijepi dovratnik. 
U cijenu uključen standardni okov za unutrašnja vrata s gumenim odbojnikom,  set kvaka i brava za kupaonicu. Kvake i maske oko kvaka od eloksiranog aluminija. Obračun po komadu izvedenih vrata.  </t>
  </si>
  <si>
    <r>
      <t>Sve izvesti prema</t>
    </r>
    <r>
      <rPr>
        <b/>
        <sz val="10"/>
        <rFont val="Arial"/>
        <family val="2"/>
        <charset val="238"/>
      </rPr>
      <t xml:space="preserve"> shemi stolarije U4A</t>
    </r>
    <r>
      <rPr>
        <sz val="10"/>
        <rFont val="Arial"/>
        <family val="2"/>
        <charset val="238"/>
      </rPr>
      <t>.</t>
    </r>
  </si>
  <si>
    <t>Dobava, izrada i postava klupčica od MDF-a debljine 22 mm, širine 22 cm. Boja klupčice u boji po izboru projektanta.
Obračun po m'.</t>
  </si>
  <si>
    <t>STOLARSKI RADOVI UKUPNO:</t>
  </si>
  <si>
    <t>10.1.</t>
  </si>
  <si>
    <t>VANJSKA ALUMINIJSKA BRAVARIJAA I PVC  STOLARIJA</t>
  </si>
  <si>
    <t xml:space="preserve">Okov (šarke, kvake, ručke, prihvatnici, rozete, zatvarači, odbojnici, stoperi i sl.) je kvalitetne izvedbe, točan artikl prema odabiru projektanta. </t>
  </si>
  <si>
    <t>Ostakljenje s trostrukim low-E IZO-staklom s ispunom toplinski inertnim plinom. 
Ug≤ 0,80 W/m²K, g≤ 0,5;
Ukupni koeficijent prolaska topline:
1. balkonska vrata Uw = 1,04 W/m²K
2. prozori Uw = 1,04 W/m²K
3. staklene stijene Uw= 0,96 W/m²K</t>
  </si>
  <si>
    <t>Ostakljenje za stavke s parapetom &gt; 800 mm, IZO staklo: 
TIP A: 6 mmLowE - 16 mm Argon 90%  4 mm -16 mm Argon -  6 mm 90%LowE
Ostakljenje za stavke s parapetom &lt; 800 mm i ostakljena vrata (Tehnički propis za staklene konstrukcije (NN 53/17), sigurnosno IZO staklo: 
TIP B: 8 mmLowE (kaljeno) - 16 mm Argon 90%  4 mm -16 mm Argon -  44.2 mm 90%LowE
LowE sloj se nalazi na poz. 2 i 5, gledano izvana.
Tip stakla, boja, ton, emajl i ostali parametri prema izboru projektanta, u skladu sa shemama.</t>
  </si>
  <si>
    <t>U cijeni razrada radioničkih detalja, izmjere na licu mjesta i sva potrebna skela.</t>
  </si>
  <si>
    <t xml:space="preserve">U cijeni stavke uključiti komplet sav potreban rad i materijal prema opisu u troškovniku, kao i sve dodatne radove i materijale potrebne da se izradi kompletna stavka kao oblikovna i funkcionalna cjelina. </t>
  </si>
  <si>
    <t>Sve iskazane mjere su mjere građevinskog otvora, a moguće je usklađivanje nakon odabira proizvođača.</t>
  </si>
  <si>
    <t>Izvođač je dužan izraditi detaljnu radioničku projektnu dokumentaciju bravarskih elemenata na temelju mjera uzetih u naravi, izraditi uzorke karakterističnih detalja u mjerilu 1:1, te ostale uzorke dati projektantu na uvid i sve izvesti nakon pismenog odobrenja projektanta.</t>
  </si>
  <si>
    <t>Sheme bravarije su sastavni dio troškovnika. Punuđač ih je dužan proučiti prilikom kalkulacije cijene, jer se bilo kakvo naknadno pozivanje na nejasnost ili neusklađenost opisa i sheme neće priznati.
Sve mjere ugradbe i broj komada  kontrolirati na objektu.</t>
  </si>
  <si>
    <t>Izrada, dobava i ugradnja vanjske ostakljene četverodijelne stijene ukupne dimenzije 344x266 cm.  Stijena se sastoji od dvokrilnih vrata i 3 fiksna ostakljena polja. Stijena se ugrađuje u AB zid.</t>
  </si>
  <si>
    <t xml:space="preserve">Staklenu stijenu izraditi od sistema samonosivih aluminijskih horizontalnih i vertikalnih pravokutnih profila s prekidom toplinskog mosta. Svi rubovi profila blago su zaobljeni. Širina vertikalnih i horizontalnih profila sa unutarnje strane iznosi 50 mm dok se s vanjske strane na vertikalama i horizontalama nalazi pokrovna kapa širine 50mm, visine 12mm (horizont.) i 15mm (vert.). </t>
  </si>
  <si>
    <t xml:space="preserve">Sistem profila staklene stijene za odvodnju kondenzata je konstruiran u dvije ravnine odvodnje. Odvodnja se vrši na način da se kondenzat prikupljen u horizontali odvodi u vertikale, te se pomoću sistemskih plastičnih odvodnika kondenzata izvede van konstrukcije. Sve brtve na fasadi od EPDM-a prema DIN 7863.
Na spojevima horizontalnih i vertikalnih aluminijskih profila za ostakljenje obavezno koristiti s unutarnje strane stakla kutne vulkanizirane gumene okvire. 
Žljebovi u horizontalnom i vertikalnom aluminijskom profilu međusobno su povezani i omogućavaju provjetravanje svakog ostakljenog polja preko sva četiri kuta.
Ugradnju otvarajućih elemenata - ulaznih vrata izvesti u potpunosti u skladu s ovjerenom radioničkom dokumentacijom i tehničkim uputama izvođača radova. </t>
  </si>
  <si>
    <t>Dvokrilna vrata unutar stijene dim 180x210 cm izvesti sa stijenkom pojačanom na mjestu ugradnje okova i ispitanim mehaničkim karakteristikama u skladu s HRN EN 12400, klasa 8 (1 mil. ciklusa).
Vrata su opremljena pantima, bravom, cilindrom, kvakom, hidrauličnim prigušivačem s  kočnicom ugrađenim s gornje strane. U cijenu uključiti izvedbu panik okova - djelomična panika prema HRN EN 179, s izvedbom panik kvake s unutarnje strane vrata.</t>
  </si>
  <si>
    <t xml:space="preserve">Ostakljenje stijene staklom prema uvodnim napomenama. Aluminijski profili su plastificirani u skladu s tehničkim smjernicama Qualicoat. Boja je iz RAL palete, prema izboru projektanta. Izvoditelj radova obavezan je prije početka plastifikacije aluminijskih profila podnijeti projektantima na uvid i odobrenje uzorke aluminijskih profila plastificirane prema njihovom izboru, kao i uzorke stakla. 
</t>
  </si>
  <si>
    <t xml:space="preserve">U cijenu stavke uključiti komplet sav potreban rad i materijal: sav potreban okov, potrebni opšav, okapnice, elemente ugradnje i sidrenja,  plastifikaciju elemenata prema odabiru projektanta.  
Debljina profila se određuje prema statičkom proračunu (proračun uključen u cijenu). Obračun po komadu. </t>
  </si>
  <si>
    <r>
      <t xml:space="preserve">Izvesti sve prema </t>
    </r>
    <r>
      <rPr>
        <b/>
        <sz val="10"/>
        <rFont val="Arial"/>
        <family val="2"/>
        <charset val="238"/>
      </rPr>
      <t>shemi alubravarije 1.</t>
    </r>
  </si>
  <si>
    <t xml:space="preserve">Izrada, dobava i ugradnja punih dvokrilnih zaokretnih toplinski izoliranih aluminijskih vrata dim 210x215 cm.  Krilo je puno s ispunom toplinskom izolacijom od mineralne vune. Vrata izvesti od aluminijskih profila s prekidom toplinskog mosta i povišenim toplinsko-izolativnim svojstvima. 
Vrata su opremljena pantima, bravom, cilindrom, kvakom, hidrauličnim prigušivačem s gornje strane. U donjoj zoni ugraditi ventilacionu rešetku u svako krilo  koja je uključena u cijenu stavke. </t>
  </si>
  <si>
    <t>Aluminijski profili su plastificirani u skladu s tehničkim smjernicama Qualicoat. Boja je iz RAL palete, prema izboru projektanta.
Izvoditelj radova obavezan je prije početka izrade podnijeti projektantima na uvid i odobrenje uzorke profila u boji prema njihovom izboru.</t>
  </si>
  <si>
    <t xml:space="preserve">U cijenu stavke uključiti komplet sav potreban rad i materijal: sav potreban okov, potrebni opšav, okapnice, elemente ugradnje i sidrenja, plastifikaciju elemenata prema odabiru projektanta. 
Debljina profila se određuje prema statičkom proračunu (proračun uključen u cijenu). Obračun po komadu. </t>
  </si>
  <si>
    <r>
      <t xml:space="preserve">Izvesti sve prema </t>
    </r>
    <r>
      <rPr>
        <b/>
        <sz val="10"/>
        <rFont val="Arial"/>
        <family val="2"/>
        <charset val="238"/>
      </rPr>
      <t>shemi alubravarije 2.</t>
    </r>
  </si>
  <si>
    <t xml:space="preserve">Izrada, dobava i ugradnja punih jednokrilnih zaokretnih toplinski izoliranih aluminijskih vrata dim 210x215 cm.  Krilo je puno s ispunom toplinskom izolacijom od mineralne vune. Vrata izvesti od aluminijskih profila s prekidom toplinskog mosta i povišenim toplinsko-izolativnim svojstvima. 
Vrata su opremljena pantima, bravom, cilindrom, kvakom, hidrauličnim prigušivačem s gornje strane. </t>
  </si>
  <si>
    <r>
      <t xml:space="preserve">Izvesti sve prema </t>
    </r>
    <r>
      <rPr>
        <b/>
        <sz val="10"/>
        <rFont val="Arial"/>
        <family val="2"/>
        <charset val="238"/>
      </rPr>
      <t>shemi alubravarije 3.</t>
    </r>
  </si>
  <si>
    <t>PVC STOLARIJA</t>
  </si>
  <si>
    <t>Izrada, doprema i ugradnja  jednokrilnog, otklopno-zaokretnog prozora dim 60x60 cm. Prozor se ugrađuje u AB zid.</t>
  </si>
  <si>
    <t xml:space="preserve">Profili otvora PVC s prekinutim toplinskim mostom, 6-komornog PVC profila dubine  min.80 mm  i metalnim pojačanjima, višestruko brtvljeni. Profili sa mogućnošću skupljanja i drenaže kondenzata.
</t>
  </si>
  <si>
    <t xml:space="preserve">Ostakljenje prozora staklom prema uvodnim napomenama. Boja okvira je iz RAL palete, prema izboru projektanta. Vidljivi dijelovi otvaranja i zatvaranja i okova u finalnoj obradi kao profili. 
Izvoditelj radova obavezan je prije početka izrade podnijeti projektantima na uvid i odobrenje uzorke profilau boji prema njihovom izboru, kao i uzorke stakla. 
</t>
  </si>
  <si>
    <t xml:space="preserve">Okov treba biti skriveni, klase antikorozivnosti 5 prema HRN EN 1670. Konstrukcija okova mora omogućiti laku i jednostavnu ugradnju, "na klik", bez dodatnih bušenja i strojne obrade profila.
Debljina profila se određuje prema statičkom proračunu (proračun uključen u cijenu). </t>
  </si>
  <si>
    <t>Potrebne elemente ugradnje, sidrenja i  plastifikaciju uključiti u cijenu. Ugradnja s parnim branama i vodonepropusnim spojnim elementima, bez toplinskih mostova.</t>
  </si>
  <si>
    <t xml:space="preserve">U cijenu stavke uključiti komplet sav potreban rad i materijal: sav osnovni, spojni i brtveni materijal, sav potreban okov (uključivo ventus okov uz visoke parapete), potrebni opšav, okapnice, elemente ugradnje i sidrenja - sve do potpune gotovosti i funkcionalnosti. Obračun po komadu. </t>
  </si>
  <si>
    <r>
      <t xml:space="preserve">Izvesti sve prema </t>
    </r>
    <r>
      <rPr>
        <b/>
        <sz val="10"/>
        <rFont val="Arial"/>
        <family val="2"/>
        <charset val="238"/>
      </rPr>
      <t>shemi PVC stolarije 1.</t>
    </r>
  </si>
  <si>
    <t>Izrada, doprema i ugradnja  jednokrilnog, otklopnog prozora dim 60x60 cm. Prozor se ugrađuje u AB zid.</t>
  </si>
  <si>
    <t xml:space="preserve">U cijenu stavke uključiti komplet sav potreban rad i materijal: sav osnovni, spojni i brtveni materijal, sav potreban okov (uključivo ventus okov), potrebni opšav, okapnice, elemente ugradnje i sidrenja - sve do potpune gotovosti i funkcionalnosti. Obračun po komadu. </t>
  </si>
  <si>
    <t xml:space="preserve">U ostalome isto kao st. 10.1.4.
Obračun po komadu. </t>
  </si>
  <si>
    <r>
      <t xml:space="preserve">Izvesti sve prema </t>
    </r>
    <r>
      <rPr>
        <b/>
        <sz val="10"/>
        <rFont val="Arial"/>
        <family val="2"/>
        <charset val="238"/>
      </rPr>
      <t>shemi PVC stolarije 1A.</t>
    </r>
  </si>
  <si>
    <t>Izrada, doprema i ugradnja  fiksnog prozora dim 60x60 cm. Prozor se ugrađuje u AB zid.</t>
  </si>
  <si>
    <r>
      <t xml:space="preserve">Izvesti sve prema </t>
    </r>
    <r>
      <rPr>
        <b/>
        <sz val="10"/>
        <rFont val="Arial"/>
        <family val="2"/>
        <charset val="238"/>
      </rPr>
      <t>shemi PVC stolarije 1B.</t>
    </r>
  </si>
  <si>
    <t>Izrada, doprema i ugradnja  jednokrilnog, otklopno-zaokretnog prozora dim 100x130 cm. Prozor se ugrađuje u AB zid.</t>
  </si>
  <si>
    <r>
      <t xml:space="preserve">Izvesti sve prema </t>
    </r>
    <r>
      <rPr>
        <b/>
        <sz val="10"/>
        <rFont val="Arial"/>
        <family val="2"/>
        <charset val="238"/>
      </rPr>
      <t>shemi PVC stolarije 2.</t>
    </r>
  </si>
  <si>
    <t>Izrada, doprema i ugradnja dvodijelne staklene stijene s podizno-kliznim vratima. Dimenzija stijene je 160x220 cm i sastoji se od fiksnog elementa i podizno kliznih vrata dim 80/220 cm. Stijena se ugrađuju u AB zid.</t>
  </si>
  <si>
    <r>
      <t xml:space="preserve">Izvesti sve prema </t>
    </r>
    <r>
      <rPr>
        <b/>
        <sz val="10"/>
        <rFont val="Arial"/>
        <family val="2"/>
        <charset val="238"/>
      </rPr>
      <t>shemi PVC stolarije 3.</t>
    </r>
  </si>
  <si>
    <t xml:space="preserve">U ostalome isto kao st. 10.1.8.
Obračun po komadu. </t>
  </si>
  <si>
    <r>
      <t xml:space="preserve">Izvesti sve prema </t>
    </r>
    <r>
      <rPr>
        <b/>
        <sz val="10"/>
        <rFont val="Arial"/>
        <family val="2"/>
        <charset val="238"/>
      </rPr>
      <t>shemi PVC stolarije 3A.</t>
    </r>
  </si>
  <si>
    <t xml:space="preserve">Izrada, doprema i ugradnja dvodijelnog dvokrilnog otklopno-zaokretnog prozora dim 160x130 cm. Prozor se ugrađuje u AB zid. </t>
  </si>
  <si>
    <r>
      <t xml:space="preserve">Izvesti sve prema </t>
    </r>
    <r>
      <rPr>
        <b/>
        <sz val="10"/>
        <rFont val="Arial"/>
        <family val="2"/>
        <charset val="238"/>
      </rPr>
      <t>shemi PVC stolarije 4.</t>
    </r>
  </si>
  <si>
    <r>
      <t xml:space="preserve">Izvesti sve prema </t>
    </r>
    <r>
      <rPr>
        <b/>
        <sz val="10"/>
        <rFont val="Arial"/>
        <family val="2"/>
        <charset val="238"/>
      </rPr>
      <t>shemi PVC stolarije 4A.</t>
    </r>
  </si>
  <si>
    <t>Izrada, doprema i ugradnja  jednokrilnog, otklopno-zaokretnog prozora dim 90x130 cm. Prozor se ugrađuje u AB zid.</t>
  </si>
  <si>
    <r>
      <t xml:space="preserve">Izvesti sve prema </t>
    </r>
    <r>
      <rPr>
        <b/>
        <sz val="10"/>
        <rFont val="Arial"/>
        <family val="2"/>
        <charset val="238"/>
      </rPr>
      <t>shemi PVC stolarije 5.</t>
    </r>
  </si>
  <si>
    <t>Izrada, doprema i ugradnja  jednokrilnog fiksnog prozora dim 60x130 cm. Prozor se ugrađuje u AB zid.</t>
  </si>
  <si>
    <r>
      <t xml:space="preserve">Izvesti sve prema </t>
    </r>
    <r>
      <rPr>
        <b/>
        <sz val="10"/>
        <rFont val="Arial"/>
        <family val="2"/>
        <charset val="238"/>
      </rPr>
      <t>shemi PVC stolarije 6.</t>
    </r>
  </si>
  <si>
    <t>Izrada, doprema i ugradnja  jednokrilnog, otklopno-zaokretnog prozora dim 60x130 cm. Prozor se ugrađuje u AB zid.</t>
  </si>
  <si>
    <r>
      <t xml:space="preserve">Izvesti sve prema </t>
    </r>
    <r>
      <rPr>
        <b/>
        <sz val="10"/>
        <rFont val="Arial"/>
        <family val="2"/>
        <charset val="238"/>
      </rPr>
      <t>shemi PVC stolarije 6A.</t>
    </r>
  </si>
  <si>
    <t>Izrada, doprema i ugradnja  jednokrilnog, otklopnog prozora dim 70x60 cm. Prozor se ugrađuje u AB zid.</t>
  </si>
  <si>
    <r>
      <t xml:space="preserve">Izvesti sve prema </t>
    </r>
    <r>
      <rPr>
        <b/>
        <sz val="10"/>
        <rFont val="Arial"/>
        <family val="2"/>
        <charset val="238"/>
      </rPr>
      <t>shemi PVC stolarije 7.</t>
    </r>
  </si>
  <si>
    <t>Izrada, doprema i ugradnja  jednokrilnog, otklopno-zaokretnog prozora dim 65x130 cm. Prozor se ugrađuje u AB zid.</t>
  </si>
  <si>
    <r>
      <t xml:space="preserve">Izvesti sve prema </t>
    </r>
    <r>
      <rPr>
        <b/>
        <sz val="10"/>
        <rFont val="Arial"/>
        <family val="2"/>
        <charset val="238"/>
      </rPr>
      <t>shemi PVC stolarije 8.</t>
    </r>
  </si>
  <si>
    <t>Izrada, doprema i ugradnja  jednokrilnog, otklopno-zaokretnog prozora dim 80x130 cm. Prozor se ugrađuje u AB zid.</t>
  </si>
  <si>
    <r>
      <t xml:space="preserve">Izvesti sve prema </t>
    </r>
    <r>
      <rPr>
        <b/>
        <sz val="10"/>
        <rFont val="Arial"/>
        <family val="2"/>
        <charset val="238"/>
      </rPr>
      <t>shemi PVC stolarije 9.</t>
    </r>
  </si>
  <si>
    <t xml:space="preserve">Izrada, dobava i ugradnja sistema zaštite od sunca tipa PVC roleta - unutarnja ugradba, dim 20x20 cm.  PVC lamele su visine 37 mm s vodilicama koje  se fiksiraju bočno u špaletu. Kutije žaluzina učvrstiti L nosačima u fasadni okvir, ili odgovarajuće, s obzirom na građevinski otvor. Boja površinske zaštite lamela mora biti usklađena s bojom prozora. 
U cijenu uključiti sav materijal i spojna sredstva, uključivo izolirana kutija za rolete, u dimenzijama ovisno o mjestu ugradbe. Izvesti sve prema uputama proizvođača.
Obračun prema broju komada.
</t>
  </si>
  <si>
    <t>otvor dim 100/130 cm - st 2</t>
  </si>
  <si>
    <t>otvor dim 160x220 cm - st 3 i 3a</t>
  </si>
  <si>
    <t>otvor dim 160x130 cm - st 4 i 4a</t>
  </si>
  <si>
    <t>otvor dim 70x60 cm - st 7</t>
  </si>
  <si>
    <t>otvor dim 65x130 cm - st 8</t>
  </si>
  <si>
    <t>otvor dim 80x130 cm - st 9</t>
  </si>
  <si>
    <t>VANJSKA ALUMINIJSKA BRAVARIJA I PVC  STOLARIJA UKUPNO:</t>
  </si>
  <si>
    <t>Grubo i fino žbukanje vapneno cementnom žbukom debljine do 1,5 cm, 1800kg/m3  unutarnjih zidova od opeke. Sve spojeve različitih materijala obvezno rabicirati. Na sve uglove, vertikalne ili horizontalne, montirati zaštitne uglovne, odnosno sokl profile. U svemu prema uputama proizvođača odabranog proizvoda. U cijeni stavke sav potreban materijal, rad, priprema podloge, transporti i radna skela. Obračun po m².</t>
  </si>
  <si>
    <t>10.2.</t>
  </si>
  <si>
    <t>Potrebna svojstva dimnonepropusnosti:
Vrata moraju ograničiti stupanj prolaznosti dima kroz vrata u slijedećim iznosima:
- jednokrilna vrata: ≤ 20m3/h
Neprolaznost plamena mora biti osigurana u trajanju 30/60 min.
Vrata obavezno sadrže spuštajuću brtvu s donje strane krila, koja se zatvaranjem krila automatski spusti i zabrtvi prostor između krila i praga, ostale brtve od teško zapaljivog materijala.
Maksimalne dimenzije krila se kreću u granicama ca 1400 mm x 2800 mm</t>
  </si>
  <si>
    <t>Karakteristike protupožarnog sistema EI 30 C5 Sm:
- tražena vatrootpornost, 30 min, HRN EN 13501:   
- max. dim. krila: 1400x3000 mm (230 kg)
- dimopropusnost: ≤ 20 (jednokrilna)
- materijal za brtvljenje,  HRN EN 13501  
- mehanička trajnost,     HRN EN 14600 (HRN EN 1191):  klasa 5 (200000         ciklusa)</t>
  </si>
  <si>
    <t>Čelične profile protupožarnih stavki zaštititi u skladu s HRN EN 12944, završna obrada prema izboru plastificiranjem.Temeljna obrada vrućim cinčanjem, završna prema izboru pplastifikacija.</t>
  </si>
  <si>
    <t>U cijeni razrada radioničkih detalja, izmjere na licu mjesta i sva potrebna skela. Stavke izvoditi prema shemama.</t>
  </si>
  <si>
    <t xml:space="preserve">U cijeni stavke uključiti komplet sav potreban rad i materijal prema opisu u troškovniku, kao i sve dodatne radove i materijale potrebne da se izradi kompletna stavka kao oblikovna i funkcionalna cjelina. Svi spojni limovi, opšavi, ekspandirajuće trake, PP laminati, PP gips ploče priključka i dr., koji se ugrađuju, sastavni su dio predmetnih stavki. 
</t>
  </si>
  <si>
    <t>Sve predviđene materijale, okov i razrađene detalje predočiti na uvid i odobrenje projektantu i nadzornom inženjeru.</t>
  </si>
  <si>
    <t xml:space="preserve">Cijenom stavaka je obuhvaćena i zaštita elemenata nakon ugradnje folijama i sl. do primopredaje objekta. </t>
  </si>
  <si>
    <t>Izrada, dobava i ugradnja protupožarnih unutarnjih punih dvokrilnih, zaokretnih vrata, klasa negorivosti EI2 30-C; u građevinskom otvoru dimenzija 160x215 cm. Krila  nejednake  širine, svijetlih dimenzija prema  shemi u  prilogu, u  RAL boji po izboru projektanta.</t>
  </si>
  <si>
    <t>Profili su čelični bez prekinutog toplinskog mosta. Dovratnik, krilo i spojnice s ležajem izrađeni su od pocinčanog lima, plastificirano. Dovratnik se ugrađuje u AB zid. Krilo ima protupožarnu ispunu. U cijeni i hidraulički zatvarač sa klizačem EN 1154 (ili jednakovrijedno), centralna brava protupožarne izvedbe EN 12209 (ili jednakovrijedno), kvaka, cilindar, brtve: u dovratniku, trostrano (gumena i ekspandirajuća), u podu bez praga i spuštajuće brtve zazor, 5-10 mm. Spoj zida i dovratnika završnim profilom (suha ugradnja).  Detalji učvršćenja su sistemski riješeni prema uputama proizvođača.</t>
  </si>
  <si>
    <t>U cijenu je uključeno  kompletno: svi potrebni radovi na izradi i ugradnji elemenata; svi transporti; sav osnovni, spojni i brtveni materijal; sav okov i kvake prema shemama i načinu otvaranja;  i ostalo do potpune gotovosti i funkcionalnosti. Obračun po komadu.</t>
  </si>
  <si>
    <r>
      <t xml:space="preserve">Sve izvesti prema </t>
    </r>
    <r>
      <rPr>
        <b/>
        <sz val="10"/>
        <rFont val="Arial"/>
        <family val="2"/>
        <charset val="238"/>
      </rPr>
      <t>shemi PP bravarije 1</t>
    </r>
    <r>
      <rPr>
        <sz val="10"/>
        <rFont val="Arial"/>
        <family val="2"/>
        <charset val="238"/>
      </rPr>
      <t xml:space="preserve">. </t>
    </r>
  </si>
  <si>
    <t xml:space="preserve">Profili su čelični bez prekinutog toplinskog mosta. Dovratnik ugradbene dubine 60 mm i vidljive širine 25 mm ugrađuje se u AB zid. Krilo je poravnato sa štokom u zatvorenom položaju,  fuga 5 mm. U cijeni i hidraulički zatvarač sa klizačem EN 1154, centralna brava protupožarne izvedbe EN 12209, kvaka, cilindar, brtve: u dovratniku, trostrano (gumena i ekspandirajuća), u podu bez praga i spuštajuće brtve zazor, 5-10mm. Spoj zida i dovratnika završnim profilom (suha ugradnja). </t>
  </si>
  <si>
    <t xml:space="preserve">Protupožarno jednostruko staklo je višeslojno, sigurnosno sa  gumenom brtvom a sve u klasi negorivosti  EI2 30-C. U prostor između stakla i profila ugrađuje se ekspandirajući laminat koji u slučaju požara nabubri i zabrtvi taj dio konstrukcije. Brtvljenje između krila i štoka osigurano je pomoću 2 protupožarne trostrane brtve u klasi HRN EN 13501-1.
 </t>
  </si>
  <si>
    <t xml:space="preserve">Detalji učvršćenja su sistemski riješeni prema uputama proizvođača. U cijenu uključiti sav kompletan rad na izradi i postavi elemenata i sav spojni materijal.  </t>
  </si>
  <si>
    <r>
      <t xml:space="preserve">Sve izvesti prema </t>
    </r>
    <r>
      <rPr>
        <b/>
        <sz val="10"/>
        <rFont val="Arial"/>
        <family val="2"/>
        <charset val="238"/>
      </rPr>
      <t>shemi PP bravarije 2</t>
    </r>
    <r>
      <rPr>
        <sz val="10"/>
        <rFont val="Arial"/>
        <family val="2"/>
        <charset val="238"/>
      </rPr>
      <t xml:space="preserve">. </t>
    </r>
  </si>
  <si>
    <t>Izrada, dobava i ugradnja protuprovalno protupožarnih unutarnjih punih jednokrilnih zaokretnih vrata klasa EI2 30-C-Sm, građevinskih dimenzija 110x220 cm,  ugrađena u AB zid debljine 20 cm.</t>
  </si>
  <si>
    <t xml:space="preserve">Profili su čelični  sa prekinutim toplinskim mostom. Profile dimenzionirati prema težini vratnog krila. Dovratnik, krilo i spojnice s ležajem izrađeni su od pocinčanog lima, plastificirano u boji drveta po izboru projektanta. Krilo ima toplinsku i zvučnu izolaciju sa protupožarnom ispunom. U cijeni uključene brtve: u dovratniku i pragu trostrano (gumena i ekspandirajuća). Spoj zida i dovratnika završnim profilom (suha ugradnja). </t>
  </si>
  <si>
    <t xml:space="preserve">U podu predvidjeti graničnike za otvaranje vrata - valjak ∅18 mm -  prema odabiru Projektanta. </t>
  </si>
  <si>
    <t xml:space="preserve">U cijenu uključiti centralnu sigurnosnu bravu protupožarne izvedbe s cilindrom (zaključavanje cilindričnim ključem 1 - 3 okretaja), 5 ključeva s kôd karticom, s vanjske strane kugla, s unutarnje kvaka, širokokutna vatrootporna špijunka (min 160°). Obračun po komadu.
 </t>
  </si>
  <si>
    <r>
      <t xml:space="preserve">Sve izvesti prema </t>
    </r>
    <r>
      <rPr>
        <b/>
        <sz val="10"/>
        <rFont val="Arial"/>
        <family val="2"/>
        <charset val="238"/>
      </rPr>
      <t>shemi PP bravarije 3</t>
    </r>
    <r>
      <rPr>
        <sz val="10"/>
        <rFont val="Arial"/>
        <family val="2"/>
        <charset val="238"/>
      </rPr>
      <t xml:space="preserve">. </t>
    </r>
  </si>
  <si>
    <t>Izrada, dobava i ugradnja protuprovalno protupožarnih unutarnjih punih jednokrilnih zaokretnih vrata klasa EI2 30-C-Sm, građevinskih dimenzija 100x220 cm,  ugrađena u AB zid debljine 20 cm.</t>
  </si>
  <si>
    <t>U ostalome isto kao u st. 10.2.3.</t>
  </si>
  <si>
    <r>
      <t xml:space="preserve">Sve izvesti prema </t>
    </r>
    <r>
      <rPr>
        <b/>
        <sz val="10"/>
        <rFont val="Arial"/>
        <family val="2"/>
        <charset val="238"/>
      </rPr>
      <t>shemi PP bravarije 4</t>
    </r>
    <r>
      <rPr>
        <sz val="10"/>
        <rFont val="Arial"/>
        <family val="2"/>
        <charset val="238"/>
      </rPr>
      <t xml:space="preserve">. </t>
    </r>
  </si>
  <si>
    <t xml:space="preserve">Izrada, dobava i ugradnja punih, jednokrilnih, zaokretnih, protupožarnih čeličnih stropnih vratašaca za pristup potkrovlju klase  EI 90,  dimenzije 90x90 cm. Ugrađuju se u AB međukatnu konstrukciju a brtve se sa protupožarnom oblogom iz gipskartonskih ploča u podgledu. </t>
  </si>
  <si>
    <t>Profili su čelični sa prekinutim toplinskim mostom. Dovratnik, krilo i spojnice s ležajem izrađeni su od pocinčanog lima, plastificirano, u boji po izboru projektanta. Krilo ima protupožarnu ispunu. U cijeni i hidraulički zatvarač sa klizačem EN 1154, te fikser vratnog krila u otvorenom položaju, brava protupožarne izvedbe EN 12209, kvaka, brtva trostrano (gumena i ekspandirajuća). Obračun po komadu.</t>
  </si>
  <si>
    <r>
      <t xml:space="preserve">Sve izvesti prema </t>
    </r>
    <r>
      <rPr>
        <b/>
        <sz val="10"/>
        <rFont val="Arial"/>
        <family val="2"/>
        <charset val="238"/>
      </rPr>
      <t>shemi PP bravarije 5</t>
    </r>
    <r>
      <rPr>
        <sz val="10"/>
        <rFont val="Arial"/>
        <family val="2"/>
        <charset val="238"/>
      </rPr>
      <t xml:space="preserve">. </t>
    </r>
  </si>
  <si>
    <t xml:space="preserve">Izrada, dobava  i  ugradba otklopnog  prozora  za  odimljavanje dim 110x110 cm.
Prozor ima električno otvaranje i zatvaranje pomoću integriranog elektromotora  i  integrirane  sigurnosne  škare  za  osiguranje otklopnog  krila. </t>
  </si>
  <si>
    <t>Pokretanje preko sustava za automatsku dojavu požara uz  dodatnu opciju  ručnog otvaranja  (pomoću  ventus  mehanizma)  na  podestu.</t>
  </si>
  <si>
    <t xml:space="preserve">Ostakljenje troslojnim,  sigurnosnim, IZO staklom, sa 2 low E premaza, ispuna argonom. LowE sloj se nalazi na poz. 3, gledano izvana. Maksimalni Ug = 0,9 W/m2K. </t>
  </si>
  <si>
    <t>Uključen kompletan set okova i kvaka.
Vidljivi dijelovi otvaranja i zatvaranja i okova u finalnoj obradi kao profili. 
Prozor se  ugrađuje  u  vanjski   zid  od  opeke,  s  fasadom  tipa  ETICS. Ugradba suha, sa zapunjenim reški PU pjenom, sva vezna sredstva nehrđajuća.</t>
  </si>
  <si>
    <t xml:space="preserve">Detalji učvršćenja su sistemski riješeni prema uputama proizvođača.                                   U cijenu  uključeno:  izmjere na licu mjesta, izrada radioničkih nacrta prema priloženim shemama, razrada radioničkih detalja i sva potrebna skela. Uključen i sav kompletan rad na izradi i postavi elemenata; materijal prema opisu u troškovniku; sve dodatne, spojne materijale  i  radove potrebne da se stavka
izradi kompletna kao oblikovna i funkcionalna cjelina. Obračun po komadu.                                               </t>
  </si>
  <si>
    <r>
      <t xml:space="preserve">Sve izvesti prema </t>
    </r>
    <r>
      <rPr>
        <b/>
        <sz val="10"/>
        <rFont val="Arial"/>
        <family val="2"/>
        <charset val="238"/>
      </rPr>
      <t>shemi PP bravarije 6</t>
    </r>
    <r>
      <rPr>
        <sz val="10"/>
        <rFont val="Arial"/>
        <family val="2"/>
        <charset val="238"/>
      </rPr>
      <t xml:space="preserve">. </t>
    </r>
  </si>
  <si>
    <t>PROTUPOŽARNA BRAVARIJA UKUPNO:</t>
  </si>
  <si>
    <t>Izrada, dobava i ugradnja protupožarnih unutarnjih ostakljenih dvokrilnih, zaokretnih vrata, klasa negorivosti EI2 30-C; u građevinskom otvoru dimenzija 150x215 cm. Krila  nejednake  širine, svijetlih dimenzija prema  shemi u  prilogu, u  RAL boji po izboru projektanta.</t>
  </si>
  <si>
    <t>Pregrade se izvode iz drvenih okvira  s ispunom od drvenih platica u jednakom razmaku. Nosivi drveni okviri sidre se u obodnu konstrukciju zidova, podova i stropova. 
Završna obrada antifugicidnim i zaštitnim premazom za drvo.</t>
  </si>
  <si>
    <r>
      <rPr>
        <sz val="10"/>
        <rFont val="Arial"/>
        <family val="2"/>
        <charset val="238"/>
      </rPr>
      <t xml:space="preserve">Sve prema </t>
    </r>
    <r>
      <rPr>
        <b/>
        <sz val="10"/>
        <rFont val="Arial"/>
        <family val="2"/>
        <charset val="238"/>
      </rPr>
      <t>shemi stolarije U5.</t>
    </r>
  </si>
  <si>
    <t>435x254 cm</t>
  </si>
  <si>
    <t>285x254 cm</t>
  </si>
  <si>
    <t>U cijenu stavke  uključiti sav potreban spojni i pomoćni materijal, temeljne i zaštitne premaze, sve do potpune gotovosti. Uključiti i sva potrebna pripasivanja fiksnih pregrada između spremišta. 
Izvesti u potpunosti u skladu s ovjerenom radioničkom dokumentacijom. Obračun po kompletu izvedene pregrade.</t>
  </si>
  <si>
    <t>425x254 cm</t>
  </si>
  <si>
    <r>
      <rPr>
        <sz val="10"/>
        <rFont val="Arial"/>
        <family val="2"/>
        <charset val="238"/>
      </rPr>
      <t xml:space="preserve">Sve prema </t>
    </r>
    <r>
      <rPr>
        <b/>
        <sz val="10"/>
        <rFont val="Arial"/>
        <family val="2"/>
        <charset val="238"/>
      </rPr>
      <t>shemi stolarije U6.</t>
    </r>
  </si>
  <si>
    <t xml:space="preserve">U ostalome isto kao st. 09.07.
Obračun po kompletu izvedene pregrade. </t>
  </si>
  <si>
    <t xml:space="preserve">Izrada, dobava i ugradnja pregrade spremišta stanara građevinskih dimenzija 270x254 cm i 260x254 cm. Sastoji se od fiksnih polja i 2 jednokrilna zaokretna vrata svjetlih dim 90 x 215 cm.
</t>
  </si>
  <si>
    <t xml:space="preserve">Izrada, dobava i ugradnja pregrade spremišta stanara građevinskih dimenzija 425x254 cm i 285x254 cm. Sastoji se od fiksnih polja i 3 jednokrilna zaokretna vrata svjetlih dim 90 x 215 cm.
</t>
  </si>
  <si>
    <t xml:space="preserve">Izrada, dobava i ugradnja pregrade spremišta stanara građevinskih dimenzija 435x254 cm i 285x254 cm. Sastoji se od fiksnih polja i 3 jednokrilna zaokretna vrata svjetlih dim 90 x 215 cm.
</t>
  </si>
  <si>
    <t>270x254 cm</t>
  </si>
  <si>
    <r>
      <rPr>
        <sz val="10"/>
        <rFont val="Arial"/>
        <family val="2"/>
        <charset val="238"/>
      </rPr>
      <t xml:space="preserve">Sve prema </t>
    </r>
    <r>
      <rPr>
        <b/>
        <sz val="10"/>
        <rFont val="Arial"/>
        <family val="2"/>
        <charset val="238"/>
      </rPr>
      <t>shemi stolarije U7.</t>
    </r>
  </si>
  <si>
    <r>
      <rPr>
        <sz val="10"/>
        <rFont val="Arial"/>
        <family val="2"/>
        <charset val="238"/>
      </rPr>
      <t xml:space="preserve">Sve prema </t>
    </r>
    <r>
      <rPr>
        <b/>
        <sz val="10"/>
        <rFont val="Arial"/>
        <family val="2"/>
        <charset val="238"/>
      </rPr>
      <t>shemi stolarije U8.</t>
    </r>
  </si>
  <si>
    <t>280x254 cm</t>
  </si>
  <si>
    <t>260x254 cm</t>
  </si>
  <si>
    <t xml:space="preserve">Izrada, dobava i ugradnja pregrade spremišta stanara građevinskih dimenzija 280x254 cm i 260x254 cm. Sastoji se od fiksnih polja i 2 jednokrilna zaokretna vrata svjetlih dim 90 x 215 cm.
</t>
  </si>
  <si>
    <t xml:space="preserve">Izrada, dobava i ugradnja pregrade spremišta stanara građevinskih dimenzija 670x254 cm i 260x254 cm. Sastoji se od fiksnih polja i 4 jednokrilnih zaokretnih vrata svjetlih dim 90 x 215 cm.
</t>
  </si>
  <si>
    <r>
      <rPr>
        <sz val="10"/>
        <rFont val="Arial"/>
        <family val="2"/>
        <charset val="238"/>
      </rPr>
      <t xml:space="preserve">Sve prema </t>
    </r>
    <r>
      <rPr>
        <b/>
        <sz val="10"/>
        <rFont val="Arial"/>
        <family val="2"/>
        <charset val="238"/>
      </rPr>
      <t>shemi stolarije U9.</t>
    </r>
  </si>
  <si>
    <t>670x254 cm</t>
  </si>
  <si>
    <t xml:space="preserve">Izrada, dobava i ugradnja pregrade spremišta stanara građevinskih dimenzija 282x254 cm i 150x254 cm. Sastoji se od fiksnih polja i 1 jednokrilna zaokretna vrata svjetlih dim 90 x 215 cm.
</t>
  </si>
  <si>
    <r>
      <rPr>
        <sz val="10"/>
        <rFont val="Arial"/>
        <family val="2"/>
        <charset val="238"/>
      </rPr>
      <t xml:space="preserve">Sve prema </t>
    </r>
    <r>
      <rPr>
        <b/>
        <sz val="10"/>
        <rFont val="Arial"/>
        <family val="2"/>
        <charset val="238"/>
      </rPr>
      <t>shemi stolarije U11.</t>
    </r>
  </si>
  <si>
    <r>
      <rPr>
        <sz val="10"/>
        <rFont val="Arial"/>
        <family val="2"/>
        <charset val="238"/>
      </rPr>
      <t xml:space="preserve">Sve prema </t>
    </r>
    <r>
      <rPr>
        <b/>
        <sz val="10"/>
        <rFont val="Arial"/>
        <family val="2"/>
        <charset val="238"/>
      </rPr>
      <t>shemi stolarije U10.</t>
    </r>
  </si>
  <si>
    <t>282x254 cm</t>
  </si>
  <si>
    <t>150x254 cm</t>
  </si>
  <si>
    <t>10.3.</t>
  </si>
  <si>
    <t>U cijenu svake pojedine stavke uključeno:
Dobava svog materijala, sav vanjski i unutrašnji transport do mjesta ugradbe.
Sve radne platforme, pomične i nepomične skele za radove do visine jedne etaže (cca 3,0 m).
Zaštita od korozije i završni premazi u boji po izboru Projektanta sastavni su dijelovi svake bravarske stavke i moraju se uključiti u jediničnu cijenu.
Izvođač je dužan izraditi radioničke nacrte i uskladiti sve detalje s Projektantom. Kroz radioničke nacrte statički provjeriti nosivost svih profila i okova.</t>
  </si>
  <si>
    <t>S eventualnim promjenama građevinskih otvora (max ±2 cm) moraju biti upoznati Projektant i Nadzorni inženjer. Svako eventualno odstupanje od sheme ili opisa mora potpisom odobriti Projektant.</t>
  </si>
  <si>
    <t xml:space="preserve">Izrada, dobava i ugradba ograde trokrakog  stubišta visine 110 cm,  mjereno na sredini stube. Vertikalni i horizontalni nosači od čeličnih cijevi kvardratičnog presjeka 40x40 mm sidrenih u AB ploču  stubišta L profilima sa gornje i bočne strane.  Ispuna od  vertikalnih čeličnih cijevi kvadratičnog presjeka 15x15 mm svjetlog razmaka 13,5 cm. 
Završna obrada antikorozivnim premazom i ličeno u boji po izboru projektanta. Na ČN okvir ograde izvesti drveni rukohvat Ø 6 cm. </t>
  </si>
  <si>
    <t>U cijenu stavke  uključiti sav potreban spojni i pomoćni materijal, temeljne i zaštitne premaze, sve do potpune gotovosti. 
Izvesti u potpunosti u skladu s ovjerenom radioničkom dokumentacijom. Obračun po m' ograde.</t>
  </si>
  <si>
    <r>
      <t xml:space="preserve">Izvesti sve prema shemi </t>
    </r>
    <r>
      <rPr>
        <b/>
        <sz val="10"/>
        <rFont val="Arial"/>
        <family val="2"/>
        <charset val="238"/>
      </rPr>
      <t>čelične bravarije 1.</t>
    </r>
  </si>
  <si>
    <t>1A dim 185/110 cm</t>
  </si>
  <si>
    <t>1B dim 110/110 cm</t>
  </si>
  <si>
    <t>1C dim 185/110 cm</t>
  </si>
  <si>
    <t>1D dim 185/110 cm</t>
  </si>
  <si>
    <t>1D dim 225/110 cm</t>
  </si>
  <si>
    <t>ČELIČNA BRAVARIJA UKUPNO:</t>
  </si>
  <si>
    <r>
      <t xml:space="preserve">U cijenu svake pojedine stavke uključeno:
</t>
    </r>
    <r>
      <rPr>
        <sz val="10"/>
        <rFont val="Arial"/>
        <family val="2"/>
      </rPr>
      <t xml:space="preserve">U jediničnim cijenama uračunati su svi radovi dotične stavke, s dobavom potrebnog materijala, s istovarom i uskladištenjem na gradilištu, sav horizontalni i vertikalni transport do radnog mjesta, kao i sva potrebna radna snaga i režijski troškovi, te sve potrebne radove, predradnje i materijal prema uputama proizvođača. 
</t>
    </r>
  </si>
  <si>
    <t>Izvedba kontaktnog fasadnog sustava podnožja zida uz teren (sokl) - ETICS sustav - toplinskom izolacijom sa pločama od ekstrudiranog polistirena, debljine određene  proračunom građevinske fizike debljine 15 cm, tj. 11 cm. U cijenu je potrebno uračunati dobavu materijala, te izradu ETICS-a prema uputama proizvođača komponenti certificiranog sustava.</t>
  </si>
  <si>
    <t>Stavka uključuje sve faze izrade ETICS sustava: 1. ekstrudirani polistiren XPS300, ploče s rubnim preklopom s Ʌ≤0,036W/mK, ploče obostrano zahrapaljene površine, mehanički učvršćene na podlogu samo u gornjoj zoni, ljepljene na podlogu punoplošno s hladnom bitumenskom pastom bez organskih otapala - 15 cm, tj. 11 cm +  ljepilo 0,5 cm i 2. vodootporna fasadna podložna žbuka za podnožje zgrade armirana staklenom mrežicom - 0,5 cm, 3. Završni fasadni premaz za podnožje zgrade. U cijenu m² komplet izvedene fasade obuhvatiti obradu svih špaleta, rubova, bridova, profila, završetaka, dilatacija, spojeva i prodora te izvedbu protupožarnih barijera i/ili pojaseva sve prema uputi proizvođača.</t>
  </si>
  <si>
    <t xml:space="preserve">Sve što nije obuhvaćeno ovim opisom, izvesti prema uputama proizvođača komponenti certificiranog sustava, sukladno nacionalnim  ili jednakovrijednim normama, te smjernicama za izradu ETICS sustava HUPFAS-a.                    </t>
  </si>
  <si>
    <t>Obračun po m² postavljenog ETICS sustava.</t>
  </si>
  <si>
    <r>
      <rPr>
        <sz val="10"/>
        <rFont val="Arial CE"/>
        <charset val="238"/>
      </rPr>
      <t xml:space="preserve">d=15 cm </t>
    </r>
    <r>
      <rPr>
        <b/>
        <sz val="10"/>
        <rFont val="Arial CE"/>
        <charset val="238"/>
      </rPr>
      <t>VZ1'</t>
    </r>
  </si>
  <si>
    <r>
      <rPr>
        <sz val="10"/>
        <rFont val="Arial CE"/>
        <charset val="238"/>
      </rPr>
      <t xml:space="preserve">d=11 cm </t>
    </r>
    <r>
      <rPr>
        <b/>
        <sz val="10"/>
        <rFont val="Arial CE"/>
        <charset val="238"/>
      </rPr>
      <t>VZ2'</t>
    </r>
  </si>
  <si>
    <t xml:space="preserve">Izvedba kontaktnog fasadnog sustava - ETICS sustav - toplinskom izolacijom sa pločama od mineralne vune (MW), debljine određene  proračunom građevinske fizike debljine 16 cm, tj. 12 cm ili 5 cm. U cijenu je potrebno uračunati dobavu materijala, te izradu ETICS-a prema uputama proizvođača komponenti certificiranog sustava.                                                                                                                     </t>
  </si>
  <si>
    <t>Stavka uključuje sve faze izrade ETICS sustava: 
- postavljanje  početnog "U“ profila za podnožje - pričvršćivanje izvesti nehrđajućim vijcima.
 - lijepljenje ploča nanošenjem bijelog morta za lijepljenje i armiranje granulacije 1,2mm,  trakasto po rubovima i točkasto po sredini ploča (min 40% ravnomjerna pokrivenost ploče). Ploče se min.3-5 dana nakon lijepljenja dodatno mehanički pričvršćuju pričvrsnicama sa čeličnim čavlom.</t>
  </si>
  <si>
    <t xml:space="preserve"> - na kutevima objekta izolacijske ploče se preklapaju na izmjeničan vez, a potom se na te bridove, kao i bridove otvora, postavljaju  PVC kutnici sa mrežicom  ili okapni profil na horizontalne bridove (tamo gdje je potrebno). 
- na kutevima otvora (prozora,vrata,..) obaviti dijagonalna armiranja trakama armaturne mrežice.</t>
  </si>
  <si>
    <t xml:space="preserve"> - armiranje izvesti sa zupčastim gleterom: nanosi se cca 3 mm bijelog morta za lijepljenje i armiranje, u koji se utiskuje staklena, alkalno otporna, mrežica za armiranje sa preklopima od 10 cm.  Ukupna debljina armirnog sloja ne smije biti manja od 5 mm, a mrežica mora biti smještena u gornjoj trećini armirnog sloja.                                                                                           </t>
  </si>
  <si>
    <t xml:space="preserve"> - na mrežicu se nanosi drugi sloj (2mm) morta za lijepljenje i armiranje. 
- na spojevima ETICS-a sa stolarijom, ugraditi trodimenzionalni priključni profil za stolariju, a na spojevima ETICS-a sa prozorskim  klupicama, ugraditi izolacijsku traku za fuge. </t>
  </si>
  <si>
    <t xml:space="preserve">Izvedba završnog sloja - klasična opcija: nakon sušenja (od 10 – 14 dana, ovisno o vremenskim uvjetima), suha i čista podloga premazuje se ravnomjerno i temeljito nerazrijeđenim predpremazom sa dodatkom algicida, te se nakon min. 24 sata, nanosi silikonsko-silikatna završna dekorativna žbuka,  u granulaciji 1,5mmV u dva tona prema odabiru projektanta (nakon dostavljene ton karte). </t>
  </si>
  <si>
    <r>
      <rPr>
        <sz val="10"/>
        <rFont val="Arial CE"/>
        <charset val="238"/>
      </rPr>
      <t xml:space="preserve">d=16 cm </t>
    </r>
    <r>
      <rPr>
        <b/>
        <sz val="10"/>
        <rFont val="Arial CE"/>
        <charset val="238"/>
      </rPr>
      <t>VZ1</t>
    </r>
  </si>
  <si>
    <r>
      <rPr>
        <sz val="10"/>
        <rFont val="Arial CE"/>
        <charset val="238"/>
      </rPr>
      <t xml:space="preserve">d=12 cm </t>
    </r>
    <r>
      <rPr>
        <b/>
        <sz val="10"/>
        <rFont val="Arial CE"/>
        <charset val="238"/>
      </rPr>
      <t>VZ2</t>
    </r>
  </si>
  <si>
    <r>
      <rPr>
        <sz val="10"/>
        <rFont val="Arial CE"/>
        <charset val="238"/>
      </rPr>
      <t xml:space="preserve">d=11 cm </t>
    </r>
    <r>
      <rPr>
        <b/>
        <sz val="10"/>
        <rFont val="Arial CE"/>
        <charset val="238"/>
      </rPr>
      <t>VZ2</t>
    </r>
  </si>
  <si>
    <r>
      <rPr>
        <sz val="10"/>
        <rFont val="Arial CE"/>
        <charset val="238"/>
      </rPr>
      <t xml:space="preserve">d=5 cm </t>
    </r>
    <r>
      <rPr>
        <b/>
        <sz val="10"/>
        <rFont val="Arial CE"/>
        <charset val="238"/>
      </rPr>
      <t>VZ4</t>
    </r>
  </si>
  <si>
    <t>FASADERSKI RADOVI UKUPNO:</t>
  </si>
  <si>
    <t xml:space="preserve">Izrada, doprema i ugradba nadstrešnice nad sjeverim ulazom u zgradu, dim. 350x120 cm. Izrađene su od čelične konstrukcije koja je učvršćena za pročelje zgrade zategama i čeličnim pravokutnim cijevima (dim 50/50/5 mm). Pokrov je od lijevanog plexiglasa otporan na udarce i UV zrake.  </t>
  </si>
  <si>
    <r>
      <t xml:space="preserve">Konstrukcija se izrađuje prema radioničko-montažnim nacrtima i prema važećim propisima za čelične konstrukcije. Elementi čelične konstrukcije izrađuju se od čelika kvalitete St 37.2 (S235) i nakon izrade u radionici antikorozivno se zaštićuju temeljnim premazom 35 μm na prethodno očišćenoj površini pjeskarenjem do stupnja čistoće Sa 2.5.
U cijenu uključiti završno ličenje konstrukcije (nakon montaže i popravka temeljnog premaza nanosi se drugi temeljni premaz debljine  35 μm  i završnim premazi 2 x 40 μm u boji prema izboru investitora). U cijenu uključiti izradu radioničko-montažne dokumentacije.
Boja konstrukcije po RAL karti prema odabiru projektanta. U cijenu uključiti sve zaštitne i završni premaz čn konstrukcije. 
U cijeni i sav rad i materijal te spojni i pričvrsni pribor.  Izvesti sve prema shemi </t>
    </r>
    <r>
      <rPr>
        <b/>
        <sz val="10"/>
        <rFont val="Arial"/>
        <family val="2"/>
        <charset val="238"/>
      </rPr>
      <t>čelične bravarije 2</t>
    </r>
    <r>
      <rPr>
        <sz val="10"/>
        <rFont val="Arial"/>
        <family val="2"/>
      </rPr>
      <t>. Obračun po kom.</t>
    </r>
  </si>
  <si>
    <r>
      <t xml:space="preserve">Izvesti sve prema shemi </t>
    </r>
    <r>
      <rPr>
        <b/>
        <sz val="10"/>
        <rFont val="Arial"/>
        <family val="2"/>
        <charset val="238"/>
      </rPr>
      <t>čelične bravarije 3.</t>
    </r>
  </si>
  <si>
    <t>Inox rukohvat kod pješačke rampe - cijevi  Φ 40 mm na visinama 60 cm i 90 cm od gotovog poda. Obračun po m'.</t>
  </si>
  <si>
    <t>Inox rukohvat kod stuba - cijevi  Φ 40 mm na visinama 60 cm i 90 cm od gotovog poda. Obračun po m'.</t>
  </si>
  <si>
    <r>
      <t xml:space="preserve">Izvesti sve prema shemi </t>
    </r>
    <r>
      <rPr>
        <b/>
        <sz val="10"/>
        <rFont val="Arial"/>
        <family val="2"/>
        <charset val="238"/>
      </rPr>
      <t>čelične bravarije 4.</t>
    </r>
  </si>
  <si>
    <t xml:space="preserve">Dobava, doprema i ugradnja pregrada o između terasa/lođa stanova, dim 170/250 cm. </t>
  </si>
  <si>
    <t>Srednjica ploče izrađena od visoko kvalitetnih celuloznih papira oplemenjenih fenolnim smolama. Vanjski i unutarnji dekorativni sloj zaštićeni akrilnim smolama  specijalnom NT tehnologijom, koja svojom dijamantnom strukturom štiti ploče od UV zraka.
Ploče se učvršćuju na odgovarajuću potkonstrukciju nevidljivim spojem - ljepljenjem.</t>
  </si>
  <si>
    <t xml:space="preserve">Rubovi svih ploča fino brušeni i fazetirani. Svi vanjski kutevi – spojevi ploha riješeni su L profilom, postavljenim s unutarnje strane kuta, a na kojem se plohe rezane pod 45° spajaju  uz "fugu" odabrane širine. 
Ploče se montiraju po sistemu  otvorenih   vertikalnih fuga, širine min. 6 mm, a max 10 mm. </t>
  </si>
  <si>
    <r>
      <t>Izvesti sve prema</t>
    </r>
    <r>
      <rPr>
        <sz val="10"/>
        <color rgb="FFFF0000"/>
        <rFont val="Arial"/>
        <family val="2"/>
        <charset val="238"/>
      </rPr>
      <t xml:space="preserve"> </t>
    </r>
    <r>
      <rPr>
        <sz val="10"/>
        <rFont val="Arial"/>
        <family val="2"/>
        <charset val="238"/>
      </rPr>
      <t>shemi</t>
    </r>
    <r>
      <rPr>
        <b/>
        <sz val="10"/>
        <rFont val="Arial"/>
        <family val="2"/>
        <charset val="238"/>
      </rPr>
      <t xml:space="preserve"> čelične bravarije 6.</t>
    </r>
  </si>
  <si>
    <t>Sva učvršćenja i spojne elemente izvesti prema uputama proizvođača HPL ploča.</t>
  </si>
  <si>
    <r>
      <t>Izvesti sve prema</t>
    </r>
    <r>
      <rPr>
        <sz val="10"/>
        <color rgb="FFFF0000"/>
        <rFont val="Arial"/>
        <family val="2"/>
        <charset val="238"/>
      </rPr>
      <t xml:space="preserve"> </t>
    </r>
    <r>
      <rPr>
        <sz val="10"/>
        <rFont val="Arial"/>
        <family val="2"/>
        <charset val="238"/>
      </rPr>
      <t>shemi</t>
    </r>
    <r>
      <rPr>
        <b/>
        <sz val="10"/>
        <rFont val="Arial"/>
        <family val="2"/>
        <charset val="238"/>
      </rPr>
      <t xml:space="preserve"> čelične bravarije 5.</t>
    </r>
  </si>
  <si>
    <t xml:space="preserve">Na  potkonstrukciju montirati završnu oblogu od HPL ploča s vanjske strane balkona. HPL ploče su izvedene na bazi visoko tlačno prešanog laminata, debljine 8 mm u tonu i boji prema izboru projektanta. </t>
  </si>
  <si>
    <r>
      <t xml:space="preserve">Pregrada je izvedena od HPL ploča debljine 8 mm u vanjskom dekoru po izboru projektanta. </t>
    </r>
    <r>
      <rPr>
        <sz val="10"/>
        <rFont val="Arial"/>
        <family val="2"/>
        <charset val="238"/>
      </rPr>
      <t>Učvršćuje se u obodne konstrukcije čeličnim prihvatnicima, u sistemskom rješenju proizvođača.</t>
    </r>
    <r>
      <rPr>
        <sz val="10"/>
        <rFont val="Arial"/>
        <family val="2"/>
      </rPr>
      <t xml:space="preserve"> </t>
    </r>
  </si>
  <si>
    <t>Sve ostalo kao u st. 10.3.5.</t>
  </si>
  <si>
    <t>U cijenu uključene sve potrebne predradnje i stolarska obrada, sav spojni materijal i ljepila, te potkonstrukcija. Ograda se izvodi prema radioničko-montažnim nacrtima koji su uključeni u cijenu stavke. Obračun po komadu.</t>
  </si>
  <si>
    <t>Raster, dimenzija i raspored ploča, te svi ostali tehnički detalji prema tehničkim uputstvima proizvođača  fasadnih HPL elemenata i sistema optimalnog iskorištenja ploča, te ovjeri projektanta.</t>
  </si>
  <si>
    <t>Izrada, dobava i ugradba ograde  balkona/lođa/terasa visine 110 cm od gotovog poda. Vertikalni i horizontalni nosači od čeličnih cijevi kvardratičnog presjeka 40x40 mm sidrenih L profilima u obodne konstrukcije.
Na ČN okvir ograde izvesti ČN rukohvat Ø 5 cm. Završnu obradu ČN potkonstrukcije i rukohvata izvesti antikorozivnim premazom i ličeno u boji po izboru projektanta.</t>
  </si>
  <si>
    <t xml:space="preserve">U cijenu uključene sve potrebne predradnje i stolarska obrada, sav spojni materijal i ljepila, te potkonstrukcija. Ograda se izvodi prema radioničko-montažnim nacrtima koji su uključeni u cijenu stavke. Obračun po m'. </t>
  </si>
  <si>
    <t>5A - dim 430x110 cm</t>
  </si>
  <si>
    <t>5B - dim 105x110 cm</t>
  </si>
  <si>
    <t>5C - dim 836x110 cm</t>
  </si>
  <si>
    <t>5D - dim 440x110 cm</t>
  </si>
  <si>
    <t>5F - dim 105x135 cm</t>
  </si>
  <si>
    <t>5G - dim 836x135 cm</t>
  </si>
  <si>
    <t>5H - dim 440x135 cm</t>
  </si>
  <si>
    <t>5E - dim 430x135cm</t>
  </si>
  <si>
    <t>5I - dim 930x135 cm</t>
  </si>
  <si>
    <t>MK5, K2</t>
  </si>
  <si>
    <r>
      <t>RZ2</t>
    </r>
    <r>
      <rPr>
        <sz val="10"/>
        <rFont val="Arial CE"/>
        <charset val="238"/>
      </rPr>
      <t xml:space="preserve"> - 10 cm</t>
    </r>
  </si>
  <si>
    <t>Svi detalji pričvršćivanja i spojeva, izvode se prema uputstvima proizvođača, uključivo sa dobavom potrebnog spojnog materijala u cijeni stavke. Obračun po m'.</t>
  </si>
  <si>
    <t>Izvedba dodatne toplinske i hidroizolacije pragova vanjskih vrata i staklenih stijena. Dodatnu toplinsku izolaciju izvesti u potrebnim debljinama prema sistemskom rješenju proizvođača aluminijske i PVC stolarije. Dodatnu HI izvesti  kao vertikalnu na spoju s vanjskim terasama/lođama u preklopu od 10 cm.</t>
  </si>
  <si>
    <t>Dobava i montaža neventiliranih grebena sistemom opšivanja grebene letve (opisana zasebno u tesarskim radovima) 5x5 cm, boje i kvalitete materijala kao osnovna pozicija. Voditi računa o dilatacijskom radu pokrovnih traka. Obračun po m'.</t>
  </si>
  <si>
    <t>Dobava, postava i ugradnja rubnih drvenih letvi u sljemenjaku dim 5/8 cm. Građa: četinjače II klase (HRN U.C9.200 ili jednakovrijednoj) Stavka obuhvaća: završnu obradu blanjanjem, sve potrebne završne premaze, impregnaciju i sav spojni materijal. Izvesti sve prema detalju u izvedbenom projektu. Obračun u m'.</t>
  </si>
  <si>
    <t>Dobava, postava i ugradnja drvene grebene letve dim 5/5 cm. Građa: četinjače II klase (HRN U.C9.200 ili jednakovrijednoj) Stavka obuhvaća: završnu obradu blanjanjem, sve potrebne završne premaze, impregnaciju i sav spojni materijal. Izvesti sve prema detalju u izvedbenom projektu. Obračun u m'.</t>
  </si>
  <si>
    <t>PRIPREMNI I ZEMLJANI RADOVI UKUPNO:</t>
  </si>
  <si>
    <t>Dobava, postava i ugradnja završne drvene obloge (pokrov drvene grede i rogova na zabatima) dim 20/2.4 cm.
Građa: četinjače II klase (HRN U.C9.200 ili jednakovrijednoj) Stavka obuhvaća: završnu obradu blanjanjem, sve potrebne završne premaze, impregnaciju i sav spojni materijal. Izvesti sve prema detalju u izvedbenom projektu. Obračun u m².</t>
  </si>
  <si>
    <t>Dobava i ugradnja okruglih spojnih odvoda za upušteni sandučasti žljeb Ø100mm i  Ø75mm  iz aluminijskog lima boja i kvaliteta materijala kao osnovna pozicija. Uključivo sve spojne elemente prema uputama proizvođaća. Obračun po kom.</t>
  </si>
  <si>
    <t>Ø100mm</t>
  </si>
  <si>
    <t>Ø75mm</t>
  </si>
  <si>
    <t>DN 75</t>
  </si>
  <si>
    <t>Dobava i montaža dilatacijskog lima. Dilatacijski lim je boje i kvalitete kao završna boja fasade, tj. krova, a spojeve izvesti prema pravilima struke.  Obračun po m'.</t>
  </si>
  <si>
    <t>vertikalni RŠ 15 cm</t>
  </si>
  <si>
    <t xml:space="preserve">horizontalni RŠ 60 cm </t>
  </si>
  <si>
    <t xml:space="preserve">Kvaliteta falcanog spoja: H41 iz alu. legure EN AW 3005 ili jednakovrijedno prema EN 573-3 ili jednakovrijedno. 
Razred reakcije na požar ''A1'' sukladno EN 13501-1 ili jednakovrijedno. 
Deklaracija proizvoda za okoliš prema ISO 14025 ili jednakovrijedno i EN 15804: EPD-GDA-20130260-IBG1-DE ili jedankovrijedno. Referentni vijek trajanja prema ekološkoj deklaraciji proizvoda: = 70 godina. Minimalno jamstvo na materjal 40 godina. </t>
  </si>
  <si>
    <t>Debljina materjala 0,70 mm, 
Širina nabavnog materijala 500 mm. 
Težina: 1.89kg/m² prije falcanja, 2,3 kg/m² nakon falcanja. 
Dimenzija nakon postave: osno: 430 mm, širina ploče: 420 mm. 
Trake su jednostrano plastificirane, stražnja strana transparentni zapečeni zaštitni lak. 
Boja: prema odabiru projektanta. Prije izvedbe izvođač je dužan donijeti projektantu uzorak lima na odobrenje.
Kvaliteta i metoda bojanja lima: metoda kontinuiranog premaza lima (eng. coil coating). 
Garancija na boja min. 40 godina.</t>
  </si>
  <si>
    <t>Dobava i montaža tipskog samonosivog 
ventiliranog sljemenjaka /grebena (jet-odzračnik) za ventilirane krovove, polukružnog oblika s labirintom za izlaz zraka. Sastavljen od unutarnje polukružne rešetkaste perforacije i obostrane podložne brtve.</t>
  </si>
  <si>
    <t>Boja i kvalitete materijala kao osnovna pozicija. Moraju se poštovati smjernice za polaganje:
Pričvrsni materijal (nehrđajući vijci 4,5/60 mm sa brtvenom podloškom).
Duljine komada: 3000/1200 mm
Presjek ventilacije: 250 cm²/m
Debljina materijala: 1,00 mm
Stručno ugraditi, uključiti bočne tipske završne elemente i obradu kutnih spojeva dva ili tri grebena. Nužna tesarska priprema koja obuhvaća izrezivanje potrebnih otvora u krovnoj oplati uz porubljivanje ventilacijskog otvora prema van te obostranu postavu rubnih letvi 5x8cm po cijeloj dužini obrađeni su u zasebnoj stavci tesarskih radova.
Obračun po m'.</t>
  </si>
  <si>
    <t>Svi učvrsni elementi kao što su vijci i čavli pocinčani su ili fosforizirani. 
Postupak montaže prema smjernicama i uputama proizvođača gipskartonske obloge i predzidnog instalacijskog sistema. Razred kvalitete obrade površine i spojeva K2. Obračun po m² izvedene obloge.</t>
  </si>
  <si>
    <t>Unutar zidne obloge bit će postavljen instalacijski element za WC školjku i za umivaonik.
Jediničnom cijenom obračunati nosače predzidnog instalacijskog sistema vodokotlića i instalacijski element za umivaonik.</t>
  </si>
  <si>
    <t>Ugradnju prozora, ostakljenih vrata i staklenih stijena mora obuhvaćati slijedeće elemente ugradnje (RAL smjernice):
- ugradnju prozora/ostakljenih vrata/staklenih stijena na pravilnu liniju izoterme kod koje nema kondenzata na unutarnjoj stijenki stakla/profila 
Ugradnju prozora/ostakljenih vrata/staklenih stijena na sistemski PVC bazni profil - nema toplinskog mosta</t>
  </si>
  <si>
    <t xml:space="preserve">Paronepropusnost spoja sa zidom s unutarnje strane i  vodonepropusnost/paropropusnost s  vanjske
- odgovarajuću širinu bočne fuge između štoka i zida širine  
- ugradnju stakla s okvirom u skladu sa zahtjevima zaštite od buke </t>
  </si>
  <si>
    <t>Mehanizam podizno-kliznog okova funkcionira na način da se okretanjem ručke za 180 st. u donji položaj, krilo podiže sa dosjednog spoja između EPDM brtve i profila, te guranjem kliže po vodilici od inoxa. Vraćanjem ručke u početni položaj krilo se blago spušta i naliježe brtvom na profil stvarajući tako dosjedni spoj koji dobro brtvi. Klizanje iznutra.</t>
  </si>
  <si>
    <t xml:space="preserve">Ugradnja u slojeve poda upotrebom sistemskih baznih profila u donjem priključku na nosivu konstrukciju. Ostakljenje podizno-klizne stijene izvesti s tipovima otvaranja u skladu s teh. uputama dobavljača sistema. 
Detalje ugradnje na nosivu i postojeću konstrukciju izvesti u skladu s teh. uputama dobavljača sistema, principima RAL ugradnje i pravilima struke. </t>
  </si>
  <si>
    <r>
      <t xml:space="preserve"> Plohe moraju biti vodoravne ili u padu prema odvodima u podu. Pojedine pločice ne smiju viriti izvan ravnine poda. Posebnu pažnju obratiti obradi spoja opločenja i sanitarnih elemenata. U cijenu uključeno ljepilo i masa za fugiranje. Obračun po m</t>
    </r>
    <r>
      <rPr>
        <sz val="10"/>
        <rFont val="Tahoma"/>
        <family val="2"/>
      </rPr>
      <t>²</t>
    </r>
    <r>
      <rPr>
        <sz val="10"/>
        <rFont val="Arial"/>
        <family val="2"/>
        <charset val="238"/>
      </rPr>
      <t xml:space="preserve"> opločenog poda.</t>
    </r>
  </si>
  <si>
    <t>Popločenje podova kupaonica stanova
protukliznim (R9) podnim pločicama A klase. Pločice su dimenzija 60x60 cm, boje po odabiru projektanta, slažu se fuga na fugu.  Pločice se specijalnim cem.ljepilom lijepe na cem.estrih, te fugiraju masom za fugiranje iste boje kao pločice, sve od istog proizvođača (s primopredajom ostatka materijala investitoru).</t>
  </si>
  <si>
    <t xml:space="preserve">TROŠKOVNIK VODOVODA I KANALIZACIJE </t>
  </si>
  <si>
    <r>
      <t xml:space="preserve">Građevina:           </t>
    </r>
    <r>
      <rPr>
        <sz val="11"/>
        <rFont val="Arial"/>
        <family val="2"/>
        <charset val="238"/>
      </rPr>
      <t>Višestambena zgrada
                               k.č.br.1148/4, k.o. Ivanić-Grad, Ivanić-Grad</t>
    </r>
  </si>
  <si>
    <r>
      <t xml:space="preserve">Investitor:    </t>
    </r>
    <r>
      <rPr>
        <sz val="11"/>
        <rFont val="Arial"/>
        <family val="2"/>
        <charset val="238"/>
      </rPr>
      <t xml:space="preserve">         Agencija za pravni promet i posredovanje nekretninama, 
                               Savska cesta 41/VI, Zagreb                    </t>
    </r>
  </si>
  <si>
    <r>
      <t xml:space="preserve">Projektant:   </t>
    </r>
    <r>
      <rPr>
        <sz val="11"/>
        <rFont val="Arial"/>
        <family val="2"/>
        <charset val="238"/>
      </rPr>
      <t xml:space="preserve">       "Pro-Ing" d.o.o., Zagreb, Trakošćanska 6; ured: Krapinska 27, tel:3017-222</t>
    </r>
  </si>
  <si>
    <t>Cijena za svaku točku ove specifikacije mora obuhvatiti dobavu, montažu, spajanje, te dovođenje u stanje potpune funkcionalnosti ukoliko nije predviđeno posebnom stavkom.
U cijenu također ukalkulirati sav potreban spojni, montažni, pridržni i ostali materijal potreban za potpuno funkcioniranje ukoliko nije predviđeno posebnom stavkom.
Prije davanja ponude obvezno pročitati tehnički opis i pregledati nacrte.
Za sve eventualne primjedbe u pogledu izvođenja i troškovnika obratiti se prije davanja ponude projektantu.
Ponuđač radova mora ponuditi sve stavke iz ovog troškovnika. Ukoliko neke od stavki ne nudi ili predlaže alternativu, to u svojoj ponudi mora posebno naglasiti</t>
  </si>
  <si>
    <t>1. VODOVOD</t>
  </si>
  <si>
    <t>Uk.cijena €</t>
  </si>
  <si>
    <t xml:space="preserve">Donos, doprema i polaganje polietilenskih PE-3 cijevi za izvedbu priključka na gradski vodovod, fazonskih komada i armature odgovarajuće klase i veličine prema iskazu vodovodnog materijala u suhi rov na već pripremljenu posteljicu, uključivo sa spajanjem cijevi. Cijevi treba izvesti i položiti u padu prema projektu. Uključivo raznašanje cijevi i fazonskih komada duž rova, spuštanje u rov, poravnavanje tlocrtno i vertikalno. </t>
  </si>
  <si>
    <t>Ø50 (d63)</t>
  </si>
  <si>
    <r>
      <t>Obračun po m</t>
    </r>
    <r>
      <rPr>
        <vertAlign val="superscript"/>
        <sz val="10"/>
        <rFont val="Arial"/>
        <family val="2"/>
        <charset val="238"/>
      </rPr>
      <t>1</t>
    </r>
    <r>
      <rPr>
        <sz val="10"/>
        <rFont val="Arial"/>
        <family val="2"/>
        <charset val="238"/>
      </rPr>
      <t xml:space="preserve"> neizolirane cijevi</t>
    </r>
  </si>
  <si>
    <t xml:space="preserve">d  40 x 3,50 mm (DN 32) </t>
  </si>
  <si>
    <r>
      <t>m</t>
    </r>
    <r>
      <rPr>
        <vertAlign val="superscript"/>
        <sz val="10"/>
        <rFont val="Arial"/>
        <family val="2"/>
        <charset val="238"/>
      </rPr>
      <t>0</t>
    </r>
    <r>
      <rPr>
        <sz val="11"/>
        <color theme="1"/>
        <rFont val="Calibri"/>
        <family val="2"/>
        <charset val="238"/>
        <scheme val="minor"/>
      </rPr>
      <t/>
    </r>
  </si>
  <si>
    <r>
      <t>m</t>
    </r>
    <r>
      <rPr>
        <vertAlign val="superscript"/>
        <sz val="10"/>
        <rFont val="Arial"/>
        <family val="2"/>
        <charset val="238"/>
      </rPr>
      <t>1</t>
    </r>
  </si>
  <si>
    <r>
      <t xml:space="preserve">Dobava i montaža troslojnih aluminijsko-plastičnih (PE-RT Type-II/Al/PE-RT Type-II) cijevi izrađenih sukladno HRN EN ISO 21003-2:2008 i HRN EN ISO 21003-3:2008, sa spajanjem ˝press˝ spojnicama iz PPSU-a ili bezolovne bronce,  za </t>
    </r>
    <r>
      <rPr>
        <b/>
        <sz val="10"/>
        <color indexed="30"/>
        <rFont val="Arial"/>
        <family val="2"/>
        <charset val="238"/>
      </rPr>
      <t>etažni razvod sanitarne hladne i tople vode</t>
    </r>
    <r>
      <rPr>
        <sz val="10"/>
        <rFont val="Arial"/>
        <family val="2"/>
        <charset val="238"/>
      </rPr>
      <t xml:space="preserve"> (radni tlak do 10 bar i temperatura do 70°C) koje </t>
    </r>
    <r>
      <rPr>
        <b/>
        <sz val="10"/>
        <color indexed="30"/>
        <rFont val="Arial"/>
        <family val="2"/>
        <charset val="238"/>
      </rPr>
      <t>osiguravaju minimalan gubitak tlaka uz optimizirani protok</t>
    </r>
    <r>
      <rPr>
        <sz val="10"/>
        <rFont val="Arial"/>
        <family val="2"/>
        <charset val="238"/>
      </rPr>
      <t>. Materijal se obrađuje i ugrađuje u skladu sa normom HRN EN 806 i HRN EN 1717. Stavka obuhvaća sve potrebne spojnice, koljena, redukcije, T-komade i potrebni pričvrsni i zaštitno-izolacijski materijal. Cijevi se isporučuju u palicama bez izolacije. Toplinsku izolaciju izvesti prema potrebi.</t>
    </r>
  </si>
  <si>
    <t xml:space="preserve">d  20 x 2,50 mm (DN 15) </t>
  </si>
  <si>
    <t xml:space="preserve">d  26 x 3,00 mm (DN 20) </t>
  </si>
  <si>
    <t>Dobava i montiranje mesinganog protočnog ventila s ispusnom slavinom, komplet. Ventili se montiraju na priključku usponskih vodova i kod vodomjera, a u skladu s monterskim shemama vodovoda. Obračun po komadu prema profilu.</t>
  </si>
  <si>
    <t xml:space="preserve">Ø 20 mm              </t>
  </si>
  <si>
    <t xml:space="preserve">Ø 40 mm              </t>
  </si>
  <si>
    <t xml:space="preserve">Ø 50 mm              </t>
  </si>
  <si>
    <t>Dobava i montiranje mesinganih slobodno protočnih ventila, komplet. Ventile montirati kod vodomjera i na mjestima označenim shemama. Ventile montirati na njima naznačenom smjeru.</t>
  </si>
  <si>
    <t>Dobava i montiranje mesinganih nepovratnih ventila. Ventile montirati kod vodomjera i na mjestima označenim shemama. Ventile montirati na njima naznačenom smjeru.</t>
  </si>
  <si>
    <t>Dobava i montiranje ravnog propusnog ventila za ugradnju s kromiranom kapom na navoj, komplet.</t>
  </si>
  <si>
    <t xml:space="preserve">Ø 15 mm              </t>
  </si>
  <si>
    <t>Dobava i montaža kutnih ventila 15/10 za montažu ispod umivaonika i pored WC-a. Obračun po komadu ugrađenog ventila</t>
  </si>
  <si>
    <t>Dobava i montaža glavnog vodomjera sa radijskim modulom za daljinsko očitanje za mjerenje potrošnje sanitarne vode. Obračun po komadu kompletno ugrađenog vodomjera.</t>
  </si>
  <si>
    <t>Ø50</t>
  </si>
  <si>
    <t>Dobava i montaža sekundarnih vodomjera sa modulom za daljinsko očitanje za mjerenje potrošnje sanitarne vode stanova. Vodomjere smjestiti u limene ormariće na stubištu građevine.Obračun po komadu kompletno ugrađenog vodomjera.</t>
  </si>
  <si>
    <t>Ø20</t>
  </si>
  <si>
    <t>Dobava i montaža zidnih limenih ormarića za smještaj impulsnih vodomjera za stanove (prema uputama poduzeća VODOOPSKRBA I ODVODNJA sektor Vodoopskrbe). Ormariće smjestiti na hodniku stubišta prema nacrtu. Obračun po komadu montiranog ormarića.</t>
  </si>
  <si>
    <t xml:space="preserve">2 vodomjera             </t>
  </si>
  <si>
    <t xml:space="preserve">3 vodomjera              </t>
  </si>
  <si>
    <t xml:space="preserve">4 vodomjera              </t>
  </si>
  <si>
    <t>Dobava i montaža zaštitnika povratnog toka za ugradnju u vodomjernom oknu iza vodomjera. Obračun se vrši po komadu dobavljenog i montiranog uređaja.</t>
  </si>
  <si>
    <t>EC ZOPT Ø50</t>
  </si>
  <si>
    <t>Ispitivanje instalacije na tlak od 15 bara i dezinfekcija cjevovoda otopinom klora.</t>
  </si>
  <si>
    <t>Dobava i montiranje kromiranih vratašca 30/30 cm za pristup ventilima ugrađenim na usponskim vodovima i kod kade</t>
  </si>
  <si>
    <t>Izrada priključka vode na plinski kombi aparat te izrada priključka odvoda tople vode. Obračun po komadu komplet izvršenog priključka.</t>
  </si>
  <si>
    <t>Izvedba priključka od vodomjernog okna, zaključno sa vodomjerom do vanjskog cjevovoda. U stavku ulazi iskop zemlje, dobava i montaža cjevovoda sa svim brtvenim materijalom i potrebnim fitinzima, armaturom, izoliranjem, ispitivanjem, zatrpavanjem rova te odvoz preostalog materijala.</t>
  </si>
  <si>
    <t>obračun po komadu komplet izvedenog priključka.</t>
  </si>
  <si>
    <t>Kvalitetno ispitivanje voda nakon montaže kompletne opreme (Zavod za javno zdravstvo) i izdavanje atesta o kvaliteti.</t>
  </si>
  <si>
    <t>2. KANALIZACIJA</t>
  </si>
  <si>
    <t>Dobava i montaža PVC kanalizacionih cijevi SN4 i fazonskih komada za horizontalne odvode vanjske i temeljne kanalizacije. Cijevi se polažu na sloj pijeska od 10 cm, te se nakon kompletne montaže natkriju slojem pijeska 5 cm iznad gornjeg ruba cijevi. Obračun se vrši po m' kompletno montirane cijevi zajedno s posteljicom, nadslojem te sa spojnim i pomoćnim materijalom. Fazonski komadi obračunavaju se kao 1 m' cijevi.</t>
  </si>
  <si>
    <t xml:space="preserve">Ø 100 mm             </t>
  </si>
  <si>
    <t xml:space="preserve">Ø 150 mm             </t>
  </si>
  <si>
    <t xml:space="preserve">Ø 200 mm             </t>
  </si>
  <si>
    <r>
      <t xml:space="preserve">Dobava, prijenos i montaža zvučno optimiranih troslojnih polipropilenskih (PP-MD) odvodnih cijevi izrađenih sukladno HRN EN 1451-1:2000, SN4 (S16), za vertikalne i horizontalne razvode te priključke sanitarnih predmeta u podu i/ili zidu, s natičnim spajanjem, za </t>
    </r>
    <r>
      <rPr>
        <b/>
        <sz val="10"/>
        <rFont val="Arial"/>
        <family val="2"/>
        <charset val="238"/>
      </rPr>
      <t>zvučno poboljšani sistem</t>
    </r>
    <r>
      <rPr>
        <sz val="10"/>
        <rFont val="Arial"/>
        <family val="2"/>
        <charset val="238"/>
      </rPr>
      <t xml:space="preserve"> odvodnje. Stavka uključuje i fazonske komade te potreban pričvrsni pribor i originalne obujmice s gumenim uloškom. </t>
    </r>
  </si>
  <si>
    <t xml:space="preserve">d 32mm (DN30)      </t>
  </si>
  <si>
    <t xml:space="preserve">d 50mm (DN50)      </t>
  </si>
  <si>
    <t xml:space="preserve">d 75mm (DN70)      </t>
  </si>
  <si>
    <t xml:space="preserve">d 90mm (DN90)      </t>
  </si>
  <si>
    <t xml:space="preserve">d 110mm (DN100)     </t>
  </si>
  <si>
    <t xml:space="preserve">d 160mm (DN150)      </t>
  </si>
  <si>
    <t>Dobava, donos i ugradba PVC cijevi za ventilacione nastavke kanalizacijskih vertikala do iznad krova cca 1 m. Obračun po komadu ugrađenog nastavka.</t>
  </si>
  <si>
    <t xml:space="preserve">Ø 100 mm              </t>
  </si>
  <si>
    <t xml:space="preserve">Ø 80 mm              </t>
  </si>
  <si>
    <t>Dobava, donos i ugradba ventilacionih nastavaka sa jakom kapom za provjetravanje. Obračun po komadu komplet ugrađenog nastavka.</t>
  </si>
  <si>
    <r>
      <t xml:space="preserve">Dobava, prijenos i montaža prolaznog </t>
    </r>
    <r>
      <rPr>
        <b/>
        <sz val="10"/>
        <rFont val="Arial"/>
        <family val="2"/>
        <charset val="238"/>
      </rPr>
      <t>podnog sifona</t>
    </r>
    <r>
      <rPr>
        <sz val="10"/>
        <rFont val="Arial"/>
        <family val="2"/>
        <charset val="238"/>
      </rPr>
      <t xml:space="preserve"> od PE-HD s kromiranom rešetkom 100x100mm s dodatnim fiksiranjem i zaokretnim priključkom d50mm/±135º, razina vode u sifonu ≥50mm, horizontalni izlaz d56mm </t>
    </r>
    <r>
      <rPr>
        <b/>
        <sz val="10"/>
        <rFont val="Arial"/>
        <family val="2"/>
        <charset val="238"/>
      </rPr>
      <t>kapaciteta 1,0 l/s</t>
    </r>
    <r>
      <rPr>
        <sz val="10"/>
        <rFont val="Arial"/>
        <family val="2"/>
        <charset val="238"/>
      </rPr>
      <t>.</t>
    </r>
  </si>
  <si>
    <t>Dobava i montaža mesinganih poniklanih vratašca u prizemlju i u najvišoj etaži kanalskih vertikala. Sva vratašca su montirana na poniklanim usidrenim okvirima vel. 25x30 cm. obračun sve kompletno po komadu montiranih vratašca zajedno sa bravicom i ključem vel. 25x30 cm.</t>
  </si>
  <si>
    <t xml:space="preserve">Dobava i ugradnja vodolovnog balkonskog slivnika tip kao HL90.2 otporan na smrzavanje, manžetom za spajanje na temeljni sustav hidroizolacije ravnog krova, plastičnim nastavkom za niveliranje, te plastičnom pokrovnom rešetkom, profil odvoda DN50, a za odvodnju oborinskih voda. Obračun po komadu kompletno ugrađenog balkonskog slivnika.
</t>
  </si>
  <si>
    <t xml:space="preserve">kom               </t>
  </si>
  <si>
    <t>Dobava i montaža lijevano željeznih podnih rešetki sa suhim zatvaračem mirisa. Obračun po komadu kompletno montirane podne rešetke.</t>
  </si>
  <si>
    <t>Sa odvodom Ø 100</t>
  </si>
  <si>
    <t>Ispitivanje kanalizacije na protočnost i nepropusnost spojeva i uređaja uz dobivanje odgovarajućih atesta. obračun po m' ispitane dionice.</t>
  </si>
  <si>
    <r>
      <t xml:space="preserve">Nabava, doprema i montaža  </t>
    </r>
    <r>
      <rPr>
        <b/>
        <sz val="10"/>
        <rFont val="Arial"/>
        <family val="2"/>
        <charset val="238"/>
      </rPr>
      <t xml:space="preserve">protupožarnih obujmica EI90 </t>
    </r>
    <r>
      <rPr>
        <sz val="10"/>
        <rFont val="Arial"/>
        <family val="2"/>
        <charset val="238"/>
      </rPr>
      <t xml:space="preserve"> prema HRN EN 13501-2 kao protupožarni brtveni element za gorive plastične cijevi koje prolaze kroz granice požarnih zona veće od 0,01 m2, odnosno sprečavanje širenja plamena i dima u ostale požarne sektore.
Brtvljene vršiti masom atestiranom na vatrootpornost od 90 minuta, a prema važećim normama i općom dozvolom građevnog nadzora. </t>
    </r>
  </si>
  <si>
    <t xml:space="preserve">Obračun se vrši po  komadu kompletno montirane i pričvršćene protupožarne obujmice na prodore cijevi kroz požarne zone. U stavku uračunati sav potrebni pribor i spojni materijal. </t>
  </si>
  <si>
    <t>Obračun po komadu:</t>
  </si>
  <si>
    <t xml:space="preserve"> d 110</t>
  </si>
  <si>
    <t xml:space="preserve"> d 90</t>
  </si>
  <si>
    <t>Dobava i montaža spojnice KGF (gumena brtva) na spoju R.O. i PVC cijevi, proizvod kao REHAU. Obračun po komadu.</t>
  </si>
  <si>
    <t>Ø 150 mm</t>
  </si>
  <si>
    <t>Ø 200 mm</t>
  </si>
  <si>
    <t>Izvedba priključka kanalizacije objekta na uličnu kanalizaciju -sanitarnu i oborinsku. U stavku ulazi iskop zemlje, nabava i montaža cjevovoda, zatrpavanje i izvedba priključka i dovođenje terena u prvobitno stanje.</t>
  </si>
  <si>
    <t>Dobava i ugradnja lijevano željeznog olučnjaka za prihvat limenih oluka.</t>
  </si>
  <si>
    <t>3. SANITARNI UREĐAJI</t>
  </si>
  <si>
    <r>
      <t xml:space="preserve">Dobava, prijenos i montaža </t>
    </r>
    <r>
      <rPr>
        <b/>
        <sz val="10"/>
        <rFont val="Arial"/>
        <family val="2"/>
        <charset val="238"/>
      </rPr>
      <t>kompletnog WC-a</t>
    </r>
    <r>
      <rPr>
        <sz val="10"/>
        <rFont val="Arial"/>
        <family val="2"/>
        <charset val="238"/>
      </rPr>
      <t xml:space="preserve"> ,  koji se sastoji od:</t>
    </r>
  </si>
  <si>
    <t>-konzolne keramičke WC školjke u izvedbi bez unutarnjeg ruba  dimenzije 53 x 36 cm, tip 1 - puna količina ispiranja 6/5 L prema EN 997, ispire s 4,5 L</t>
  </si>
  <si>
    <t>-pripadajuće sjedalo s poklopcem bijele boje s funkcijom SoftClosing i Quick Release te okovima od kromiranog mesinga, izrađene od Duroplasta</t>
  </si>
  <si>
    <t>-montažnog instalacijskog elementa za WC školjku visine ugradnje 112 cm  s niskošumnim ugradbenim vodokotlićem za 6/3l ispiranje, izrađenim prema HRN EN 14055:2011 . Instalacijski element za ugradnju u čvrste zidove ili u predzidnu konstrukciju  nosivosti 400kg,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t>
  </si>
  <si>
    <t>-odgovarajuća dvokoličinska tipka , staklena, bijele boje sa krom gumbima za aktiviranje.</t>
  </si>
  <si>
    <t>-zidnog nosača od inoxa s WC četkom</t>
  </si>
  <si>
    <t xml:space="preserve">-držača toalet papira od inoxa </t>
  </si>
  <si>
    <t>Obračun po kompletu.</t>
  </si>
  <si>
    <t>kompl</t>
  </si>
  <si>
    <r>
      <t xml:space="preserve">Dobava, prijenos i montaža </t>
    </r>
    <r>
      <rPr>
        <b/>
        <sz val="10"/>
        <rFont val="Arial"/>
        <family val="2"/>
        <charset val="238"/>
      </rPr>
      <t>kompletnog umivaonika</t>
    </r>
    <r>
      <rPr>
        <sz val="10"/>
        <rFont val="Arial"/>
        <family val="2"/>
        <charset val="238"/>
      </rPr>
      <t>,  koji se sastoji od:</t>
    </r>
  </si>
  <si>
    <t>-keramičkog umivaonika dimenzije 60x54,5 cm s otvorom za armaturu i preljevom, te s poniklanim samočistećim sifonom s ispustom d32 mm</t>
  </si>
  <si>
    <t xml:space="preserve">-montažnog instalacijskog elementa za umivaonik visine ugradnje 112 cm. Instalacijski element za ugradnju u čvrste zidove ili u predzidnu konstrukciju  nosivosti 400kg, komplet s  odvodnim koljenom d50 mm i sifonskom brtvom 44/32 mm, pločom s armaturnim priključcima ½" s uključenom zvučnom izolacijom, vijcima za učvršćenje keramike i svim potrebnim pričvrsnim priborom i spojnim materijalom. 
</t>
  </si>
  <si>
    <t>-direktni samočisteći sifon za umivaonik, sa navojnim priključkom na piletu 1 1/4" i horizontalnim odvodom dimenzije d32 u krom boji</t>
  </si>
  <si>
    <r>
      <t>-stojeće jednoručne</t>
    </r>
    <r>
      <rPr>
        <b/>
        <sz val="10"/>
        <rFont val="Arial"/>
        <family val="2"/>
        <charset val="238"/>
      </rPr>
      <t xml:space="preserve"> miješalice</t>
    </r>
    <r>
      <rPr>
        <sz val="10"/>
        <rFont val="Arial"/>
        <family val="2"/>
        <charset val="238"/>
      </rPr>
      <t xml:space="preserve"> za umivaonik,  TV+HV, s perlatorom s ograničenjem protoka vode, dva gibljiva crijeva R⅜" za priključak vode sa sitima protiv nečistoća i nepovratnim ventilima. </t>
    </r>
  </si>
  <si>
    <t>-2 kutna ventila DN15 spojenim na dovod vode;</t>
  </si>
  <si>
    <r>
      <t xml:space="preserve">Dobava, prijenos i montaža </t>
    </r>
    <r>
      <rPr>
        <b/>
        <sz val="10"/>
        <rFont val="Arial"/>
        <family val="2"/>
        <charset val="238"/>
      </rPr>
      <t>kompletnog WC-a za osobe smanjene pokretljivosti</t>
    </r>
    <r>
      <rPr>
        <sz val="10"/>
        <rFont val="Arial"/>
        <family val="2"/>
        <charset val="238"/>
      </rPr>
      <t xml:space="preserve"> prema NN151/2005,  koji se sastoji od:</t>
    </r>
  </si>
  <si>
    <t>-konzolne keramičke  WC školjke bez ruba, dužine 70cm</t>
  </si>
  <si>
    <t xml:space="preserve">-plastične daske od Duroplasta bez poklopca </t>
  </si>
  <si>
    <t xml:space="preserve">-montažnog instalacijskog elementa za WC školjku visine ugradnje 112 cm  s niskošumnim ugradbenim vodokotlićem za 6/3l ispiranje,izrađenim prema HRN EN 14055:2011 .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Element sadrži oslonce za montažu rukohvata s obje strane. 
</t>
  </si>
  <si>
    <t xml:space="preserve">-odgovarajuća tipka s radio upravljanjem i za mrežno napajanje </t>
  </si>
  <si>
    <t xml:space="preserve">-mrežno napajanje tipku sa radio upravljanje </t>
  </si>
  <si>
    <t xml:space="preserve">-radio predajnik za aktiviranje tipke sa radio upravljanjem </t>
  </si>
  <si>
    <t>-fiksnog rukohvata duljine 70 cm izrađenog od visokokvalitetnog inoxa, glatko poliranog</t>
  </si>
  <si>
    <t>-preklopnog rukohvata duljine 70 cm izrađenog od visokokvalitetnog inoxa, glatko poliranog</t>
  </si>
  <si>
    <r>
      <t xml:space="preserve">Dobava, prijenos i montaža </t>
    </r>
    <r>
      <rPr>
        <b/>
        <sz val="10"/>
        <rFont val="Arial"/>
        <family val="2"/>
        <charset val="238"/>
      </rPr>
      <t>kompletnog umivaonika za osobe smanjene pokretljivosti</t>
    </r>
    <r>
      <rPr>
        <sz val="10"/>
        <rFont val="Arial"/>
        <family val="2"/>
        <charset val="238"/>
      </rPr>
      <t xml:space="preserve"> prema NN151/2005,  koji se sastoji od:</t>
    </r>
  </si>
  <si>
    <t>-keramičkog umivaonika dimenzije 65x58 cm s otvorom za armaturu i preljevom.</t>
  </si>
  <si>
    <t xml:space="preserve">-montažnog instalacijskog elementa za bolnički umivaonik visine ugradnje 112 cm. Instalacijski element samonosiv za ugradnju u suhomontažnu zidnu ili predzidnu konstrukciju obloženu gipskartonskim pločama, komplet s  odvodnim koljenom d50 mm i ugradbenim sifonom, pločom s armaturnim priključcima ½" s uključenom zvučnom izolacijom, pokrovnom maskom za sifon i funkcijsku kutiju, vijcima za učvršćenje keramike i svim potrebnim pričvrsnim priborom i spojnim materijalom;
</t>
  </si>
  <si>
    <t xml:space="preserve">-stojeće senzorske armature (230V) za umivaonik, protuvandalska izvedba s prethodno podesivim mehaničkim miješanjem TV+HV, perlatorom s ograničenjem protoka vode, dva gibljiva crijeva R⅜" za priključak vode sa sitima protiv nečistoća i nepovratnim ventilima. </t>
  </si>
  <si>
    <t xml:space="preserve">-seta za finu montažu za umivaonik sa ugradbenim sifonom; </t>
  </si>
  <si>
    <t xml:space="preserve">-izljevni ventil seta za finu montažu za umivaonik sa ugradbenim sifonom; </t>
  </si>
  <si>
    <t>-dobava, prijenos i ugradnja</t>
  </si>
  <si>
    <r>
      <t xml:space="preserve">Dobava, prijenos i montaža </t>
    </r>
    <r>
      <rPr>
        <b/>
        <sz val="10"/>
        <rFont val="Arial"/>
        <family val="2"/>
        <charset val="238"/>
      </rPr>
      <t>tuš kade</t>
    </r>
    <r>
      <rPr>
        <sz val="10"/>
        <rFont val="Arial"/>
        <family val="2"/>
        <charset val="238"/>
      </rPr>
      <t>,  koji se sastoji od:</t>
    </r>
  </si>
  <si>
    <t>-tuš kade od kompozitnog materijala veličine po izboru projektanta</t>
  </si>
  <si>
    <t xml:space="preserve">sa traverzama za ugradnju </t>
  </si>
  <si>
    <t xml:space="preserve">i odgovarajućim sifonom visine sifoniranja 50 mm </t>
  </si>
  <si>
    <r>
      <t>-zidne jednoručne</t>
    </r>
    <r>
      <rPr>
        <b/>
        <sz val="10"/>
        <rFont val="Arial"/>
        <family val="2"/>
        <charset val="238"/>
      </rPr>
      <t xml:space="preserve"> miješalice</t>
    </r>
    <r>
      <rPr>
        <sz val="10"/>
        <rFont val="Arial"/>
        <family val="2"/>
        <charset val="238"/>
      </rPr>
      <t xml:space="preserve"> za kadu,  TV+HV, s perlatorom s ograničenjem protoka vode, tuš konzolom i tuš ružom crijevom duljine 2m.</t>
    </r>
  </si>
  <si>
    <r>
      <t xml:space="preserve">Dobava, prijenos i montaža </t>
    </r>
    <r>
      <rPr>
        <b/>
        <sz val="10"/>
        <rFont val="Arial"/>
        <family val="2"/>
        <charset val="238"/>
      </rPr>
      <t>ležeće kade</t>
    </r>
    <r>
      <rPr>
        <sz val="10"/>
        <rFont val="Arial"/>
        <family val="2"/>
        <charset val="238"/>
      </rPr>
      <t>, koja se sastoji od:</t>
    </r>
  </si>
  <si>
    <t>-ležeće kade od umjetne mase veličine po izboru projektanta</t>
  </si>
  <si>
    <t xml:space="preserve">-zaštitnog paravana za kade veličine .... </t>
  </si>
  <si>
    <t>-izljevno-preljevne garniture za kadu, sa krom zaokretnim preljevom za zatvaranje krom čepa na izljevu. Kapacitet odvoda 0,8 l/s, a kapacitet na preljevu 0,6 l/s.</t>
  </si>
  <si>
    <t>Dobava, donos i ugradba stojeće miješalice za sudoper, te plastični sakupljač masti (sifon), čep i lančić zidne rozete (sve prema izboru investitora ili projektanta arhitektonskog dijela projekta). Sve komplet spojeno za dovod i odvod.</t>
  </si>
  <si>
    <t>Dobava, donos i ugradba odvoda sa sifonom za stroj za pranje rublja. Obračun kompletno po komadu montiranog odvoda DN50. Obračun sve kompletno po komadu sa svim potrebnim materijalom te sitni potrošni i brtveni materijal.</t>
  </si>
  <si>
    <t>Izrada dovoda vode sa čepom i rozetom za priključak stroja za pranje rublja.obračun po komadu komplet izvedenog dovoda sa svim pomoćnim materijalom te građevinskom pripomoći, uključivo i holender slavina FI 15 mm.</t>
  </si>
  <si>
    <t>Dobava i ugradnja zidnog umivaonika u prostorijama za zajedničku uporabu,  dimenzija 60x45 cm.  U stavci uključen kromirani sifon za umivaonik u kompletu sa vijcima i manžetom za spoj na instalaciju.</t>
  </si>
  <si>
    <t>* umivaonik u kompletu sa setom za montažu</t>
  </si>
  <si>
    <t xml:space="preserve">Dobava i montaža holender slavine Ø15 mm u prostorima zajedničke uporabe. Obračun sve kompletno po komadu. </t>
  </si>
  <si>
    <t>4. GRAĐEVINSKI RADOVI</t>
  </si>
  <si>
    <t>Iskop rova za kanalizacijske i vodovodne cijevi u tlu  C kategorije širine prema normalnom poprečnom presjeku, dubine prema uzdužnom profilu, uključivo pravilno odsijecanje bokova jarka, grubo izravnavanje dna, direktan utovar iskopanog materijala u transportno vozilo. U količini iskopa je obračunat potreban iskop za kontrolna okna na kanalu, iskop za vodomjerno okno, rad među razupiračima i svi pomoćni radovi. Predviđa se 90% strojnog i 10% ručnog iskopa od ukupne količine. Kod iskopa predvidjeti eventualno crpljenje vode iz rova u toku izvođenja radova.</t>
  </si>
  <si>
    <t>Izrada pješčane posteljice i nadsloja debljine 10 cm za ležaj cijevi vodovoda i kanalizacije.</t>
  </si>
  <si>
    <t>Izvedba kanalizacijskih okana van objekta od vodonepropusnog betona C25/30 (prema priloženom detalju) te ugradba lijevano željeznih penjalica. U stavku uračunata dobava i ugradnja podložnog sloja šljunka ispod temeljne ploče okna (granulacija 0-16mm, sloj debljine do 10cm). Okno iznutra ožbukati u dva sloja i zagladiti drvenom gladilicom (I sloj deb.1,5 cm, omjer 1:2, II sloj deb.0,5 cm,omjer 1:1).Obračun po komadu kompletno izvedenog okna uključivo izradu kinete. Nad oknom montirati lijevano željezni poklopac za teški promet vel. 600 x 600 mm.</t>
  </si>
  <si>
    <t>Izvedba vodomjernog okna od betona prema detalju, vel. 250 x 120 cm  za ugradnju jednog glavnog vodomjera opremljenog radio moduliom za daljinsko očitanje i jednog ZOPTa. U stijenu okna ugraditi penjalice, a na ulazu lijevano željezni poklopac vel. 600x600 mm. Stijenke okna ožbukati cem. žbukom omjera 1:2. Obračun po komadu komplet izvedenog okna. Vel.okna usaglasiti sa gradskim vodovodom.</t>
  </si>
  <si>
    <t>Zatrpavanje rova i oko šahtova nakon montaže i zasipavanje cjevovoda rastresitim i pogodnim materijalom iz iskopa uz nabijanje u slojevima od 20 cm laganim ručnim nabijačima. Obračun sve kompletno po m3 ugrađenog materijala.</t>
  </si>
  <si>
    <t xml:space="preserve">IZVEDBA SLIVNIKA </t>
  </si>
  <si>
    <t>Stavka obuhvaća:</t>
  </si>
  <si>
    <t xml:space="preserve"> Iskop jame za slivnik u tlu, betoniranje dna slivnika C8/10 d=15 cm, nabava i polaganje bet. cijevi f 50, probijanje rupe slivnika za izvedbu priključka slivnika, zatrpavanje zemljom od iskopa oko slivnika sa nabijanjem u slojevima, nabava, doprema i ugradba lijevano željezne rešetke, ravni tip, utovar, prijevoz i istovar na deponij viška zemlje na udaljenost do 5 km. Obračun po komadu izvedenog slivnika.</t>
  </si>
  <si>
    <t>Odvoz viška preostale zemlje nakon izvršenih svih zatrpavanja rovova na deponiju udaljenosti do 5 km. U stavku uključiti utovar, transport, istovar i planiranje zemlje na deponiju.</t>
  </si>
  <si>
    <t>0.4.</t>
  </si>
  <si>
    <t xml:space="preserve"> REKAPITULACIJA</t>
  </si>
  <si>
    <t>0.1.  VODOVOD</t>
  </si>
  <si>
    <t>0.2.  KANALIZACIJA</t>
  </si>
  <si>
    <t>0.3.  SANITARNI UREĐAJI</t>
  </si>
  <si>
    <t>0.4. GRAĐEVNI RADOVI</t>
  </si>
  <si>
    <t>SVEUKUPNO:</t>
  </si>
  <si>
    <t>OSTALO UKUPNO:</t>
  </si>
  <si>
    <t></t>
  </si>
  <si>
    <t>Zagreb, J. Knifera  2</t>
  </si>
  <si>
    <t>INVESTITOR:</t>
  </si>
  <si>
    <t>Agencija za pravni promet i posredovanje nekretninama</t>
  </si>
  <si>
    <t xml:space="preserve">Savska cesta 41/VI, Zagreb  </t>
  </si>
  <si>
    <t>GRAĐEVINA I LOKACIJA:</t>
  </si>
  <si>
    <t>na novoformiranoj k.č. 1148/4, k.o. Ivanić – Grad, Ivanić – Grad</t>
  </si>
  <si>
    <t>(formirana od dijela k.č. 1148/1, k.o. Ivanić – Grad)</t>
  </si>
  <si>
    <t>OZNAKA:</t>
  </si>
  <si>
    <t>4103i</t>
  </si>
  <si>
    <t>ZOP:</t>
  </si>
  <si>
    <t>APN- IG-228/24</t>
  </si>
  <si>
    <t>TROŠKOVNIK ELEKTROTEHNIČKIH INSTALACIJA</t>
  </si>
  <si>
    <t>GLAVNI PROJEKTANT:</t>
  </si>
  <si>
    <t>Lovorka Kaić Matešić, dipl. ing. arh.</t>
  </si>
  <si>
    <t>PROJEKTANT:</t>
  </si>
  <si>
    <t>Srećko Zubak, dipl.ing.el.</t>
  </si>
  <si>
    <t>DIREKTOR:</t>
  </si>
  <si>
    <t>MJESTO:</t>
  </si>
  <si>
    <t>Zagreb</t>
  </si>
  <si>
    <t>DATUM:</t>
  </si>
  <si>
    <t>veljača 2025</t>
  </si>
  <si>
    <t>OPĆE ODREDBE TROŠKOVNIKA</t>
  </si>
  <si>
    <t>Svi radovi iz ovog troškovnika moraju biti izvedeni stručno, precizno i savjesno prema datom troškovničkom opisu i projektu, te moraju odgovarati važećim tehničkim propisima i normativima. U cijeni pojedinih stavaka obuhvaćeni su svi troškovi za puno dovršenje stavke, sav rad, materijal, sve zidarske pripomoći, svi prijevozi i prijenosi, razni doprinosi, dodaci i režijski troškovi, sva potrebna ispitivanja i funkcionalne probe do potpune funkcionalnosti, čišćenje, izdavanje atesta, izrada svih projekata izvedenog stanja, izrada katastra svih vanjskih instalacija, obučavanja korisnika opreme, sitni spojni, montažni i brtveni materijal, tehnička dokumentacija sustava, tehnički listovi i certifikati ugrađene opreme, dokumentacije za rukovanje i održavanje sustava, certifikati o protokolarnim mjerenjima, te svi ini troškovi izvoditelja vezani na organizaciju gradilišta. Potrebna su slijedeća ispitivanja funkcionalnosti, propisana mjerenja, te izdavanje kompleta dokaza kvalitete:</t>
  </si>
  <si>
    <t>- funkcionalnost svih instalacija</t>
  </si>
  <si>
    <t>- otpor izolacije svih instalacija</t>
  </si>
  <si>
    <t>- zaštita od KS</t>
  </si>
  <si>
    <t>- zaštita od indirektnog dodira</t>
  </si>
  <si>
    <t>- otpor uzemljenja</t>
  </si>
  <si>
    <t>- propusnost svih cijevi</t>
  </si>
  <si>
    <t>- povezanost metalnih masa (izjednačenje potencijala)</t>
  </si>
  <si>
    <t>- jakost rasvjete u svim radnim prostorima</t>
  </si>
  <si>
    <t>- atesti elektro opreme i materijala</t>
  </si>
  <si>
    <t>- efikasnost protupanik rasvjete</t>
  </si>
  <si>
    <t>- efikasnost isključivanja tipkala u slučaju nužde</t>
  </si>
  <si>
    <t>- efikasnost zaštite od povratnog napona DEA</t>
  </si>
  <si>
    <t>- podešenost bimetalnih releja</t>
  </si>
  <si>
    <t>- jačina polja na antenskim utičnicama</t>
  </si>
  <si>
    <t>- atest protupožarnog sredstva na prelazima između požarnih zona</t>
  </si>
  <si>
    <r>
      <t>Sav upotrebljeni materijal mora biti kvalitetan i odgovarati odredbama odgovarajućih standarda i propisa. Nekvalitetan materijal ne smije se upotrebljavati. Za sav materijal koji će se upotrijebiti za građenje, izvoditelj radova mora pribaviti uvjerenje o kvaliteti materijala koji se mora priložiti primopredaji izvedenih radova. Radovi moraju biti izvedeni prema projektu, te izvoditelj ne smije vršiti nikakve promjene ili odstupanja od projekta bez odobrenja stručnog nadzora, investitora i projektanta. Sva evetualna odstupanja od projekta moraju se upisati u građevinski dnevnik od strane nadzornog inženjera i moraju biti usaglašena od strane investitora. Bez odobrenja investitora , izvoditelj ne smije upotrebljavati materijale koji nisu predviđeni projektom. Za čitavo vrijeme građenja izvoditelj je dužan održavati potrebnu čistoću na gradilištu. Ukoliko investitor utvrdi da neki materijal ne odgovara kvaliteti i važećim propisima izvoditelj je dužan isti materijal ukloniti sa gradilišta o svom trošku i zamijeniti ga sa propisanim. Svi radovi iz troškovnika obračunat će se prema "Prosječnim normama u graditeljstvu" ukoliko u pojedinim stavkama nije drugačije označeno.Obračun radova vršiti će se prema odredbama iz ugovora između izvoditelja i investitora. Nakon završetka izgradnje odnosno primopredaje radova, izvoditelj je dužan s gradilišta ukloniti o svom trošku sve privremene objekte, deponije materijala i sl. Za vrijeme izvođenja radova izvoditelj mora primjenjivati sva potrebna sredstva zaštite na radu kako bi osigurao izvođenje radova na siguran način, a u  svrhu zaštite života i zdravlja svojih i inih djelatnika, slučajnih prolaznika i sl. , te osiguranja uvjeta da ne dođe do oštećenja susjednih objekata. Izvoditelj se u tijeku gradnje mora pridržavati odredaba zakona o gradnji, Zakona o zaštiti na radu i drugih važećih pozitivnih propisa RH. Imenovanje pojedinog proizvoda i proizvođača ima samo značenje tehničko - tehnoloških i približno oblikovnih osobitosti prizvoda koji će se ugraditi, a nikako naredbodavnu obaveznu dobavu, proizvodnju i ugradbu imenovanog proizvoda.</t>
    </r>
    <r>
      <rPr>
        <sz val="11"/>
        <rFont val="ISOCPEUR"/>
        <family val="2"/>
        <charset val="238"/>
      </rPr>
      <t xml:space="preserve">  </t>
    </r>
  </si>
  <si>
    <t>r.br.</t>
  </si>
  <si>
    <t>opis stavke</t>
  </si>
  <si>
    <t>jed</t>
  </si>
  <si>
    <t>količina</t>
  </si>
  <si>
    <t>cijena</t>
  </si>
  <si>
    <t>iznos</t>
  </si>
  <si>
    <t>4x5=6</t>
  </si>
  <si>
    <t>INSTALACIJA ENERGETSKOG RAZVODA</t>
  </si>
  <si>
    <t>Dobava, postava i spajanje uzidnog ormara, zaštite IP30, prema shemi “KPO”, ukupnih dimenzija 400x600×200mm. Ormar je izrađen od plastificiranog čeličnog lima. Oznaku razdjelnika kao i natpise na vratima izvesti na graviranim plastičnim pločicama. Razdjelnik je opremljen bravicama na vratima, te nosačem za jednopolnu shemu. U razdjelnik ugraditi slijedeću opremu prema jednopolnoj shemi:</t>
  </si>
  <si>
    <t>-</t>
  </si>
  <si>
    <t>Rastavna sklopka s nožastim osiguračima veličine 0, 3-polna, 125A, ravni priključci, montaža na ploču</t>
  </si>
  <si>
    <t>rastavljač sklopka za cilindrične rastalne osigurače, 10x38mm, 1-p, tip C10-SLS/32/1</t>
  </si>
  <si>
    <t>Kratkospojnik 100A</t>
  </si>
  <si>
    <t>odvodnik prenapona, 4-p, za sustav TN,TT, klasa C, Iimp=4x20kA, In(8/20)=20kA, Un=280V</t>
  </si>
  <si>
    <t>sva potrebna montažna i spojna oprema potrebna za ugradnju specificirane opreme, sabirnice, redne stezaljke, sabirnice nule i zemlje, spojni vodovi, plastične kanalice, natpisne pločice, te ostali potrebni sitni spojni i montažni materijal i pribor.</t>
  </si>
  <si>
    <t>Dobava, postava i spajanje uzidnog ormara, zaštite IP30, prema shemi “EMO”, ukupnih dimenzija 930x460×200mm. Ormar je izrađen od plastificiranog čeličnog lima. Oznaku razdjelnika kao i natpise na vratima izvesti na graviranim plastičnim pločicama. Razdjelnik je opremljen bravicama na vratima, te nosačem za jednopolnu shemu. U razdjelnik ugraditi slijedeću opremu prema jednopolnoj shemi:</t>
  </si>
  <si>
    <t>Rastavna sklopka s nožastim osiguračima veličine 0, 1-polna, 35A, ravni priključci, montaža na ploču</t>
  </si>
  <si>
    <t>brojilo energije, HEP</t>
  </si>
  <si>
    <t>Dobava, postava i spajanje uzidnog ormara, zaštite IP30, prema shemi “EMO”, ukupnih dimenzija 1110x460×200mm. Ormar je izrađen od plastificiranog čeličnog lima. Oznaku razdjelnika kao i natpise na vratima izvesti na graviranim plastičnim pločicama. Razdjelnik je opremljen bravicama na vratima, te nosačem za jednopolnu shemu. U razdjelnik ugraditi slijedeću opremu prema jednopolnoj shemi:</t>
  </si>
  <si>
    <t>Isporuka, ugradnja i spajanje razdjelnika RZP (ugradni) dim 400 x 600 x 200 mm. Ormar je izrađen od plastificiranog čeličnog lima. Oznaku razdjelnika kao i natpise na vratima izvesti na graviranim plastičnim pločicama. Razdjelnik je opremljen bravicama na vratima, te nosačem za jednopolnu shemu. U razdjelnik ugraditi slijedeću opremu prema jednopolnoj shemi:</t>
  </si>
  <si>
    <t>minijaturni automatski prekidač, 40A, D karakteristike, 1P+N, 25 kA</t>
  </si>
  <si>
    <t>odvodnik prenapona, 2-polni, utične izvedbe, klasa C, In=20kA, Imax=40kA, Uc=280V</t>
  </si>
  <si>
    <t>limitator 4,6kW 1-fazni</t>
  </si>
  <si>
    <t>FID sklopka 40/0,3A, 2P</t>
  </si>
  <si>
    <t>FID sklopka 25/0,03A, 2P</t>
  </si>
  <si>
    <t>automatski osigurač 25 A, C karakteristike, 1-polni, 10 kA</t>
  </si>
  <si>
    <t>automatski osigurač 16 A, C karakteristike, 1-polni, 10 kA</t>
  </si>
  <si>
    <t>automatski osigurač 10 A, C karakteristike, 1-polni, 10 kA</t>
  </si>
  <si>
    <t>automatski osigurač 6 A, C karakteristike, 1-polni, 10 kA</t>
  </si>
  <si>
    <t>stubišni automat 10A, 230V</t>
  </si>
  <si>
    <t>sklopnik 10A, 230V</t>
  </si>
  <si>
    <t>luxomat sa foto sondom</t>
  </si>
  <si>
    <t>izborna sklopka 6A, R-O-A, 1p</t>
  </si>
  <si>
    <t>sva potrebna montažna i spojna oprema potrebna za ugradnju specificirane opreme (sabirnice, redne stezaljke, sabirnice nule i zemlje, spojni vodovi, plastične kanalice, natpisne pločice)</t>
  </si>
  <si>
    <t>Dobava, postava i spajanje nadgradnog razdjelnika (R1 - R18) kompaktne izvedbe, 3-rednog, bijele boje, neprozirnih vrata, IP40, kl.II, sa N i PE sabirnicama, prema shemi “R0", U razdjelnik ugraditi slijedeću opremu prema jednopolnoj shemi:</t>
  </si>
  <si>
    <t>limitator 9,2kW 1-fazni</t>
  </si>
  <si>
    <t>Isporuka, polaganje (u instalacionu cijev) kabela:</t>
  </si>
  <si>
    <t>-NYY 4x50+25mm² / CS cijev Φ50 (EMO)</t>
  </si>
  <si>
    <t>-NYY 4x35+25mm² / CS cijev Φ50 (EMO)</t>
  </si>
  <si>
    <t>-NYY 3x10 mm² / PEHD cijev ɸ50mm (RO)</t>
  </si>
  <si>
    <t>-J-Y(St)Y 2x2x0,6 mm² / PEHD cijev ɸ20mm</t>
  </si>
  <si>
    <t>-LYcY 2x0,8 mm² / PEHD cijev ɸ20mm</t>
  </si>
  <si>
    <t xml:space="preserve">Sustav za prolaz kabela kroz zid sastavljen od okrugle pocinčane brtve (učvršćenje brtve na podlogu pritezanjem vijaka) i brtvenih elementa (modula) dužine 60 mm. Prilikom polaganja kabela, na modulima kroz koje prolaze kabeli uklanja se jezgra i slojevi plašta do promjera kabela. Na modulima kroz koje se ne polažu kabeli ostavljaju se moduli sa jezgrom. Otvori za instalaciju brtve se prethodno ostavljaju korištenjem odgovarajućih kalupa prilikom betoniranja. Kao tip: ili jednakovrijedan ____________________ 
Predvideni su moduli za prolaz kabela promjera 24-54 mm
</t>
  </si>
  <si>
    <t>Ručni iskop rova u zemlji III kategorije, širine 0,4 m i dubine 0,8 m, nasipanje pijeska u rov debljine do 20 cm, a nakon polaganja uzemljivača nasipanje još 20 cm sloja pijeska, Volumen iskopa duljine 150 m (za izmicanje postojećih i polaganje novih NN kabela)</t>
  </si>
  <si>
    <t>Zatrpavanje rova zemljom, nabijanje tla motornim nabijačem u slojevima od 20 cm i odvoz viška zemlje</t>
  </si>
  <si>
    <t>Nabava i prijevoz pijeska za nasipanje na dno rova 10 cm ispod i 10 cm iznad položenog kabela</t>
  </si>
  <si>
    <t>Uspostava gradilišnog priključka i osiguranje električne energije za sve izvoditelje radova.</t>
  </si>
  <si>
    <t>Izrada svih potrebnih proboja kroz zidove ili grede potrebnih za vođenje elektro instalacija</t>
  </si>
  <si>
    <t>INSTALACIJA ENERGETSKOG RAZVODA- UKUPNO:</t>
  </si>
  <si>
    <t>INSTALACIJA RASVJETE I UTIČNICA</t>
  </si>
  <si>
    <t>NAPOMENA: Prije dobave i ugradnje obvezno dati glavnom projektantu na uvid i potvrdu uzorke svih vidljivih elemenata elektroinstalacija (svjetiljke, utičnice, prekidače i slično)</t>
  </si>
  <si>
    <t xml:space="preserve">2.1. </t>
  </si>
  <si>
    <t>RASVJETNA TIJELA</t>
  </si>
  <si>
    <t>Dobava, montaža i spajanje rasvjetnih tijela, komplet sa izvorima svjetlosti, elektroničkim predspojnim napravama i montažnim priborom sve prema izboru glavnog projektanta:</t>
  </si>
  <si>
    <t>NAPOMENA: Svjetiljke iz ovog troškovnika moraju posjedovati valjane CE i ISO9001 certifikate, te biti proizvedene sukladno zahtjevima standarda proizvodnje HRN EN 60598:2009 - CEI 34.21.</t>
  </si>
  <si>
    <t>(A1) Svjetiljka nadgradna, LED izvor svjetlosti, UV stabilno polikarbonatno kućište, difuzor od UV stabilnog polikarbonata, efektivni svjetosni tok ili svjetlosni tok svjetiljke s uračunatim gubicima u optičkom sustavu min. 2810lm, snaga sistema max. 23W (LED izvor+driver), ukupna svjetlosna iskoristivost svjetiljke sa uračunatim gubicima u optičkom sustavu min. 122 lm/W, životni vijek LED modula L90B10 ≥50.000 radnih sati uz 90% održavanja inicijalnog svjetlosnog toka, uzvrat boje Ra&gt;80, temperatura boje svjetlosti 4000K, zaštita min. IP54, mehanička zaštita svjetiljke min. IK10, rad na maksimalnoj temperaturi okoline +35°C, svjetiljka mora imati ENEC certifikat, dimenzije svjetiljke 300x85 mm ± 5%</t>
  </si>
  <si>
    <t>(A2) Svjetiljka nadgradna, LED izvor svjetlosti, UV stabilno polikarbonatno kućište, difuzor od UV stabilnog polikarbonata, efektivni svjetosni tok ili svjetlosni tok svjetiljke s uračunatim gubicima u optičkom sustavu min. 2010lm, snaga sistema max. 15.7W (LED izvor+driver), ukupna svjetlosna iskoristivost svjetiljke sa uračunatim gubicima u optičkom sustavu min. 128 lm/W, životni vijek LED modula L90B10 ≥50.000 radnih sati uz 90% održavanja inicijalnog svjetlosnog toka, uzvrat boje Ra&gt;80, temperatura boje svjetlosti 4000K, zaštita min. IP54, mehanička zaštita svjetiljke min. IK10, rad na maksimalnoj temperaturi okoline +35°C, svjetiljka mora imati ENEC certifikat, dimenzije svjetiljke 300x85 mm ± 5%</t>
  </si>
  <si>
    <t>(A3) Svjetiljka nadgradna, grlo žarulje E27, baza od tehnopolimera, difuzor od stakla, zaštita min. IP44, mehanička zaštita svjetiljke min. IK06, dimenzije 205x102x92mm ± 5%, boja svjetlosti 4000K, uzvrat boje Ra&gt;80, efektivni svjetlosni tok 806lm, snaga žarulje 8W, svjetlosna iskoristivost 100lm/W, životni vijek 20 000 radnih sati</t>
  </si>
  <si>
    <t>(A4) Svjetiljka nadgradna, LED izvor svjetlosti, kućište od polikarbonata, difuzor od UV stabilnog polikarbonata, silikonska brtva, efektivni svjetosni tok ili svjetlosni tok svjetiljke s uračunatim gubicima u optičkom sustavu min. 895 lm, snaga sistema max. 13W (LED izvor+driver), ukupna svjetlosna iskoristivost svjetiljke min. 68 lm/W,  životni vijek LED modula L80B20 ≥50.000 radnih sati uz 80% održavanja inicijalnog svjetlosnog toka, Ra&gt;80, temperatura boje svjetlosti 3000K, zaštita od zaprljanja ≥IP66, mehanička zaštita ≥IK10, dimenzije svjetiljke približno 280x120x54 mm ±5%</t>
  </si>
  <si>
    <t>(P1) Nadgradna svjetiljka sigurnosne rasvjete, izvor LED min 175lm, 240V, 50Hz, 1W, simetrična optika, autonomija 3h, pripravan spoj, s polikarbonatnim kućištem, LED indikacija rada na mreži i na ugrađenoj bateriji, ugrađen elektronički sklop koji štiti od potpunog pražnjenja baterije, životni vijek 50 000 radnih sati, zaštita od zaprljanja IP65, IK08, ENEC certifikat, dimenzije 226x124x42mm</t>
  </si>
  <si>
    <t>(P2) Nadgradna svjetiljka sigurnosne rasvjete, izvor LED min 310lm, 240V, 50Hz, 2W, optika za otvorene prostore, autonomija 3h, pripravni spoj, s polikarbonatnim kućištem bijele boje, funkcija autotesta, LED indikacija rada na mreži i na ugrađenoj bateriji, ugrađen elektronički sklop koji štiti od potpunog pražnjenja baterije, životni vijek 50 000 radnih sati,  zaštita od zaprljanja IP20, mehaniča zaštita IK06, dimenzija 105x105x30mm</t>
  </si>
  <si>
    <t>(P3) Nadgradna svjetiljka sigurnosne rasvjete, izvor LED min 200lm, 240V, 50Hz, 1W, optika za rasvjetu evakuacijskog puta, autonomija 3h, pripravni spoj, s polikarbonatnim kućištem bijele boje, funkcija autotesta, LED indikacija rada na mreži i na ugrađenoj bateriji, ugrađen elektronički sklop koji štiti od potpunog pražnjenja baterije, životni vijek 50 000 radnih sati,  zaštita od zaprljanja IP20, mehaniča zaštita IK06, dimenzija 105x105x30mm</t>
  </si>
  <si>
    <t>(P4 Nadgradna piktogramska svjetiljka, izvor LED, 240V, 50Hz, 1W, autonomija 3h, pripravni spoj, s polikarbonatnim kućištem, vidljivost piktograma 20m, funkcija autotesta, LED indikacija rada na mreži i na ugrađenoj bateriji, ugrađen elektronički sklop koji štiti od potpunog pražnjenja baterije, zaštita od zaprljanja IP65, ENEC certifikat, smjer kretanja ravno</t>
  </si>
  <si>
    <t xml:space="preserve">(P5) Nadgradna svjetiljka za označavanje evakuacijskog puta, s dvostranim piktogramom, izvor svjetlosti LED, 240V, 50Hz, 1W, IP40, tijelo svjetiljke od polikarbonata, spuštena ploča od pleksiglasa za lijepljenje piktograma, bijele boje, vidljivost piktograma min. 30m, svjetiljka opremljena protupaničnim modulom 3h autonomije, LED indikacija rada na mreži i na ugrađenoj bateriji, ugrađen elektronički sklop koji štiti od potpunog pražnjenja baterije, klasa izolacije II, smjer kretanja ravno </t>
  </si>
  <si>
    <t>(V2) Nadgradna zidna svjetiljka, LED izvor svjetlosti, kućište od lijevanog aluminija, difuzor od UV stabilnog polikarbonata, silikonska brtva, kut snopa svjetlosti 36°, efektivni svjetosni tok ili svjetlosni tok svjetiljke s uračunatim gubicima u optičkom sustavu min. 571 lm, snaga sistema max. 7W (LED izvor+driver), ukupna svjetlosna iskoristivost svjetiljke min. 81 lm/W, Ra&gt;80, temperatura boje svjetlosti 3000K, životni vijek uz L80B20 50.000 sati, zaštita od zaprljanja ≥IP66, mehanička zaštita ≥IK10, dimenzije svjetiljke približno 115x115x80 mm ±5%</t>
  </si>
  <si>
    <t>(V4) Nadgradna stropna svjetiljka, LED izvor svjetlosti, kućište od lijevanog aluminija, difuzor od UV stabilnog polikarbonata, silikonska brtva, kut snopa svjetlosti 24°, efektivni svjetosni tok ili svjetlosni tok svjetiljke s uračunatim gubicima u optičkom sustavu min. 571 lm, snaga sistema max. 7W (LED izvor+driver), ukupna svjetlosna iskoristivost svjetiljke min. 81 lm/W, Ra&gt;80, temperatura boje svjetlosti 3000K, životni vijek uz L80B20 50.000 sati, zaštita od zaprljanja ≥IP66, mehanička zaštita ≥IK10, dimenzije svjetiljke približno 115x115x80 mm ±5%</t>
  </si>
  <si>
    <t>Nadgradna LED svjetiljka IP44 (wc)</t>
  </si>
  <si>
    <t>Nadgradna LED svjetiljka (kuhinja)</t>
  </si>
  <si>
    <t>Visilica LED (dnevni boravak)</t>
  </si>
  <si>
    <t>Dekorativna LED svjetiljka, (spavaće sobe)</t>
  </si>
  <si>
    <t>Visilica LED svjetiljka (blagovanje)</t>
  </si>
  <si>
    <t>Nadgradna LED svjetiljka (hodnik)</t>
  </si>
  <si>
    <t>2.2.</t>
  </si>
  <si>
    <t>PREKIDAČI</t>
  </si>
  <si>
    <t>Isporuka, montaža i spajanje prekidača za rasvjetu modularnog tipa komplet s instalacijskom kutijom, držačem i ukrasnom maskom, bijela boja:</t>
  </si>
  <si>
    <t>Prekidači za ugradnju pod žbuku :</t>
  </si>
  <si>
    <t>- isklopni</t>
  </si>
  <si>
    <t>- isklopni + izmjenični</t>
  </si>
  <si>
    <t>- isklopni + križni</t>
  </si>
  <si>
    <t>- izmjenični</t>
  </si>
  <si>
    <t>- 2x izmjenični</t>
  </si>
  <si>
    <t>- 3x izmjenični</t>
  </si>
  <si>
    <t>- tipkalo</t>
  </si>
  <si>
    <t>- senzor pokreta</t>
  </si>
  <si>
    <t>2.3.</t>
  </si>
  <si>
    <t>UTIČNICE</t>
  </si>
  <si>
    <t>Isporuka, montaža i spajanje utičnica modularnog tipa komplet s instalacijskom kutijom, držačem i ukrasnom maskom, bijela boja:</t>
  </si>
  <si>
    <t>Utičnice za ugradnju pod žbuku :</t>
  </si>
  <si>
    <t>Jednofazna,16A-250V, 1+N+PE</t>
  </si>
  <si>
    <t>Jednofazna,16A-250V, 1+N+PE s poklopcem</t>
  </si>
  <si>
    <t>2x Jednofazna,16A-250V, 1+N+PE</t>
  </si>
  <si>
    <t>3x Jednofazna,16A-250V, 1+N+PE</t>
  </si>
  <si>
    <t>2.4.</t>
  </si>
  <si>
    <t>KABELI I PRIBOR</t>
  </si>
  <si>
    <t>Isporuka , polaganje (dijelom na kabelske police horizontalne i vertikalne, dijelom na obujmice, a dijelom uvlačenjem u PVC cijevi u betonu ili pregradnom zidu) te spajanje slijedećih kabela:</t>
  </si>
  <si>
    <t>NYY 4x1,5 mm²</t>
  </si>
  <si>
    <t>NYY 3x1,5 mm²</t>
  </si>
  <si>
    <t>NYY 2x1,5 mm²</t>
  </si>
  <si>
    <t>NYY 3x2,5 mm²</t>
  </si>
  <si>
    <t>Isporuka i ugradnja plastičnih kutija:</t>
  </si>
  <si>
    <t>ugradna PVC kutija, ɸ=60mm</t>
  </si>
  <si>
    <t>ugradna PVC kutija, ɸ=80mm</t>
  </si>
  <si>
    <t>nadgradna PVC kutija 100x100mm</t>
  </si>
  <si>
    <t>Isporuka i ugradnja PVC fleksibilnih samogasivih cijevi, te obujmica:</t>
  </si>
  <si>
    <t>CS cijev ɸ=50 mm</t>
  </si>
  <si>
    <t>CS cijev ɸ=20 mm</t>
  </si>
  <si>
    <t>obujmica</t>
  </si>
  <si>
    <t>Isporuka i montaža pocinčanih kabel. polica, komplet sa pripadajućim priborom (poklopac, konzole, nosači, spojnice, vijci):</t>
  </si>
  <si>
    <t>100 mm</t>
  </si>
  <si>
    <t>Izrada svih potrebnih proboja kroz zidove, grede i u međukatnoj konstrukciji potrebnih za vođenje elektro instalacija</t>
  </si>
  <si>
    <t>INSTALACIJA RASVJETE I UTIČNICA - UKUPNO:</t>
  </si>
  <si>
    <t>INSTALACIJE STROJARSKIH UREĐAJA</t>
  </si>
  <si>
    <t>Izvedba priključka odsisnog ventilatora sanitarija vodom NYY 3x1,5 mm2 dobavom i polaganjem u instalacione cijevi ɸ20mm, prosječne dužine 5m, na pripadni strujni krug rasvjete komplet sa timerom kašnjenja isklopa</t>
  </si>
  <si>
    <t>Izvedba priključka vanjske klima jedinice vodom NYY 3x2,5mm2 dobavom i polaganjem u instalacione cijevi ɸ20mm, prosječne dužine 20m</t>
  </si>
  <si>
    <t>Izvedba veze do unutarnje jedinica kabelom Y(St)Y 4x2x0,8 mm2 dobavom i polaganjem u instalacione cijevi ɸ20mm, prosječno 20m, sa spajanjem na oba kraja</t>
  </si>
  <si>
    <r>
      <t>Izvedba veze sobnog termostata vodom LiYCY 4x0,75 mm</t>
    </r>
    <r>
      <rPr>
        <vertAlign val="superscript"/>
        <sz val="10"/>
        <rFont val="ISOCPEUR"/>
        <family val="2"/>
        <charset val="238"/>
      </rPr>
      <t>2</t>
    </r>
    <r>
      <rPr>
        <sz val="10"/>
        <rFont val="ISOCPEUR"/>
        <family val="2"/>
        <charset val="238"/>
      </rPr>
      <t xml:space="preserve"> prosječne dužine 15m dobavom i polaganjem u instalacione cijevi ɸ20mm, sa spajanjem na oba kraja</t>
    </r>
  </si>
  <si>
    <t>Izvedba priključka plinskog bojlera kabelom NYY 3x1,5 mm2 dobavom i polaganjem u instalacione cijevi ɸ20mm, prosječno 10m, sa spajanjem na oba kraja</t>
  </si>
  <si>
    <t>Dobava i montaža Fe pocinčane savitljive cijevi f1”</t>
  </si>
  <si>
    <t>Izrada elastičnih premosnica ventila i prirubnica cijevi fleksibilnim kabelom Cu 16 mm² prosječne dužine po jednom spoju 0,3 m, komplet sa stopicom</t>
  </si>
  <si>
    <t>Isporuka, montaža i spajanje sustava odimjavanja stubišta - 1x prozor u funkciji odimljavanja:</t>
  </si>
  <si>
    <t>Elektromotor za prozor</t>
  </si>
  <si>
    <t>8.1</t>
  </si>
  <si>
    <t xml:space="preserve">Lančani elektromotor sljedećih tehničkih karakteristike za ocjenu jednakovrijednosti:                                                                   24V = / 1.5 A, izbačaj lančanika 800 mm, tlačna/vlačna sila 600 N. Završna obrada EV1 natur aluminij. Za ugradnju elektromotora potrebno je osigurati min. 50mm prostora na okviru i krilu prozora.                                                   </t>
  </si>
  <si>
    <t>8.2</t>
  </si>
  <si>
    <t>Konzole za elektromotor za krovne prozore</t>
  </si>
  <si>
    <t xml:space="preserve">Centrala i ručni javljači </t>
  </si>
  <si>
    <t>8.3.</t>
  </si>
  <si>
    <t xml:space="preserve">Upravljačka jedinica sljedećih tehničkih karakteristike za ocjenu jednakovrijednosti:                                                                   sa napajanjem u nuždi, 3.4A, za jednu alarmnu grupu i jednu grupu za provjetravanje.
Boja: Narančasta RAL 2011 
Automatsko prebacivanje s mreže na bateriju. U slučaju nužde, s baterijom 24 V, osigurana je autonomija sustava minimalno 72 sata.
Sa prednje strane je alarmna kontrolna ploča:
- tipka za manualno aktiviranje alarma, reset tipka i LED indikacija stanja sustava "alarm", "u radu" i "kvar"
- dvije okrugle pozadinski osvjetljene tipke za upravljanje motorima u funkciji provjetravanja "otvori"; "zatvori"
Širina: 140 mm; Visina: 248 mm; Dubina: 85 mm  +/- 5%                                    </t>
  </si>
  <si>
    <t>8.4.</t>
  </si>
  <si>
    <t xml:space="preserve">Ručni javljač / tipkalo sljedećih tehničkih karakteristike za ocjenu jednakovrijednosti:                                                                 24V DC, VdS, RAL 2011 orange. Sa pokazivačem stanja sustava i tipkom za reset sustava                                                                               </t>
  </si>
  <si>
    <t>8.5.</t>
  </si>
  <si>
    <t>Optičko-dimni javljač požara sa ranom detekcijom dima u stvaranju, plamena i tinjajuće vatre, sa izolatorom kvara na petlji ugrađenim u samom javljaču, visoka otpornost na vlagu, ugrađen svjetlosni indikator za signalizaciju alarma.</t>
  </si>
  <si>
    <t>8.6.</t>
  </si>
  <si>
    <t>-NH(X)H FE189/E30 3x1,5 mm² / PVC cijev ɸ20mm (centrala)</t>
  </si>
  <si>
    <t>-NH(X)H FE189/E30 3x1,5 mm² / PVC cijev ɸ20mm (motor)</t>
  </si>
  <si>
    <t>-vatrodojavni kabel JB-Y(St)Y 2x2x0,8mm mm² / PVC cijev ɸ20mm (javljači)</t>
  </si>
  <si>
    <t>INSTALACIJE STROJARSKIH UREĐAJA - UKUPNO:</t>
  </si>
  <si>
    <t>MUNJOVOD I IZJEDNAČENJE POTENCIJALA</t>
  </si>
  <si>
    <t>Dobava i postavljanje nosača za krov kao priprema za postavljanje okruglog aluminijskog vodiča Ø=8 mm. Nosači se postavljaju na međusobni razmak od 0.8 m</t>
  </si>
  <si>
    <t>Dobava i polaganje prihvatnog Aluminijskog vodiča Ø=8 mm na krovu i zidnim vertikalama do mjernog spoja.</t>
  </si>
  <si>
    <t xml:space="preserve">Dobava i ugradnja aluminijskih križnih spojnica za međusobno povezivanje prihvatnih vodiča Ø=8 mm na površini krova. </t>
  </si>
  <si>
    <t>Dobava i postavljanje zidnih nosača za montažu Aluminijskog vodiča Ø=8 mm na vanjsku stranu stupove. Nosači se postavljaju na međusobni razmak od 0.8 m</t>
  </si>
  <si>
    <t>Dobava i ugradnja spojnog FeZn vodiča Ø=10 mm za montažu od mjernog spoja do uzemljivača</t>
  </si>
  <si>
    <t>Dobava i ugradnja spojnice za međusobno
povezivanje dva okrugla vodiča Ø=8-10 mm za
formiranje mjernog spoja, komplet sa ugradnom kutijom</t>
  </si>
  <si>
    <t>Dobava i montaža sustava za zaštitu od munje antenskog stupa i strojarske opreme sastavljenog iz slijedećih elemenata:</t>
  </si>
  <si>
    <t>izolacijski štap, 2000mm, Poliamid ojačan staklenim vlaknima</t>
  </si>
  <si>
    <t>završetak, aluminij</t>
  </si>
  <si>
    <t>hvataljka, 1000mm, aluminij</t>
  </si>
  <si>
    <t>križna spojnica za spoj vodiča na hvataljku, nehrđajući čelik</t>
  </si>
  <si>
    <t>obujmica za cijev promjera 39-48 mm, nehrđajući čelik</t>
  </si>
  <si>
    <t>brza spojnica za spoj vodiča hvataljke na mrežu, aluminij</t>
  </si>
  <si>
    <t>držač vodiča, 8mm, nehrđajući čelik</t>
  </si>
  <si>
    <t>obujmica hvataljke, 19-21mm, nehrđajući čelik</t>
  </si>
  <si>
    <t>nespecificirani sitni materijal i pribor</t>
  </si>
  <si>
    <t>Dobava i polaganje pocinčane čelične trake 25 x 4 mm u temelju s izradom svih spojeva i premosta ispod hidroizolacije. Stavci pripada i varenje trake na betonsko željezo 1 var/2m</t>
  </si>
  <si>
    <t>Izrada međusobnih spojeva traka sa križnim spojnicama 80x80 mm, vruće pocinčana</t>
  </si>
  <si>
    <t>Isporuka, ugradnja i spajanje kutija za izjednačenje potencijala u sanitarnim čvorovima, tehničkim  prostorijama i kod elektro razdjelnika</t>
  </si>
  <si>
    <t>Isporuka, polaganje i spajanje vodiča</t>
  </si>
  <si>
    <t xml:space="preserve">- P/Y - 10 mm² </t>
  </si>
  <si>
    <t>- P/Y -  6 mm²</t>
  </si>
  <si>
    <t>Izrada spoja metalnih masa u sanitarnim čvorovima sa odgovarajućim cijevnim spojnicama</t>
  </si>
  <si>
    <t xml:space="preserve">Ostali sitni neimenovani materijal kao elektrode, olovo, bitumen, prokrom lim, prokrom vijci i slično </t>
  </si>
  <si>
    <t>Pregled i ispitivanja na cjelokupnoj instalaciji zaštite od munje,  mjerenje otpora uzemljenja, te formiranje revizione knjige, kao i eventualno svođenje otpora u propisane granice.</t>
  </si>
  <si>
    <t>MUNJOVOD I IZJEDNAČENJE POTENCIJALA - UKUPNO</t>
  </si>
  <si>
    <t>ZAJEDNIČKI ANTENSKI UREĐAJ</t>
  </si>
  <si>
    <t>Dobav, doprema i montaža priključnog limenog ormarića, dimenzija 300 x 400 x 80 mm</t>
  </si>
  <si>
    <t>Dobava, montaža i spajanje antenskog sustava sastavljenog iz slijedećih elemenata:</t>
  </si>
  <si>
    <t>Aluminijski dvodjelni stup</t>
  </si>
  <si>
    <t xml:space="preserve">Krovni lim </t>
  </si>
  <si>
    <t>Obujmica za pričvrščenje</t>
  </si>
  <si>
    <t xml:space="preserve">Obujmica za uzemljenje </t>
  </si>
  <si>
    <t>Obujmica za sidrenje</t>
  </si>
  <si>
    <t xml:space="preserve">Poklopac za stup </t>
  </si>
  <si>
    <t>UKV antena</t>
  </si>
  <si>
    <t>UHF antena</t>
  </si>
  <si>
    <t>Sat antena promjera 100cm, 10.70-12.75 GHz</t>
  </si>
  <si>
    <t>LNB konverter sa 4 izlaza, 57-63dB</t>
  </si>
  <si>
    <t>Nosač dva LNB konvertera</t>
  </si>
  <si>
    <t>Koaksijalni kabel 75 Ohm-a</t>
  </si>
  <si>
    <t>Nespecificirani sitni materijal i pribor</t>
  </si>
  <si>
    <t>Napomena: obzirom na mogućnosti ugradnje rastaviti stup u više nižih dijelova i montirati svaki dio zasebno</t>
  </si>
  <si>
    <t>Dobava, postava i spajanje RTV stanice sastavljene iz slijedećih elemenata:</t>
  </si>
  <si>
    <t>Ormarić limeni N/Ž, 500x700x150</t>
  </si>
  <si>
    <t>Pojačalo višepojasno, do 860 MHz, RS-232 priključak, LCD i uP kontroler, do 8 UHF signala, FM 26dB; VHF 45dB; UHF 44dB</t>
  </si>
  <si>
    <t>Multiprekidač 9/8, 22kHz</t>
  </si>
  <si>
    <t>Atenuator f 20db</t>
  </si>
  <si>
    <t>Atenuator f 10db</t>
  </si>
  <si>
    <t>Adapter za uzemljenje dvostruki</t>
  </si>
  <si>
    <t>Konektor F</t>
  </si>
  <si>
    <t>Dobava i uvlačenje koaksijalnog kabela, 75 Ohm-a</t>
  </si>
  <si>
    <t xml:space="preserve">Isporuka, montaža i spajanje utičnica za p/ž ugradnju modularnog tipa RTV/SAT komplet s instalacijskom kutijom, držačem i ukrasnom maskom, bijela boja </t>
  </si>
  <si>
    <t>Dobava i postava instalacijskog materijala i pribora:</t>
  </si>
  <si>
    <t>Plastična cijev CSS 20</t>
  </si>
  <si>
    <t>Plastična cijev CSS 40</t>
  </si>
  <si>
    <t>Plastična cijev CSS 50</t>
  </si>
  <si>
    <t>Okiten cijev 50 mm</t>
  </si>
  <si>
    <t>Plastična ugradna kutija PS 50 sa poklopcem</t>
  </si>
  <si>
    <t>Plastična ugradna kutija 60 mm</t>
  </si>
  <si>
    <t>Dobava, postava i spajanje vodiča za izjednačenje potencijala 1xP/F 16 mm2, između ormarića stanice i gromobranske hvataljke uz stup</t>
  </si>
  <si>
    <t xml:space="preserve">8. </t>
  </si>
  <si>
    <t>Izvedba priključka RTV stanice kabelom NYY 3x1,5 mm2 dobavom i polaganjem u instalacione cijevi ɸ20mm, prosječno 30m, sa spajanjem na oba kraja</t>
  </si>
  <si>
    <t xml:space="preserve">Ostali sitni nespecifirani materijal i pribor: </t>
  </si>
  <si>
    <t>Mjerenje prijemnih signala i usklađivanje sa projektom:</t>
  </si>
  <si>
    <t>Dosmjeravanje antena, podešavanje i programiranje RTV stanice.</t>
  </si>
  <si>
    <t>Ispitivanje rada cijelog sustava sa pismenim protokolom:</t>
  </si>
  <si>
    <t>ZAJEDNIČKI ANTENSKI UREĐAJ - UKUPNO:</t>
  </si>
  <si>
    <t>PORTAFON</t>
  </si>
  <si>
    <t>Dobava, isporuka i montaža slijedećih elemenata sustava portafona, kabliranje sa 2 vodiča, 1 vanjska / 10 unutarnjih jedinice na 1 pozivnoj tipki:</t>
  </si>
  <si>
    <t>Vanjska jedinica</t>
  </si>
  <si>
    <t>kutija ugradna 3 modula</t>
  </si>
  <si>
    <t>okvir 3 modula, srebrni</t>
  </si>
  <si>
    <t>štitnik od kiše, pž, 3 modula</t>
  </si>
  <si>
    <t>modul za mikrozvučnik, 0 tipk1, crni</t>
  </si>
  <si>
    <t>mikrozvučnik, digitalni, spoj na 2 žice</t>
  </si>
  <si>
    <t>modul sa 6 tipki</t>
  </si>
  <si>
    <t>modul sa 4 tipke</t>
  </si>
  <si>
    <t>Ormar napajanja</t>
  </si>
  <si>
    <t>ispravljač 33VDC, 500mA</t>
  </si>
  <si>
    <t>Unutarnje jedinice</t>
  </si>
  <si>
    <t>mini govorni aparat</t>
  </si>
  <si>
    <t>Vrata</t>
  </si>
  <si>
    <t>brava 8-12V + senzor + deblokada</t>
  </si>
  <si>
    <t>tipkalo zvona, modularnog tipa komplet s instalacijskom kutijom, držačem i ukrasnom maskom, bijela boja:</t>
  </si>
  <si>
    <t>kabel JY(St)-y 2x0.8mm / CS cijev Φ20 sa spajanjem, ispitivanjem i izradom atesta</t>
  </si>
  <si>
    <t>PORTAFON - UKUPNO:</t>
  </si>
  <si>
    <t>INSTALACIJA STRUKTURNOG KABLIRANJA</t>
  </si>
  <si>
    <t>Dobava, montaža te spajanje priključnog telefonskog razdjelnika, komplet opremljen sa priključnim letvicama (regletama) za ukupno 10 parica. Stavka obuhvaća sav montažni i spojni materijal i pribor</t>
  </si>
  <si>
    <t>Dobava, isporuka i polaganje u cijevi ɸ20 mm uz izradu šlica i proboja od priključnog ormarića do komunikacijskog ormara EK u stanu, dovodnog kabela 3POHFFR 2x2x0,6 mm sa spajanjem, ispitivanjem i izradom atesta, prosječne dužine 30m</t>
  </si>
  <si>
    <t>Isporuka, montaža i spajanje nadgradnog ormarića stana za smještaj opreme za telekomunikacijsku instalaciju dim. 330x692x90mm, sa slijedećom opremom:</t>
  </si>
  <si>
    <t>- Krone regleta rastavna</t>
  </si>
  <si>
    <t>- prespojni panel sa 24 modula Cat.6/U</t>
  </si>
  <si>
    <t>- s instalacijom uzemljenja</t>
  </si>
  <si>
    <t>- s instalacijom napajanja sa zasebnog strujnog kruga</t>
  </si>
  <si>
    <t>- panel za napajanje s 5 utičnica, osiguračem i zaštitom</t>
  </si>
  <si>
    <t>Dobava, isporuka i montaža u instalacione cijevi uz izradu šlica i proboja kabela UTP cat. 6/ CS ɸ20 sa spajanjem, označavanjem kabela na oba kraja, ispitivanjem i izradom atesta, prosječno 30m</t>
  </si>
  <si>
    <t>Isporuka, montaža i spajanje utičnica modularnog tipa komplet s instalacijskom kutijom, držačem i ukrasnom maskom proizvođača  Vimar Plana, boja po izboru investitora</t>
  </si>
  <si>
    <t>- 2x RJ-45 Cat6</t>
  </si>
  <si>
    <t>Testiranje i izdavanje rezultata o izmjerenoj kvaliteti instaliranih U/FTP veza prema standardima ISO/IEC 11801:2002 te EN 50346 (IEC 61835). Testiranje se vrši odgovarajućim uređajem za analiziranje mrežnih kabeskih sustava.</t>
  </si>
  <si>
    <t>Ispitivanje ispravnosti instalirane telefonske parice mjernim istrumentom i izdavanje potvrde o ispravnosti ispitanih telefonskih parica</t>
  </si>
  <si>
    <t>Mjerenje i izdavanje potvrde o izvršenom mjerenju otpora uzemljenja komunikacijskog razdjelnika</t>
  </si>
  <si>
    <t>Instalacija EKI (DTK)</t>
  </si>
  <si>
    <t>Materijal</t>
  </si>
  <si>
    <t>Tipski zdenac MZ D1 - komplet</t>
  </si>
  <si>
    <r>
      <t xml:space="preserve">PEHD cijev </t>
    </r>
    <r>
      <rPr>
        <sz val="10"/>
        <rFont val="Symbol"/>
        <family val="1"/>
        <charset val="2"/>
      </rPr>
      <t>f</t>
    </r>
    <r>
      <rPr>
        <sz val="10"/>
        <rFont val="ISOCPEUR"/>
        <family val="2"/>
        <charset val="238"/>
      </rPr>
      <t xml:space="preserve"> 100 mm</t>
    </r>
  </si>
  <si>
    <r>
      <t xml:space="preserve">FP cijev </t>
    </r>
    <r>
      <rPr>
        <sz val="10"/>
        <rFont val="Symbol"/>
        <family val="1"/>
        <charset val="2"/>
      </rPr>
      <t>f</t>
    </r>
    <r>
      <rPr>
        <sz val="10"/>
        <rFont val="ISOCPEUR"/>
        <family val="2"/>
        <charset val="238"/>
      </rPr>
      <t xml:space="preserve"> 13,5 mm - (rezerva za optiku)</t>
    </r>
  </si>
  <si>
    <t xml:space="preserve">Čepovi za PVC cijevi </t>
  </si>
  <si>
    <t xml:space="preserve">Čepovi za PEHD cijevi </t>
  </si>
  <si>
    <t>Zemlja od iskopa</t>
  </si>
  <si>
    <t>Pijesak</t>
  </si>
  <si>
    <t>Šljunak</t>
  </si>
  <si>
    <t>Beton MB 15</t>
  </si>
  <si>
    <t>Traka za upozorenje</t>
  </si>
  <si>
    <t>Držači razmaka</t>
  </si>
  <si>
    <t>Radovi</t>
  </si>
  <si>
    <t>Iskop grabe dimenzija 0,8x0,8x1 za ugradnju zdenca D1</t>
  </si>
  <si>
    <t>Ugradnja zdenca D1 sa zatrpavanjem</t>
  </si>
  <si>
    <t>Iskop rova 0,4x0,8 met u zemlji III kategorije</t>
  </si>
  <si>
    <t>Polaganje PVC cijevi</t>
  </si>
  <si>
    <t>Polaganje FP cijevi</t>
  </si>
  <si>
    <t>Dubljenje kanala za PEHD cijevi do izvoda</t>
  </si>
  <si>
    <t>Polaganje PEHD cijevi do izvoda</t>
  </si>
  <si>
    <t>Nasipavanje pijeska oko cijevi</t>
  </si>
  <si>
    <t>Nasipavanje šljunka</t>
  </si>
  <si>
    <t>Betoniranje betonom MB 15</t>
  </si>
  <si>
    <t>Postavljanje PVC čepova</t>
  </si>
  <si>
    <t xml:space="preserve">Postavljanje PEHD čepova </t>
  </si>
  <si>
    <t>Uvođenje PE cijevi u priključni ormarić</t>
  </si>
  <si>
    <t xml:space="preserve">Zatrpavanje zemljom u slojevima </t>
  </si>
  <si>
    <t>Polaganje trake za upozorenje</t>
  </si>
  <si>
    <t>Čišćenje i planiranje rova</t>
  </si>
  <si>
    <t>Odvoz viška zemlje sa gradilišta</t>
  </si>
  <si>
    <t>Ostalo</t>
  </si>
  <si>
    <t>Prijevoz materijala na i po gradilištu</t>
  </si>
  <si>
    <t>Dokumentacija izvedenog stanja</t>
  </si>
  <si>
    <t>Dokumentacija za katastar vodova</t>
  </si>
  <si>
    <t>Geodetsko snimanje i kartiranje</t>
  </si>
  <si>
    <t>Iskolčenje trase kanalizacije</t>
  </si>
  <si>
    <t>Iskolčenje graba za zdence</t>
  </si>
  <si>
    <t>INSTALACIJA STRUKTURNOG KABLIRANJA - UKUPNO:</t>
  </si>
  <si>
    <t>Razna ispitivanja funkcionalnosti, propisana mjerenja, te izdavanje kompleta dokaza kvalitete:</t>
  </si>
  <si>
    <t>- zaštita od KS (otpor petlje kratkog spoja i zemljospoja)</t>
  </si>
  <si>
    <t>- integritet i otpor uzemljenja</t>
  </si>
  <si>
    <t>Svi pripremno-završni radovi, sav potreban pribor, alat i skele, prenosi po gradilištu, čišćenje gradilišta, odvoz viška neupotrebljivog materijala na deponij, te radovi i usluge za druge izvoditelje</t>
  </si>
  <si>
    <t>OSTALO - UKUPNO:</t>
  </si>
  <si>
    <t>R E K A P I T U L A C I J A</t>
  </si>
  <si>
    <t>ELEKTRO INSTALACIJE STROJARSKIH UREĐAJA</t>
  </si>
  <si>
    <t>MUNJOVOD I IZJEDNAČENJA POTENCIJALA</t>
  </si>
  <si>
    <r>
      <t xml:space="preserve">S V E U K U P N O : </t>
    </r>
    <r>
      <rPr>
        <b/>
        <sz val="10"/>
        <rFont val="Calibri"/>
        <family val="2"/>
        <charset val="238"/>
      </rPr>
      <t>€</t>
    </r>
  </si>
  <si>
    <t xml:space="preserve">TROŠKOVNIK STROJARSKE OPREME I RADOVA </t>
  </si>
  <si>
    <r>
      <t xml:space="preserve">Građevina:        </t>
    </r>
    <r>
      <rPr>
        <sz val="11"/>
        <rFont val="Arial Narrow"/>
        <family val="2"/>
      </rPr>
      <t xml:space="preserve"> Višestambena zgrada, k.č.br. 1148/4, k.o. Ivanić – Grad, Ivanić – Grad 
                             (formirana od dijela k.č.br. 1148/1 k.o. Ivanić – Grad)</t>
    </r>
  </si>
  <si>
    <r>
      <t xml:space="preserve">Investitor:    </t>
    </r>
    <r>
      <rPr>
        <sz val="11"/>
        <rFont val="Arial Narrow"/>
        <family val="2"/>
      </rPr>
      <t xml:space="preserve">      Agencija za pravni promet i posredovanje nekretninama, Savska cesta 41/VI, Zagreb</t>
    </r>
  </si>
  <si>
    <r>
      <t xml:space="preserve">Projektant:   </t>
    </r>
    <r>
      <rPr>
        <sz val="11"/>
        <rFont val="Arial Narrow"/>
        <family val="2"/>
      </rPr>
      <t xml:space="preserve">       "Pro-Ing" d.o.o., Zagreb, Trakošćanska 6; ured: Krapinska 27, tel:3017-222</t>
    </r>
  </si>
  <si>
    <t>Cijena za svaku točku ove specifikacije mora obuhvatiti dobavu, montažu, spajanje, te dovođenje u stanje potpune funkcionalnosti ukoliko nije predviđeno posebnom stavkom.
U cijenu također ukalkulirati sav potreban spojni, montažni, pridržni i ostali materijal potreban za potpuno funkcioniranje ukoliko nije predviđeno posebnom stavkom.
Prije davanja ponude obvezno pročitati tehnički opis i pregledati nacrte.
Za sve eventualne primjedbe u pogledu izvođenja i troškovnika obratiti se prije davanja ponude projektantu.
Ponuđač radova mora ponuditi sve stavke iz ovog troškovnika. Ukoliko neke od stavki ne nudi ili predlaže alternativu, to u svojoj ponudi mora posebno naglasiti.</t>
  </si>
  <si>
    <t>BROJ</t>
  </si>
  <si>
    <t>OPIS</t>
  </si>
  <si>
    <t xml:space="preserve">JEDINICA </t>
  </si>
  <si>
    <t>KOLIČINA</t>
  </si>
  <si>
    <t>JED. CIJENA</t>
  </si>
  <si>
    <t>UKUPNO</t>
  </si>
  <si>
    <t>INSTALACIJA PLINA</t>
  </si>
  <si>
    <t>1.1</t>
  </si>
  <si>
    <t xml:space="preserve"> Kućni priključak – građevinski dio</t>
  </si>
  <si>
    <t>UVODNA NAPOMENA:
U svim stavkama treba osim dobave i montaže predvidjeti prijevoz materijala na gradilište.</t>
  </si>
  <si>
    <t>1</t>
  </si>
  <si>
    <t>Iskolčenje trase plinovoda za kućni priključak  prije početka radova. Podatke za iskolčenje uzeti iz projekta plinovoda i projekta ceste. Obračun po metru stvarno izvršenih radova</t>
  </si>
  <si>
    <t>2</t>
  </si>
  <si>
    <t>Geodetsko snimanje trase izvedenih instalacija sa određivanjem dubina istih. Trase instalacija označiti trajnom bojom na trasi plinovoda (asfalt) i kolcima (zemlja). Radove izvršiti prije iskopa rova. Cijena radova uzeta je po metru dužnom trase a obračun izvršiti prema stvarno izvršenim radovima.</t>
  </si>
  <si>
    <t>3</t>
  </si>
  <si>
    <t>Iskop rova u tlu III kategorije prosječne širine 0,5 m, dubine 1 m sa odbacivanjem zemlje uz rub rova. Iskop se vrši u zoni instalacija i za kućne priključke, s ravnim odsijecanjem stranica dna rova. Iskop se vrši ručnim putem, a obračun po kubiku stvarno iskopanog materijala u sraslom stanju.</t>
  </si>
  <si>
    <t>4</t>
  </si>
  <si>
    <t xml:space="preserve">Planiranje dna rova prema projektiranim nagibima plinovoda iz uzdužnog profila s točnošću  + - 2 cm, sa svim potrebnim nasipavanjima. Obračun po  kvadratu stvarno isplaniranog dna. </t>
  </si>
  <si>
    <t>5</t>
  </si>
  <si>
    <r>
      <t>Doprema, transport i razastiranje čistog suhog pijeska u rovu plinovoda, debljine 15 cm. Pijesak služi kao posteljica za cijevi. Obračun po m</t>
    </r>
    <r>
      <rPr>
        <vertAlign val="superscript"/>
        <sz val="10"/>
        <rFont val="Arial Narrow"/>
        <family val="2"/>
      </rPr>
      <t>3</t>
    </r>
    <r>
      <rPr>
        <sz val="10"/>
        <rFont val="Arial Narrow"/>
        <family val="2"/>
      </rPr>
      <t xml:space="preserve"> stvarno izvedenih količina.</t>
    </r>
  </si>
  <si>
    <t>6</t>
  </si>
  <si>
    <t>Doprema, transport i nasipavanje čistog suhog pijeska u rovu plinovoda, debljine 30 cm. Pijesak služi kao obloga cijevi s nadslojem od tjemena cijevi d = 15 cm. Nasipavanje izvršiti tek kada je cjevovod spojen i tlačno ispitan. Nakon nasipavanja oblogu lagano nabiti. Obračun po kubiku stvarno izvedenih količina</t>
  </si>
  <si>
    <t>7</t>
  </si>
  <si>
    <t xml:space="preserve">Zatrpavanje rova plinovoda materijalom iz iskopa. Zatrpavanje izvoditi nakon izvedbe obloge cijevi pijeskom, u dvije faze i to:
1. Prvo se zatrpava rov u sloju cca 35 cm uz pažljivo nabijanje
2. Nakon toga se vrši zatrpavanje uz razastiranje materijala u slojevima do kote terena uz snažno nabijanje vibro pločama do potpune zbijenosti
Obračun po kubiku stvarno izvedenih količina.
</t>
  </si>
  <si>
    <t>8</t>
  </si>
  <si>
    <t>Uspostava površine rova istog stanja kao prije iskopa uključujući sve potrebne radove kao uspostavu zelene površine, asfalta i sl.</t>
  </si>
  <si>
    <t>9</t>
  </si>
  <si>
    <t>Utovar u transportno sredstvo, transport, te istovar materijala preostalog nakon zatrpavanja rova plinovoda, na deponiju koja će u tu svrhu biti odobrena (do 20 km). Obračun po kubiku stvarno izvršenih radova na transportu.</t>
  </si>
  <si>
    <t>10</t>
  </si>
  <si>
    <t xml:space="preserve">Geodetsko i strojarsko snimanje izvedenog stanja plinovoda sa izradom svih potrebnih podloga. Stavkom je obuhvaćeno:
- geodetsko snimanje položenih kućnih priključaka
- strojarsko snimanje ugrađenih objekata
- snimanje varova
- obračun po metru izvedenih kućnih priključaka
</t>
  </si>
  <si>
    <t>1.2</t>
  </si>
  <si>
    <t>Kućni priključak i PRU - strojarski dio</t>
  </si>
  <si>
    <t>Cijev izrađena od polietilena PE 100 SDR 11  kvalitete prema DIN 8075, dimenzija prema DIN 8074 ili ISO 4437, ispitana na nepropusnost, uključivo nivelirani rov, sa svim pomoćnim materijalom za spajanje i brtvljenje i obložena pijeskom 20 cm sa svih strana, uključivo sa zatrpavanjem rova, a bez zidarskih radova na bušenju i uspostavi zida i javnih prometnih površina</t>
  </si>
  <si>
    <t>d32 PE</t>
  </si>
  <si>
    <t>d50 PE, L = 2,0 m  (zaštitna cijev)</t>
  </si>
  <si>
    <t>Čelična bešavna cijev ispitana na nepropusnost, zaštićena antikorozivnim premazom i poliken trakom, uključivo nivelirani rov, sa svim pomoćnim materijalom za spajanje i brtvljenje, obložena pijeskom 20 cm sa svih strana, uključivo sa zatrpavanjem rova, a bez zidarskih radova na bušenju i uspostavi zida te uspostavi javnih prometnih površina</t>
  </si>
  <si>
    <t>DN25</t>
  </si>
  <si>
    <t>T komad za varenje sa čepom za spoj K.P. na ulični plinovod, ugrađen i ispitan</t>
  </si>
  <si>
    <t>DN150/40</t>
  </si>
  <si>
    <t>Redukcija ugrađena i ispitana</t>
  </si>
  <si>
    <t>DN40/25</t>
  </si>
  <si>
    <t>Prelazni komad komplet s elektrospojnicom, ugrađen i ispitan</t>
  </si>
  <si>
    <t>d32/DN25</t>
  </si>
  <si>
    <t>Kuglasta plinska slavina za zemni plin s prirubničkim spojem, ugrađena i ispitana</t>
  </si>
  <si>
    <t>DN 25</t>
  </si>
  <si>
    <t xml:space="preserve">Regulator tlaka s prirubničkim spojem, blok ventilom i sigurnosnom membranom za G = 25 m3/h, 
Pu = 1÷3 bar, Pi = 22 mbar, ispitan i ugrađen
</t>
  </si>
  <si>
    <t>Limeni nadžbukni oličen i ugrađen ormarić
dimenzija 500 x 500 x 200 mm</t>
  </si>
  <si>
    <t>Traka za obilježavanje plinovoda</t>
  </si>
  <si>
    <t>Traka za detekciju plinovoda</t>
  </si>
  <si>
    <t>11</t>
  </si>
  <si>
    <t>Geodetsko snimanje trase plinovoda tri kućna priključka.</t>
  </si>
  <si>
    <t>Ispitivanje kućnog priključka na čvrstoću i nepropusnost od predstavnika Ivaplina i izdavanje zapisnika o ispitivanju sa pozitivnim mišljenjem, te preuzimanje instalacije od strane distributera plina  za d32/DN25 (cca 32 m)</t>
  </si>
  <si>
    <t>1.3</t>
  </si>
  <si>
    <t>Nemjereni plin, plinomjeri i pl. ormarići</t>
  </si>
  <si>
    <t>Čelična bešavna plinska cijev ispitana na nepropusnost, položene podžbukno u zidu, prethodno odmašćena i očišćena do sjaja, premazana temeljnim premazom Polyprimerom (antikorozijska zaštita) te nakon toga omotana Polyken trakom (mehanička zaštita) sa 50% preklopa, sve u skladu sa propisima Ivaplina. Plinsku cijev treba ugraditi plinotjesno (bez šupljina oko cijevi)</t>
  </si>
  <si>
    <t>DN50</t>
  </si>
  <si>
    <t>DN40</t>
  </si>
  <si>
    <t>DN32</t>
  </si>
  <si>
    <t>Čelična bešavna plinska cijev, ispitana na nepropusnost, položena slobodno nad zidom, uključivo sav pomoćni materijal za spajanje, brtvljenje i pričvršćenje</t>
  </si>
  <si>
    <t>Kuglasta navojna plinska slavina za zemni plin ispred plinomjera, ugrađena i ispitana DN25</t>
  </si>
  <si>
    <t>Regulator tlaka kao nominalnog kapaciteta 4 m3/h,maksimalnog kapaciteta 6 m3/h za tlak 22 mbar , vatrootporan, baždaren i ugrađen</t>
  </si>
  <si>
    <r>
      <t>Plinomjer s mjehom, DN25, nominalnog kapaciteta 4 m</t>
    </r>
    <r>
      <rPr>
        <vertAlign val="superscript"/>
        <sz val="10"/>
        <rFont val="Arial Narrow"/>
        <family val="2"/>
      </rPr>
      <t>3</t>
    </r>
    <r>
      <rPr>
        <sz val="10"/>
        <rFont val="Arial Narrow"/>
        <family val="2"/>
      </rPr>
      <t>/h,maksimalnog kapaciteta 6 m</t>
    </r>
    <r>
      <rPr>
        <vertAlign val="superscript"/>
        <sz val="10"/>
        <rFont val="Arial Narrow"/>
        <family val="2"/>
      </rPr>
      <t>3</t>
    </r>
    <r>
      <rPr>
        <sz val="10"/>
        <rFont val="Arial Narrow"/>
        <family val="2"/>
      </rPr>
      <t>/h, vatrootporan, baždaren, komplet sa temperaturnim korektorom i modulom za radijsko očitavanje, oličen, baždaren i ugrađen
Opaska: Plinomjer se ugrađuje u blizini ulaznih vratiju u plinski ormarić</t>
    </r>
  </si>
  <si>
    <t xml:space="preserve">Plinski ormarić za plinomjer, regulator tlaka i plinski ventil, u vatrootpornoj oblozi EI90, komplet sa ovjesnim priborom za ugradnju ormarića u stubišni prostor </t>
  </si>
  <si>
    <t>600x600x250 mm</t>
  </si>
  <si>
    <t>Prolazi horizontalnih vodova kroz zidove, te uzvoda kroz stropne deke, izvedeni od cijevi dvije dimenzije veće od cijevi koje kroz njih prolaze, protupožarno brtvljeni u klasi EI90 sukladno HRN EN 1366-3</t>
  </si>
  <si>
    <t>Dobava i ugradnja sustava za ventilaciju plinskih ormarića izvedenog iz PP cijevi d50 dužine cca 260 m podžbukno u zidu, komplet sa svim fazonskim komadima i protukišnim rešetkama</t>
  </si>
  <si>
    <t>1.4</t>
  </si>
  <si>
    <t>Mjereni plin</t>
  </si>
  <si>
    <t>Čelična bešavna cijev ispitana na nepropusnost, položena slobodno nad zidom, uključivo sav pomoćni materijal za spajanje, brtvljenje i pričvršćenje, ali bez uljenog naličja, bušenja zidova i zatvaranje prodora</t>
  </si>
  <si>
    <t>DN 20</t>
  </si>
  <si>
    <t>DN 15</t>
  </si>
  <si>
    <t>Kuglasta plinska slavina za zemni plin ispred potrošača, ugrađena i ispitana</t>
  </si>
  <si>
    <t>Prolazi horizontalnih vodova kroz zidove, te uzvoda kroz stropne deke, izvedeni od cijevi dvije dimenzije veće od cijevi koje kroz njih prolaze, ispunjeni izolacionim materijalom</t>
  </si>
  <si>
    <t>1.5</t>
  </si>
  <si>
    <t>Montaža trošila i bojanje instalacije</t>
  </si>
  <si>
    <t xml:space="preserve">Montaža plinske instalacije kondenzacijskog cirko aparata toplinskog učina 25 kW, uključivo sitni montažni materijal, podešavanje i izdavanje atesta o ispravnosti aparata kao uređaja s povećanom opasnosti
</t>
  </si>
  <si>
    <t>Ispitivanje instalacije mjerenog i nemjerenog plina nepropusnost u prisustvu predstavnika Ivaplin i izdavanje zapisnika o ispitivanju sa pozitivnim mišljenjem, te preuzimanje instalacije od strane distributera plina</t>
  </si>
  <si>
    <t>Bojenje cijevi temeljnom bojom i dvostrukim uljenim naličjem uz prethodno čišćenje od rđe
Opaska: distributer plina treba prije ličenja ispitati instalaciju na  nepropusnost i potvrditi zapisnikom</t>
  </si>
  <si>
    <t>Ukupno:</t>
  </si>
  <si>
    <t>CENTRALNO GRIJANJE</t>
  </si>
  <si>
    <t>Plinski zidni kondenzacijski kombinirani uređaj</t>
  </si>
  <si>
    <t xml:space="preserve"> - Stupanj učinkovitosti 98% (Hs) / 109% (Hi)</t>
  </si>
  <si>
    <t xml:space="preserve"> - Modulacijsko područje rada 1:10</t>
  </si>
  <si>
    <t xml:space="preserve"> - Primarni izmjenjivač od plemenitog čelika s ionizacijskom tehnologijom</t>
  </si>
  <si>
    <t xml:space="preserve"> - Putem ionizacijske tehnologije uređaj direktno mjeri kvalitetu plamena te kontinuirano podešava smjesu zraka i plina kako bi se osiguralo kvalitetno sagorijevanje u svakom trenutku, bez obzira na kvalitetu plina i vrstu plina</t>
  </si>
  <si>
    <t xml:space="preserve"> - Upravljačka ploča sa grafičkim zaslonom i ikonama, upravljana putem senzora osjetljivog na dodir</t>
  </si>
  <si>
    <t xml:space="preserve"> - Dijagnostički sustav za prikaz aktualnog stanja te dijagnostiku eventualne greške</t>
  </si>
  <si>
    <t xml:space="preserve"> - Pred-priprema za ugradnju Internet komunikacijskog modula ispod uređaja putem kojega je moguć daljinski nadzor sustava grijanja, korištenjem pametnog telefona </t>
  </si>
  <si>
    <t xml:space="preserve"> - Integrirana visokoučinkovita cirkulacijska crpka i prekretni prioritetni ventil (PTV – grijanje)</t>
  </si>
  <si>
    <t>Područje naz. toplinskog učinka pri 50/30 °C (G20): 2,8-26,4 kW</t>
  </si>
  <si>
    <t xml:space="preserve"> Područje naz. toplinskog učinka pri 80/60 °C (G20): 2,5-24,7 kW</t>
  </si>
  <si>
    <t xml:space="preserve"> Maks. učinak kod pripreme tople vode: 26,0 kW</t>
  </si>
  <si>
    <t xml:space="preserve"> Maks. temp. polaznog voda (grijanje): 85 °C</t>
  </si>
  <si>
    <t xml:space="preserve"> Maks. radni tlak 3 bar</t>
  </si>
  <si>
    <t xml:space="preserve"> Približna količina kondenzata pri režimu 50/30 °C: 2,55 l/h</t>
  </si>
  <si>
    <t xml:space="preserve"> Specifični protok (ΔT=30 K): 12,4 l/min</t>
  </si>
  <si>
    <t xml:space="preserve"> Opseg podešavanja temperature PTV: 35…65 °C</t>
  </si>
  <si>
    <t xml:space="preserve"> Dimenzija plinskog priključka: 15 mm</t>
  </si>
  <si>
    <t xml:space="preserve"> Dimenzija odvoda kondenzata: 19 mm</t>
  </si>
  <si>
    <t xml:space="preserve"> Tvornički priključak elementa za dovod zraka / odvod dimnih plinova: 60/100 mm</t>
  </si>
  <si>
    <t xml:space="preserve"> Maks. potrošnja plina, G20: 2,8 m³/h</t>
  </si>
  <si>
    <t xml:space="preserve"> Maks. potrošnja plina, G31: 1,1 m³/h</t>
  </si>
  <si>
    <t xml:space="preserve"> Min./maks. temp. dimnih plinova: 35..85 °C</t>
  </si>
  <si>
    <t xml:space="preserve"> Klasa NOx: 6</t>
  </si>
  <si>
    <t xml:space="preserve"> Emisija NOx: 26,7 mg/kWh</t>
  </si>
  <si>
    <t xml:space="preserve"> Težina (neto): 36 kg</t>
  </si>
  <si>
    <t xml:space="preserve"> Dimenzije (VxŠxD): 720 x 440 x 348 mm</t>
  </si>
  <si>
    <t xml:space="preserve"> Električni priključak: 230/50 V/Hz</t>
  </si>
  <si>
    <t xml:space="preserve"> Dopušteni ulazni napon: 190…253 V</t>
  </si>
  <si>
    <t xml:space="preserve"> Osigurač: 4 A</t>
  </si>
  <si>
    <t xml:space="preserve"> Maks. potrošnja struje u pogonu grijanja: 91 W</t>
  </si>
  <si>
    <t xml:space="preserve"> Maks. potrošnja struje kod pripreme PTV: 90 W</t>
  </si>
  <si>
    <t xml:space="preserve"> Potrošnja u stanju pripravnosti &amp;lt; 2 W</t>
  </si>
  <si>
    <t xml:space="preserve"> Stupanj zaštite IP X4 D</t>
  </si>
  <si>
    <t xml:space="preserve"> Razred energetske učinkovitosti na grijanju (A+++ do D): A</t>
  </si>
  <si>
    <t xml:space="preserve"> Razred energetske učinkovitosti na pripremi tople vode (A+do F):A</t>
  </si>
  <si>
    <t>Set za preinaku plinskog kondenzacijskog uređaja s dimovodnom zaklopkom Set omogućuje povezivanje jednog plinskog uređaja na zajednički dimovodni sustav, za uređaje toplinskog učinka u pripremi tople vode manjeg od 26 kW. Napomena: set se isključivo može koristiti sa uređajima koji imaju (softversku) mogućnost rada u sustavima zajedničkih dimovoda</t>
  </si>
  <si>
    <t>Plinski ventil ravni Rp 3/4" sa protupožarnom zaštitom</t>
  </si>
  <si>
    <t>Sifon R1"</t>
  </si>
  <si>
    <t>Digitalni modulacijski sobni termostat sensorom</t>
  </si>
  <si>
    <t>Termostat se koristi za regulaciju sustava grijanja s eBUS sučeljem, a na temelju sobne temperature, te za podešavanje temperature potrošne tople vode.</t>
  </si>
  <si>
    <t>Namijenjen je za konvencionalne sustave grijanja (plinski i električni uređaji - osim dizalica topline). Regulator je opremljen LCD zaslonom koji prikazuje simbole, znakove i brojčane vrijednsoti. Za upravljanje se koristi okretni kotačić.</t>
  </si>
  <si>
    <t>Napajanje termostata ostvaruje se preko eBUS veze. Termostat ima ugrađenu funkciju zaštite od smrzavanja funkciju toplog starta. </t>
  </si>
  <si>
    <t>Tehnički podaci:</t>
  </si>
  <si>
    <t>Dimenzije proizvoda, visina: 97 mm</t>
  </si>
  <si>
    <t>Dimenzije proizvoda, širina: 97 mm</t>
  </si>
  <si>
    <t>Dimenzije proizvoda, dubina: 31 mm</t>
  </si>
  <si>
    <t>Maks. dopuštena temperatura okoline: 50 °C</t>
  </si>
  <si>
    <t>Potrošnja el. energije: 240 mW</t>
  </si>
  <si>
    <t>Dimenzionirani napon 24 VDC ±10 %</t>
  </si>
  <si>
    <t>Dimenzionirana struja &amp;lt; 10 mA</t>
  </si>
  <si>
    <t>Priključni kabel, min. promjer: 2x 0,75 ...1,5 mm2</t>
  </si>
  <si>
    <t>Klasa zaštite: III</t>
  </si>
  <si>
    <t>Stupanj zaštite: IP 20</t>
  </si>
  <si>
    <t>Klasa regulatora prema ErP: V</t>
  </si>
  <si>
    <t>Doprinos energetskoj učinkovitosti grijanja prostorija ovisno o godišnjem dobu ηs 3,0 %</t>
  </si>
  <si>
    <t>Komunikacijska jedinica za povezivanje sustava na Internet putem bežičnog pristupa. Omogućava korištenje aplikacije proizvođača aparata putem koje korisnik može upravljati svojim sustavom preko pametnih telefona/tableta.</t>
  </si>
  <si>
    <t>U kombinaciji s regulatorom , komunikacijska jedinica pruža mogućnost daljinskog Internet pristupa sustavu grijanja neovisno o kompleksnosti sustava. Korisnik na ovaj način ima cijeli sustav grijanja na zaslonu svog pametnog telefona i tableta i može njime upravljati s bilo kojeg mjesta, bilo kada.</t>
  </si>
  <si>
    <t>Koncentričan priključak 60/100 (PP) na LAS sustav (za kondenzacijske uređaje)</t>
  </si>
  <si>
    <t>- koljeno 87 ° sa otvorom za čišćenje</t>
  </si>
  <si>
    <t xml:space="preserve">- obujmica </t>
  </si>
  <si>
    <t>- dimovodna cijev</t>
  </si>
  <si>
    <t>- rozeta</t>
  </si>
  <si>
    <t>Produžetak dimovoda 0,8 m ø 60/100 (za kondenzacijske uređaje)</t>
  </si>
  <si>
    <t>Koljeno 87 ° ø 60/100 (za kondenzacijske uređaje)</t>
  </si>
  <si>
    <t>Mjedeni ventil s vijčanim spojem</t>
  </si>
  <si>
    <t>Mjedeni hvatač nečistoće, komplet s vijčanim spojem</t>
  </si>
  <si>
    <t>12</t>
  </si>
  <si>
    <t>Mjedeni nepovratni ventil, komplet s vijčanim spojem</t>
  </si>
  <si>
    <t>13</t>
  </si>
  <si>
    <t>Mjedena slavina za punjenje i pražnjenje</t>
  </si>
  <si>
    <t>14</t>
  </si>
  <si>
    <t>Limeni uzidni ormarić sa vratašcima, komplet sa polaznim i povratnim razdjelnikom za pojedinačno spajanje svakog radijatora DN 15, polaznim i povratnim priključkom DN 25 na kombi aparat, svi priključci sa mjedenim slavinama, svaki razdjelnik saodzračnim ventilom, te sitni montažni materijal</t>
  </si>
  <si>
    <t>OR2 RAZDJELNI ORMARIĆ RADIJATORSKOG GRIJANJA
 Razdjelnik radijatorskog grijanja do 4 kruga
 dim.: LxHxD=500x685-865x110-150mm (podžbukni)</t>
  </si>
  <si>
    <t xml:space="preserve">OR1 RAZDJELNI ORMARIĆ RADIJATORSKOG GRIJANJA
 Razdjelnik radijatorskog grijanja do 6 krugova
 dim.: LxHxD=600x685-865x110-150mm (podžbukni)
</t>
  </si>
  <si>
    <t>OR3 RAZDJELNI ORMARIĆ RADIJATORSKOG GRIJANJA
 Razdjelnik radijatorskog grijanja do 7 kruga
 dim.: LxHxD=750x685-865x110-150mm (podžbukni)</t>
  </si>
  <si>
    <t>15</t>
  </si>
  <si>
    <t>Čelični pločasti radijatori sa cjevnim priključkom na sredini sa donje strane, komplet sa "H" blokom, termostatskim ventilom, ventilom za punjenje i pražnjenje i  odzračnim pipcem, ovjesnim priborom i sitnim montažnim materijalom</t>
  </si>
  <si>
    <t>11 VM/600/400</t>
  </si>
  <si>
    <t>11 VM/600/520</t>
  </si>
  <si>
    <t>11 VM/600/600</t>
  </si>
  <si>
    <t>21 VM-S/600/400</t>
  </si>
  <si>
    <t>21 VM-S/600/520</t>
  </si>
  <si>
    <t>21 VM-S/600/600</t>
  </si>
  <si>
    <t>21 VM-S/600/720</t>
  </si>
  <si>
    <t>21 VM-S/600/800</t>
  </si>
  <si>
    <t>21 VM-S/600/1200</t>
  </si>
  <si>
    <t>22 VM-S/600/1120</t>
  </si>
  <si>
    <t>22 VM-S/600/1200</t>
  </si>
  <si>
    <t>22 VM-S/600/1320</t>
  </si>
  <si>
    <t>Ukupno</t>
  </si>
  <si>
    <t>16</t>
  </si>
  <si>
    <t>Kupaonski cjevni radijatori, komplet s termostatskim i prigušnim ventilom, odzračnim pipcem, ovjesnim priborom i sitnim montažnim materijalom.</t>
  </si>
  <si>
    <t>1764/400</t>
  </si>
  <si>
    <t>1764/500/99</t>
  </si>
  <si>
    <t>17</t>
  </si>
  <si>
    <t>Višeslojna PE-X/Al/PE-X  cijev u izolaciji od 6 mm za hidrauličko povezivanje razdjelnika radijatorskog grijanja  sa plinskim aparatom i radijatorima , prema ISO/DIS 21003 u kompletu sa fazonskim komadima,brtvenim i ovjesnim priborom.</t>
  </si>
  <si>
    <t>Ø 26 x 2,0 mm</t>
  </si>
  <si>
    <t>Ø 20 x 2,0 mm</t>
  </si>
  <si>
    <t>Ø 16 x 2,0 mm</t>
  </si>
  <si>
    <t>18</t>
  </si>
  <si>
    <t xml:space="preserve">Plastična rozeta za prolaz dvije cijevi u pod </t>
  </si>
  <si>
    <t>19</t>
  </si>
  <si>
    <t>Punjenje sustava grijanja omekšanom i demineraliziranom vodom. Kvaliteta prema uputama proizvođača plinskih aparata.</t>
  </si>
  <si>
    <t>20</t>
  </si>
  <si>
    <t>Pomoćni potrošni i montažni materijal, kao fazonski komadi, koljena, fitinzi, spojnice, konzole, materijal za tvrdo lotanje, brtvljenje i slično</t>
  </si>
  <si>
    <t>21</t>
  </si>
  <si>
    <t>Montaža naprijed navedene opreme i materijala do potpune pogonske sposobnosti uključivo probni pogon s regulacijom uređaja i balansiranjem instalacije</t>
  </si>
  <si>
    <t>22</t>
  </si>
  <si>
    <t>Spajanje kombi aparata na elektro instalaciju (ožičenje je u elektro projektu), ispitivanje funkcionalnosti i izdavanje protokola o ispitivanju</t>
  </si>
  <si>
    <t>23</t>
  </si>
  <si>
    <t>Prijevoz opreme materijala i alata</t>
  </si>
  <si>
    <t xml:space="preserve">CENTRALNO GRIJANJE        </t>
  </si>
  <si>
    <t>"MULTI SPLIT" GRIJANJE / HLAĐENJE</t>
  </si>
  <si>
    <t>Vanjska jedinica inverter sustava multi split izvedbe za spajanje do 4 unutarnje jedinice, namjenjena za vanjsku montažu - zaštićena od vremenskih utjecaja, s ugrađenim inverter kompresorom, zrakom hlađenim kondenzatorom i svim potrebnim elementima za zaštitu i kontrolu, sljedećih tehničkih značajki:</t>
  </si>
  <si>
    <r>
      <t>- učinak hlađenja: Q</t>
    </r>
    <r>
      <rPr>
        <vertAlign val="subscript"/>
        <sz val="10"/>
        <rFont val="Arial Narrow"/>
        <family val="2"/>
      </rPr>
      <t>hl</t>
    </r>
    <r>
      <rPr>
        <sz val="10"/>
        <rFont val="Arial Narrow"/>
        <family val="2"/>
      </rPr>
      <t xml:space="preserve"> = 8,00 (2,30 - 11,00) kW </t>
    </r>
  </si>
  <si>
    <t>- apsorbirana snaga - hlađenje: 2,12 kW</t>
  </si>
  <si>
    <r>
      <t>- učinak grijanja: Q</t>
    </r>
    <r>
      <rPr>
        <vertAlign val="subscript"/>
        <sz val="10"/>
        <rFont val="Arial Narrow"/>
        <family val="2"/>
      </rPr>
      <t>gr</t>
    </r>
    <r>
      <rPr>
        <sz val="10"/>
        <rFont val="Arial Narrow"/>
        <family val="2"/>
      </rPr>
      <t xml:space="preserve"> = 9,50 (2,80 - 10,25) kW </t>
    </r>
  </si>
  <si>
    <t>- apsorbirana snaga - grijanje: 2,2 kW</t>
  </si>
  <si>
    <t>- stupanj energetske učinkovitosti: SEER = 7,2, SCOP = 4,2</t>
  </si>
  <si>
    <r>
      <t>- protok zraka: 3800 m</t>
    </r>
    <r>
      <rPr>
        <vertAlign val="superscript"/>
        <sz val="10"/>
        <rFont val="Arial Narrow"/>
        <family val="2"/>
      </rPr>
      <t>3</t>
    </r>
    <r>
      <rPr>
        <sz val="10"/>
        <rFont val="Arial Narrow"/>
        <family val="2"/>
      </rPr>
      <t>/h</t>
    </r>
  </si>
  <si>
    <t>- područje hlađenja: - 15 °C do +43 °C vanjske temperature DB</t>
  </si>
  <si>
    <t>- područje grijanja:  -22 °C do +24 °C vanjske temperature DB</t>
  </si>
  <si>
    <t>- razina zvučnog tlaka (Hl./Gr.): 58 / 58 dB(A)</t>
  </si>
  <si>
    <t xml:space="preserve">- razina zvučne snage: 68 dB(A) </t>
  </si>
  <si>
    <t>- napajanje: 220 - 240 / 1 faza / 50 Hz</t>
  </si>
  <si>
    <t xml:space="preserve">- dimenzije: Š × V × D ( mm ): 964 × 660 × 402        </t>
  </si>
  <si>
    <t>- masa: 51 kg</t>
  </si>
  <si>
    <t>- maksimalna dozvoljena duljina cijevnog razvoda: 70 m</t>
  </si>
  <si>
    <t>- maksimalna dozvoljena duljina cijevnog razvoda za jednu jedinicu: 20 m</t>
  </si>
  <si>
    <t>- maksimalna dozvoljena visinska razlika (vanjska - unutarnja jedinica): 15 m</t>
  </si>
  <si>
    <t>- maksimalna dozvoljena visinska razlika (unutarnja - unutarnja jedinica): 15 m</t>
  </si>
  <si>
    <t>- priključak R32 - tekuća faza: 4 x 6,35 mm</t>
  </si>
  <si>
    <t>- priključak R32 - plinovita faza: 4 x 9,52 mm</t>
  </si>
  <si>
    <t>Vanjska jedinica inverter sustava multi split izvedbe za spajanje do 3 unutarnje jedinice, namjenjena za vanjsku montažu - zaštićena od vremenskih utjecaja, s ugrađenim inverter kompresorom, zrakom hlađenim kondenzatorom i svim potrebnim elementima za zaštitu i kontrolu, sljedećih tehničkih značajki:</t>
  </si>
  <si>
    <r>
      <t>- učinak hlađenja: Q</t>
    </r>
    <r>
      <rPr>
        <vertAlign val="subscript"/>
        <sz val="10"/>
        <rFont val="Arial Narrow"/>
        <family val="2"/>
        <charset val="238"/>
      </rPr>
      <t>hl</t>
    </r>
    <r>
      <rPr>
        <sz val="10"/>
        <rFont val="Arial Narrow"/>
        <family val="2"/>
        <charset val="238"/>
      </rPr>
      <t xml:space="preserve"> = 6,10 (2,20 - 8,30) kW </t>
    </r>
  </si>
  <si>
    <t xml:space="preserve">- apsorbirana snaga - hlađenje: 1,48 kW / 1Ph /  220-240 V /50 Hz </t>
  </si>
  <si>
    <r>
      <t>- učinak grijanja: Q</t>
    </r>
    <r>
      <rPr>
        <vertAlign val="subscript"/>
        <sz val="10"/>
        <rFont val="Arial Narrow"/>
        <family val="2"/>
        <charset val="238"/>
      </rPr>
      <t>gr</t>
    </r>
    <r>
      <rPr>
        <sz val="10"/>
        <rFont val="Arial Narrow"/>
        <family val="2"/>
        <charset val="238"/>
      </rPr>
      <t xml:space="preserve"> = 6,50 (2,70 - 8,50) kW </t>
    </r>
  </si>
  <si>
    <t xml:space="preserve">- apsorbirana snaga - grijanje: 1,43 kW / 1Ph /  220-240 V /50 Hz </t>
  </si>
  <si>
    <t>- stupanj energetske učinkovitosti: SEER = 7,8   SCOP = 4,3</t>
  </si>
  <si>
    <r>
      <t>- protok zraka: 3800 m</t>
    </r>
    <r>
      <rPr>
        <vertAlign val="superscript"/>
        <sz val="10"/>
        <rFont val="Arial Narrow"/>
        <family val="2"/>
        <charset val="238"/>
      </rPr>
      <t>3</t>
    </r>
    <r>
      <rPr>
        <sz val="10"/>
        <rFont val="Arial Narrow"/>
        <family val="2"/>
        <charset val="238"/>
      </rPr>
      <t>/h</t>
    </r>
  </si>
  <si>
    <t>- razina zvučnog tlaka (Hl./Gr.): 57/58 dB(A)</t>
  </si>
  <si>
    <t>- masa: 47,5 kg</t>
  </si>
  <si>
    <t>- maksimalna dozvoljena duljina cijevnog razvoda: 60 m</t>
  </si>
  <si>
    <t>- priključak R32 - tekuća faza: 3x6,35 mm</t>
  </si>
  <si>
    <t>- priključak R32 - plinovita faza: 3x9,52 mm</t>
  </si>
  <si>
    <t>Vanjska jedinica inverter sustava multi split izvedbe za spajanje do 2 unutarnje jedinice, namjenjena za vanjsku montažu - zaštićena od vremenskih utjecaja, s ugrađenim inverter kompresorom, zrakom hlađenim kondenzatorom i svim potrebnim elementima za zaštitu i kontrolu, sljedećih tehničkih značajki:</t>
  </si>
  <si>
    <r>
      <t>- učinak hlađenja: Q</t>
    </r>
    <r>
      <rPr>
        <vertAlign val="subscript"/>
        <sz val="10"/>
        <rFont val="Arial Narrow"/>
        <family val="2"/>
        <charset val="238"/>
      </rPr>
      <t>hl</t>
    </r>
    <r>
      <rPr>
        <sz val="10"/>
        <rFont val="Arial Narrow"/>
        <family val="2"/>
        <charset val="238"/>
      </rPr>
      <t xml:space="preserve"> = 4,10 (2,05 - 5,0) kW </t>
    </r>
  </si>
  <si>
    <t xml:space="preserve">- apsorbirana snaga - hlađenje: 1,10 kW / 1Ph /  220-240 V /50 Hz </t>
  </si>
  <si>
    <r>
      <t>- učinak grijanja: Q</t>
    </r>
    <r>
      <rPr>
        <vertAlign val="subscript"/>
        <sz val="10"/>
        <rFont val="Arial Narrow"/>
        <family val="2"/>
        <charset val="238"/>
      </rPr>
      <t>gr</t>
    </r>
    <r>
      <rPr>
        <sz val="10"/>
        <rFont val="Arial Narrow"/>
        <family val="2"/>
        <charset val="238"/>
      </rPr>
      <t xml:space="preserve"> = 4,40 (2,49 - 5,40) kW </t>
    </r>
  </si>
  <si>
    <t xml:space="preserve">- apsorbirana snaga - grijanje: 0,97 kW / 1Ph /  220-240 V /50 Hz </t>
  </si>
  <si>
    <t>- stupanj energetske učinkovitosti: SEER = 7,20    SCOP = 4,2</t>
  </si>
  <si>
    <r>
      <t>- protok zraka: 2300 m</t>
    </r>
    <r>
      <rPr>
        <vertAlign val="superscript"/>
        <sz val="10"/>
        <rFont val="Arial Narrow"/>
        <family val="2"/>
        <charset val="238"/>
      </rPr>
      <t>3</t>
    </r>
    <r>
      <rPr>
        <sz val="10"/>
        <rFont val="Arial Narrow"/>
        <family val="2"/>
        <charset val="238"/>
      </rPr>
      <t>/h</t>
    </r>
  </si>
  <si>
    <t>- razina zvučnog tlaka (Hl./Gr.): 50/52 dB(A)</t>
  </si>
  <si>
    <t xml:space="preserve">- razina zvučne snage: 62 dB(A) </t>
  </si>
  <si>
    <t xml:space="preserve">- dimenzije: Š × V × D ( mm ): 822 × 550 × 352     </t>
  </si>
  <si>
    <t>- masa: 30 kg</t>
  </si>
  <si>
    <t>- maksimalna dozvoljena duljina cijevnog razvoda: 40 m</t>
  </si>
  <si>
    <t>- priključak R32 - tekuća faza: 2x6,35 mm</t>
  </si>
  <si>
    <t>- priključak R32 - plinovita faza: 2x9,52 mm</t>
  </si>
  <si>
    <t>Unutarnja zidna jedinica inverter sustava grijanja/hlađenja, opremljena 7-brzinskim elektromotorom, izmjenjivačem topline s direktnom ekspanzijom freona, ukrasnom maskom, te svim potrebnim elementima za zaštitu, kontrolu i regulaciju uređaja i temperature, slijedećih tehničkih značajki:</t>
  </si>
  <si>
    <r>
      <t>- učinak hlađenja: Q</t>
    </r>
    <r>
      <rPr>
        <vertAlign val="subscript"/>
        <sz val="10"/>
        <color indexed="8"/>
        <rFont val="Arial Narrow"/>
        <family val="2"/>
        <charset val="238"/>
      </rPr>
      <t>h</t>
    </r>
    <r>
      <rPr>
        <sz val="10"/>
        <color indexed="8"/>
        <rFont val="Arial Narrow"/>
        <family val="2"/>
        <charset val="238"/>
      </rPr>
      <t xml:space="preserve"> = 3,51 (0,9 - 4,4) kW</t>
    </r>
  </si>
  <si>
    <r>
      <t>- učinak grijanja:   Q</t>
    </r>
    <r>
      <rPr>
        <vertAlign val="subscript"/>
        <sz val="10"/>
        <color indexed="8"/>
        <rFont val="Arial Narrow"/>
        <family val="2"/>
        <charset val="238"/>
      </rPr>
      <t>g</t>
    </r>
    <r>
      <rPr>
        <sz val="10"/>
        <color indexed="8"/>
        <rFont val="Arial Narrow"/>
        <family val="2"/>
        <charset val="238"/>
      </rPr>
      <t xml:space="preserve"> = 3,81 (0,9 - 4,7) kW</t>
    </r>
  </si>
  <si>
    <t>- radni medij: R32</t>
  </si>
  <si>
    <t xml:space="preserve">- dimenzije Š x V x D (mm):  845 x 289 x 209 </t>
  </si>
  <si>
    <t>- masa: 11 kg</t>
  </si>
  <si>
    <t>- razina zvučnog tlaka - hlađenje: 42/38/35/32/29/26/25 dB(A)</t>
  </si>
  <si>
    <t>- razina zvučnog tlaka - grijanje: 42/38/36/34/32/30/28 dB(A)</t>
  </si>
  <si>
    <t>- razina zvučne snage - hlađenje: 57/50/47/44/41/38/37 dB(A)</t>
  </si>
  <si>
    <t>- razina zvučne snage - grijanje: 52/48/46/44/42/40/38 dB(A)</t>
  </si>
  <si>
    <r>
      <t>- protok zraka: V = 11,67 - 10,83 - 10,0 - 9,0 - 8,0 - 7,0 - 6,0 m</t>
    </r>
    <r>
      <rPr>
        <vertAlign val="superscript"/>
        <sz val="10"/>
        <color indexed="8"/>
        <rFont val="Arial Narrow"/>
        <family val="2"/>
        <charset val="238"/>
      </rPr>
      <t>3</t>
    </r>
    <r>
      <rPr>
        <sz val="10"/>
        <color indexed="8"/>
        <rFont val="Arial Narrow"/>
        <family val="2"/>
        <charset val="238"/>
      </rPr>
      <t xml:space="preserve">/min </t>
    </r>
  </si>
  <si>
    <t>Uključeno:</t>
  </si>
  <si>
    <t>- integrirano Wi-Fi sučelje za upravljanje preko interneta</t>
  </si>
  <si>
    <t>- bežični daljinski upravljač</t>
  </si>
  <si>
    <t>Unutarnja zidna jedinica inverter sustava grijanja/hlađenja, opremljena 4-brzinskim elektromotorom, izmjenjivačem topline s direktnom ekspanzijom freona, ukrasnom maskom, te svim potrebnim elementima za zaštitu, kontrolu i regulaciju uređaja i temperature. Regular dolazi sa integriranim Wi-Fi sučeljem, sustavom za inteligentno ponovno pokretanje, slijedećih tehničkih značajki:</t>
  </si>
  <si>
    <r>
      <t>- učinak hlađenja: Q</t>
    </r>
    <r>
      <rPr>
        <vertAlign val="subscript"/>
        <sz val="10"/>
        <color indexed="8"/>
        <rFont val="Arial Narrow"/>
        <family val="2"/>
        <charset val="238"/>
      </rPr>
      <t>h</t>
    </r>
    <r>
      <rPr>
        <sz val="10"/>
        <color indexed="8"/>
        <rFont val="Arial Narrow"/>
        <family val="2"/>
        <charset val="238"/>
      </rPr>
      <t xml:space="preserve"> = 2,10  kW</t>
    </r>
  </si>
  <si>
    <r>
      <t>- učinak grijanja:   Q</t>
    </r>
    <r>
      <rPr>
        <vertAlign val="subscript"/>
        <sz val="10"/>
        <color indexed="8"/>
        <rFont val="Arial Narrow"/>
        <family val="2"/>
        <charset val="238"/>
      </rPr>
      <t>g</t>
    </r>
    <r>
      <rPr>
        <sz val="10"/>
        <color indexed="8"/>
        <rFont val="Arial Narrow"/>
        <family val="2"/>
        <charset val="238"/>
      </rPr>
      <t xml:space="preserve"> = 2,60 kW</t>
    </r>
  </si>
  <si>
    <t>- dimenzije Š x V x D (mm):  790×275×200</t>
  </si>
  <si>
    <t>- masa: 9 kg</t>
  </si>
  <si>
    <t>- razina zvučne snage: 55/52/44/38 dB(A)</t>
  </si>
  <si>
    <t>- razina zvučnog tlaka: 39/36/32/28 dB(A)</t>
  </si>
  <si>
    <r>
      <t>- količina zraka: V = 560-490-430-330 m</t>
    </r>
    <r>
      <rPr>
        <vertAlign val="superscript"/>
        <sz val="10"/>
        <rFont val="Arial Narrow"/>
        <family val="2"/>
        <charset val="238"/>
      </rPr>
      <t>3</t>
    </r>
    <r>
      <rPr>
        <sz val="10"/>
        <rFont val="Arial Narrow"/>
        <family val="2"/>
        <charset val="238"/>
      </rPr>
      <t xml:space="preserve">/h </t>
    </r>
  </si>
  <si>
    <t>-standardno: WiFi sučelje za upravljanje preko interneta; bežični daljinski upravljač</t>
  </si>
  <si>
    <t>Bakreni odmašten, toplinski predizoliran cjevovod  za rashladni medij R32 sa pratećim elektrokablovima za povezivanje unutarnje s vanjskom jedinicom, pričvrsni i ovjesni materijal.
Napomena: Točne dužine i veličine cijevovoda definirati naknadno.</t>
  </si>
  <si>
    <t>Ø  6,35 mm</t>
  </si>
  <si>
    <t>Ø  9,52 mm</t>
  </si>
  <si>
    <t>Radni medij R32.
Napomena: Provjeriti s dobavljačem/iiproizvođačem kolika je prednapunjenost.</t>
  </si>
  <si>
    <t>PVC cjevovod za odvod kondenzata do u kanalizaciju (udaljenost prosječno do 10 m), fitinzi i sitni montažni materijal</t>
  </si>
  <si>
    <t>Ø 20 mm</t>
  </si>
  <si>
    <t>Ugradbeni sifon za kondenzat sa vodenim i mehaničkim zatvaračem zadaha.</t>
  </si>
  <si>
    <t>Par betonskih/plastičnih stopa za vanjsku jedinicu multi split sustava. Za montažu na lođu ili balkon. U kompletu s montažnim materijalom i antibracijskim podloškama.</t>
  </si>
  <si>
    <t>Sitni pomoćni montažni materijal</t>
  </si>
  <si>
    <t>Kanalice s nosačima za vođenje cjevovoda po lođi ili balkonu</t>
  </si>
  <si>
    <t>Montaža naprijed navedene opreme i materijala do potpune pogonske sposobnosti, vakumiranje, nadopuna radne tvari, puštanje u rad, probni pogon i regulacija (uključivo i elektro spajanje).</t>
  </si>
  <si>
    <t>Prijevoz opreme materijala i alata.</t>
  </si>
  <si>
    <t>Troškovnikom nisu obuhvaćeni građevinski radovi kao što su izrada i zatvaranje šliceva za postavljanje instalacije razvoda radnog medija i odvoda kondenzata, oblaganje vanjskog vidljivog dijela cijevnog razvoda radnog medija i odvoda kondenzata, interijersko maskiranje, žbukanje, bojanje i sl., osim  izrade proboja do promjera Ø50 mm za postavljanje instalacije radnog medija.</t>
  </si>
  <si>
    <t>Troškovnikom  nije obuhvaćeno završno spajanje cijevi odvoda kondenzata na oborinsku ili kanalizacijsku mrežu (predmet vodoinstalaterskih radova).</t>
  </si>
  <si>
    <t>VENTILACIJA</t>
  </si>
  <si>
    <t>4.1</t>
  </si>
  <si>
    <t xml:space="preserve">Ventilacija sanitarija i kuhinja </t>
  </si>
  <si>
    <t>Kupaonski ventilator s plastičnim kućištem za ugradnju u pregradni zid, komplet sa prekidačem sa timerom, slijedećih karakteristika: L=50 m³/h, H=50 Pa. Nel=7,2W. Buka=32dB/1m</t>
  </si>
  <si>
    <t>Protupožarna zaklopka sa termookidanjem, EI90,  u protuprskajućoj izvedbi IP45, za ugradnju u priključak kupaonskog ventilatora na ventilacijsku vertikalu</t>
  </si>
  <si>
    <t>Ø 100 mm</t>
  </si>
  <si>
    <t>Protupožarna ekspandirajuća zaklopka za ugradnju u priključak kuhinjske nape na prodoru kroz graniicu požarnog sektora, EI 120</t>
  </si>
  <si>
    <t>Neprovidna prestrujna rešetka s ugradbenom ramom, za ugradnju u vrata</t>
  </si>
  <si>
    <t>300x150 mm</t>
  </si>
  <si>
    <t>Okrugli limeni spiro ventilacioni kanali za odvod napa u sabirni kanal, komplet s fazonskim komadima, ovjesnim i montažnim materijalom</t>
  </si>
  <si>
    <t>Ø 150 mm (za nape)</t>
  </si>
  <si>
    <t>Okrugli PP ventilacioni kanali za odvod kupaonskih ventilatora do vertikale, i do krova, komplet s fazonskim komadima, ovjesnim i montažnim materijalom</t>
  </si>
  <si>
    <t>Sitni montažni naprijed nespecificiran materijal potreban za montažu uključivo konzole i nosive konstrukcije za opremu</t>
  </si>
  <si>
    <t>Montaža naprijed navedene opreme i materijala do potpune pogonske sposobnosti, uključivo probni pogon i regulaciju uređaja</t>
  </si>
  <si>
    <t>4.2</t>
  </si>
  <si>
    <t>Ventilacija plinskih ormarića</t>
  </si>
  <si>
    <t>Okrugli PP ventilacioni kanali  komplet s fazonskim komadima za ventilaciju plinskih ormarića - dovod svježeg zraka s fasade u ormarić, ugrađeni u podnom estrihu hodnika.</t>
  </si>
  <si>
    <t>Ø 50 mm</t>
  </si>
  <si>
    <t>Okrugli PP ventilacioni kanali komplet s fazonskim komadima za ventilaciju plinskih ormarića - odvod zraka od ormarića na fasadu, ugrađeni podžbukno u zid hodnika.</t>
  </si>
  <si>
    <t>Fiksna protukišna rešetka izrađena iz pocinčanog lima ili PP materijala sa zaštitnom mrežicom za sprečavanje ulaza kukaca</t>
  </si>
  <si>
    <r>
      <t xml:space="preserve">FŽ </t>
    </r>
    <r>
      <rPr>
        <sz val="10"/>
        <rFont val="Arial Narrow"/>
        <family val="2"/>
        <charset val="238"/>
      </rPr>
      <t>Ø</t>
    </r>
    <r>
      <rPr>
        <sz val="11.5"/>
        <rFont val="Arial Narrow"/>
        <family val="2"/>
      </rPr>
      <t>100/40</t>
    </r>
    <r>
      <rPr>
        <sz val="10"/>
        <rFont val="Arial Narrow"/>
        <family val="2"/>
      </rPr>
      <t xml:space="preserve"> mm</t>
    </r>
  </si>
  <si>
    <t>Protupožarno brtvljenje spojeva PP ventilacijskih cijevi sa plinskim ormarićima i sa fiksnim protukišnim rešetkama</t>
  </si>
  <si>
    <t xml:space="preserve">Ø 50 mm </t>
  </si>
  <si>
    <t>Sitni montažni naprijed nespecificiran materijal potreban za montažu uključivo konzole i nosive konstrukcije za opremu.</t>
  </si>
  <si>
    <t>Prijevoz opreme, materijala i alata.</t>
  </si>
  <si>
    <t>Montaža naprijed navedene opreme i materijala do potpune pogonske sposobnosti, uključivo probni pogon i regulaciju uređaja.</t>
  </si>
  <si>
    <t>Podešavanje instalacije na projektirane parametre, ispitivanje funkcionalnosti ventilacije uključivo mjerenja istrujnih brzina, buke, pribavljanje atesta o funkcionalnosti ventilacije, ispitivanje buke i primopredaju instalacije</t>
  </si>
  <si>
    <t>ukupno:</t>
  </si>
  <si>
    <t>REKAPITULACIJA</t>
  </si>
  <si>
    <t xml:space="preserve">INSTALACIJA PLINA       </t>
  </si>
  <si>
    <t>UKUPNO:</t>
  </si>
  <si>
    <t>Ovim troškovnikom obuhvaćeni su svi građevinski i obrtnički radovi za izgradnju višestambene građevine, na novoformiranoj k.č.br. 1148/4 k.o. Ivanić – Grad u Ivanić – Gradu (formirana od dijela k.č.br. 1148/1 k.o. Ivanić – Grad).</t>
  </si>
  <si>
    <r>
      <t xml:space="preserve">Dobava i montaža troslojnih aluminijsko-plastičnih (PE-RT Type-II/Al/PE-RT Type-II) cijevi izrađenih sukladno HRN EN ISO 21003-2:2008 i HRN EN ISO 21003-3:2008, sa spajanjem ˝press˝ spojnicama iz PPSU-a ili bezolovne bronce,  za etažni razvod sanitarne hladne i tople vode (radni tlak do 10 bar i temperatura do 70°C) koje osiguravaju minimalan gubitak tlaka uz optimizirani protok. Materijal se obrađuje i ugrađuje u skladu sa normom HRN EN 806 i HRN EN 1717. 
Stavka obuhvaća sve potrebne spojnice, koljena, redukcije, T-komade i potrebni pričvrsni i zaštitno-izolacijski materijal. Cijevi se isporučuju u palicama bez izolacije. Toplinsku izolaciju izvesti prema potrebi.
Sve kao </t>
    </r>
    <r>
      <rPr>
        <b/>
        <sz val="10"/>
        <rFont val="Arial"/>
        <family val="2"/>
        <charset val="238"/>
      </rPr>
      <t>Geberit FlowFit</t>
    </r>
  </si>
  <si>
    <r>
      <t xml:space="preserve">Sve izvesti prema </t>
    </r>
    <r>
      <rPr>
        <b/>
        <sz val="10"/>
        <rFont val="Arial"/>
        <family val="2"/>
        <charset val="238"/>
      </rPr>
      <t>shemi PP bravarije 7</t>
    </r>
    <r>
      <rPr>
        <sz val="10"/>
        <rFont val="Arial"/>
        <family val="2"/>
        <charset val="238"/>
      </rPr>
      <t xml:space="preserve">. </t>
    </r>
  </si>
  <si>
    <t>Izrada, dobava i ugradnja protupožarnih unutarnjih ostakljenih dvokrilnih, zaokretnih vrata, klasa negorivosti EI2 30-C; u građevinskom otvoru dimenzija 140x215 cm. Krila  nejednake  širine, svijetlih dimenzija prema  shemi u  prilogu, u  RAL boji po izboru projektanta.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</si>
</sst>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7" formatCode="#,##0.00\ &quot;kn&quot;;\-#,##0.00\ &quot;kn&quot;"/>
    <numFmt numFmtId="44" formatCode="_-* #,##0.00\ &quot;kn&quot;_-;\-* #,##0.00\ &quot;kn&quot;_-;_-* &quot;-&quot;??\ &quot;kn&quot;_-;_-@_-"/>
    <numFmt numFmtId="43" formatCode="_-* #,##0.00_-;\-* #,##0.00_-;_-* &quot;-&quot;??_-;_-@_-"/>
    <numFmt numFmtId="164" formatCode="_(&quot;$&quot;* #,##0.00_);_(&quot;$&quot;* \(#,##0.00\);_(&quot;$&quot;* &quot;-&quot;??_);_(@_)"/>
    <numFmt numFmtId="165" formatCode="_-* #,##0.00\ _k_n_-;\-* #,##0.00\ _k_n_-;_-* &quot;-&quot;??\ _k_n_-;_-@_-"/>
    <numFmt numFmtId="166" formatCode="#,##0.00_ ;[Red]\-#,##0.00\ "/>
    <numFmt numFmtId="167" formatCode="#,##0_ ;[Red]\-#,##0\ "/>
    <numFmt numFmtId="168" formatCode="#,##0.00\ &quot;kn&quot;"/>
    <numFmt numFmtId="169" formatCode="_-* #,##0.00\ _K_n_-;\-* #,##0.00\ _K_n_-;_-* &quot;-&quot;??\ _K_n_-;_-@_-"/>
    <numFmt numFmtId="170" formatCode="_(* #,##0.00_);_(* \(#,##0.00\);_(* \-??_);_(@_)"/>
    <numFmt numFmtId="171" formatCode="_-* #,##0.00\ [$€-1]_-;\-* #,##0.00\ [$€-1]_-;_-* &quot;-&quot;??\ [$€-1]_-;_-@_-"/>
    <numFmt numFmtId="172" formatCode="#&quot;.&quot;"/>
    <numFmt numFmtId="173" formatCode="_([$€-2]\ * #,##0.00_);_([$€-2]\ * \(#,##0.00\);_([$€-2]\ * &quot;-&quot;??_);_(@_)"/>
    <numFmt numFmtId="174" formatCode="_-* #,##0.00\ [$€-41A]_-;\-* #,##0.00\ [$€-41A]_-;_-* &quot;-&quot;??\ [$€-41A]_-;_-@_-"/>
    <numFmt numFmtId="175" formatCode="#,##0[$€]"/>
    <numFmt numFmtId="176" formatCode="0.0"/>
    <numFmt numFmtId="177" formatCode="_-* #,##0.00\ [$kn-41A]_-;\-* #,##0.00\ [$kn-41A]_-;_-* &quot;-&quot;??\ [$kn-41A]_-;_-@_-"/>
    <numFmt numFmtId="178" formatCode="#,##0.00\ _k_n"/>
    <numFmt numFmtId="179" formatCode="0&quot;.&quot;"/>
    <numFmt numFmtId="180" formatCode="#,##0.00;\-#,##0.00;&quot;&quot;"/>
    <numFmt numFmtId="181" formatCode="#,##0.00\ [$€-1]"/>
    <numFmt numFmtId="182" formatCode="_-* #,##0.00_-;\-* #,##0.00_-;_-* \-??_-;_-@_-"/>
    <numFmt numFmtId="183" formatCode="#,##0.0"/>
    <numFmt numFmtId="184" formatCode="#,##0.00_ ;\-#,##0.00\ "/>
    <numFmt numFmtId="185" formatCode="###,##0.00"/>
  </numFmts>
  <fonts count="141">
    <font>
      <sz val="12"/>
      <name val="Arial CE"/>
    </font>
    <font>
      <sz val="11"/>
      <color theme="1"/>
      <name val="Calibri"/>
      <family val="2"/>
      <charset val="238"/>
      <scheme val="minor"/>
    </font>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CE"/>
    </font>
    <font>
      <sz val="12"/>
      <name val="Arial CE"/>
    </font>
    <font>
      <b/>
      <sz val="10"/>
      <name val="Arial CE"/>
      <family val="2"/>
    </font>
    <font>
      <sz val="11"/>
      <name val="Arial CE"/>
      <family val="2"/>
    </font>
    <font>
      <sz val="11"/>
      <name val="Arial"/>
      <family val="2"/>
    </font>
    <font>
      <sz val="11"/>
      <color indexed="10"/>
      <name val="Arial CE"/>
      <family val="2"/>
    </font>
    <font>
      <b/>
      <sz val="11"/>
      <name val="Arial CE"/>
    </font>
    <font>
      <sz val="10"/>
      <name val="Arial CE"/>
      <family val="2"/>
    </font>
    <font>
      <sz val="10"/>
      <name val="Arial"/>
      <family val="2"/>
      <charset val="238"/>
    </font>
    <font>
      <b/>
      <sz val="10"/>
      <name val="Arial"/>
      <family val="2"/>
    </font>
    <font>
      <sz val="10"/>
      <name val="Helv"/>
    </font>
    <font>
      <sz val="8"/>
      <name val="Arial CE"/>
    </font>
    <font>
      <sz val="10"/>
      <name val="Tahoma"/>
      <family val="2"/>
    </font>
    <font>
      <sz val="9"/>
      <name val="Arial CE"/>
      <family val="2"/>
    </font>
    <font>
      <sz val="10"/>
      <name val="Sun DRACO"/>
      <family val="3"/>
    </font>
    <font>
      <sz val="11"/>
      <color indexed="8"/>
      <name val="Calibri"/>
      <family val="2"/>
    </font>
    <font>
      <sz val="10"/>
      <name val="Arial"/>
      <family val="2"/>
      <charset val="238"/>
    </font>
    <font>
      <sz val="10"/>
      <color rgb="FFFF0000"/>
      <name val="Arial"/>
      <family val="2"/>
      <charset val="238"/>
    </font>
    <font>
      <b/>
      <sz val="10"/>
      <color rgb="FFFF0000"/>
      <name val="Arial"/>
      <family val="2"/>
    </font>
    <font>
      <sz val="10"/>
      <color rgb="FFFF0000"/>
      <name val="Arial CE"/>
      <family val="2"/>
    </font>
    <font>
      <b/>
      <sz val="10"/>
      <color rgb="FFFF0000"/>
      <name val="Arial"/>
      <family val="2"/>
      <charset val="238"/>
    </font>
    <font>
      <sz val="10"/>
      <name val="Arial CE"/>
      <charset val="238"/>
    </font>
    <font>
      <sz val="10"/>
      <name val="Arial"/>
      <family val="2"/>
    </font>
    <font>
      <b/>
      <sz val="10"/>
      <name val="Arial"/>
      <family val="2"/>
      <charset val="238"/>
    </font>
    <font>
      <b/>
      <sz val="10"/>
      <name val="Arial CE"/>
      <charset val="238"/>
    </font>
    <font>
      <sz val="9"/>
      <name val="Arial CE"/>
      <family val="2"/>
      <charset val="238"/>
    </font>
    <font>
      <sz val="10"/>
      <name val="Arial CE"/>
    </font>
    <font>
      <sz val="10"/>
      <name val="Calibri"/>
      <family val="2"/>
      <charset val="238"/>
    </font>
    <font>
      <b/>
      <sz val="10"/>
      <name val="Arial CE"/>
    </font>
    <font>
      <sz val="10"/>
      <name val="Arial CE"/>
      <family val="2"/>
      <charset val="238"/>
    </font>
    <font>
      <b/>
      <sz val="10"/>
      <color rgb="FFFF0000"/>
      <name val="Arial CE"/>
      <family val="2"/>
    </font>
    <font>
      <sz val="10"/>
      <color rgb="FFFF0000"/>
      <name val="Arial"/>
      <family val="2"/>
    </font>
    <font>
      <sz val="10"/>
      <name val="Helvetica"/>
    </font>
    <font>
      <sz val="10"/>
      <color theme="1"/>
      <name val="Arial"/>
      <family val="2"/>
      <charset val="238"/>
    </font>
    <font>
      <sz val="9"/>
      <name val="Arial"/>
      <family val="2"/>
      <charset val="238"/>
    </font>
    <font>
      <sz val="9"/>
      <name val="Arial"/>
      <family val="2"/>
    </font>
    <font>
      <sz val="11"/>
      <color theme="1"/>
      <name val="Calibri"/>
      <family val="2"/>
      <charset val="238"/>
      <scheme val="minor"/>
    </font>
    <font>
      <sz val="11"/>
      <color rgb="FF9C0006"/>
      <name val="Calibri"/>
      <family val="2"/>
      <charset val="238"/>
      <scheme val="minor"/>
    </font>
    <font>
      <sz val="11"/>
      <name val="Arial"/>
      <family val="2"/>
      <charset val="238"/>
    </font>
    <font>
      <sz val="11"/>
      <color indexed="8"/>
      <name val="Times New Roman"/>
      <family val="2"/>
      <charset val="238"/>
    </font>
    <font>
      <sz val="9"/>
      <color theme="1"/>
      <name val="Calibri"/>
      <family val="2"/>
      <charset val="238"/>
      <scheme val="minor"/>
    </font>
    <font>
      <sz val="9"/>
      <name val="Calibri"/>
      <family val="2"/>
      <scheme val="minor"/>
    </font>
    <font>
      <b/>
      <sz val="9"/>
      <color theme="1"/>
      <name val="Calibri"/>
      <family val="2"/>
      <charset val="238"/>
      <scheme val="minor"/>
    </font>
    <font>
      <b/>
      <sz val="10"/>
      <color rgb="FFFF0000"/>
      <name val="Arial CE"/>
    </font>
    <font>
      <sz val="10"/>
      <color rgb="FFFF0000"/>
      <name val="Arial CE"/>
    </font>
    <font>
      <b/>
      <sz val="10"/>
      <color theme="1"/>
      <name val="Arial CE"/>
      <family val="2"/>
    </font>
    <font>
      <sz val="10"/>
      <color theme="1"/>
      <name val="Arial CE"/>
      <family val="2"/>
    </font>
    <font>
      <sz val="10"/>
      <color theme="3" tint="-0.249977111117893"/>
      <name val="Arial"/>
      <family val="2"/>
      <charset val="238"/>
    </font>
    <font>
      <sz val="10"/>
      <color theme="3" tint="-0.249977111117893"/>
      <name val="Arial CE"/>
      <family val="2"/>
    </font>
    <font>
      <b/>
      <sz val="10"/>
      <color theme="3" tint="-0.249977111117893"/>
      <name val="Arial"/>
      <family val="2"/>
      <charset val="238"/>
    </font>
    <font>
      <b/>
      <sz val="14"/>
      <name val="Arial"/>
      <family val="2"/>
    </font>
    <font>
      <b/>
      <sz val="10"/>
      <color theme="1"/>
      <name val="Arial"/>
      <family val="2"/>
    </font>
    <font>
      <b/>
      <sz val="11"/>
      <color theme="1"/>
      <name val="Arial"/>
      <family val="2"/>
    </font>
    <font>
      <b/>
      <sz val="10"/>
      <color theme="1"/>
      <name val="Arial"/>
      <family val="2"/>
      <charset val="238"/>
    </font>
    <font>
      <sz val="10"/>
      <color rgb="FFFF0000"/>
      <name val="Arial CE"/>
      <charset val="238"/>
    </font>
    <font>
      <sz val="10"/>
      <color rgb="FFFF0000"/>
      <name val="Helvetica"/>
    </font>
    <font>
      <sz val="9"/>
      <name val="Arial CE"/>
    </font>
    <font>
      <vertAlign val="superscript"/>
      <sz val="10"/>
      <name val="Arial"/>
      <family val="2"/>
      <charset val="238"/>
    </font>
    <font>
      <b/>
      <i/>
      <sz val="8"/>
      <name val="Verdana"/>
      <family val="2"/>
      <charset val="238"/>
    </font>
    <font>
      <sz val="8"/>
      <name val="Verdana"/>
      <family val="2"/>
      <charset val="238"/>
    </font>
    <font>
      <sz val="12"/>
      <name val="Arial"/>
      <family val="2"/>
      <charset val="238"/>
    </font>
    <font>
      <sz val="10"/>
      <name val="Swis721 BT"/>
      <family val="2"/>
    </font>
    <font>
      <sz val="12"/>
      <name val="Arial CE"/>
      <charset val="238"/>
    </font>
    <font>
      <i/>
      <sz val="10"/>
      <color rgb="FFFF0000"/>
      <name val="Arial"/>
      <family val="2"/>
      <charset val="238"/>
    </font>
    <font>
      <sz val="10"/>
      <color rgb="FF000000"/>
      <name val="Arial"/>
      <family val="2"/>
      <charset val="238"/>
    </font>
    <font>
      <b/>
      <sz val="10"/>
      <name val="Arial"/>
      <family val="2"/>
      <charset val="1"/>
    </font>
    <font>
      <sz val="12"/>
      <name val="HRHelvetica"/>
    </font>
    <font>
      <sz val="12"/>
      <name val="Arial"/>
      <family val="2"/>
    </font>
    <font>
      <sz val="10"/>
      <color rgb="FFFF0000"/>
      <name val="Arial CE"/>
      <family val="2"/>
      <charset val="238"/>
    </font>
    <font>
      <sz val="12"/>
      <color rgb="FFFF0000"/>
      <name val="Arial"/>
      <family val="2"/>
    </font>
    <font>
      <b/>
      <i/>
      <sz val="8"/>
      <name val="Calibri Light"/>
      <family val="2"/>
      <charset val="1"/>
    </font>
    <font>
      <sz val="14"/>
      <name val="Arial"/>
      <family val="2"/>
    </font>
    <font>
      <sz val="10"/>
      <name val="ISOCPEUR"/>
      <family val="2"/>
    </font>
    <font>
      <sz val="14"/>
      <name val="Arial"/>
      <family val="2"/>
      <charset val="238"/>
    </font>
    <font>
      <sz val="10"/>
      <color rgb="FFFF0000"/>
      <name val="Calibri"/>
      <family val="2"/>
      <charset val="238"/>
    </font>
    <font>
      <b/>
      <sz val="12"/>
      <color rgb="FFFF0000"/>
      <name val="Arial CE"/>
    </font>
    <font>
      <sz val="12"/>
      <color rgb="FFFF0000"/>
      <name val="Arial CE"/>
    </font>
    <font>
      <b/>
      <sz val="14"/>
      <color rgb="FFFF0000"/>
      <name val="Arial"/>
      <family val="2"/>
    </font>
    <font>
      <b/>
      <sz val="12"/>
      <name val="Arial"/>
      <family val="2"/>
      <charset val="238"/>
    </font>
    <font>
      <b/>
      <sz val="11"/>
      <name val="Arial"/>
      <family val="2"/>
      <charset val="238"/>
    </font>
    <font>
      <b/>
      <sz val="10"/>
      <color indexed="30"/>
      <name val="Arial"/>
      <family val="2"/>
      <charset val="238"/>
    </font>
    <font>
      <sz val="12"/>
      <name val="CountryBlueprint"/>
      <charset val="2"/>
    </font>
    <font>
      <sz val="10"/>
      <name val="ISOCTEUR"/>
      <family val="3"/>
      <charset val="238"/>
    </font>
    <font>
      <sz val="11"/>
      <name val="ISOCPEUR"/>
      <family val="2"/>
      <charset val="238"/>
    </font>
    <font>
      <b/>
      <sz val="11"/>
      <name val="ISOCPEUR"/>
      <family val="2"/>
      <charset val="238"/>
    </font>
    <font>
      <b/>
      <sz val="13"/>
      <name val="ISOCPEUR"/>
      <family val="2"/>
      <charset val="238"/>
    </font>
    <font>
      <sz val="10"/>
      <name val="Comic Sans MS"/>
      <family val="4"/>
    </font>
    <font>
      <i/>
      <sz val="10"/>
      <name val="Times New Roman CE"/>
      <family val="1"/>
      <charset val="238"/>
    </font>
    <font>
      <b/>
      <sz val="10"/>
      <name val="Arial Black"/>
      <family val="2"/>
      <charset val="238"/>
    </font>
    <font>
      <sz val="10"/>
      <name val="ISOCPEUR"/>
      <family val="2"/>
      <charset val="238"/>
    </font>
    <font>
      <sz val="12"/>
      <name val="ISOCPEUR"/>
      <family val="2"/>
      <charset val="238"/>
    </font>
    <font>
      <sz val="9"/>
      <name val="ISOCPEUR"/>
      <family val="2"/>
      <charset val="238"/>
    </font>
    <font>
      <sz val="8"/>
      <name val="Arial"/>
      <family val="2"/>
    </font>
    <font>
      <b/>
      <sz val="10"/>
      <name val="ISOCPEUR"/>
      <family val="2"/>
      <charset val="238"/>
    </font>
    <font>
      <sz val="10"/>
      <name val="Times New Roman"/>
      <family val="1"/>
      <charset val="238"/>
    </font>
    <font>
      <vertAlign val="superscript"/>
      <sz val="10"/>
      <name val="ISOCPEUR"/>
      <family val="2"/>
      <charset val="238"/>
    </font>
    <font>
      <sz val="10"/>
      <color rgb="FFFF0000"/>
      <name val="ISOCPEUR"/>
      <family val="2"/>
      <charset val="238"/>
    </font>
    <font>
      <sz val="10"/>
      <color rgb="FF000000"/>
      <name val="ISOCPEUR"/>
      <family val="2"/>
      <charset val="238"/>
    </font>
    <font>
      <i/>
      <sz val="10"/>
      <color rgb="FF000000"/>
      <name val="ISOCPEUR"/>
      <family val="2"/>
      <charset val="238"/>
    </font>
    <font>
      <sz val="10"/>
      <name val="Symbol"/>
      <family val="1"/>
      <charset val="2"/>
    </font>
    <font>
      <i/>
      <sz val="10"/>
      <name val="ISOCPEUR"/>
      <family val="2"/>
      <charset val="238"/>
    </font>
    <font>
      <b/>
      <sz val="10"/>
      <name val="Calibri"/>
      <family val="2"/>
      <charset val="238"/>
    </font>
    <font>
      <b/>
      <sz val="12"/>
      <name val="Arial Narrow"/>
      <family val="2"/>
    </font>
    <font>
      <sz val="12"/>
      <name val="Arial Narrow"/>
      <family val="2"/>
    </font>
    <font>
      <sz val="11"/>
      <name val="Arial Narrow"/>
      <family val="2"/>
    </font>
    <font>
      <b/>
      <sz val="11"/>
      <name val="Arial Narrow"/>
      <family val="2"/>
    </font>
    <font>
      <sz val="10"/>
      <name val="Arial Narrow"/>
      <family val="2"/>
    </font>
    <font>
      <sz val="8"/>
      <name val="Arial Narrow"/>
      <family val="2"/>
    </font>
    <font>
      <b/>
      <sz val="12"/>
      <name val="Arial Narrow"/>
      <family val="2"/>
      <charset val="238"/>
    </font>
    <font>
      <b/>
      <sz val="12"/>
      <color rgb="FFFF0000"/>
      <name val="Arial Narrow"/>
      <family val="2"/>
    </font>
    <font>
      <b/>
      <sz val="10"/>
      <color rgb="FFFF0000"/>
      <name val="Arial Narrow"/>
      <family val="2"/>
    </font>
    <font>
      <vertAlign val="superscript"/>
      <sz val="10"/>
      <name val="Arial Narrow"/>
      <family val="2"/>
    </font>
    <font>
      <sz val="10"/>
      <color rgb="FFFF0000"/>
      <name val="Arial Narrow"/>
      <family val="2"/>
    </font>
    <font>
      <sz val="10"/>
      <name val="Arial Narrow"/>
      <family val="2"/>
      <charset val="238"/>
    </font>
    <font>
      <vertAlign val="subscript"/>
      <sz val="10"/>
      <name val="Arial Narrow"/>
      <family val="2"/>
    </font>
    <font>
      <sz val="10"/>
      <color theme="1"/>
      <name val="Arial Narrow"/>
      <family val="2"/>
    </font>
    <font>
      <sz val="10"/>
      <color indexed="8"/>
      <name val="Arial Narrow"/>
      <family val="2"/>
    </font>
    <font>
      <b/>
      <sz val="10"/>
      <name val="Arial Narrow"/>
      <family val="2"/>
      <charset val="238"/>
    </font>
    <font>
      <vertAlign val="subscript"/>
      <sz val="10"/>
      <name val="Arial Narrow"/>
      <family val="2"/>
      <charset val="238"/>
    </font>
    <font>
      <sz val="10"/>
      <color theme="1"/>
      <name val="Arial Narrow"/>
      <family val="2"/>
      <charset val="238"/>
    </font>
    <font>
      <vertAlign val="superscript"/>
      <sz val="10"/>
      <name val="Arial Narrow"/>
      <family val="2"/>
      <charset val="238"/>
    </font>
    <font>
      <sz val="10"/>
      <color indexed="8"/>
      <name val="Arial Narrow"/>
      <family val="2"/>
      <charset val="238"/>
    </font>
    <font>
      <sz val="11"/>
      <color indexed="8"/>
      <name val="Calibri"/>
      <family val="2"/>
      <charset val="238"/>
    </font>
    <font>
      <sz val="10"/>
      <name val="Tahoma"/>
      <family val="2"/>
      <charset val="238"/>
    </font>
    <font>
      <vertAlign val="subscript"/>
      <sz val="10"/>
      <color indexed="8"/>
      <name val="Arial Narrow"/>
      <family val="2"/>
      <charset val="238"/>
    </font>
    <font>
      <vertAlign val="superscript"/>
      <sz val="10"/>
      <color indexed="8"/>
      <name val="Arial Narrow"/>
      <family val="2"/>
      <charset val="238"/>
    </font>
    <font>
      <u/>
      <sz val="10"/>
      <name val="Arial Narrow"/>
      <family val="2"/>
    </font>
    <font>
      <b/>
      <sz val="10"/>
      <name val="Arial Narrow"/>
      <family val="2"/>
    </font>
    <font>
      <sz val="11.5"/>
      <name val="Arial Narrow"/>
      <family val="2"/>
    </font>
    <font>
      <b/>
      <sz val="14"/>
      <name val="Arial Narrow"/>
      <family val="2"/>
    </font>
    <font>
      <b/>
      <sz val="11"/>
      <color rgb="FFFF0000"/>
      <name val="Arial Narrow"/>
      <family val="2"/>
    </font>
  </fonts>
  <fills count="10">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rgb="FFFFC7CE"/>
      </patternFill>
    </fill>
    <fill>
      <patternFill patternType="solid">
        <fgColor theme="2"/>
        <bgColor indexed="64"/>
      </patternFill>
    </fill>
    <fill>
      <patternFill patternType="solid">
        <fgColor theme="8" tint="0.39994506668294322"/>
        <bgColor indexed="64"/>
      </patternFill>
    </fill>
    <fill>
      <patternFill patternType="solid">
        <fgColor theme="9" tint="0.39994506668294322"/>
        <bgColor indexed="64"/>
      </patternFill>
    </fill>
    <fill>
      <patternFill patternType="solid">
        <fgColor theme="0"/>
        <bgColor indexed="64"/>
      </patternFill>
    </fill>
    <fill>
      <patternFill patternType="solid">
        <fgColor indexed="9"/>
        <bgColor indexed="41"/>
      </patternFill>
    </fill>
  </fills>
  <borders count="28">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medium">
        <color indexed="64"/>
      </bottom>
      <diagonal/>
    </border>
    <border>
      <left/>
      <right style="thin">
        <color indexed="8"/>
      </right>
      <top style="thin">
        <color indexed="8"/>
      </top>
      <bottom/>
      <diagonal/>
    </border>
    <border>
      <left/>
      <right style="thin">
        <color indexed="8"/>
      </right>
      <top/>
      <bottom/>
      <diagonal/>
    </border>
    <border>
      <left/>
      <right style="hair">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hair">
        <color indexed="64"/>
      </right>
      <top style="thin">
        <color indexed="64"/>
      </top>
      <bottom/>
      <diagonal/>
    </border>
    <border>
      <left/>
      <right style="thin">
        <color indexed="8"/>
      </right>
      <top style="thin">
        <color indexed="64"/>
      </top>
      <bottom/>
      <diagonal/>
    </border>
    <border>
      <left/>
      <right style="thin">
        <color indexed="64"/>
      </right>
      <top style="thin">
        <color indexed="64"/>
      </top>
      <bottom/>
      <diagonal/>
    </border>
    <border>
      <left style="thin">
        <color indexed="64"/>
      </left>
      <right style="hair">
        <color indexed="64"/>
      </right>
      <top/>
      <bottom/>
      <diagonal/>
    </border>
    <border>
      <left/>
      <right style="thin">
        <color indexed="64"/>
      </right>
      <top/>
      <bottom/>
      <diagonal/>
    </border>
    <border>
      <left style="thin">
        <color indexed="64"/>
      </left>
      <right style="hair">
        <color indexed="64"/>
      </right>
      <top/>
      <bottom style="thin">
        <color indexed="64"/>
      </bottom>
      <diagonal/>
    </border>
    <border>
      <left/>
      <right style="thin">
        <color indexed="8"/>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hair">
        <color indexed="64"/>
      </left>
      <right style="hair">
        <color indexed="64"/>
      </right>
      <top/>
      <bottom/>
      <diagonal/>
    </border>
  </borders>
  <cellStyleXfs count="151">
    <xf numFmtId="0" fontId="0" fillId="0" borderId="0"/>
    <xf numFmtId="0" fontId="23" fillId="0" borderId="0">
      <alignment horizontal="left" vertical="top"/>
    </xf>
    <xf numFmtId="0" fontId="23" fillId="0" borderId="0">
      <alignment horizontal="left" vertical="top"/>
    </xf>
    <xf numFmtId="0" fontId="23" fillId="0" borderId="0">
      <alignment horizontal="left" vertical="top"/>
    </xf>
    <xf numFmtId="0" fontId="23" fillId="0" borderId="0">
      <alignment horizontal="left" vertical="top"/>
    </xf>
    <xf numFmtId="0" fontId="23" fillId="0" borderId="0">
      <alignment horizontal="left" vertical="top"/>
    </xf>
    <xf numFmtId="0" fontId="23" fillId="0" borderId="0">
      <alignment horizontal="left" vertical="top"/>
    </xf>
    <xf numFmtId="0" fontId="23" fillId="0" borderId="0">
      <alignment horizontal="left" vertical="top"/>
    </xf>
    <xf numFmtId="0" fontId="23" fillId="0" borderId="0">
      <alignment horizontal="left" vertical="top"/>
    </xf>
    <xf numFmtId="0" fontId="11" fillId="0" borderId="0"/>
    <xf numFmtId="0" fontId="11" fillId="0" borderId="0"/>
    <xf numFmtId="0" fontId="11" fillId="0" borderId="0"/>
    <xf numFmtId="0" fontId="11" fillId="0" borderId="0"/>
    <xf numFmtId="0" fontId="11" fillId="0" borderId="0"/>
    <xf numFmtId="0" fontId="26" fillId="0" borderId="0"/>
    <xf numFmtId="0" fontId="18" fillId="0" borderId="0"/>
    <xf numFmtId="0" fontId="23" fillId="0" borderId="0">
      <alignment horizontal="left" vertical="top"/>
    </xf>
    <xf numFmtId="0" fontId="23" fillId="0" borderId="0">
      <alignment horizontal="left" vertical="top"/>
    </xf>
    <xf numFmtId="0" fontId="23" fillId="0" borderId="0">
      <alignment horizontal="left" vertical="top"/>
    </xf>
    <xf numFmtId="0" fontId="23" fillId="0" borderId="0">
      <alignment horizontal="left" vertical="top"/>
    </xf>
    <xf numFmtId="0" fontId="23" fillId="0" borderId="0">
      <alignment horizontal="left" vertical="top"/>
    </xf>
    <xf numFmtId="0" fontId="17" fillId="0" borderId="0"/>
    <xf numFmtId="0" fontId="17" fillId="0" borderId="0"/>
    <xf numFmtId="0" fontId="17" fillId="0" borderId="0"/>
    <xf numFmtId="0" fontId="17"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3" fillId="0" borderId="0">
      <alignment horizontal="lef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5" fillId="0" borderId="0"/>
    <xf numFmtId="0" fontId="18" fillId="0" borderId="0"/>
    <xf numFmtId="0" fontId="23" fillId="0" borderId="0">
      <alignment horizontal="left" vertical="top"/>
    </xf>
    <xf numFmtId="0" fontId="18" fillId="0" borderId="0"/>
    <xf numFmtId="0" fontId="11" fillId="0" borderId="0"/>
    <xf numFmtId="0" fontId="23" fillId="0" borderId="0">
      <alignment horizontal="left" vertical="top"/>
    </xf>
    <xf numFmtId="0" fontId="23" fillId="0" borderId="0">
      <alignment horizontal="left" vertical="top"/>
    </xf>
    <xf numFmtId="0" fontId="23" fillId="0" borderId="0">
      <alignment horizontal="left" vertical="top"/>
    </xf>
    <xf numFmtId="0" fontId="23" fillId="0" borderId="0">
      <alignment horizontal="left" vertical="top"/>
    </xf>
    <xf numFmtId="0" fontId="11" fillId="0" borderId="0"/>
    <xf numFmtId="0" fontId="18" fillId="0" borderId="0"/>
    <xf numFmtId="0" fontId="18" fillId="0" borderId="0"/>
    <xf numFmtId="0" fontId="20" fillId="0" borderId="0"/>
    <xf numFmtId="0" fontId="23" fillId="0" borderId="0">
      <alignment horizontal="left" vertical="top"/>
    </xf>
    <xf numFmtId="0" fontId="18" fillId="0" borderId="0"/>
    <xf numFmtId="0" fontId="35" fillId="0" borderId="0">
      <alignment horizontal="left" vertical="top"/>
    </xf>
    <xf numFmtId="0" fontId="39" fillId="0" borderId="0">
      <alignment vertical="top"/>
    </xf>
    <xf numFmtId="169" fontId="11" fillId="0" borderId="0" applyFont="0" applyFill="0" applyBorder="0" applyAlignment="0" applyProtection="0"/>
    <xf numFmtId="0" fontId="11" fillId="0" borderId="0"/>
    <xf numFmtId="0" fontId="18" fillId="0" borderId="0"/>
    <xf numFmtId="0" fontId="20" fillId="0" borderId="0"/>
    <xf numFmtId="0" fontId="47" fillId="4" borderId="0" applyNumberFormat="0" applyBorder="0" applyAlignment="0" applyProtection="0"/>
    <xf numFmtId="0" fontId="18" fillId="0" borderId="0"/>
    <xf numFmtId="0" fontId="18" fillId="0" borderId="0"/>
    <xf numFmtId="0" fontId="18" fillId="0" borderId="0"/>
    <xf numFmtId="0" fontId="18" fillId="0" borderId="0"/>
    <xf numFmtId="44" fontId="18" fillId="0" borderId="0" applyFont="0" applyFill="0" applyBorder="0" applyAlignment="0" applyProtection="0"/>
    <xf numFmtId="0" fontId="48" fillId="0" borderId="0"/>
    <xf numFmtId="0" fontId="18" fillId="0" borderId="0"/>
    <xf numFmtId="170" fontId="18" fillId="0" borderId="0" applyFill="0" applyBorder="0" applyAlignment="0" applyProtection="0"/>
    <xf numFmtId="0" fontId="49" fillId="0" borderId="0"/>
    <xf numFmtId="0" fontId="18" fillId="0" borderId="0"/>
    <xf numFmtId="0" fontId="46" fillId="0" borderId="0"/>
    <xf numFmtId="0" fontId="18" fillId="0" borderId="0"/>
    <xf numFmtId="43" fontId="18" fillId="0" borderId="0" applyFont="0" applyFill="0" applyBorder="0" applyAlignment="0" applyProtection="0"/>
    <xf numFmtId="0" fontId="9" fillId="0" borderId="0"/>
    <xf numFmtId="0" fontId="18" fillId="0" borderId="0"/>
    <xf numFmtId="0" fontId="18" fillId="0" borderId="0"/>
    <xf numFmtId="0" fontId="18" fillId="0" borderId="0">
      <alignment vertical="center"/>
    </xf>
    <xf numFmtId="0" fontId="46" fillId="0" borderId="0"/>
    <xf numFmtId="0" fontId="18" fillId="0" borderId="0"/>
    <xf numFmtId="0" fontId="50" fillId="0" borderId="0">
      <alignment horizontal="justify" vertical="top" wrapText="1"/>
    </xf>
    <xf numFmtId="0" fontId="50" fillId="0" borderId="0">
      <alignment horizontal="right"/>
    </xf>
    <xf numFmtId="4" fontId="50" fillId="0" borderId="0">
      <alignment horizontal="right"/>
    </xf>
    <xf numFmtId="4" fontId="50" fillId="0" borderId="0">
      <alignment horizontal="right"/>
      <protection locked="0"/>
    </xf>
    <xf numFmtId="0" fontId="18" fillId="0" borderId="0"/>
    <xf numFmtId="172" fontId="52" fillId="5" borderId="0" applyNumberFormat="0" applyBorder="0" applyAlignment="0" applyProtection="0">
      <alignment horizontal="left" vertical="top"/>
    </xf>
    <xf numFmtId="0" fontId="46" fillId="0" borderId="0"/>
    <xf numFmtId="172" fontId="50" fillId="6" borderId="0" applyNumberFormat="0" applyFont="0" applyBorder="0" applyAlignment="0" applyProtection="0">
      <alignment horizontal="left" vertical="top"/>
    </xf>
    <xf numFmtId="0" fontId="51" fillId="7" borderId="0" applyNumberFormat="0" applyFont="0" applyBorder="0" applyAlignment="0"/>
    <xf numFmtId="172" fontId="50" fillId="0" borderId="0">
      <alignment horizontal="left" vertical="top"/>
    </xf>
    <xf numFmtId="0" fontId="11" fillId="0" borderId="0"/>
    <xf numFmtId="0" fontId="46" fillId="0" borderId="0"/>
    <xf numFmtId="164" fontId="11" fillId="0" borderId="0" applyFont="0" applyFill="0" applyBorder="0" applyAlignment="0" applyProtection="0"/>
    <xf numFmtId="0" fontId="8" fillId="0" borderId="0"/>
    <xf numFmtId="0" fontId="7" fillId="0" borderId="0"/>
    <xf numFmtId="0" fontId="6" fillId="0" borderId="0"/>
    <xf numFmtId="44" fontId="11" fillId="0" borderId="0" applyFont="0" applyFill="0" applyBorder="0" applyAlignment="0" applyProtection="0"/>
    <xf numFmtId="0" fontId="68" fillId="0" borderId="0" applyNumberFormat="0" applyBorder="0" applyProtection="0">
      <alignment horizontal="left" vertical="top" wrapText="1"/>
    </xf>
    <xf numFmtId="0" fontId="69" fillId="0" borderId="0" applyNumberFormat="0" applyBorder="0" applyProtection="0">
      <alignment horizontal="left" vertical="top" wrapText="1"/>
    </xf>
    <xf numFmtId="4" fontId="70" fillId="0" borderId="0"/>
    <xf numFmtId="165" fontId="70" fillId="0" borderId="0" applyFont="0" applyFill="0" applyBorder="0" applyAlignment="0" applyProtection="0"/>
    <xf numFmtId="0" fontId="70" fillId="0" borderId="0"/>
    <xf numFmtId="4" fontId="70" fillId="0" borderId="0"/>
    <xf numFmtId="169" fontId="11" fillId="0" borderId="0" applyFont="0" applyFill="0" applyBorder="0" applyAlignment="0" applyProtection="0"/>
    <xf numFmtId="0" fontId="35" fillId="0" borderId="0">
      <alignment horizontal="left" vertical="top"/>
    </xf>
    <xf numFmtId="0" fontId="72" fillId="0" borderId="0"/>
    <xf numFmtId="0" fontId="35" fillId="0" borderId="0">
      <alignment horizontal="left" vertical="top"/>
    </xf>
    <xf numFmtId="0" fontId="5" fillId="0" borderId="0"/>
    <xf numFmtId="0" fontId="32" fillId="0" borderId="0"/>
    <xf numFmtId="0" fontId="18" fillId="0" borderId="0"/>
    <xf numFmtId="0" fontId="18" fillId="0" borderId="0"/>
    <xf numFmtId="0" fontId="32" fillId="0" borderId="0"/>
    <xf numFmtId="0" fontId="4" fillId="0" borderId="0"/>
    <xf numFmtId="0" fontId="18" fillId="0" borderId="0"/>
    <xf numFmtId="0" fontId="46" fillId="0" borderId="0"/>
    <xf numFmtId="0" fontId="1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1" fillId="0" borderId="0" applyFont="0" applyFill="0" applyBorder="0" applyAlignment="0" applyProtection="0"/>
    <xf numFmtId="0" fontId="18" fillId="0" borderId="0"/>
    <xf numFmtId="0" fontId="3" fillId="0" borderId="0"/>
    <xf numFmtId="0" fontId="76" fillId="0" borderId="0"/>
    <xf numFmtId="0" fontId="44" fillId="0" borderId="0">
      <alignment horizontal="justify" vertical="center" wrapText="1"/>
      <protection locked="0"/>
    </xf>
    <xf numFmtId="0" fontId="18" fillId="0" borderId="0"/>
    <xf numFmtId="0" fontId="18" fillId="0" borderId="0"/>
    <xf numFmtId="0" fontId="18" fillId="0" borderId="0"/>
    <xf numFmtId="0" fontId="18" fillId="0" borderId="0"/>
    <xf numFmtId="0" fontId="18" fillId="0" borderId="0"/>
    <xf numFmtId="0" fontId="39" fillId="0" borderId="0"/>
    <xf numFmtId="0" fontId="31" fillId="0" borderId="0"/>
    <xf numFmtId="182" fontId="18" fillId="0" borderId="0" applyFill="0" applyBorder="0" applyAlignment="0" applyProtection="0"/>
    <xf numFmtId="0" fontId="18" fillId="0" borderId="0"/>
    <xf numFmtId="0" fontId="49" fillId="0" borderId="0"/>
    <xf numFmtId="0" fontId="2" fillId="0" borderId="0"/>
    <xf numFmtId="0" fontId="132" fillId="0" borderId="0"/>
    <xf numFmtId="0" fontId="133" fillId="0" borderId="0"/>
    <xf numFmtId="0" fontId="18" fillId="0" borderId="0"/>
  </cellStyleXfs>
  <cellXfs count="1199">
    <xf numFmtId="0" fontId="0" fillId="0" borderId="0" xfId="0"/>
    <xf numFmtId="0" fontId="12" fillId="0" borderId="0" xfId="0" applyFont="1" applyAlignment="1">
      <alignment horizontal="left" vertical="top"/>
    </xf>
    <xf numFmtId="0" fontId="13" fillId="0" borderId="0" xfId="0" applyFont="1" applyAlignment="1">
      <alignment horizontal="justify" vertical="top" wrapText="1"/>
    </xf>
    <xf numFmtId="0" fontId="14" fillId="0" borderId="0" xfId="0" applyFont="1"/>
    <xf numFmtId="0" fontId="12" fillId="2" borderId="0" xfId="0" applyFont="1" applyFill="1" applyAlignment="1">
      <alignment horizontal="left" vertical="top"/>
    </xf>
    <xf numFmtId="0" fontId="13" fillId="2" borderId="0" xfId="0" applyFont="1" applyFill="1" applyAlignment="1">
      <alignment horizontal="justify" vertical="top" wrapText="1"/>
    </xf>
    <xf numFmtId="49" fontId="0" fillId="0" borderId="0" xfId="0" applyNumberFormat="1"/>
    <xf numFmtId="0" fontId="15" fillId="3" borderId="0" xfId="0" applyFont="1" applyFill="1" applyAlignment="1">
      <alignment horizontal="justify" vertical="top" wrapText="1"/>
    </xf>
    <xf numFmtId="0" fontId="10" fillId="0" borderId="0" xfId="0" applyFont="1" applyAlignment="1">
      <alignment horizontal="right"/>
    </xf>
    <xf numFmtId="2" fontId="10" fillId="0" borderId="0" xfId="0" applyNumberFormat="1" applyFont="1" applyAlignment="1">
      <alignment horizontal="right" vertical="top"/>
    </xf>
    <xf numFmtId="0" fontId="10" fillId="0" borderId="0" xfId="0" applyFont="1"/>
    <xf numFmtId="0" fontId="10" fillId="0" borderId="0" xfId="0" applyFont="1" applyAlignment="1">
      <alignment horizontal="left" vertical="top"/>
    </xf>
    <xf numFmtId="0" fontId="16" fillId="0" borderId="0" xfId="0" applyFont="1" applyAlignment="1">
      <alignment horizontal="justify" vertical="top" wrapText="1"/>
    </xf>
    <xf numFmtId="0" fontId="18" fillId="0" borderId="0" xfId="0" applyFont="1"/>
    <xf numFmtId="166" fontId="18" fillId="0" borderId="0" xfId="0" applyNumberFormat="1" applyFont="1"/>
    <xf numFmtId="0" fontId="18" fillId="0" borderId="0" xfId="0" applyFont="1" applyAlignment="1">
      <alignment horizontal="right"/>
    </xf>
    <xf numFmtId="0" fontId="27" fillId="0" borderId="0" xfId="0" applyFont="1"/>
    <xf numFmtId="0" fontId="33" fillId="0" borderId="0" xfId="0" applyFont="1"/>
    <xf numFmtId="168" fontId="19" fillId="0" borderId="0" xfId="0" applyNumberFormat="1" applyFont="1"/>
    <xf numFmtId="0" fontId="18" fillId="0" borderId="0" xfId="0" applyFont="1" applyAlignment="1">
      <alignment wrapText="1"/>
    </xf>
    <xf numFmtId="0" fontId="18" fillId="0" borderId="2" xfId="0" applyFont="1" applyBorder="1"/>
    <xf numFmtId="0" fontId="18" fillId="0" borderId="0" xfId="0" applyFont="1" applyAlignment="1">
      <alignment horizontal="left" vertical="top" wrapText="1"/>
    </xf>
    <xf numFmtId="166" fontId="18" fillId="0" borderId="2" xfId="0" applyNumberFormat="1" applyFont="1" applyBorder="1"/>
    <xf numFmtId="2" fontId="18" fillId="0" borderId="0" xfId="0" applyNumberFormat="1" applyFont="1"/>
    <xf numFmtId="0" fontId="18" fillId="0" borderId="2" xfId="0" applyFont="1" applyBorder="1" applyAlignment="1">
      <alignment horizontal="right"/>
    </xf>
    <xf numFmtId="49" fontId="18" fillId="0" borderId="0" xfId="0" applyNumberFormat="1" applyFont="1" applyAlignment="1">
      <alignment horizontal="left" vertical="top"/>
    </xf>
    <xf numFmtId="171" fontId="17" fillId="0" borderId="0" xfId="0" applyNumberFormat="1" applyFont="1"/>
    <xf numFmtId="173" fontId="18" fillId="0" borderId="0" xfId="101" applyNumberFormat="1" applyFont="1" applyFill="1"/>
    <xf numFmtId="173" fontId="18" fillId="0" borderId="5" xfId="101" applyNumberFormat="1" applyFont="1" applyFill="1" applyBorder="1" applyAlignment="1"/>
    <xf numFmtId="173" fontId="32" fillId="0" borderId="0" xfId="101" applyNumberFormat="1" applyFont="1" applyFill="1" applyBorder="1" applyAlignment="1">
      <alignment horizontal="right" vertical="top" wrapText="1"/>
    </xf>
    <xf numFmtId="173" fontId="19" fillId="0" borderId="0" xfId="101" applyNumberFormat="1" applyFont="1" applyFill="1" applyBorder="1" applyAlignment="1"/>
    <xf numFmtId="0" fontId="33" fillId="0" borderId="0" xfId="49" applyFont="1" applyAlignment="1">
      <alignment horizontal="justify" vertical="justify"/>
    </xf>
    <xf numFmtId="0" fontId="18" fillId="0" borderId="0" xfId="49" applyAlignment="1">
      <alignment horizontal="left" vertical="justify"/>
    </xf>
    <xf numFmtId="0" fontId="18" fillId="0" borderId="0" xfId="49" applyAlignment="1">
      <alignment horizontal="justify" vertical="justify"/>
    </xf>
    <xf numFmtId="0" fontId="18" fillId="0" borderId="0" xfId="49" applyAlignment="1">
      <alignment horizontal="justify" vertical="justify" wrapText="1"/>
    </xf>
    <xf numFmtId="0" fontId="18" fillId="0" borderId="0" xfId="0" applyFont="1" applyAlignment="1">
      <alignment horizontal="center"/>
    </xf>
    <xf numFmtId="0" fontId="19" fillId="0" borderId="0" xfId="0" applyFont="1" applyAlignment="1">
      <alignment horizontal="left" vertical="top"/>
    </xf>
    <xf numFmtId="4" fontId="18" fillId="0" borderId="0" xfId="25" applyNumberFormat="1" applyFont="1" applyFill="1" applyBorder="1" applyAlignment="1">
      <alignment horizontal="right" vertical="top" wrapText="1"/>
    </xf>
    <xf numFmtId="0" fontId="18" fillId="0" borderId="0" xfId="0" applyFont="1" applyAlignment="1">
      <alignment horizontal="left" vertical="top"/>
    </xf>
    <xf numFmtId="0" fontId="18" fillId="0" borderId="0" xfId="0" applyFont="1" applyAlignment="1">
      <alignment horizontal="center" vertical="top"/>
    </xf>
    <xf numFmtId="4" fontId="18" fillId="0" borderId="0" xfId="0" applyNumberFormat="1" applyFont="1" applyAlignment="1">
      <alignment horizontal="right" wrapText="1"/>
    </xf>
    <xf numFmtId="49" fontId="33" fillId="0" borderId="0" xfId="0" applyNumberFormat="1" applyFont="1" applyAlignment="1">
      <alignment horizontal="left" vertical="top"/>
    </xf>
    <xf numFmtId="0" fontId="36" fillId="0" borderId="0" xfId="0" applyFont="1" applyAlignment="1">
      <alignment horizontal="justify" vertical="top" wrapText="1"/>
    </xf>
    <xf numFmtId="0" fontId="18" fillId="0" borderId="0" xfId="0" applyFont="1" applyAlignment="1">
      <alignment horizontal="right" vertical="top"/>
    </xf>
    <xf numFmtId="4" fontId="18" fillId="0" borderId="0" xfId="0" applyNumberFormat="1" applyFont="1" applyAlignment="1">
      <alignment horizontal="right" vertical="top" wrapText="1"/>
    </xf>
    <xf numFmtId="168" fontId="18" fillId="0" borderId="0" xfId="0" applyNumberFormat="1" applyFont="1" applyAlignment="1">
      <alignment horizontal="right" vertical="top" wrapText="1"/>
    </xf>
    <xf numFmtId="0" fontId="18" fillId="0" borderId="0" xfId="9" applyFont="1"/>
    <xf numFmtId="49" fontId="19" fillId="0" borderId="0" xfId="0" applyNumberFormat="1" applyFont="1" applyAlignment="1">
      <alignment horizontal="left" vertical="top"/>
    </xf>
    <xf numFmtId="49" fontId="38" fillId="0" borderId="0" xfId="0" applyNumberFormat="1" applyFont="1" applyAlignment="1">
      <alignment horizontal="left" vertical="top"/>
    </xf>
    <xf numFmtId="0" fontId="36" fillId="0" borderId="0" xfId="0" applyFont="1"/>
    <xf numFmtId="0" fontId="18" fillId="0" borderId="0" xfId="15" applyAlignment="1">
      <alignment horizontal="right" wrapText="1"/>
    </xf>
    <xf numFmtId="4" fontId="18" fillId="0" borderId="0" xfId="49" applyNumberFormat="1"/>
    <xf numFmtId="171" fontId="18" fillId="0" borderId="0" xfId="0" applyNumberFormat="1" applyFont="1" applyAlignment="1">
      <alignment horizontal="right" wrapText="1"/>
    </xf>
    <xf numFmtId="0" fontId="32" fillId="0" borderId="0" xfId="0" applyFont="1"/>
    <xf numFmtId="0" fontId="41" fillId="0" borderId="0" xfId="0" applyFont="1"/>
    <xf numFmtId="0" fontId="36" fillId="0" borderId="0" xfId="10" applyFont="1" applyAlignment="1">
      <alignment horizontal="justify" vertical="top" wrapText="1"/>
    </xf>
    <xf numFmtId="0" fontId="17" fillId="0" borderId="0" xfId="9" applyFont="1" applyAlignment="1">
      <alignment horizontal="justify" vertical="top" wrapText="1"/>
    </xf>
    <xf numFmtId="0" fontId="17" fillId="0" borderId="0" xfId="0" applyFont="1" applyAlignment="1">
      <alignment horizontal="right"/>
    </xf>
    <xf numFmtId="171" fontId="18" fillId="0" borderId="0" xfId="0" applyNumberFormat="1" applyFont="1"/>
    <xf numFmtId="2" fontId="19" fillId="0" borderId="0" xfId="0" applyNumberFormat="1" applyFont="1" applyAlignment="1">
      <alignment horizontal="right" vertical="top"/>
    </xf>
    <xf numFmtId="0" fontId="19" fillId="0" borderId="0" xfId="0" applyFont="1" applyAlignment="1">
      <alignment horizontal="justify" vertical="top" wrapText="1"/>
    </xf>
    <xf numFmtId="0" fontId="18" fillId="0" borderId="0" xfId="0" applyFont="1" applyAlignment="1">
      <alignment horizontal="justify" vertical="top" wrapText="1"/>
    </xf>
    <xf numFmtId="4" fontId="18" fillId="0" borderId="0" xfId="0" applyNumberFormat="1" applyFont="1"/>
    <xf numFmtId="168" fontId="18" fillId="0" borderId="0" xfId="0" applyNumberFormat="1" applyFont="1"/>
    <xf numFmtId="166" fontId="18" fillId="0" borderId="0" xfId="0" applyNumberFormat="1" applyFont="1" applyAlignment="1">
      <alignment horizontal="right"/>
    </xf>
    <xf numFmtId="4" fontId="18" fillId="0" borderId="0" xfId="0" applyNumberFormat="1" applyFont="1" applyAlignment="1">
      <alignment wrapText="1"/>
    </xf>
    <xf numFmtId="166" fontId="32" fillId="0" borderId="0" xfId="0" applyNumberFormat="1" applyFont="1"/>
    <xf numFmtId="2" fontId="18" fillId="0" borderId="2" xfId="0" applyNumberFormat="1" applyFont="1" applyBorder="1"/>
    <xf numFmtId="171" fontId="19" fillId="0" borderId="2" xfId="0" applyNumberFormat="1" applyFont="1" applyBorder="1" applyAlignment="1">
      <alignment horizontal="right"/>
    </xf>
    <xf numFmtId="0" fontId="19" fillId="0" borderId="2" xfId="0" applyFont="1" applyBorder="1" applyAlignment="1">
      <alignment horizontal="center" vertical="top"/>
    </xf>
    <xf numFmtId="0" fontId="19" fillId="0" borderId="2" xfId="0" applyFont="1" applyBorder="1" applyAlignment="1">
      <alignment horizontal="left" vertical="top"/>
    </xf>
    <xf numFmtId="0" fontId="19" fillId="0" borderId="0" xfId="0" applyFont="1" applyAlignment="1">
      <alignment horizontal="center" vertical="top"/>
    </xf>
    <xf numFmtId="171" fontId="19" fillId="0" borderId="0" xfId="0" applyNumberFormat="1" applyFont="1" applyAlignment="1">
      <alignment horizontal="right"/>
    </xf>
    <xf numFmtId="171" fontId="38" fillId="0" borderId="0" xfId="0" applyNumberFormat="1" applyFont="1" applyAlignment="1">
      <alignment horizontal="right"/>
    </xf>
    <xf numFmtId="171" fontId="18" fillId="0" borderId="0" xfId="0" applyNumberFormat="1" applyFont="1" applyAlignment="1">
      <alignment horizontal="right"/>
    </xf>
    <xf numFmtId="171" fontId="12" fillId="0" borderId="0" xfId="0" quotePrefix="1" applyNumberFormat="1" applyFont="1" applyAlignment="1">
      <alignment horizontal="right"/>
    </xf>
    <xf numFmtId="171" fontId="75" fillId="0" borderId="0" xfId="0" applyNumberFormat="1" applyFont="1" applyAlignment="1">
      <alignment horizontal="right"/>
    </xf>
    <xf numFmtId="177" fontId="18" fillId="0" borderId="0" xfId="0" applyNumberFormat="1" applyFont="1" applyAlignment="1">
      <alignment horizontal="right"/>
    </xf>
    <xf numFmtId="49" fontId="34" fillId="0" borderId="0" xfId="64" applyNumberFormat="1" applyFont="1" applyAlignment="1">
      <alignment horizontal="left" vertical="top" wrapText="1"/>
    </xf>
    <xf numFmtId="2" fontId="43" fillId="0" borderId="0" xfId="0" applyNumberFormat="1" applyFont="1"/>
    <xf numFmtId="0" fontId="32" fillId="0" borderId="0" xfId="0" applyFont="1" applyAlignment="1">
      <alignment horizontal="justify" vertical="top" wrapText="1"/>
    </xf>
    <xf numFmtId="4" fontId="43" fillId="0" borderId="0" xfId="0" applyNumberFormat="1" applyFont="1" applyAlignment="1">
      <alignment horizontal="right"/>
    </xf>
    <xf numFmtId="49" fontId="12" fillId="0" borderId="0" xfId="0" applyNumberFormat="1" applyFont="1" applyAlignment="1">
      <alignment horizontal="left" vertical="top"/>
    </xf>
    <xf numFmtId="0" fontId="17" fillId="0" borderId="0" xfId="0" applyFont="1" applyAlignment="1">
      <alignment vertical="top"/>
    </xf>
    <xf numFmtId="49" fontId="18" fillId="0" borderId="0" xfId="0" applyNumberFormat="1" applyFont="1" applyAlignment="1">
      <alignment horizontal="right" vertical="top"/>
    </xf>
    <xf numFmtId="0" fontId="44" fillId="0" borderId="0" xfId="68" applyFont="1" applyAlignment="1">
      <alignment horizontal="right"/>
    </xf>
    <xf numFmtId="4" fontId="45" fillId="0" borderId="0" xfId="0" applyNumberFormat="1" applyFont="1" applyAlignment="1">
      <alignment horizontal="right"/>
    </xf>
    <xf numFmtId="168" fontId="44" fillId="0" borderId="0" xfId="0" applyNumberFormat="1" applyFont="1"/>
    <xf numFmtId="0" fontId="74" fillId="0" borderId="0" xfId="0" applyFont="1" applyAlignment="1">
      <alignment horizontal="left" vertical="top" wrapText="1"/>
    </xf>
    <xf numFmtId="0" fontId="43" fillId="0" borderId="0" xfId="0" applyFont="1" applyAlignment="1">
      <alignment horizontal="center" wrapText="1"/>
    </xf>
    <xf numFmtId="3" fontId="43" fillId="0" borderId="0" xfId="0" applyNumberFormat="1" applyFont="1" applyAlignment="1">
      <alignment horizontal="right" wrapText="1"/>
    </xf>
    <xf numFmtId="175" fontId="43" fillId="0" borderId="0" xfId="0" applyNumberFormat="1" applyFont="1" applyAlignment="1">
      <alignment horizontal="right" wrapText="1"/>
    </xf>
    <xf numFmtId="4" fontId="18" fillId="0" borderId="0" xfId="0" applyNumberFormat="1" applyFont="1" applyAlignment="1">
      <alignment horizontal="right"/>
    </xf>
    <xf numFmtId="171" fontId="18" fillId="0" borderId="0" xfId="9" applyNumberFormat="1" applyFont="1"/>
    <xf numFmtId="49" fontId="18" fillId="0" borderId="0" xfId="0" applyNumberFormat="1" applyFont="1" applyAlignment="1">
      <alignment horizontal="center" vertical="top"/>
    </xf>
    <xf numFmtId="49" fontId="19" fillId="0" borderId="0" xfId="0" applyNumberFormat="1" applyFont="1" applyAlignment="1">
      <alignment horizontal="right" vertical="top"/>
    </xf>
    <xf numFmtId="49" fontId="19" fillId="0" borderId="0" xfId="0" applyNumberFormat="1" applyFont="1" applyAlignment="1">
      <alignment horizontal="center" vertical="top"/>
    </xf>
    <xf numFmtId="0" fontId="17" fillId="0" borderId="0" xfId="10" applyFont="1" applyAlignment="1">
      <alignment horizontal="justify" vertical="top" wrapText="1"/>
    </xf>
    <xf numFmtId="166" fontId="17" fillId="0" borderId="0" xfId="0" applyNumberFormat="1" applyFont="1"/>
    <xf numFmtId="173" fontId="17" fillId="0" borderId="0" xfId="0" applyNumberFormat="1" applyFont="1"/>
    <xf numFmtId="0" fontId="17" fillId="0" borderId="0" xfId="0" applyFont="1"/>
    <xf numFmtId="0" fontId="29" fillId="0" borderId="0" xfId="0" applyFont="1"/>
    <xf numFmtId="0" fontId="58" fillId="0" borderId="0" xfId="0" applyFont="1"/>
    <xf numFmtId="171" fontId="17" fillId="0" borderId="0" xfId="0" applyNumberFormat="1" applyFont="1" applyAlignment="1">
      <alignment horizontal="right"/>
    </xf>
    <xf numFmtId="166" fontId="29" fillId="0" borderId="0" xfId="0" applyNumberFormat="1" applyFont="1"/>
    <xf numFmtId="166" fontId="58" fillId="0" borderId="0" xfId="0" applyNumberFormat="1" applyFont="1"/>
    <xf numFmtId="0" fontId="34" fillId="0" borderId="0" xfId="0" applyFont="1"/>
    <xf numFmtId="49" fontId="55" fillId="0" borderId="0" xfId="0" applyNumberFormat="1" applyFont="1" applyAlignment="1">
      <alignment horizontal="left" vertical="top"/>
    </xf>
    <xf numFmtId="0" fontId="56" fillId="0" borderId="0" xfId="0" applyFont="1" applyAlignment="1">
      <alignment vertical="top"/>
    </xf>
    <xf numFmtId="0" fontId="56" fillId="0" borderId="0" xfId="10" applyFont="1" applyAlignment="1">
      <alignment horizontal="justify" vertical="top" wrapText="1"/>
    </xf>
    <xf numFmtId="0" fontId="43" fillId="0" borderId="0" xfId="0" applyFont="1" applyAlignment="1">
      <alignment horizontal="right"/>
    </xf>
    <xf numFmtId="173" fontId="56" fillId="0" borderId="0" xfId="0" applyNumberFormat="1" applyFont="1"/>
    <xf numFmtId="0" fontId="56" fillId="0" borderId="0" xfId="0" applyFont="1"/>
    <xf numFmtId="2" fontId="63" fillId="0" borderId="0" xfId="0" applyNumberFormat="1" applyFont="1" applyAlignment="1">
      <alignment vertical="top"/>
    </xf>
    <xf numFmtId="4" fontId="27" fillId="0" borderId="0" xfId="0" applyNumberFormat="1" applyFont="1" applyAlignment="1">
      <alignment horizontal="right"/>
    </xf>
    <xf numFmtId="0" fontId="63" fillId="0" borderId="0" xfId="0" applyFont="1" applyAlignment="1">
      <alignment vertical="top"/>
    </xf>
    <xf numFmtId="49" fontId="63" fillId="0" borderId="0" xfId="0" applyNumberFormat="1" applyFont="1" applyAlignment="1">
      <alignment vertical="top"/>
    </xf>
    <xf numFmtId="0" fontId="38" fillId="0" borderId="0" xfId="0" applyFont="1" applyAlignment="1">
      <alignment horizontal="justify" vertical="top" wrapText="1"/>
    </xf>
    <xf numFmtId="0" fontId="17" fillId="0" borderId="0" xfId="0" applyFont="1" applyAlignment="1">
      <alignment horizontal="justify" vertical="top" wrapText="1"/>
    </xf>
    <xf numFmtId="49" fontId="71" fillId="0" borderId="0" xfId="0" applyNumberFormat="1" applyFont="1" applyAlignment="1">
      <alignment horizontal="right" shrinkToFit="1"/>
    </xf>
    <xf numFmtId="4" fontId="27" fillId="0" borderId="0" xfId="0" applyNumberFormat="1" applyFont="1" applyAlignment="1">
      <alignment wrapText="1"/>
    </xf>
    <xf numFmtId="0" fontId="18" fillId="0" borderId="0" xfId="0" applyFont="1" applyAlignment="1">
      <alignment horizontal="right" wrapText="1"/>
    </xf>
    <xf numFmtId="0" fontId="77" fillId="0" borderId="0" xfId="59" applyFont="1"/>
    <xf numFmtId="49" fontId="19" fillId="0" borderId="0" xfId="49" applyNumberFormat="1" applyFont="1" applyAlignment="1">
      <alignment horizontal="left" vertical="top" wrapText="1"/>
    </xf>
    <xf numFmtId="0" fontId="18" fillId="0" borderId="0" xfId="49" applyAlignment="1">
      <alignment horizontal="justify" vertical="top" wrapText="1"/>
    </xf>
    <xf numFmtId="0" fontId="18" fillId="0" borderId="0" xfId="49" applyAlignment="1">
      <alignment horizontal="right" vertical="top" wrapText="1"/>
    </xf>
    <xf numFmtId="4" fontId="18" fillId="0" borderId="0" xfId="49" applyNumberFormat="1" applyAlignment="1">
      <alignment horizontal="right" vertical="top" wrapText="1"/>
    </xf>
    <xf numFmtId="0" fontId="18" fillId="0" borderId="0" xfId="49"/>
    <xf numFmtId="0" fontId="18" fillId="0" borderId="0" xfId="0" applyFont="1" applyAlignment="1">
      <alignment vertical="top"/>
    </xf>
    <xf numFmtId="0" fontId="18" fillId="0" borderId="0" xfId="57" applyFont="1" applyAlignment="1">
      <alignment horizontal="left"/>
    </xf>
    <xf numFmtId="166" fontId="17" fillId="0" borderId="0" xfId="0" applyNumberFormat="1" applyFont="1" applyAlignment="1">
      <alignment horizontal="right"/>
    </xf>
    <xf numFmtId="49" fontId="27" fillId="0" borderId="0" xfId="0" applyNumberFormat="1" applyFont="1" applyAlignment="1">
      <alignment horizontal="left" vertical="top"/>
    </xf>
    <xf numFmtId="0" fontId="27" fillId="0" borderId="0" xfId="0" applyFont="1" applyAlignment="1">
      <alignment vertical="top"/>
    </xf>
    <xf numFmtId="4" fontId="18" fillId="0" borderId="0" xfId="4" applyNumberFormat="1" applyFont="1" applyAlignment="1">
      <alignment horizontal="left" wrapText="1"/>
    </xf>
    <xf numFmtId="166" fontId="29" fillId="0" borderId="0" xfId="0" applyNumberFormat="1" applyFont="1" applyAlignment="1">
      <alignment horizontal="right"/>
    </xf>
    <xf numFmtId="0" fontId="36" fillId="0" borderId="0" xfId="9" applyFont="1" applyAlignment="1">
      <alignment horizontal="justify" vertical="top" wrapText="1"/>
    </xf>
    <xf numFmtId="0" fontId="32" fillId="0" borderId="0" xfId="0" applyFont="1" applyAlignment="1">
      <alignment horizontal="left" vertical="top" wrapText="1"/>
    </xf>
    <xf numFmtId="49" fontId="19" fillId="0" borderId="5" xfId="0" applyNumberFormat="1" applyFont="1" applyBorder="1" applyAlignment="1">
      <alignment horizontal="left" vertical="top"/>
    </xf>
    <xf numFmtId="0" fontId="18" fillId="0" borderId="5" xfId="0" applyFont="1" applyBorder="1" applyAlignment="1">
      <alignment horizontal="left" vertical="top"/>
    </xf>
    <xf numFmtId="0" fontId="18" fillId="0" borderId="5" xfId="0" applyFont="1" applyBorder="1"/>
    <xf numFmtId="0" fontId="19" fillId="0" borderId="5" xfId="0" applyFont="1" applyBorder="1" applyAlignment="1">
      <alignment horizontal="left" vertical="top"/>
    </xf>
    <xf numFmtId="168" fontId="19" fillId="0" borderId="5" xfId="0" applyNumberFormat="1" applyFont="1" applyBorder="1"/>
    <xf numFmtId="168" fontId="19" fillId="0" borderId="2" xfId="0" applyNumberFormat="1" applyFont="1" applyBorder="1"/>
    <xf numFmtId="0" fontId="43" fillId="0" borderId="0" xfId="134" applyFont="1" applyAlignment="1">
      <alignment horizontal="left" vertical="top" wrapText="1"/>
    </xf>
    <xf numFmtId="0" fontId="19" fillId="0" borderId="0" xfId="0" applyFont="1" applyAlignment="1">
      <alignment horizontal="center"/>
    </xf>
    <xf numFmtId="0" fontId="33" fillId="0" borderId="0" xfId="0" applyFont="1" applyAlignment="1">
      <alignment horizontal="right"/>
    </xf>
    <xf numFmtId="49" fontId="18" fillId="0" borderId="0" xfId="0" applyNumberFormat="1" applyFont="1"/>
    <xf numFmtId="0" fontId="19" fillId="0" borderId="0" xfId="0" applyFont="1"/>
    <xf numFmtId="0" fontId="19" fillId="0" borderId="5" xfId="0" applyFont="1" applyBorder="1" applyAlignment="1">
      <alignment horizontal="justify" vertical="top" wrapText="1"/>
    </xf>
    <xf numFmtId="0" fontId="18" fillId="0" borderId="5" xfId="0" applyFont="1" applyBorder="1" applyAlignment="1">
      <alignment horizontal="right"/>
    </xf>
    <xf numFmtId="168" fontId="18" fillId="0" borderId="5" xfId="0" applyNumberFormat="1" applyFont="1" applyBorder="1"/>
    <xf numFmtId="0" fontId="18" fillId="0" borderId="0" xfId="0" applyFont="1" applyAlignment="1">
      <alignment horizontal="justify" vertical="top"/>
    </xf>
    <xf numFmtId="49" fontId="19" fillId="0" borderId="2" xfId="0" applyNumberFormat="1" applyFont="1" applyBorder="1" applyAlignment="1">
      <alignment horizontal="left" vertical="top"/>
    </xf>
    <xf numFmtId="0" fontId="18" fillId="0" borderId="2" xfId="0" applyFont="1" applyBorder="1" applyAlignment="1">
      <alignment horizontal="right" vertical="top"/>
    </xf>
    <xf numFmtId="0" fontId="19" fillId="0" borderId="1" xfId="0" applyFont="1" applyBorder="1" applyAlignment="1">
      <alignment horizontal="justify" vertical="top"/>
    </xf>
    <xf numFmtId="0" fontId="18" fillId="0" borderId="0" xfId="15" applyAlignment="1">
      <alignment horizontal="right"/>
    </xf>
    <xf numFmtId="168" fontId="18" fillId="0" borderId="2" xfId="0" applyNumberFormat="1" applyFont="1" applyBorder="1"/>
    <xf numFmtId="0" fontId="32" fillId="0" borderId="0" xfId="0" applyFont="1" applyAlignment="1">
      <alignment horizontal="justify" vertical="top"/>
    </xf>
    <xf numFmtId="49" fontId="19" fillId="0" borderId="1" xfId="0" applyNumberFormat="1" applyFont="1" applyBorder="1" applyAlignment="1">
      <alignment horizontal="left" vertical="top"/>
    </xf>
    <xf numFmtId="166" fontId="18" fillId="0" borderId="5" xfId="0" applyNumberFormat="1" applyFont="1" applyBorder="1" applyAlignment="1">
      <alignment horizontal="right"/>
    </xf>
    <xf numFmtId="173" fontId="18" fillId="0" borderId="5" xfId="0" applyNumberFormat="1" applyFont="1" applyBorder="1"/>
    <xf numFmtId="173" fontId="18" fillId="0" borderId="0" xfId="0" applyNumberFormat="1" applyFont="1"/>
    <xf numFmtId="171" fontId="17" fillId="0" borderId="2" xfId="0" applyNumberFormat="1" applyFont="1" applyBorder="1"/>
    <xf numFmtId="0" fontId="19" fillId="0" borderId="1" xfId="0" applyFont="1" applyBorder="1" applyAlignment="1">
      <alignment horizontal="right"/>
    </xf>
    <xf numFmtId="168" fontId="17" fillId="0" borderId="0" xfId="0" applyNumberFormat="1" applyFont="1"/>
    <xf numFmtId="168" fontId="36" fillId="0" borderId="0" xfId="0" applyNumberFormat="1" applyFont="1"/>
    <xf numFmtId="0" fontId="32" fillId="0" borderId="0" xfId="66" applyFont="1" applyAlignment="1">
      <alignment horizontal="justify" vertical="top" wrapText="1"/>
    </xf>
    <xf numFmtId="0" fontId="32" fillId="0" borderId="0" xfId="59" applyFont="1"/>
    <xf numFmtId="0" fontId="32" fillId="0" borderId="0" xfId="0" applyFont="1" applyAlignment="1">
      <alignment vertical="top"/>
    </xf>
    <xf numFmtId="166" fontId="18" fillId="0" borderId="0" xfId="9" applyNumberFormat="1" applyFont="1"/>
    <xf numFmtId="4" fontId="32" fillId="0" borderId="2" xfId="0" applyNumberFormat="1" applyFont="1" applyBorder="1" applyAlignment="1">
      <alignment wrapText="1"/>
    </xf>
    <xf numFmtId="0" fontId="33" fillId="0" borderId="0" xfId="0" applyFont="1" applyAlignment="1">
      <alignment horizontal="justify" vertical="top" wrapText="1"/>
    </xf>
    <xf numFmtId="166" fontId="12" fillId="0" borderId="0" xfId="0" applyNumberFormat="1" applyFont="1"/>
    <xf numFmtId="0" fontId="28" fillId="0" borderId="0" xfId="0" applyFont="1"/>
    <xf numFmtId="0" fontId="32" fillId="0" borderId="0" xfId="61" applyFont="1" applyAlignment="1">
      <alignment horizontal="justify" vertical="top" wrapText="1"/>
    </xf>
    <xf numFmtId="168" fontId="32" fillId="0" borderId="0" xfId="0" applyNumberFormat="1" applyFont="1"/>
    <xf numFmtId="166" fontId="17" fillId="0" borderId="0" xfId="0" applyNumberFormat="1" applyFont="1" applyAlignment="1">
      <alignment vertical="top"/>
    </xf>
    <xf numFmtId="49" fontId="28" fillId="0" borderId="0" xfId="0" applyNumberFormat="1" applyFont="1" applyAlignment="1">
      <alignment horizontal="left" vertical="top"/>
    </xf>
    <xf numFmtId="0" fontId="27" fillId="0" borderId="0" xfId="0" applyFont="1" applyAlignment="1">
      <alignment horizontal="right" vertical="top"/>
    </xf>
    <xf numFmtId="168" fontId="27" fillId="0" borderId="0" xfId="0" applyNumberFormat="1" applyFont="1"/>
    <xf numFmtId="166" fontId="27" fillId="0" borderId="0" xfId="0" applyNumberFormat="1" applyFont="1"/>
    <xf numFmtId="0" fontId="27" fillId="0" borderId="0" xfId="0" applyFont="1" applyAlignment="1">
      <alignment horizontal="center" vertical="top"/>
    </xf>
    <xf numFmtId="0" fontId="27" fillId="0" borderId="0" xfId="0" applyFont="1" applyAlignment="1">
      <alignment horizontal="left" vertical="top"/>
    </xf>
    <xf numFmtId="0" fontId="27" fillId="0" borderId="0" xfId="0" applyFont="1" applyAlignment="1">
      <alignment horizontal="right"/>
    </xf>
    <xf numFmtId="0" fontId="36" fillId="0" borderId="0" xfId="0" applyFont="1" applyAlignment="1">
      <alignment vertical="top" wrapText="1"/>
    </xf>
    <xf numFmtId="0" fontId="27" fillId="0" borderId="0" xfId="0" applyFont="1" applyAlignment="1">
      <alignment horizontal="justify" vertical="top" wrapText="1"/>
    </xf>
    <xf numFmtId="49" fontId="30" fillId="0" borderId="0" xfId="0" applyNumberFormat="1" applyFont="1" applyAlignment="1">
      <alignment horizontal="left" vertical="top"/>
    </xf>
    <xf numFmtId="166" fontId="27" fillId="0" borderId="0" xfId="0" applyNumberFormat="1" applyFont="1" applyAlignment="1">
      <alignment vertical="top"/>
    </xf>
    <xf numFmtId="166" fontId="18" fillId="0" borderId="0" xfId="0" applyNumberFormat="1" applyFont="1" applyAlignment="1">
      <alignment vertical="top"/>
    </xf>
    <xf numFmtId="168" fontId="18" fillId="0" borderId="0" xfId="0" applyNumberFormat="1" applyFont="1" applyAlignment="1">
      <alignment vertical="top"/>
    </xf>
    <xf numFmtId="0" fontId="32" fillId="0" borderId="0" xfId="0" applyFont="1" applyAlignment="1">
      <alignment wrapText="1"/>
    </xf>
    <xf numFmtId="0" fontId="32" fillId="0" borderId="0" xfId="0" applyFont="1" applyAlignment="1">
      <alignment horizontal="right" vertical="top" wrapText="1"/>
    </xf>
    <xf numFmtId="49" fontId="33" fillId="0" borderId="1" xfId="0" applyNumberFormat="1" applyFont="1" applyBorder="1" applyAlignment="1">
      <alignment horizontal="left" vertical="top"/>
    </xf>
    <xf numFmtId="4" fontId="18" fillId="0" borderId="0" xfId="0" applyNumberFormat="1" applyFont="1" applyAlignment="1">
      <alignment vertical="top"/>
    </xf>
    <xf numFmtId="0" fontId="32" fillId="0" borderId="0" xfId="66" applyFont="1" applyAlignment="1">
      <alignment horizontal="right" vertical="top"/>
    </xf>
    <xf numFmtId="0" fontId="41" fillId="0" borderId="0" xfId="0" applyFont="1" applyAlignment="1">
      <alignment horizontal="justify" vertical="top" wrapText="1"/>
    </xf>
    <xf numFmtId="4" fontId="41" fillId="0" borderId="0" xfId="0" applyNumberFormat="1" applyFont="1"/>
    <xf numFmtId="49" fontId="28" fillId="0" borderId="0" xfId="0" applyNumberFormat="1" applyFont="1" applyAlignment="1">
      <alignment horizontal="left"/>
    </xf>
    <xf numFmtId="49" fontId="27" fillId="0" borderId="0" xfId="0" applyNumberFormat="1" applyFont="1" applyAlignment="1">
      <alignment horizontal="left"/>
    </xf>
    <xf numFmtId="0" fontId="27" fillId="0" borderId="0" xfId="0" applyFont="1" applyAlignment="1">
      <alignment horizontal="justify" vertical="top"/>
    </xf>
    <xf numFmtId="0" fontId="54" fillId="0" borderId="0" xfId="0" applyFont="1"/>
    <xf numFmtId="0" fontId="36" fillId="0" borderId="0" xfId="0" applyFont="1" applyAlignment="1">
      <alignment horizontal="right"/>
    </xf>
    <xf numFmtId="0" fontId="18" fillId="0" borderId="0" xfId="0" applyFont="1" applyAlignment="1">
      <alignment horizontal="justify" vertical="center" wrapText="1"/>
    </xf>
    <xf numFmtId="49" fontId="32" fillId="0" borderId="0" xfId="0" applyNumberFormat="1" applyFont="1" applyAlignment="1">
      <alignment horizontal="left"/>
    </xf>
    <xf numFmtId="0" fontId="18" fillId="0" borderId="0" xfId="57" applyFont="1" applyAlignment="1">
      <alignment horizontal="right"/>
    </xf>
    <xf numFmtId="0" fontId="27" fillId="0" borderId="0" xfId="49" applyFont="1"/>
    <xf numFmtId="0" fontId="18" fillId="0" borderId="5" xfId="0" applyFont="1" applyBorder="1" applyAlignment="1">
      <alignment horizontal="right" vertical="top"/>
    </xf>
    <xf numFmtId="0" fontId="27" fillId="0" borderId="0" xfId="0" applyFont="1" applyAlignment="1" applyProtection="1">
      <alignment horizontal="justify" vertical="top" wrapText="1"/>
      <protection hidden="1"/>
    </xf>
    <xf numFmtId="0" fontId="27" fillId="0" borderId="0" xfId="0" applyFont="1" applyAlignment="1" applyProtection="1">
      <alignment horizontal="right"/>
      <protection hidden="1"/>
    </xf>
    <xf numFmtId="0" fontId="28" fillId="0" borderId="0" xfId="0" applyFont="1" applyAlignment="1" applyProtection="1">
      <alignment horizontal="justify" vertical="top" wrapText="1"/>
      <protection hidden="1"/>
    </xf>
    <xf numFmtId="0" fontId="18" fillId="0" borderId="0" xfId="17" applyFont="1" applyAlignment="1">
      <alignment horizontal="justify" vertical="top" wrapText="1"/>
    </xf>
    <xf numFmtId="0" fontId="27" fillId="0" borderId="0" xfId="57" applyFont="1" applyAlignment="1">
      <alignment horizontal="right"/>
    </xf>
    <xf numFmtId="4" fontId="27" fillId="0" borderId="0" xfId="0" applyNumberFormat="1" applyFont="1" applyAlignment="1">
      <alignment horizontal="right" vertical="top" wrapText="1"/>
    </xf>
    <xf numFmtId="168" fontId="27" fillId="0" borderId="0" xfId="0" applyNumberFormat="1" applyFont="1" applyAlignment="1">
      <alignment horizontal="right" vertical="top" wrapText="1"/>
    </xf>
    <xf numFmtId="168" fontId="27" fillId="0" borderId="0" xfId="15" applyNumberFormat="1" applyFont="1" applyAlignment="1">
      <alignment horizontal="right"/>
    </xf>
    <xf numFmtId="0" fontId="18" fillId="0" borderId="0" xfId="57" applyFont="1" applyAlignment="1">
      <alignment horizontal="center"/>
    </xf>
    <xf numFmtId="4" fontId="27" fillId="0" borderId="0" xfId="0" applyNumberFormat="1" applyFont="1" applyAlignment="1">
      <alignment vertical="top" wrapText="1"/>
    </xf>
    <xf numFmtId="4" fontId="18" fillId="0" borderId="0" xfId="0" applyNumberFormat="1" applyFont="1" applyAlignment="1">
      <alignment vertical="top" wrapText="1"/>
    </xf>
    <xf numFmtId="0" fontId="18" fillId="0" borderId="0" xfId="0" applyFont="1" applyAlignment="1">
      <alignment horizontal="justify" vertical="justify"/>
    </xf>
    <xf numFmtId="168" fontId="18" fillId="0" borderId="2" xfId="0" applyNumberFormat="1" applyFont="1" applyBorder="1" applyAlignment="1">
      <alignment horizontal="right" vertical="top" wrapText="1"/>
    </xf>
    <xf numFmtId="0" fontId="28" fillId="0" borderId="1" xfId="0" applyFont="1" applyBorder="1" applyAlignment="1">
      <alignment horizontal="right"/>
    </xf>
    <xf numFmtId="0" fontId="28" fillId="0" borderId="1" xfId="0" applyFont="1" applyBorder="1"/>
    <xf numFmtId="49" fontId="19" fillId="0" borderId="0" xfId="49" applyNumberFormat="1" applyFont="1" applyAlignment="1">
      <alignment horizontal="right" vertical="top" wrapText="1"/>
    </xf>
    <xf numFmtId="0" fontId="18" fillId="0" borderId="0" xfId="49" applyAlignment="1">
      <alignment horizontal="left" vertical="top" wrapText="1"/>
    </xf>
    <xf numFmtId="0" fontId="36" fillId="0" borderId="0" xfId="0" applyFont="1" applyAlignment="1">
      <alignment horizontal="right" vertical="top"/>
    </xf>
    <xf numFmtId="166" fontId="36" fillId="0" borderId="0" xfId="0" applyNumberFormat="1" applyFont="1" applyAlignment="1">
      <alignment vertical="top"/>
    </xf>
    <xf numFmtId="166" fontId="32" fillId="0" borderId="0" xfId="66" applyNumberFormat="1" applyFont="1" applyAlignment="1">
      <alignment vertical="top"/>
    </xf>
    <xf numFmtId="49" fontId="18" fillId="0" borderId="0" xfId="0" applyNumberFormat="1" applyFont="1" applyAlignment="1">
      <alignment horizontal="left" vertical="top" wrapText="1"/>
    </xf>
    <xf numFmtId="0" fontId="18" fillId="0" borderId="0" xfId="0" applyFont="1" applyAlignment="1">
      <alignment horizontal="right" vertical="top" wrapText="1"/>
    </xf>
    <xf numFmtId="49" fontId="31" fillId="0" borderId="0" xfId="0" applyNumberFormat="1" applyFont="1" applyAlignment="1">
      <alignment horizontal="left" vertical="top"/>
    </xf>
    <xf numFmtId="49" fontId="34" fillId="0" borderId="0" xfId="0" applyNumberFormat="1" applyFont="1" applyAlignment="1">
      <alignment horizontal="left" vertical="top"/>
    </xf>
    <xf numFmtId="0" fontId="18" fillId="0" borderId="0" xfId="0" applyFont="1" applyAlignment="1">
      <alignment vertical="center" wrapText="1"/>
    </xf>
    <xf numFmtId="0" fontId="18" fillId="0" borderId="0" xfId="49" applyAlignment="1">
      <alignment horizontal="right"/>
    </xf>
    <xf numFmtId="4" fontId="37" fillId="0" borderId="0" xfId="0" applyNumberFormat="1" applyFont="1" applyAlignment="1">
      <alignment vertical="top"/>
    </xf>
    <xf numFmtId="0" fontId="42" fillId="0" borderId="0" xfId="0" applyFont="1" applyAlignment="1">
      <alignment horizontal="right" vertical="top" wrapText="1"/>
    </xf>
    <xf numFmtId="0" fontId="33" fillId="0" borderId="0" xfId="0" applyFont="1" applyAlignment="1">
      <alignment wrapText="1"/>
    </xf>
    <xf numFmtId="0" fontId="65" fillId="0" borderId="0" xfId="0" applyFont="1" applyAlignment="1">
      <alignment horizontal="right" vertical="top" wrapText="1"/>
    </xf>
    <xf numFmtId="0" fontId="36" fillId="0" borderId="2" xfId="0" applyFont="1" applyBorder="1"/>
    <xf numFmtId="0" fontId="32" fillId="0" borderId="2" xfId="0" applyFont="1" applyBorder="1" applyAlignment="1">
      <alignment horizontal="justify" vertical="top" wrapText="1"/>
    </xf>
    <xf numFmtId="0" fontId="32" fillId="0" borderId="2" xfId="0" applyFont="1" applyBorder="1" applyAlignment="1">
      <alignment horizontal="right" vertical="top" wrapText="1"/>
    </xf>
    <xf numFmtId="166" fontId="17" fillId="0" borderId="2" xfId="0" applyNumberFormat="1" applyFont="1" applyBorder="1" applyAlignment="1">
      <alignment vertical="top"/>
    </xf>
    <xf numFmtId="0" fontId="38" fillId="0" borderId="0" xfId="0" applyFont="1"/>
    <xf numFmtId="0" fontId="19" fillId="0" borderId="0" xfId="0" applyFont="1" applyAlignment="1">
      <alignment horizontal="right" vertical="top" wrapText="1"/>
    </xf>
    <xf numFmtId="166" fontId="12" fillId="0" borderId="0" xfId="0" applyNumberFormat="1" applyFont="1" applyAlignment="1">
      <alignment vertical="top"/>
    </xf>
    <xf numFmtId="4" fontId="41" fillId="0" borderId="0" xfId="0" applyNumberFormat="1" applyFont="1" applyAlignment="1">
      <alignment horizontal="left" vertical="top"/>
    </xf>
    <xf numFmtId="0" fontId="32" fillId="0" borderId="0" xfId="0" applyFont="1" applyAlignment="1">
      <alignment horizontal="right" vertical="top"/>
    </xf>
    <xf numFmtId="49" fontId="19" fillId="0" borderId="3" xfId="0" applyNumberFormat="1" applyFont="1" applyBorder="1" applyAlignment="1">
      <alignment horizontal="left" vertical="top"/>
    </xf>
    <xf numFmtId="0" fontId="32" fillId="0" borderId="3" xfId="0" applyFont="1" applyBorder="1" applyAlignment="1">
      <alignment vertical="top"/>
    </xf>
    <xf numFmtId="0" fontId="32" fillId="0" borderId="3" xfId="0" applyFont="1" applyBorder="1" applyAlignment="1">
      <alignment horizontal="justify" vertical="top" wrapText="1"/>
    </xf>
    <xf numFmtId="0" fontId="32" fillId="0" borderId="3" xfId="0" applyFont="1" applyBorder="1" applyAlignment="1">
      <alignment horizontal="right" vertical="top"/>
    </xf>
    <xf numFmtId="166" fontId="17" fillId="0" borderId="3" xfId="0" applyNumberFormat="1" applyFont="1" applyBorder="1" applyAlignment="1">
      <alignment vertical="top"/>
    </xf>
    <xf numFmtId="168" fontId="34" fillId="0" borderId="4" xfId="0" applyNumberFormat="1" applyFont="1" applyBorder="1"/>
    <xf numFmtId="167" fontId="18" fillId="0" borderId="0" xfId="0" applyNumberFormat="1" applyFont="1" applyAlignment="1">
      <alignment vertical="top"/>
    </xf>
    <xf numFmtId="166" fontId="18" fillId="0" borderId="5" xfId="0" applyNumberFormat="1" applyFont="1" applyBorder="1"/>
    <xf numFmtId="49" fontId="36" fillId="0" borderId="0" xfId="0" applyNumberFormat="1" applyFont="1" applyAlignment="1">
      <alignment horizontal="left" vertical="top"/>
    </xf>
    <xf numFmtId="0" fontId="18" fillId="0" borderId="0" xfId="15" applyAlignment="1">
      <alignment horizontal="right" vertical="center"/>
    </xf>
    <xf numFmtId="4" fontId="18" fillId="0" borderId="0" xfId="15" applyNumberFormat="1"/>
    <xf numFmtId="0" fontId="18" fillId="0" borderId="0" xfId="15" applyAlignment="1">
      <alignment vertical="top" wrapText="1"/>
    </xf>
    <xf numFmtId="174" fontId="36" fillId="0" borderId="0" xfId="0" applyNumberFormat="1" applyFont="1"/>
    <xf numFmtId="4" fontId="18" fillId="0" borderId="0" xfId="15" applyNumberFormat="1" applyAlignment="1">
      <alignment wrapText="1"/>
    </xf>
    <xf numFmtId="0" fontId="18" fillId="0" borderId="0" xfId="49" applyAlignment="1">
      <alignment horizontal="right" vertical="center"/>
    </xf>
    <xf numFmtId="0" fontId="18" fillId="0" borderId="0" xfId="15" applyAlignment="1">
      <alignment horizontal="justify" vertical="top" wrapText="1"/>
    </xf>
    <xf numFmtId="0" fontId="18" fillId="0" borderId="0" xfId="10" applyFont="1" applyAlignment="1">
      <alignment horizontal="justify" vertical="top" wrapText="1"/>
    </xf>
    <xf numFmtId="0" fontId="32" fillId="0" borderId="0" xfId="49" applyFont="1" applyAlignment="1">
      <alignment horizontal="right"/>
    </xf>
    <xf numFmtId="0" fontId="32" fillId="0" borderId="0" xfId="49" applyFont="1"/>
    <xf numFmtId="4" fontId="32" fillId="0" borderId="0" xfId="49" applyNumberFormat="1" applyFont="1" applyAlignment="1">
      <alignment vertical="center"/>
    </xf>
    <xf numFmtId="0" fontId="32" fillId="0" borderId="0" xfId="15" applyFont="1" applyAlignment="1">
      <alignment horizontal="justify" vertical="top" wrapText="1"/>
    </xf>
    <xf numFmtId="0" fontId="18" fillId="0" borderId="0" xfId="0" applyFont="1" applyAlignment="1">
      <alignment vertical="top" wrapText="1"/>
    </xf>
    <xf numFmtId="0" fontId="44" fillId="0" borderId="0" xfId="15" applyFont="1" applyAlignment="1">
      <alignment horizontal="right"/>
    </xf>
    <xf numFmtId="0" fontId="44" fillId="0" borderId="0" xfId="15" applyFont="1" applyAlignment="1">
      <alignment wrapText="1"/>
    </xf>
    <xf numFmtId="0" fontId="44" fillId="0" borderId="0" xfId="15" applyFont="1" applyAlignment="1">
      <alignment horizontal="right" wrapText="1"/>
    </xf>
    <xf numFmtId="0" fontId="44" fillId="0" borderId="0" xfId="10" applyFont="1" applyAlignment="1">
      <alignment horizontal="right"/>
    </xf>
    <xf numFmtId="4" fontId="18" fillId="0" borderId="0" xfId="10" applyNumberFormat="1" applyFont="1"/>
    <xf numFmtId="0" fontId="42" fillId="0" borderId="0" xfId="0" applyFont="1" applyAlignment="1">
      <alignment wrapText="1"/>
    </xf>
    <xf numFmtId="168" fontId="0" fillId="0" borderId="0" xfId="0" applyNumberFormat="1"/>
    <xf numFmtId="49" fontId="33" fillId="0" borderId="2" xfId="0" applyNumberFormat="1" applyFont="1" applyBorder="1" applyAlignment="1">
      <alignment horizontal="left" vertical="top"/>
    </xf>
    <xf numFmtId="0" fontId="18" fillId="0" borderId="2" xfId="0" applyFont="1" applyBorder="1" applyAlignment="1">
      <alignment horizontal="left" vertical="top"/>
    </xf>
    <xf numFmtId="0" fontId="38" fillId="0" borderId="2" xfId="0" applyFont="1" applyBorder="1" applyAlignment="1">
      <alignment horizontal="justify" vertical="top" wrapText="1"/>
    </xf>
    <xf numFmtId="174" fontId="33" fillId="0" borderId="0" xfId="0" applyNumberFormat="1" applyFont="1"/>
    <xf numFmtId="0" fontId="36" fillId="0" borderId="0" xfId="0" applyFont="1" applyAlignment="1">
      <alignment horizontal="justify" vertical="top"/>
    </xf>
    <xf numFmtId="49" fontId="30" fillId="0" borderId="0" xfId="0" applyNumberFormat="1" applyFont="1" applyAlignment="1">
      <alignment horizontal="left" vertical="top" wrapText="1"/>
    </xf>
    <xf numFmtId="0" fontId="27" fillId="0" borderId="0" xfId="0" applyFont="1" applyAlignment="1">
      <alignment wrapText="1"/>
    </xf>
    <xf numFmtId="0" fontId="54" fillId="0" borderId="0" xfId="0" applyFont="1" applyAlignment="1">
      <alignment horizontal="justify" vertical="top" wrapText="1"/>
    </xf>
    <xf numFmtId="0" fontId="27" fillId="0" borderId="0" xfId="0" applyFont="1" applyAlignment="1">
      <alignment horizontal="right" vertical="top" wrapText="1"/>
    </xf>
    <xf numFmtId="166" fontId="28" fillId="0" borderId="0" xfId="0" applyNumberFormat="1" applyFont="1" applyAlignment="1">
      <alignment horizontal="right" vertical="top" wrapText="1"/>
    </xf>
    <xf numFmtId="168" fontId="27" fillId="0" borderId="0" xfId="0" applyNumberFormat="1" applyFont="1" applyAlignment="1">
      <alignment wrapText="1"/>
    </xf>
    <xf numFmtId="0" fontId="38" fillId="0" borderId="5" xfId="0" applyFont="1" applyBorder="1" applyAlignment="1">
      <alignment horizontal="justify" vertical="top" wrapText="1"/>
    </xf>
    <xf numFmtId="166" fontId="18" fillId="0" borderId="0" xfId="0" applyNumberFormat="1" applyFont="1" applyAlignment="1">
      <alignment horizontal="right" vertical="top"/>
    </xf>
    <xf numFmtId="0" fontId="29" fillId="0" borderId="0" xfId="9" applyFont="1" applyAlignment="1">
      <alignment horizontal="justify" vertical="top" wrapText="1"/>
    </xf>
    <xf numFmtId="0" fontId="53" fillId="0" borderId="0" xfId="0" applyFont="1" applyAlignment="1">
      <alignment horizontal="justify" vertical="top" wrapText="1"/>
    </xf>
    <xf numFmtId="166" fontId="27" fillId="0" borderId="0" xfId="0" applyNumberFormat="1" applyFont="1" applyAlignment="1">
      <alignment horizontal="right" vertical="top"/>
    </xf>
    <xf numFmtId="166" fontId="17" fillId="0" borderId="0" xfId="0" applyNumberFormat="1" applyFont="1" applyAlignment="1">
      <alignment horizontal="right" vertical="top"/>
    </xf>
    <xf numFmtId="168" fontId="33" fillId="0" borderId="0" xfId="0" applyNumberFormat="1" applyFont="1" applyAlignment="1">
      <alignment horizontal="right" vertical="top" wrapText="1"/>
    </xf>
    <xf numFmtId="168" fontId="18" fillId="0" borderId="0" xfId="0" applyNumberFormat="1" applyFont="1" applyAlignment="1">
      <alignment horizontal="right" wrapText="1"/>
    </xf>
    <xf numFmtId="166" fontId="29" fillId="0" borderId="0" xfId="0" applyNumberFormat="1" applyFont="1" applyAlignment="1">
      <alignment horizontal="right" vertical="top"/>
    </xf>
    <xf numFmtId="0" fontId="38" fillId="0" borderId="0" xfId="0" applyFont="1" applyAlignment="1">
      <alignment horizontal="justify"/>
    </xf>
    <xf numFmtId="4" fontId="18" fillId="0" borderId="0" xfId="49" applyNumberFormat="1" applyAlignment="1">
      <alignment horizontal="center"/>
    </xf>
    <xf numFmtId="0" fontId="32" fillId="0" borderId="0" xfId="0" applyFont="1" applyAlignment="1">
      <alignment horizontal="left" vertical="top"/>
    </xf>
    <xf numFmtId="168" fontId="33" fillId="0" borderId="0" xfId="0" applyNumberFormat="1" applyFont="1" applyAlignment="1">
      <alignment wrapText="1"/>
    </xf>
    <xf numFmtId="166" fontId="17" fillId="0" borderId="2" xfId="0" applyNumberFormat="1" applyFont="1" applyBorder="1" applyAlignment="1">
      <alignment horizontal="right" vertical="top"/>
    </xf>
    <xf numFmtId="0" fontId="54" fillId="0" borderId="0" xfId="0" applyFont="1" applyAlignment="1">
      <alignment horizontal="justify" vertical="top"/>
    </xf>
    <xf numFmtId="0" fontId="19" fillId="0" borderId="0" xfId="0" applyFont="1" applyAlignment="1">
      <alignment horizontal="right" vertical="top"/>
    </xf>
    <xf numFmtId="0" fontId="19" fillId="0" borderId="0" xfId="0" applyFont="1" applyAlignment="1">
      <alignment horizontal="right"/>
    </xf>
    <xf numFmtId="166" fontId="19" fillId="0" borderId="0" xfId="0" applyNumberFormat="1" applyFont="1"/>
    <xf numFmtId="168" fontId="43" fillId="0" borderId="0" xfId="0" applyNumberFormat="1" applyFont="1"/>
    <xf numFmtId="49" fontId="12" fillId="0" borderId="2" xfId="0" applyNumberFormat="1" applyFont="1" applyBorder="1" applyAlignment="1">
      <alignment horizontal="left" vertical="top"/>
    </xf>
    <xf numFmtId="0" fontId="17" fillId="0" borderId="2" xfId="0" applyFont="1" applyBorder="1" applyAlignment="1">
      <alignment vertical="top"/>
    </xf>
    <xf numFmtId="168" fontId="17" fillId="0" borderId="2" xfId="0" applyNumberFormat="1" applyFont="1" applyBorder="1"/>
    <xf numFmtId="0" fontId="12" fillId="0" borderId="0" xfId="0" applyFont="1" applyAlignment="1">
      <alignment vertical="top"/>
    </xf>
    <xf numFmtId="166" fontId="33" fillId="0" borderId="0" xfId="0" applyNumberFormat="1" applyFont="1"/>
    <xf numFmtId="49" fontId="18" fillId="0" borderId="0" xfId="0" applyNumberFormat="1" applyFont="1" applyAlignment="1">
      <alignment horizontal="right" wrapText="1"/>
    </xf>
    <xf numFmtId="166" fontId="19" fillId="0" borderId="0" xfId="0" applyNumberFormat="1" applyFont="1" applyAlignment="1">
      <alignment horizontal="right" wrapText="1"/>
    </xf>
    <xf numFmtId="168" fontId="18" fillId="0" borderId="0" xfId="0" applyNumberFormat="1" applyFont="1" applyAlignment="1">
      <alignment wrapText="1"/>
    </xf>
    <xf numFmtId="0" fontId="41" fillId="0" borderId="0" xfId="0" applyFont="1" applyAlignment="1">
      <alignment wrapText="1"/>
    </xf>
    <xf numFmtId="49" fontId="18" fillId="0" borderId="5" xfId="0" applyNumberFormat="1" applyFont="1" applyBorder="1" applyAlignment="1">
      <alignment horizontal="right" vertical="top"/>
    </xf>
    <xf numFmtId="2" fontId="19" fillId="0" borderId="0" xfId="0" applyNumberFormat="1" applyFont="1" applyAlignment="1">
      <alignment horizontal="justify" vertical="top" wrapText="1"/>
    </xf>
    <xf numFmtId="4" fontId="17" fillId="0" borderId="0" xfId="0" applyNumberFormat="1" applyFont="1" applyAlignment="1">
      <alignment horizontal="right"/>
    </xf>
    <xf numFmtId="0" fontId="17" fillId="0" borderId="0" xfId="0" applyFont="1" applyAlignment="1">
      <alignment horizontal="right" vertical="top"/>
    </xf>
    <xf numFmtId="4" fontId="18" fillId="0" borderId="0" xfId="67" applyNumberFormat="1" applyAlignment="1">
      <alignment horizontal="right"/>
    </xf>
    <xf numFmtId="0" fontId="34" fillId="0" borderId="0" xfId="9" applyFont="1" applyAlignment="1">
      <alignment horizontal="justify" vertical="top" wrapText="1"/>
    </xf>
    <xf numFmtId="0" fontId="43" fillId="0" borderId="0" xfId="0" applyFont="1" applyAlignment="1">
      <alignment vertical="top" wrapText="1"/>
    </xf>
    <xf numFmtId="0" fontId="43" fillId="0" borderId="0" xfId="0" applyFont="1" applyAlignment="1">
      <alignment horizontal="right" wrapText="1"/>
    </xf>
    <xf numFmtId="4" fontId="43" fillId="0" borderId="0" xfId="0" applyNumberFormat="1" applyFont="1" applyAlignment="1">
      <alignment horizontal="right" wrapText="1"/>
    </xf>
    <xf numFmtId="49" fontId="19" fillId="0" borderId="0" xfId="0" applyNumberFormat="1" applyFont="1"/>
    <xf numFmtId="49" fontId="18" fillId="0" borderId="0" xfId="0" applyNumberFormat="1" applyFont="1" applyAlignment="1">
      <alignment horizontal="right"/>
    </xf>
    <xf numFmtId="0" fontId="43" fillId="0" borderId="0" xfId="0" applyFont="1" applyAlignment="1">
      <alignment wrapText="1"/>
    </xf>
    <xf numFmtId="176" fontId="43" fillId="0" borderId="0" xfId="0" applyNumberFormat="1" applyFont="1" applyAlignment="1">
      <alignment wrapText="1"/>
    </xf>
    <xf numFmtId="4" fontId="43" fillId="0" borderId="0" xfId="0" applyNumberFormat="1" applyFont="1" applyAlignment="1">
      <alignment wrapText="1"/>
    </xf>
    <xf numFmtId="0" fontId="73" fillId="0" borderId="0" xfId="0" applyFont="1" applyAlignment="1">
      <alignment vertical="top" wrapText="1"/>
    </xf>
    <xf numFmtId="0" fontId="18" fillId="0" borderId="0" xfId="68" applyFont="1" applyAlignment="1">
      <alignment horizontal="right"/>
    </xf>
    <xf numFmtId="0" fontId="63" fillId="0" borderId="0" xfId="0" applyFont="1" applyAlignment="1">
      <alignment vertical="top" wrapText="1"/>
    </xf>
    <xf numFmtId="0" fontId="18" fillId="0" borderId="0" xfId="68" applyFont="1" applyAlignment="1">
      <alignment horizontal="justify" vertical="top" wrapText="1"/>
    </xf>
    <xf numFmtId="176" fontId="43" fillId="0" borderId="0" xfId="0" applyNumberFormat="1" applyFont="1" applyAlignment="1">
      <alignment horizontal="right" wrapText="1"/>
    </xf>
    <xf numFmtId="49" fontId="19" fillId="0" borderId="1" xfId="0" applyNumberFormat="1" applyFont="1" applyBorder="1" applyAlignment="1">
      <alignment horizontal="right" vertical="top"/>
    </xf>
    <xf numFmtId="0" fontId="19" fillId="0" borderId="1" xfId="0" applyFont="1" applyBorder="1" applyAlignment="1">
      <alignment horizontal="justify" vertical="top" wrapText="1"/>
    </xf>
    <xf numFmtId="166" fontId="19" fillId="0" borderId="1" xfId="0" applyNumberFormat="1" applyFont="1" applyBorder="1" applyAlignment="1">
      <alignment horizontal="right"/>
    </xf>
    <xf numFmtId="49" fontId="27" fillId="0" borderId="0" xfId="0" applyNumberFormat="1" applyFont="1" applyAlignment="1">
      <alignment horizontal="right"/>
    </xf>
    <xf numFmtId="166" fontId="27" fillId="0" borderId="0" xfId="0" applyNumberFormat="1" applyFont="1" applyAlignment="1">
      <alignment horizontal="right"/>
    </xf>
    <xf numFmtId="49" fontId="18" fillId="0" borderId="5" xfId="0" applyNumberFormat="1" applyFont="1" applyBorder="1" applyAlignment="1">
      <alignment horizontal="left" vertical="top"/>
    </xf>
    <xf numFmtId="0" fontId="31" fillId="0" borderId="0" xfId="0" applyFont="1" applyAlignment="1">
      <alignment vertical="top" wrapText="1"/>
    </xf>
    <xf numFmtId="0" fontId="38" fillId="0" borderId="0" xfId="0" applyFont="1" applyAlignment="1">
      <alignment vertical="top" wrapText="1"/>
    </xf>
    <xf numFmtId="0" fontId="19" fillId="0" borderId="0" xfId="0" applyFont="1" applyAlignment="1">
      <alignment vertical="top" wrapText="1"/>
    </xf>
    <xf numFmtId="49" fontId="19" fillId="0" borderId="2" xfId="0" applyNumberFormat="1" applyFont="1" applyBorder="1" applyAlignment="1">
      <alignment horizontal="right" vertical="top"/>
    </xf>
    <xf numFmtId="49" fontId="19" fillId="0" borderId="2" xfId="0" applyNumberFormat="1" applyFont="1" applyBorder="1" applyAlignment="1">
      <alignment horizontal="center" vertical="top"/>
    </xf>
    <xf numFmtId="49" fontId="18" fillId="0" borderId="2" xfId="0" applyNumberFormat="1" applyFont="1" applyBorder="1" applyAlignment="1">
      <alignment horizontal="center" vertical="top"/>
    </xf>
    <xf numFmtId="0" fontId="17" fillId="0" borderId="2" xfId="9" applyFont="1" applyBorder="1" applyAlignment="1">
      <alignment horizontal="justify" vertical="top" wrapText="1"/>
    </xf>
    <xf numFmtId="4" fontId="17" fillId="0" borderId="2" xfId="9" applyNumberFormat="1" applyFont="1" applyBorder="1" applyAlignment="1">
      <alignment horizontal="right" vertical="top" wrapText="1"/>
    </xf>
    <xf numFmtId="0" fontId="33" fillId="0" borderId="0" xfId="0" applyFont="1" applyAlignment="1">
      <alignment vertical="top" wrapText="1"/>
    </xf>
    <xf numFmtId="173" fontId="27" fillId="0" borderId="0" xfId="0" applyNumberFormat="1" applyFont="1"/>
    <xf numFmtId="0" fontId="57" fillId="0" borderId="0" xfId="0" applyFont="1"/>
    <xf numFmtId="173" fontId="19" fillId="0" borderId="0" xfId="0" applyNumberFormat="1" applyFont="1"/>
    <xf numFmtId="0" fontId="18" fillId="0" borderId="0" xfId="0" applyFont="1" applyAlignment="1">
      <alignment horizontal="justify" vertical="top" wrapText="1" shrinkToFit="1"/>
    </xf>
    <xf numFmtId="0" fontId="43" fillId="0" borderId="0" xfId="0" applyFont="1" applyAlignment="1">
      <alignment horizontal="justify" vertical="justify"/>
    </xf>
    <xf numFmtId="49" fontId="40" fillId="0" borderId="0" xfId="0" applyNumberFormat="1" applyFont="1" applyAlignment="1">
      <alignment horizontal="left" vertical="top"/>
    </xf>
    <xf numFmtId="0" fontId="29" fillId="0" borderId="0" xfId="0" applyFont="1" applyAlignment="1">
      <alignment vertical="top"/>
    </xf>
    <xf numFmtId="173" fontId="29" fillId="0" borderId="0" xfId="0" applyNumberFormat="1" applyFont="1"/>
    <xf numFmtId="2" fontId="12" fillId="0" borderId="0" xfId="0" applyNumberFormat="1" applyFont="1" applyAlignment="1">
      <alignment horizontal="right" vertical="top"/>
    </xf>
    <xf numFmtId="168" fontId="58" fillId="0" borderId="0" xfId="0" applyNumberFormat="1" applyFont="1"/>
    <xf numFmtId="0" fontId="17" fillId="0" borderId="2" xfId="10" applyFont="1" applyBorder="1" applyAlignment="1">
      <alignment horizontal="justify" vertical="top" wrapText="1"/>
    </xf>
    <xf numFmtId="49" fontId="12" fillId="0" borderId="1" xfId="0" applyNumberFormat="1" applyFont="1" applyBorder="1" applyAlignment="1">
      <alignment horizontal="left" vertical="top"/>
    </xf>
    <xf numFmtId="0" fontId="33" fillId="0" borderId="1" xfId="0" applyFont="1" applyBorder="1"/>
    <xf numFmtId="0" fontId="12" fillId="0" borderId="0" xfId="10" applyFont="1" applyAlignment="1">
      <alignment horizontal="justify" vertical="top" wrapText="1"/>
    </xf>
    <xf numFmtId="166" fontId="33" fillId="0" borderId="1" xfId="0" applyNumberFormat="1" applyFont="1" applyBorder="1"/>
    <xf numFmtId="0" fontId="12" fillId="0" borderId="0" xfId="0" applyFont="1"/>
    <xf numFmtId="0" fontId="40" fillId="0" borderId="0" xfId="0" applyFont="1"/>
    <xf numFmtId="0" fontId="30" fillId="0" borderId="0" xfId="0" applyFont="1"/>
    <xf numFmtId="0" fontId="59" fillId="0" borderId="0" xfId="0" applyFont="1"/>
    <xf numFmtId="0" fontId="31" fillId="0" borderId="0" xfId="0" applyFont="1" applyAlignment="1">
      <alignment horizontal="justify" vertical="top" wrapText="1"/>
    </xf>
    <xf numFmtId="0" fontId="33" fillId="0" borderId="0" xfId="0" applyFont="1" applyAlignment="1">
      <alignment horizontal="left" vertical="top"/>
    </xf>
    <xf numFmtId="2" fontId="17" fillId="0" borderId="0" xfId="15" applyNumberFormat="1" applyFont="1" applyAlignment="1">
      <alignment horizontal="left" wrapText="1"/>
    </xf>
    <xf numFmtId="4" fontId="18" fillId="0" borderId="0" xfId="15" applyNumberFormat="1" applyAlignment="1">
      <alignment horizontal="right" wrapText="1"/>
    </xf>
    <xf numFmtId="3" fontId="18" fillId="0" borderId="0" xfId="15" applyNumberFormat="1" applyAlignment="1">
      <alignment horizontal="right" wrapText="1"/>
    </xf>
    <xf numFmtId="4" fontId="18" fillId="0" borderId="0" xfId="15" applyNumberFormat="1" applyAlignment="1">
      <alignment horizontal="right"/>
    </xf>
    <xf numFmtId="0" fontId="19" fillId="0" borderId="0" xfId="0" applyFont="1" applyAlignment="1">
      <alignment horizontal="justify" vertical="justify"/>
    </xf>
    <xf numFmtId="0" fontId="43" fillId="0" borderId="0" xfId="0" applyFont="1"/>
    <xf numFmtId="4" fontId="29" fillId="0" borderId="0" xfId="0" applyNumberFormat="1" applyFont="1"/>
    <xf numFmtId="0" fontId="79" fillId="0" borderId="0" xfId="59" applyFont="1"/>
    <xf numFmtId="0" fontId="18" fillId="0" borderId="0" xfId="0" applyFont="1" applyAlignment="1">
      <alignment horizontal="center" wrapText="1"/>
    </xf>
    <xf numFmtId="0" fontId="48" fillId="0" borderId="0" xfId="137" applyFont="1" applyAlignment="1">
      <alignment horizontal="left" vertical="top" wrapText="1"/>
    </xf>
    <xf numFmtId="49" fontId="19" fillId="8" borderId="0" xfId="0" applyNumberFormat="1" applyFont="1" applyFill="1" applyAlignment="1">
      <alignment horizontal="right" vertical="top"/>
    </xf>
    <xf numFmtId="49" fontId="19" fillId="8" borderId="0" xfId="0" applyNumberFormat="1" applyFont="1" applyFill="1" applyAlignment="1">
      <alignment horizontal="center" vertical="top"/>
    </xf>
    <xf numFmtId="168" fontId="18" fillId="8" borderId="0" xfId="0" applyNumberFormat="1" applyFont="1" applyFill="1"/>
    <xf numFmtId="0" fontId="32" fillId="8" borderId="0" xfId="0" applyFont="1" applyFill="1"/>
    <xf numFmtId="0" fontId="77" fillId="8" borderId="0" xfId="59" applyFont="1" applyFill="1"/>
    <xf numFmtId="0" fontId="18" fillId="8" borderId="0" xfId="0" applyFont="1" applyFill="1"/>
    <xf numFmtId="4" fontId="18" fillId="0" borderId="5" xfId="0" applyNumberFormat="1" applyFont="1" applyBorder="1"/>
    <xf numFmtId="0" fontId="18" fillId="0" borderId="0" xfId="59" applyAlignment="1">
      <alignment horizontal="right"/>
    </xf>
    <xf numFmtId="4" fontId="18" fillId="0" borderId="0" xfId="59" applyNumberFormat="1" applyAlignment="1">
      <alignment horizontal="right"/>
    </xf>
    <xf numFmtId="0" fontId="18" fillId="0" borderId="0" xfId="59"/>
    <xf numFmtId="0" fontId="41" fillId="0" borderId="0" xfId="59" applyFont="1"/>
    <xf numFmtId="0" fontId="33" fillId="0" borderId="0" xfId="59" applyFont="1"/>
    <xf numFmtId="0" fontId="32" fillId="0" borderId="0" xfId="59" applyFont="1" applyAlignment="1">
      <alignment horizontal="right"/>
    </xf>
    <xf numFmtId="4" fontId="32" fillId="0" borderId="0" xfId="59" applyNumberFormat="1" applyFont="1" applyAlignment="1">
      <alignment horizontal="right"/>
    </xf>
    <xf numFmtId="49" fontId="28" fillId="0" borderId="2" xfId="0" applyNumberFormat="1" applyFont="1" applyBorder="1" applyAlignment="1">
      <alignment horizontal="left" vertical="top"/>
    </xf>
    <xf numFmtId="0" fontId="27" fillId="0" borderId="2" xfId="0" applyFont="1" applyBorder="1"/>
    <xf numFmtId="0" fontId="18" fillId="0" borderId="2" xfId="0" applyFont="1" applyBorder="1" applyAlignment="1">
      <alignment horizontal="justify" vertical="top" wrapText="1"/>
    </xf>
    <xf numFmtId="0" fontId="18" fillId="0" borderId="2" xfId="59" applyBorder="1" applyAlignment="1">
      <alignment horizontal="right"/>
    </xf>
    <xf numFmtId="4" fontId="18" fillId="0" borderId="2" xfId="59" applyNumberFormat="1" applyBorder="1" applyAlignment="1">
      <alignment horizontal="right"/>
    </xf>
    <xf numFmtId="49" fontId="33" fillId="0" borderId="0" xfId="59" applyNumberFormat="1" applyFont="1" applyAlignment="1">
      <alignment horizontal="left" vertical="top"/>
    </xf>
    <xf numFmtId="0" fontId="28" fillId="0" borderId="0" xfId="0" applyFont="1" applyAlignment="1">
      <alignment horizontal="left" vertical="top"/>
    </xf>
    <xf numFmtId="49" fontId="38" fillId="0" borderId="0" xfId="0" applyNumberFormat="1" applyFont="1" applyAlignment="1">
      <alignment horizontal="left"/>
    </xf>
    <xf numFmtId="0" fontId="36" fillId="0" borderId="0" xfId="0" applyFont="1" applyAlignment="1">
      <alignment vertical="top"/>
    </xf>
    <xf numFmtId="0" fontId="17" fillId="0" borderId="0" xfId="0" applyFont="1" applyAlignment="1">
      <alignment horizontal="justify" vertical="top"/>
    </xf>
    <xf numFmtId="49" fontId="19" fillId="0" borderId="0" xfId="0" applyNumberFormat="1" applyFont="1" applyAlignment="1">
      <alignment horizontal="left" vertical="justify"/>
    </xf>
    <xf numFmtId="49" fontId="38" fillId="0" borderId="0" xfId="0" applyNumberFormat="1" applyFont="1" applyAlignment="1">
      <alignment horizontal="left" vertical="justify"/>
    </xf>
    <xf numFmtId="0" fontId="32" fillId="0" borderId="0" xfId="66" applyFont="1" applyAlignment="1">
      <alignment horizontal="right"/>
    </xf>
    <xf numFmtId="166" fontId="32" fillId="0" borderId="0" xfId="66" applyNumberFormat="1" applyFont="1"/>
    <xf numFmtId="4" fontId="18" fillId="0" borderId="0" xfId="0" applyNumberFormat="1" applyFont="1" applyAlignment="1">
      <alignment horizontal="left" vertical="top"/>
    </xf>
    <xf numFmtId="49" fontId="36" fillId="0" borderId="0" xfId="0" applyNumberFormat="1" applyFont="1" applyAlignment="1">
      <alignment horizontal="left"/>
    </xf>
    <xf numFmtId="49" fontId="36" fillId="0" borderId="0" xfId="0" applyNumberFormat="1" applyFont="1" applyAlignment="1">
      <alignment vertical="top"/>
    </xf>
    <xf numFmtId="166" fontId="41" fillId="0" borderId="0" xfId="66" applyNumberFormat="1" applyFont="1"/>
    <xf numFmtId="0" fontId="18" fillId="0" borderId="0" xfId="9" applyFont="1" applyAlignment="1">
      <alignment horizontal="right"/>
    </xf>
    <xf numFmtId="0" fontId="36" fillId="0" borderId="2" xfId="0" applyFont="1" applyBorder="1" applyAlignment="1">
      <alignment vertical="top"/>
    </xf>
    <xf numFmtId="0" fontId="32" fillId="0" borderId="2" xfId="0" applyFont="1" applyBorder="1" applyAlignment="1">
      <alignment horizontal="right" wrapText="1"/>
    </xf>
    <xf numFmtId="166" fontId="17" fillId="0" borderId="2" xfId="0" applyNumberFormat="1" applyFont="1" applyBorder="1"/>
    <xf numFmtId="168" fontId="32" fillId="0" borderId="2" xfId="0" applyNumberFormat="1" applyFont="1" applyBorder="1"/>
    <xf numFmtId="0" fontId="38" fillId="0" borderId="0" xfId="0" applyFont="1" applyAlignment="1">
      <alignment vertical="top"/>
    </xf>
    <xf numFmtId="0" fontId="19" fillId="0" borderId="0" xfId="0" applyFont="1" applyAlignment="1">
      <alignment horizontal="right" wrapText="1"/>
    </xf>
    <xf numFmtId="0" fontId="32" fillId="0" borderId="0" xfId="0" applyFont="1" applyAlignment="1">
      <alignment horizontal="right" wrapText="1"/>
    </xf>
    <xf numFmtId="0" fontId="42" fillId="0" borderId="0" xfId="0" applyFont="1" applyAlignment="1">
      <alignment horizontal="right" wrapText="1"/>
    </xf>
    <xf numFmtId="49" fontId="19" fillId="0" borderId="0" xfId="0" applyNumberFormat="1" applyFont="1" applyAlignment="1">
      <alignment horizontal="left"/>
    </xf>
    <xf numFmtId="49" fontId="33" fillId="0" borderId="0" xfId="0" applyNumberFormat="1" applyFont="1" applyAlignment="1">
      <alignment horizontal="left"/>
    </xf>
    <xf numFmtId="167" fontId="18" fillId="0" borderId="0" xfId="0" applyNumberFormat="1" applyFont="1"/>
    <xf numFmtId="0" fontId="18" fillId="0" borderId="0" xfId="108" applyNumberFormat="1" applyFont="1" applyAlignment="1">
      <alignment horizontal="justify" vertical="top" wrapText="1"/>
    </xf>
    <xf numFmtId="0" fontId="19" fillId="0" borderId="1" xfId="0" applyFont="1" applyBorder="1"/>
    <xf numFmtId="2" fontId="19" fillId="0" borderId="1" xfId="0" applyNumberFormat="1" applyFont="1" applyBorder="1"/>
    <xf numFmtId="4" fontId="32" fillId="0" borderId="0" xfId="108" applyFont="1" applyAlignment="1">
      <alignment horizontal="justify"/>
    </xf>
    <xf numFmtId="0" fontId="18" fillId="0" borderId="0" xfId="0" applyFont="1" applyAlignment="1">
      <alignment horizontal="justify"/>
    </xf>
    <xf numFmtId="4" fontId="19" fillId="0" borderId="0" xfId="0" applyNumberFormat="1" applyFont="1" applyAlignment="1">
      <alignment horizontal="justify" vertical="top"/>
    </xf>
    <xf numFmtId="166" fontId="60" fillId="0" borderId="0" xfId="0" applyNumberFormat="1" applyFont="1" applyAlignment="1">
      <alignment horizontal="center" wrapText="1"/>
    </xf>
    <xf numFmtId="0" fontId="80" fillId="0" borderId="0" xfId="106" applyNumberFormat="1" applyFont="1" applyBorder="1" applyProtection="1">
      <alignment horizontal="left" vertical="top" wrapText="1"/>
    </xf>
    <xf numFmtId="2" fontId="19" fillId="0" borderId="0" xfId="0" applyNumberFormat="1" applyFont="1" applyAlignment="1">
      <alignment horizontal="left" vertical="top"/>
    </xf>
    <xf numFmtId="2" fontId="19" fillId="0" borderId="2" xfId="0" applyNumberFormat="1" applyFont="1" applyBorder="1" applyAlignment="1">
      <alignment horizontal="left" vertical="top"/>
    </xf>
    <xf numFmtId="0" fontId="19" fillId="0" borderId="1" xfId="0" applyFont="1" applyBorder="1" applyAlignment="1">
      <alignment horizontal="right" vertical="top"/>
    </xf>
    <xf numFmtId="167" fontId="17" fillId="0" borderId="0" xfId="0" applyNumberFormat="1" applyFont="1"/>
    <xf numFmtId="0" fontId="19" fillId="0" borderId="0" xfId="0" applyFont="1" applyAlignment="1">
      <alignment horizontal="justify" vertical="top"/>
    </xf>
    <xf numFmtId="0" fontId="18" fillId="0" borderId="0" xfId="15" applyAlignment="1">
      <alignment horizontal="justify" vertical="justify"/>
    </xf>
    <xf numFmtId="0" fontId="18" fillId="0" borderId="0" xfId="15"/>
    <xf numFmtId="0" fontId="33" fillId="0" borderId="0" xfId="15" applyFont="1" applyAlignment="1">
      <alignment horizontal="justify" vertical="justify"/>
    </xf>
    <xf numFmtId="168" fontId="18" fillId="0" borderId="0" xfId="15" applyNumberFormat="1" applyAlignment="1">
      <alignment horizontal="right"/>
    </xf>
    <xf numFmtId="0" fontId="18" fillId="0" borderId="0" xfId="15" applyAlignment="1">
      <alignment horizontal="justify" vertical="justify" wrapText="1"/>
    </xf>
    <xf numFmtId="178" fontId="18" fillId="0" borderId="0" xfId="15" applyNumberFormat="1" applyAlignment="1">
      <alignment horizontal="right"/>
    </xf>
    <xf numFmtId="0" fontId="47" fillId="0" borderId="0" xfId="69" applyFill="1"/>
    <xf numFmtId="0" fontId="81" fillId="0" borderId="0" xfId="0" applyFont="1"/>
    <xf numFmtId="0" fontId="32" fillId="0" borderId="0" xfId="9" applyFont="1" applyAlignment="1">
      <alignment horizontal="justify" vertical="top" wrapText="1"/>
    </xf>
    <xf numFmtId="0" fontId="18" fillId="0" borderId="0" xfId="0" applyFont="1" applyAlignment="1">
      <alignment vertical="center"/>
    </xf>
    <xf numFmtId="166" fontId="18" fillId="0" borderId="0" xfId="0" applyNumberFormat="1" applyFont="1" applyAlignment="1">
      <alignment vertical="center"/>
    </xf>
    <xf numFmtId="168" fontId="18" fillId="0" borderId="0" xfId="0" applyNumberFormat="1" applyFont="1" applyAlignment="1">
      <alignment horizontal="right" vertical="center"/>
    </xf>
    <xf numFmtId="0" fontId="81" fillId="0" borderId="0" xfId="9" applyFont="1"/>
    <xf numFmtId="0" fontId="0" fillId="0" borderId="0" xfId="0" applyAlignment="1">
      <alignment horizontal="center" vertical="top"/>
    </xf>
    <xf numFmtId="0" fontId="33" fillId="0" borderId="0" xfId="9" applyFont="1" applyAlignment="1">
      <alignment horizontal="center" vertical="top"/>
    </xf>
    <xf numFmtId="49" fontId="33" fillId="0" borderId="0" xfId="9" applyNumberFormat="1" applyFont="1" applyAlignment="1">
      <alignment horizontal="center" vertical="top"/>
    </xf>
    <xf numFmtId="0" fontId="32" fillId="0" borderId="0" xfId="9" applyFont="1" applyAlignment="1">
      <alignment horizontal="center" vertical="top"/>
    </xf>
    <xf numFmtId="0" fontId="32" fillId="0" borderId="0" xfId="9" applyFont="1"/>
    <xf numFmtId="166" fontId="32" fillId="0" borderId="0" xfId="9" applyNumberFormat="1" applyFont="1"/>
    <xf numFmtId="168" fontId="32" fillId="0" borderId="0" xfId="9" applyNumberFormat="1" applyFont="1"/>
    <xf numFmtId="166" fontId="17" fillId="0" borderId="0" xfId="9" applyNumberFormat="1" applyFont="1"/>
    <xf numFmtId="0" fontId="33" fillId="0" borderId="0" xfId="9" applyFont="1"/>
    <xf numFmtId="0" fontId="33" fillId="0" borderId="0" xfId="9" applyFont="1" applyAlignment="1">
      <alignment horizontal="justify" vertical="top" wrapText="1"/>
    </xf>
    <xf numFmtId="0" fontId="32" fillId="0" borderId="0" xfId="9" applyFont="1" applyAlignment="1">
      <alignment horizontal="right" vertical="top"/>
    </xf>
    <xf numFmtId="0" fontId="43" fillId="0" borderId="0" xfId="0" applyFont="1" applyAlignment="1">
      <alignment horizontal="justify" vertical="top" wrapText="1"/>
    </xf>
    <xf numFmtId="0" fontId="81" fillId="0" borderId="0" xfId="9" applyFont="1" applyAlignment="1">
      <alignment horizontal="justify" vertical="top" wrapText="1"/>
    </xf>
    <xf numFmtId="49" fontId="18" fillId="0" borderId="0" xfId="81" applyNumberFormat="1" applyAlignment="1">
      <alignment horizontal="center" shrinkToFit="1"/>
    </xf>
    <xf numFmtId="180" fontId="18" fillId="0" borderId="0" xfId="82" applyNumberFormat="1" applyFont="1" applyFill="1" applyBorder="1" applyAlignment="1" applyProtection="1">
      <alignment horizontal="right" shrinkToFit="1"/>
      <protection locked="0"/>
    </xf>
    <xf numFmtId="179" fontId="33" fillId="0" borderId="0" xfId="81" applyNumberFormat="1" applyFont="1" applyAlignment="1">
      <alignment horizontal="center" vertical="center" shrinkToFit="1"/>
    </xf>
    <xf numFmtId="0" fontId="33" fillId="0" borderId="0" xfId="9" applyFont="1" applyAlignment="1">
      <alignment horizontal="right"/>
    </xf>
    <xf numFmtId="0" fontId="82" fillId="0" borderId="0" xfId="135" applyFont="1" applyAlignment="1">
      <alignment horizontal="justify" vertical="top" wrapText="1"/>
    </xf>
    <xf numFmtId="0" fontId="82" fillId="0" borderId="0" xfId="136" applyFont="1" applyAlignment="1">
      <alignment horizontal="justify" vertical="top" wrapText="1"/>
      <protection locked="0"/>
    </xf>
    <xf numFmtId="14" fontId="82" fillId="0" borderId="0" xfId="135" applyNumberFormat="1" applyFont="1" applyAlignment="1">
      <alignment horizontal="justify" vertical="top" wrapText="1"/>
    </xf>
    <xf numFmtId="49" fontId="83" fillId="0" borderId="0" xfId="0" applyNumberFormat="1" applyFont="1" applyAlignment="1">
      <alignment horizontal="left" vertical="top"/>
    </xf>
    <xf numFmtId="0" fontId="56" fillId="0" borderId="0" xfId="0" applyFont="1" applyAlignment="1">
      <alignment horizontal="justify" vertical="top" wrapText="1"/>
    </xf>
    <xf numFmtId="166" fontId="43" fillId="0" borderId="0" xfId="0" applyNumberFormat="1" applyFont="1"/>
    <xf numFmtId="171" fontId="56" fillId="0" borderId="0" xfId="0" applyNumberFormat="1" applyFont="1"/>
    <xf numFmtId="171" fontId="18" fillId="0" borderId="0" xfId="0" applyNumberFormat="1" applyFont="1" applyProtection="1">
      <protection locked="0"/>
    </xf>
    <xf numFmtId="0" fontId="27" fillId="0" borderId="0" xfId="9" applyFont="1"/>
    <xf numFmtId="171" fontId="34" fillId="0" borderId="0" xfId="0" applyNumberFormat="1" applyFont="1"/>
    <xf numFmtId="49" fontId="18" fillId="0" borderId="0" xfId="0" applyNumberFormat="1" applyFont="1" applyAlignment="1">
      <alignment horizontal="left"/>
    </xf>
    <xf numFmtId="0" fontId="18" fillId="0" borderId="0" xfId="0" applyFont="1" applyAlignment="1" applyProtection="1">
      <alignment horizontal="justify" vertical="top" wrapText="1"/>
      <protection hidden="1"/>
    </xf>
    <xf numFmtId="0" fontId="18" fillId="0" borderId="0" xfId="0" applyFont="1" applyAlignment="1" applyProtection="1">
      <alignment horizontal="right"/>
      <protection hidden="1"/>
    </xf>
    <xf numFmtId="49" fontId="32" fillId="0" borderId="0" xfId="0" applyNumberFormat="1" applyFont="1" applyAlignment="1">
      <alignment horizontal="left" vertical="top"/>
    </xf>
    <xf numFmtId="0" fontId="32" fillId="0" borderId="0" xfId="0" applyFont="1" applyAlignment="1" applyProtection="1">
      <alignment horizontal="justify" vertical="top" wrapText="1"/>
      <protection hidden="1"/>
    </xf>
    <xf numFmtId="49" fontId="19" fillId="0" borderId="0" xfId="49" applyNumberFormat="1" applyFont="1" applyAlignment="1">
      <alignment horizontal="justify" vertical="top" wrapText="1"/>
    </xf>
    <xf numFmtId="49" fontId="18" fillId="0" borderId="0" xfId="49" applyNumberFormat="1" applyAlignment="1">
      <alignment horizontal="justify" vertical="top" wrapText="1"/>
    </xf>
    <xf numFmtId="49" fontId="19" fillId="0" borderId="2" xfId="49" applyNumberFormat="1" applyFont="1" applyBorder="1" applyAlignment="1">
      <alignment horizontal="left" vertical="top" wrapText="1"/>
    </xf>
    <xf numFmtId="49" fontId="19" fillId="0" borderId="2" xfId="49" applyNumberFormat="1" applyFont="1" applyBorder="1" applyAlignment="1">
      <alignment horizontal="justify" vertical="top" wrapText="1"/>
    </xf>
    <xf numFmtId="0" fontId="18" fillId="0" borderId="2" xfId="49" applyBorder="1" applyAlignment="1">
      <alignment horizontal="justify" vertical="top" wrapText="1"/>
    </xf>
    <xf numFmtId="0" fontId="18" fillId="0" borderId="2" xfId="49" applyBorder="1" applyAlignment="1">
      <alignment horizontal="right" vertical="top" wrapText="1"/>
    </xf>
    <xf numFmtId="4" fontId="18" fillId="0" borderId="2" xfId="49" applyNumberFormat="1" applyBorder="1" applyAlignment="1">
      <alignment horizontal="right" vertical="top" wrapText="1"/>
    </xf>
    <xf numFmtId="0" fontId="33" fillId="0" borderId="0" xfId="49" applyFont="1" applyAlignment="1">
      <alignment horizontal="justify" vertical="top" wrapText="1"/>
    </xf>
    <xf numFmtId="4" fontId="29" fillId="0" borderId="0" xfId="0" applyNumberFormat="1" applyFont="1" applyAlignment="1">
      <alignment horizontal="right"/>
    </xf>
    <xf numFmtId="0" fontId="33" fillId="0" borderId="0" xfId="0" applyFont="1" applyAlignment="1">
      <alignment vertical="top"/>
    </xf>
    <xf numFmtId="0" fontId="32" fillId="0" borderId="0" xfId="57" applyFont="1" applyAlignment="1">
      <alignment horizontal="right" vertical="top"/>
    </xf>
    <xf numFmtId="4" fontId="18" fillId="0" borderId="0" xfId="4" applyNumberFormat="1" applyFont="1" applyAlignment="1">
      <alignment horizontal="right" vertical="top" wrapText="1"/>
    </xf>
    <xf numFmtId="0" fontId="27" fillId="0" borderId="2" xfId="0" applyFont="1" applyBorder="1" applyAlignment="1">
      <alignment horizontal="center" vertical="top"/>
    </xf>
    <xf numFmtId="0" fontId="27" fillId="0" borderId="2" xfId="0" applyFont="1" applyBorder="1" applyAlignment="1">
      <alignment horizontal="right" vertical="top"/>
    </xf>
    <xf numFmtId="166" fontId="27" fillId="0" borderId="2" xfId="0" applyNumberFormat="1" applyFont="1" applyBorder="1"/>
    <xf numFmtId="168" fontId="27" fillId="0" borderId="2" xfId="0" applyNumberFormat="1" applyFont="1" applyBorder="1"/>
    <xf numFmtId="168" fontId="10" fillId="0" borderId="0" xfId="0" applyNumberFormat="1" applyFont="1"/>
    <xf numFmtId="49" fontId="53" fillId="0" borderId="0" xfId="0" applyNumberFormat="1" applyFont="1" applyAlignment="1">
      <alignment horizontal="left"/>
    </xf>
    <xf numFmtId="49" fontId="54" fillId="0" borderId="0" xfId="0" applyNumberFormat="1" applyFont="1" applyAlignment="1">
      <alignment horizontal="left"/>
    </xf>
    <xf numFmtId="0" fontId="41" fillId="0" borderId="0" xfId="0" applyFont="1" applyAlignment="1">
      <alignment horizontal="justify" vertical="top"/>
    </xf>
    <xf numFmtId="166" fontId="54" fillId="0" borderId="0" xfId="0" applyNumberFormat="1" applyFont="1"/>
    <xf numFmtId="168" fontId="54" fillId="0" borderId="0" xfId="0" applyNumberFormat="1" applyFont="1"/>
    <xf numFmtId="49" fontId="28" fillId="0" borderId="0" xfId="0" applyNumberFormat="1" applyFont="1" applyAlignment="1">
      <alignment horizontal="left" vertical="justify"/>
    </xf>
    <xf numFmtId="49" fontId="54" fillId="0" borderId="0" xfId="0" applyNumberFormat="1" applyFont="1" applyAlignment="1">
      <alignment horizontal="left" vertical="justify"/>
    </xf>
    <xf numFmtId="0" fontId="28" fillId="0" borderId="0" xfId="0" applyFont="1" applyAlignment="1">
      <alignment horizontal="justify" vertical="top" wrapText="1"/>
    </xf>
    <xf numFmtId="0" fontId="18" fillId="0" borderId="0" xfId="0" applyFont="1" applyAlignment="1">
      <alignment horizontal="left" wrapText="1"/>
    </xf>
    <xf numFmtId="4" fontId="27" fillId="0" borderId="0" xfId="0" applyNumberFormat="1" applyFont="1" applyAlignment="1">
      <alignment horizontal="left" vertical="top"/>
    </xf>
    <xf numFmtId="4" fontId="84" fillId="0" borderId="0" xfId="0" applyNumberFormat="1" applyFont="1" applyAlignment="1">
      <alignment horizontal="left" vertical="top"/>
    </xf>
    <xf numFmtId="0" fontId="41" fillId="0" borderId="0" xfId="0" applyFont="1" applyAlignment="1">
      <alignment vertical="top" wrapText="1"/>
    </xf>
    <xf numFmtId="0" fontId="18" fillId="0" borderId="0" xfId="0" applyFont="1" applyAlignment="1">
      <alignment horizontal="justify" vertical="justify" wrapText="1"/>
    </xf>
    <xf numFmtId="49" fontId="43" fillId="0" borderId="0" xfId="0" applyNumberFormat="1" applyFont="1" applyAlignment="1">
      <alignment horizontal="justify" vertical="top" wrapText="1"/>
    </xf>
    <xf numFmtId="0" fontId="77" fillId="0" borderId="0" xfId="0" applyFont="1"/>
    <xf numFmtId="0" fontId="18" fillId="0" borderId="2" xfId="0" applyFont="1" applyBorder="1" applyAlignment="1">
      <alignment horizontal="justify" vertical="center" wrapText="1"/>
    </xf>
    <xf numFmtId="0" fontId="41" fillId="0" borderId="0" xfId="0" applyFont="1" applyAlignment="1">
      <alignment vertical="top"/>
    </xf>
    <xf numFmtId="0" fontId="32" fillId="0" borderId="0" xfId="0" applyFont="1" applyAlignment="1">
      <alignment horizontal="right"/>
    </xf>
    <xf numFmtId="168" fontId="29" fillId="0" borderId="0" xfId="0" applyNumberFormat="1" applyFont="1"/>
    <xf numFmtId="167" fontId="27" fillId="0" borderId="0" xfId="0" applyNumberFormat="1" applyFont="1"/>
    <xf numFmtId="49" fontId="85" fillId="0" borderId="0" xfId="0" applyNumberFormat="1" applyFont="1" applyAlignment="1">
      <alignment horizontal="left"/>
    </xf>
    <xf numFmtId="49" fontId="86" fillId="0" borderId="0" xfId="0" applyNumberFormat="1" applyFont="1" applyAlignment="1">
      <alignment horizontal="left"/>
    </xf>
    <xf numFmtId="0" fontId="86" fillId="0" borderId="0" xfId="0" applyFont="1"/>
    <xf numFmtId="0" fontId="0" fillId="0" borderId="0" xfId="0" applyAlignment="1">
      <alignment horizontal="right"/>
    </xf>
    <xf numFmtId="166" fontId="86" fillId="0" borderId="0" xfId="0" applyNumberFormat="1" applyFont="1"/>
    <xf numFmtId="168" fontId="86" fillId="0" borderId="0" xfId="0" applyNumberFormat="1" applyFont="1"/>
    <xf numFmtId="49" fontId="86" fillId="0" borderId="0" xfId="0" applyNumberFormat="1" applyFont="1" applyAlignment="1">
      <alignment horizontal="left" vertical="justify"/>
    </xf>
    <xf numFmtId="49" fontId="86" fillId="0" borderId="0" xfId="0" applyNumberFormat="1" applyFont="1" applyAlignment="1">
      <alignment horizontal="left" vertical="top"/>
    </xf>
    <xf numFmtId="0" fontId="86" fillId="0" borderId="0" xfId="0" applyFont="1" applyAlignment="1">
      <alignment vertical="top"/>
    </xf>
    <xf numFmtId="166" fontId="41" fillId="0" borderId="0" xfId="66" applyNumberFormat="1" applyFont="1" applyAlignment="1">
      <alignment vertical="top"/>
    </xf>
    <xf numFmtId="168" fontId="86" fillId="0" borderId="0" xfId="0" applyNumberFormat="1" applyFont="1" applyAlignment="1">
      <alignment vertical="top"/>
    </xf>
    <xf numFmtId="0" fontId="18" fillId="0" borderId="0" xfId="66" applyFont="1" applyAlignment="1">
      <alignment horizontal="justify" vertical="top" wrapText="1"/>
    </xf>
    <xf numFmtId="171" fontId="17" fillId="0" borderId="0" xfId="0" applyNumberFormat="1" applyFont="1" applyAlignment="1">
      <alignment vertical="top"/>
    </xf>
    <xf numFmtId="171" fontId="18" fillId="0" borderId="0" xfId="0" applyNumberFormat="1" applyFont="1" applyAlignment="1" applyProtection="1">
      <alignment horizontal="right" wrapText="1"/>
      <protection locked="0"/>
    </xf>
    <xf numFmtId="168" fontId="41" fillId="0" borderId="2" xfId="0" applyNumberFormat="1" applyFont="1" applyBorder="1"/>
    <xf numFmtId="49" fontId="0" fillId="0" borderId="0" xfId="0" applyNumberFormat="1" applyAlignment="1">
      <alignment horizontal="left" vertical="justify"/>
    </xf>
    <xf numFmtId="166" fontId="41" fillId="0" borderId="0" xfId="0" applyNumberFormat="1" applyFont="1"/>
    <xf numFmtId="4" fontId="28" fillId="0" borderId="0" xfId="0" applyNumberFormat="1" applyFont="1" applyAlignment="1">
      <alignment horizontal="justify" vertical="top"/>
    </xf>
    <xf numFmtId="167" fontId="18" fillId="0" borderId="0" xfId="0" applyNumberFormat="1" applyFont="1" applyAlignment="1">
      <alignment horizontal="right"/>
    </xf>
    <xf numFmtId="166" fontId="87" fillId="0" borderId="0" xfId="0" applyNumberFormat="1" applyFont="1" applyAlignment="1">
      <alignment horizontal="center" wrapText="1"/>
    </xf>
    <xf numFmtId="0" fontId="29" fillId="0" borderId="0" xfId="0" applyFont="1" applyAlignment="1">
      <alignment horizontal="justify" vertical="top"/>
    </xf>
    <xf numFmtId="4" fontId="27" fillId="0" borderId="0" xfId="0" applyNumberFormat="1" applyFont="1" applyAlignment="1">
      <alignment horizontal="right" vertical="top"/>
    </xf>
    <xf numFmtId="4" fontId="27" fillId="0" borderId="0" xfId="0" applyNumberFormat="1" applyFont="1" applyAlignment="1">
      <alignment vertical="top"/>
    </xf>
    <xf numFmtId="168" fontId="27" fillId="0" borderId="0" xfId="0" applyNumberFormat="1" applyFont="1" applyAlignment="1">
      <alignment vertical="top"/>
    </xf>
    <xf numFmtId="4" fontId="32" fillId="0" borderId="0" xfId="0" applyNumberFormat="1" applyFont="1" applyAlignment="1">
      <alignment vertical="top" wrapText="1"/>
    </xf>
    <xf numFmtId="168" fontId="32" fillId="0" borderId="0" xfId="0" applyNumberFormat="1" applyFont="1" applyAlignment="1">
      <alignment vertical="top"/>
    </xf>
    <xf numFmtId="0" fontId="29" fillId="0" borderId="0" xfId="10" applyFont="1" applyAlignment="1">
      <alignment horizontal="justify" vertical="top" wrapText="1"/>
    </xf>
    <xf numFmtId="2" fontId="32" fillId="0" borderId="0" xfId="0" applyNumberFormat="1" applyFont="1" applyAlignment="1">
      <alignment vertical="top"/>
    </xf>
    <xf numFmtId="0" fontId="27" fillId="0" borderId="1" xfId="0" applyFont="1" applyBorder="1" applyAlignment="1">
      <alignment horizontal="left" vertical="top"/>
    </xf>
    <xf numFmtId="0" fontId="34" fillId="0" borderId="1" xfId="0" applyFont="1" applyBorder="1" applyAlignment="1">
      <alignment vertical="top" wrapText="1"/>
    </xf>
    <xf numFmtId="0" fontId="27" fillId="0" borderId="1" xfId="0" applyFont="1" applyBorder="1" applyAlignment="1">
      <alignment horizontal="right" vertical="top"/>
    </xf>
    <xf numFmtId="166" fontId="27" fillId="0" borderId="1" xfId="0" applyNumberFormat="1" applyFont="1" applyBorder="1" applyAlignment="1">
      <alignment vertical="top"/>
    </xf>
    <xf numFmtId="166" fontId="18" fillId="0" borderId="1" xfId="0" applyNumberFormat="1" applyFont="1" applyBorder="1" applyAlignment="1">
      <alignment vertical="top"/>
    </xf>
    <xf numFmtId="0" fontId="30" fillId="0" borderId="0" xfId="0" applyFont="1" applyAlignment="1">
      <alignment vertical="top"/>
    </xf>
    <xf numFmtId="166" fontId="29" fillId="0" borderId="0" xfId="0" applyNumberFormat="1" applyFont="1" applyAlignment="1">
      <alignment vertical="top"/>
    </xf>
    <xf numFmtId="4" fontId="27" fillId="0" borderId="0" xfId="4" applyNumberFormat="1" applyFont="1" applyAlignment="1">
      <alignment horizontal="right" vertical="top" wrapText="1"/>
    </xf>
    <xf numFmtId="0" fontId="27" fillId="0" borderId="0" xfId="57" applyFont="1" applyAlignment="1">
      <alignment horizontal="right" vertical="top"/>
    </xf>
    <xf numFmtId="0" fontId="18" fillId="0" borderId="0" xfId="57" applyFont="1" applyAlignment="1">
      <alignment horizontal="right" vertical="top"/>
    </xf>
    <xf numFmtId="0" fontId="70" fillId="0" borderId="0" xfId="0" applyFont="1"/>
    <xf numFmtId="0" fontId="19" fillId="0" borderId="1" xfId="0" applyFont="1" applyBorder="1" applyAlignment="1">
      <alignment vertical="top"/>
    </xf>
    <xf numFmtId="0" fontId="19" fillId="0" borderId="1" xfId="0" applyFont="1" applyBorder="1" applyAlignment="1">
      <alignment horizontal="justify"/>
    </xf>
    <xf numFmtId="4" fontId="19" fillId="0" borderId="1" xfId="0" applyNumberFormat="1" applyFont="1" applyBorder="1" applyAlignment="1">
      <alignment horizontal="right"/>
    </xf>
    <xf numFmtId="0" fontId="27" fillId="0" borderId="0" xfId="0" applyFont="1" applyAlignment="1">
      <alignment horizontal="justify"/>
    </xf>
    <xf numFmtId="0" fontId="18" fillId="0" borderId="0" xfId="0" applyFont="1" applyAlignment="1">
      <alignment horizontal="left"/>
    </xf>
    <xf numFmtId="0" fontId="36" fillId="0" borderId="0" xfId="0" applyFont="1" applyAlignment="1">
      <alignment wrapText="1"/>
    </xf>
    <xf numFmtId="0" fontId="34" fillId="0" borderId="0" xfId="0" applyFont="1" applyAlignment="1">
      <alignment vertical="top" wrapText="1"/>
    </xf>
    <xf numFmtId="0" fontId="32" fillId="0" borderId="0" xfId="0" applyFont="1" applyAlignment="1">
      <alignment vertical="top" wrapText="1"/>
    </xf>
    <xf numFmtId="0" fontId="30" fillId="0" borderId="0" xfId="0" applyFont="1" applyAlignment="1">
      <alignment horizontal="right"/>
    </xf>
    <xf numFmtId="0" fontId="30" fillId="0" borderId="2" xfId="0" applyFont="1" applyBorder="1" applyAlignment="1">
      <alignment horizontal="right"/>
    </xf>
    <xf numFmtId="0" fontId="18" fillId="0" borderId="2" xfId="0" applyFont="1" applyBorder="1" applyAlignment="1">
      <alignment vertical="top" wrapText="1"/>
    </xf>
    <xf numFmtId="0" fontId="18" fillId="0" borderId="2" xfId="0" applyFont="1" applyBorder="1" applyAlignment="1">
      <alignment horizontal="center" vertical="top" wrapText="1"/>
    </xf>
    <xf numFmtId="0" fontId="33" fillId="0" borderId="9" xfId="0" applyFont="1" applyBorder="1" applyAlignment="1">
      <alignment horizontal="right"/>
    </xf>
    <xf numFmtId="0" fontId="33" fillId="0" borderId="2" xfId="0" applyFont="1" applyBorder="1" applyAlignment="1">
      <alignment horizontal="justify" vertical="top"/>
    </xf>
    <xf numFmtId="0" fontId="27" fillId="0" borderId="2" xfId="0" applyFont="1" applyBorder="1" applyAlignment="1">
      <alignment horizontal="right"/>
    </xf>
    <xf numFmtId="2" fontId="27" fillId="0" borderId="2" xfId="0" applyNumberFormat="1" applyFont="1" applyBorder="1" applyAlignment="1">
      <alignment horizontal="center" vertical="top"/>
    </xf>
    <xf numFmtId="0" fontId="27" fillId="0" borderId="10" xfId="0" applyFont="1" applyBorder="1"/>
    <xf numFmtId="2" fontId="27" fillId="0" borderId="0" xfId="0" applyNumberFormat="1" applyFont="1" applyAlignment="1">
      <alignment horizontal="center" vertical="top"/>
    </xf>
    <xf numFmtId="0" fontId="18" fillId="0" borderId="11" xfId="0" applyFont="1" applyBorder="1" applyAlignment="1">
      <alignment horizontal="center" vertical="top"/>
    </xf>
    <xf numFmtId="0" fontId="18" fillId="0" borderId="12" xfId="0" applyFont="1" applyBorder="1" applyAlignment="1">
      <alignment horizontal="center" vertical="top"/>
    </xf>
    <xf numFmtId="0" fontId="18" fillId="0" borderId="12" xfId="0" applyFont="1" applyBorder="1" applyAlignment="1">
      <alignment horizontal="justify" vertical="top" wrapText="1"/>
    </xf>
    <xf numFmtId="0" fontId="18" fillId="0" borderId="12" xfId="0" applyFont="1" applyBorder="1" applyAlignment="1">
      <alignment horizontal="center" vertical="center"/>
    </xf>
    <xf numFmtId="2" fontId="18" fillId="0" borderId="12" xfId="0" applyNumberFormat="1" applyFont="1" applyBorder="1" applyAlignment="1">
      <alignment horizontal="center" vertical="top"/>
    </xf>
    <xf numFmtId="166" fontId="18" fillId="0" borderId="12" xfId="0" applyNumberFormat="1" applyFont="1" applyBorder="1" applyAlignment="1">
      <alignment horizontal="center" vertical="center"/>
    </xf>
    <xf numFmtId="166" fontId="18" fillId="0" borderId="13" xfId="0" applyNumberFormat="1" applyFont="1" applyBorder="1" applyAlignment="1">
      <alignment horizontal="center" vertical="center"/>
    </xf>
    <xf numFmtId="2" fontId="33" fillId="0" borderId="0" xfId="0" applyNumberFormat="1" applyFont="1" applyAlignment="1">
      <alignment horizontal="right" vertical="top"/>
    </xf>
    <xf numFmtId="2" fontId="30" fillId="0" borderId="0" xfId="0" applyNumberFormat="1" applyFont="1" applyAlignment="1">
      <alignment horizontal="right" vertical="top"/>
    </xf>
    <xf numFmtId="0" fontId="30" fillId="0" borderId="0" xfId="0" applyFont="1" applyAlignment="1">
      <alignment horizontal="left" vertical="top"/>
    </xf>
    <xf numFmtId="2" fontId="18" fillId="0" borderId="0" xfId="0" applyNumberFormat="1" applyFont="1" applyAlignment="1">
      <alignment horizontal="center" vertical="top" wrapText="1"/>
    </xf>
    <xf numFmtId="181" fontId="18" fillId="0" borderId="0" xfId="0" applyNumberFormat="1" applyFont="1" applyAlignment="1">
      <alignment horizontal="right" vertical="top" wrapText="1"/>
    </xf>
    <xf numFmtId="0" fontId="18" fillId="0" borderId="0" xfId="138" applyAlignment="1">
      <alignment horizontal="justify" vertical="top" wrapText="1"/>
    </xf>
    <xf numFmtId="2" fontId="27" fillId="0" borderId="0" xfId="0" applyNumberFormat="1" applyFont="1" applyAlignment="1">
      <alignment horizontal="center" vertical="top" wrapText="1"/>
    </xf>
    <xf numFmtId="181" fontId="27" fillId="0" borderId="0" xfId="0" applyNumberFormat="1" applyFont="1" applyAlignment="1">
      <alignment horizontal="right" vertical="top" wrapText="1"/>
    </xf>
    <xf numFmtId="49" fontId="18" fillId="0" borderId="0" xfId="15" applyNumberFormat="1" applyAlignment="1">
      <alignment horizontal="justify" vertical="top"/>
    </xf>
    <xf numFmtId="0" fontId="18" fillId="0" borderId="0" xfId="93" applyAlignment="1">
      <alignment horizontal="justify" vertical="top"/>
    </xf>
    <xf numFmtId="0" fontId="18" fillId="0" borderId="0" xfId="93" applyAlignment="1">
      <alignment horizontal="right" wrapText="1"/>
    </xf>
    <xf numFmtId="2" fontId="18" fillId="0" borderId="0" xfId="0" applyNumberFormat="1" applyFont="1" applyAlignment="1">
      <alignment horizontal="center"/>
    </xf>
    <xf numFmtId="49" fontId="18" fillId="0" borderId="0" xfId="9" applyNumberFormat="1" applyFont="1" applyAlignment="1">
      <alignment horizontal="justify" vertical="top"/>
    </xf>
    <xf numFmtId="0" fontId="18" fillId="0" borderId="0" xfId="93" applyAlignment="1">
      <alignment horizontal="justify"/>
    </xf>
    <xf numFmtId="2" fontId="18" fillId="0" borderId="0" xfId="93" applyNumberFormat="1" applyAlignment="1">
      <alignment horizontal="center" vertical="top" wrapText="1"/>
    </xf>
    <xf numFmtId="181" fontId="18" fillId="0" borderId="0" xfId="93" applyNumberFormat="1" applyAlignment="1">
      <alignment vertical="center"/>
    </xf>
    <xf numFmtId="4" fontId="18" fillId="0" borderId="0" xfId="93" applyNumberFormat="1" applyAlignment="1">
      <alignment horizontal="center" vertical="center"/>
    </xf>
    <xf numFmtId="0" fontId="18" fillId="0" borderId="0" xfId="93" applyAlignment="1">
      <alignment horizontal="justify" vertical="top" wrapText="1"/>
    </xf>
    <xf numFmtId="181" fontId="27" fillId="0" borderId="0" xfId="0" applyNumberFormat="1" applyFont="1"/>
    <xf numFmtId="181" fontId="18" fillId="0" borderId="0" xfId="0" applyNumberFormat="1" applyFont="1"/>
    <xf numFmtId="2" fontId="33" fillId="0" borderId="0" xfId="0" applyNumberFormat="1" applyFont="1" applyAlignment="1">
      <alignment horizontal="left" vertical="top"/>
    </xf>
    <xf numFmtId="2" fontId="33" fillId="0" borderId="0" xfId="0" applyNumberFormat="1" applyFont="1" applyAlignment="1">
      <alignment horizontal="left"/>
    </xf>
    <xf numFmtId="0" fontId="18" fillId="0" borderId="0" xfId="139" applyAlignment="1">
      <alignment horizontal="justify" vertical="top"/>
    </xf>
    <xf numFmtId="0" fontId="18" fillId="0" borderId="0" xfId="126" applyAlignment="1">
      <alignment horizontal="justify" vertical="top"/>
    </xf>
    <xf numFmtId="2" fontId="18" fillId="0" borderId="0" xfId="126" applyNumberFormat="1" applyAlignment="1">
      <alignment horizontal="center" vertical="top"/>
    </xf>
    <xf numFmtId="2" fontId="18" fillId="0" borderId="0" xfId="0" applyNumberFormat="1" applyFont="1" applyAlignment="1">
      <alignment horizontal="center" vertical="top"/>
    </xf>
    <xf numFmtId="0" fontId="27" fillId="0" borderId="0" xfId="10" applyFont="1" applyAlignment="1">
      <alignment horizontal="justify" vertical="top" wrapText="1"/>
    </xf>
    <xf numFmtId="2" fontId="33" fillId="0" borderId="1" xfId="0" applyNumberFormat="1" applyFont="1" applyBorder="1" applyAlignment="1">
      <alignment horizontal="right" vertical="top"/>
    </xf>
    <xf numFmtId="0" fontId="33" fillId="0" borderId="1" xfId="0" applyFont="1" applyBorder="1" applyAlignment="1">
      <alignment horizontal="left" vertical="top"/>
    </xf>
    <xf numFmtId="0" fontId="33" fillId="0" borderId="1" xfId="0" applyFont="1" applyBorder="1" applyAlignment="1">
      <alignment horizontal="justify" vertical="top"/>
    </xf>
    <xf numFmtId="0" fontId="30" fillId="0" borderId="1" xfId="0" applyFont="1" applyBorder="1" applyAlignment="1">
      <alignment horizontal="right"/>
    </xf>
    <xf numFmtId="2" fontId="30" fillId="0" borderId="1" xfId="0" applyNumberFormat="1" applyFont="1" applyBorder="1" applyAlignment="1">
      <alignment horizontal="center" vertical="top"/>
    </xf>
    <xf numFmtId="181" fontId="33" fillId="0" borderId="1" xfId="0" applyNumberFormat="1" applyFont="1" applyBorder="1"/>
    <xf numFmtId="0" fontId="33" fillId="0" borderId="11" xfId="0" applyFont="1" applyBorder="1" applyAlignment="1">
      <alignment horizontal="right"/>
    </xf>
    <xf numFmtId="0" fontId="18" fillId="0" borderId="12" xfId="0" applyFont="1" applyBorder="1"/>
    <xf numFmtId="0" fontId="33" fillId="0" borderId="12" xfId="0" applyFont="1" applyBorder="1" applyAlignment="1">
      <alignment horizontal="justify" vertical="top"/>
    </xf>
    <xf numFmtId="0" fontId="27" fillId="0" borderId="12" xfId="0" applyFont="1" applyBorder="1" applyAlignment="1">
      <alignment horizontal="right"/>
    </xf>
    <xf numFmtId="2" fontId="27" fillId="0" borderId="12" xfId="0" applyNumberFormat="1" applyFont="1" applyBorder="1" applyAlignment="1">
      <alignment horizontal="center" vertical="top"/>
    </xf>
    <xf numFmtId="0" fontId="27" fillId="0" borderId="13" xfId="0" applyFont="1" applyBorder="1"/>
    <xf numFmtId="49" fontId="18" fillId="0" borderId="0" xfId="15" applyNumberFormat="1" applyAlignment="1">
      <alignment horizontal="left" vertical="top"/>
    </xf>
    <xf numFmtId="49" fontId="18" fillId="0" borderId="0" xfId="72" applyNumberFormat="1" applyAlignment="1">
      <alignment horizontal="left" vertical="top"/>
    </xf>
    <xf numFmtId="0" fontId="18" fillId="0" borderId="0" xfId="84" applyAlignment="1">
      <alignment horizontal="left"/>
    </xf>
    <xf numFmtId="2" fontId="18" fillId="0" borderId="0" xfId="84" applyNumberFormat="1" applyAlignment="1">
      <alignment horizontal="center" vertical="top"/>
    </xf>
    <xf numFmtId="181" fontId="18" fillId="0" borderId="0" xfId="0" applyNumberFormat="1" applyFont="1" applyAlignment="1">
      <alignment horizontal="right"/>
    </xf>
    <xf numFmtId="0" fontId="18" fillId="0" borderId="0" xfId="84" applyAlignment="1">
      <alignment horizontal="justify" vertical="top"/>
    </xf>
    <xf numFmtId="0" fontId="18" fillId="0" borderId="0" xfId="84" applyAlignment="1">
      <alignment horizontal="center"/>
    </xf>
    <xf numFmtId="181" fontId="18" fillId="0" borderId="0" xfId="84" applyNumberFormat="1"/>
    <xf numFmtId="0" fontId="18" fillId="0" borderId="0" xfId="84" applyAlignment="1">
      <alignment horizontal="justify" vertical="top" wrapText="1"/>
    </xf>
    <xf numFmtId="181" fontId="18" fillId="0" borderId="0" xfId="84" applyNumberFormat="1" applyAlignment="1">
      <alignment horizontal="right"/>
    </xf>
    <xf numFmtId="0" fontId="18" fillId="0" borderId="0" xfId="84" applyAlignment="1">
      <alignment horizontal="justify"/>
    </xf>
    <xf numFmtId="0" fontId="18" fillId="0" borderId="0" xfId="122" applyAlignment="1">
      <alignment horizontal="justify" vertical="top"/>
    </xf>
    <xf numFmtId="0" fontId="18" fillId="0" borderId="0" xfId="122" applyAlignment="1">
      <alignment horizontal="justify" vertical="top" wrapText="1"/>
    </xf>
    <xf numFmtId="49" fontId="18" fillId="0" borderId="0" xfId="0" applyNumberFormat="1" applyFont="1" applyAlignment="1">
      <alignment horizontal="justify" vertical="top" wrapText="1"/>
    </xf>
    <xf numFmtId="49" fontId="18" fillId="0" borderId="0" xfId="138" quotePrefix="1" applyNumberFormat="1" applyAlignment="1">
      <alignment horizontal="justify" vertical="top"/>
    </xf>
    <xf numFmtId="0" fontId="18" fillId="0" borderId="0" xfId="138" quotePrefix="1" applyAlignment="1">
      <alignment horizontal="justify" vertical="top" wrapText="1"/>
    </xf>
    <xf numFmtId="49" fontId="18" fillId="0" borderId="0" xfId="138" quotePrefix="1" applyNumberFormat="1" applyAlignment="1">
      <alignment horizontal="justify" vertical="top" wrapText="1"/>
    </xf>
    <xf numFmtId="49" fontId="18" fillId="0" borderId="0" xfId="15" quotePrefix="1" applyNumberFormat="1" applyAlignment="1">
      <alignment horizontal="justify" vertical="top"/>
    </xf>
    <xf numFmtId="49" fontId="18" fillId="0" borderId="0" xfId="9" applyNumberFormat="1" applyFont="1" applyAlignment="1">
      <alignment horizontal="justify" vertical="center"/>
    </xf>
    <xf numFmtId="0" fontId="18" fillId="0" borderId="0" xfId="9" applyFont="1" applyAlignment="1">
      <alignment horizontal="justify"/>
    </xf>
    <xf numFmtId="0" fontId="18" fillId="0" borderId="0" xfId="9" applyFont="1" applyAlignment="1">
      <alignment horizontal="center" vertical="center"/>
    </xf>
    <xf numFmtId="0" fontId="18" fillId="0" borderId="0" xfId="9" applyFont="1" applyAlignment="1">
      <alignment horizontal="center"/>
    </xf>
    <xf numFmtId="0" fontId="18" fillId="0" borderId="0" xfId="9" applyFont="1" applyAlignment="1">
      <alignment horizontal="center" vertical="top"/>
    </xf>
    <xf numFmtId="49" fontId="18" fillId="0" borderId="0" xfId="9" quotePrefix="1" applyNumberFormat="1" applyFont="1" applyAlignment="1">
      <alignment horizontal="justify" vertical="top" wrapText="1"/>
    </xf>
    <xf numFmtId="49" fontId="18" fillId="0" borderId="0" xfId="9" quotePrefix="1" applyNumberFormat="1" applyFont="1" applyAlignment="1">
      <alignment horizontal="justify" vertical="top"/>
    </xf>
    <xf numFmtId="49" fontId="18" fillId="0" borderId="0" xfId="9" quotePrefix="1" applyNumberFormat="1" applyFont="1" applyAlignment="1">
      <alignment horizontal="justify" vertical="center" wrapText="1"/>
    </xf>
    <xf numFmtId="49" fontId="18" fillId="0" borderId="0" xfId="9" quotePrefix="1" applyNumberFormat="1" applyFont="1" applyAlignment="1">
      <alignment horizontal="justify" vertical="center"/>
    </xf>
    <xf numFmtId="0" fontId="18" fillId="0" borderId="0" xfId="9" applyFont="1" applyAlignment="1">
      <alignment vertical="top"/>
    </xf>
    <xf numFmtId="4" fontId="18" fillId="0" borderId="0" xfId="9" applyNumberFormat="1" applyFont="1" applyAlignment="1">
      <alignment horizontal="center" vertical="top"/>
    </xf>
    <xf numFmtId="0" fontId="18" fillId="0" borderId="0" xfId="9" applyFont="1" applyAlignment="1">
      <alignment vertical="center"/>
    </xf>
    <xf numFmtId="4" fontId="18" fillId="0" borderId="0" xfId="9" applyNumberFormat="1" applyFont="1" applyAlignment="1">
      <alignment horizontal="center" vertical="center"/>
    </xf>
    <xf numFmtId="49" fontId="18" fillId="0" borderId="0" xfId="72" applyNumberFormat="1" applyAlignment="1">
      <alignment horizontal="justify" vertical="center"/>
    </xf>
    <xf numFmtId="0" fontId="18" fillId="0" borderId="0" xfId="72" applyAlignment="1">
      <alignment horizontal="justify"/>
    </xf>
    <xf numFmtId="0" fontId="18" fillId="0" borderId="0" xfId="72" applyAlignment="1">
      <alignment horizontal="center" vertical="center"/>
    </xf>
    <xf numFmtId="0" fontId="18" fillId="0" borderId="0" xfId="72"/>
    <xf numFmtId="0" fontId="18" fillId="0" borderId="0" xfId="72" applyAlignment="1">
      <alignment horizontal="center" vertical="top"/>
    </xf>
    <xf numFmtId="49" fontId="18" fillId="0" borderId="0" xfId="72" quotePrefix="1" applyNumberFormat="1" applyAlignment="1">
      <alignment horizontal="justify" vertical="center" wrapText="1"/>
    </xf>
    <xf numFmtId="0" fontId="18" fillId="0" borderId="0" xfId="72" quotePrefix="1" applyAlignment="1">
      <alignment horizontal="justify" vertical="top" wrapText="1"/>
    </xf>
    <xf numFmtId="49" fontId="18" fillId="0" borderId="0" xfId="72" quotePrefix="1" applyNumberFormat="1" applyAlignment="1">
      <alignment horizontal="justify" vertical="top"/>
    </xf>
    <xf numFmtId="49" fontId="18" fillId="0" borderId="0" xfId="72" quotePrefix="1" applyNumberFormat="1" applyAlignment="1">
      <alignment horizontal="justify" vertical="top" wrapText="1"/>
    </xf>
    <xf numFmtId="49" fontId="18" fillId="0" borderId="0" xfId="72" quotePrefix="1" applyNumberFormat="1" applyAlignment="1">
      <alignment horizontal="justify" vertical="center"/>
    </xf>
    <xf numFmtId="49" fontId="18" fillId="0" borderId="0" xfId="72" applyNumberFormat="1" applyAlignment="1">
      <alignment horizontal="justify" vertical="top"/>
    </xf>
    <xf numFmtId="0" fontId="43" fillId="0" borderId="0" xfId="0" applyFont="1" applyAlignment="1">
      <alignment horizontal="left" vertical="top" wrapText="1"/>
    </xf>
    <xf numFmtId="176" fontId="18" fillId="0" borderId="0" xfId="122" applyNumberFormat="1" applyAlignment="1">
      <alignment horizontal="center" vertical="top"/>
    </xf>
    <xf numFmtId="183" fontId="33" fillId="0" borderId="0" xfId="122" applyNumberFormat="1" applyFont="1" applyAlignment="1">
      <alignment horizontal="center" vertical="top"/>
    </xf>
    <xf numFmtId="4" fontId="18" fillId="0" borderId="0" xfId="122" applyNumberFormat="1" applyAlignment="1">
      <alignment horizontal="center" vertical="top"/>
    </xf>
    <xf numFmtId="0" fontId="18" fillId="0" borderId="0" xfId="122" applyAlignment="1">
      <alignment vertical="top"/>
    </xf>
    <xf numFmtId="0" fontId="33" fillId="0" borderId="0" xfId="122" applyFont="1" applyAlignment="1">
      <alignment horizontal="left" vertical="top" wrapText="1"/>
    </xf>
    <xf numFmtId="49" fontId="18" fillId="0" borderId="0" xfId="15" applyNumberFormat="1" applyAlignment="1">
      <alignment horizontal="justify" vertical="center"/>
    </xf>
    <xf numFmtId="0" fontId="18" fillId="0" borderId="0" xfId="60" applyFont="1" applyAlignment="1">
      <alignment horizontal="justify" vertical="top" wrapText="1"/>
    </xf>
    <xf numFmtId="1" fontId="18" fillId="0" borderId="0" xfId="0" applyNumberFormat="1" applyFont="1" applyAlignment="1">
      <alignment horizontal="center"/>
    </xf>
    <xf numFmtId="178" fontId="18" fillId="0" borderId="0" xfId="0" applyNumberFormat="1" applyFont="1" applyAlignment="1">
      <alignment horizontal="right" vertical="center"/>
    </xf>
    <xf numFmtId="0" fontId="33" fillId="0" borderId="0" xfId="0" applyFont="1" applyAlignment="1">
      <alignment horizontal="justify" vertical="top"/>
    </xf>
    <xf numFmtId="2" fontId="30" fillId="0" borderId="0" xfId="0" applyNumberFormat="1" applyFont="1" applyAlignment="1">
      <alignment horizontal="center" vertical="top"/>
    </xf>
    <xf numFmtId="168" fontId="33" fillId="0" borderId="0" xfId="0" applyNumberFormat="1" applyFont="1"/>
    <xf numFmtId="0" fontId="33" fillId="0" borderId="0" xfId="0" applyFont="1" applyAlignment="1">
      <alignment horizontal="center" vertical="top"/>
    </xf>
    <xf numFmtId="184" fontId="18" fillId="0" borderId="0" xfId="0" applyNumberFormat="1" applyFont="1"/>
    <xf numFmtId="0" fontId="27" fillId="0" borderId="2" xfId="0" applyFont="1" applyBorder="1" applyAlignment="1">
      <alignment horizontal="justify" vertical="top"/>
    </xf>
    <xf numFmtId="2" fontId="18" fillId="0" borderId="2" xfId="0" applyNumberFormat="1" applyFont="1" applyBorder="1" applyAlignment="1">
      <alignment horizontal="center" vertical="top"/>
    </xf>
    <xf numFmtId="0" fontId="91" fillId="0" borderId="0" xfId="137" applyFont="1" applyAlignment="1">
      <alignment horizontal="left"/>
    </xf>
    <xf numFmtId="0" fontId="70" fillId="0" borderId="0" xfId="137" applyFont="1" applyAlignment="1">
      <alignment horizontal="right"/>
    </xf>
    <xf numFmtId="0" fontId="18" fillId="0" borderId="0" xfId="137" applyAlignment="1">
      <alignment horizontal="right"/>
    </xf>
    <xf numFmtId="0" fontId="44" fillId="0" borderId="0" xfId="137" applyFont="1" applyAlignment="1">
      <alignment horizontal="right"/>
    </xf>
    <xf numFmtId="0" fontId="92" fillId="0" borderId="0" xfId="137" applyFont="1" applyAlignment="1">
      <alignment horizontal="right"/>
    </xf>
    <xf numFmtId="0" fontId="39" fillId="0" borderId="0" xfId="141" applyFont="1"/>
    <xf numFmtId="0" fontId="18" fillId="0" borderId="0" xfId="137"/>
    <xf numFmtId="0" fontId="93" fillId="0" borderId="0" xfId="137" applyFont="1" applyAlignment="1">
      <alignment horizontal="left"/>
    </xf>
    <xf numFmtId="0" fontId="93" fillId="0" borderId="0" xfId="137" applyFont="1"/>
    <xf numFmtId="0" fontId="93" fillId="0" borderId="0" xfId="137" applyFont="1" applyAlignment="1">
      <alignment horizontal="right"/>
    </xf>
    <xf numFmtId="0" fontId="94" fillId="0" borderId="0" xfId="137" applyFont="1"/>
    <xf numFmtId="0" fontId="93" fillId="0" borderId="0" xfId="137" quotePrefix="1" applyFont="1" applyAlignment="1">
      <alignment horizontal="left"/>
    </xf>
    <xf numFmtId="0" fontId="93" fillId="0" borderId="0" xfId="137" quotePrefix="1" applyFont="1"/>
    <xf numFmtId="0" fontId="95" fillId="0" borderId="0" xfId="137" applyFont="1" applyAlignment="1">
      <alignment horizontal="center"/>
    </xf>
    <xf numFmtId="0" fontId="94" fillId="0" borderId="0" xfId="137" applyFont="1" applyAlignment="1">
      <alignment horizontal="center"/>
    </xf>
    <xf numFmtId="0" fontId="93" fillId="0" borderId="0" xfId="137" applyFont="1" applyAlignment="1">
      <alignment vertical="center"/>
    </xf>
    <xf numFmtId="0" fontId="97" fillId="0" borderId="0" xfId="142" applyFont="1"/>
    <xf numFmtId="49" fontId="39" fillId="0" borderId="0" xfId="142" applyNumberFormat="1" applyAlignment="1">
      <alignment horizontal="right"/>
    </xf>
    <xf numFmtId="0" fontId="97" fillId="0" borderId="0" xfId="137" applyFont="1"/>
    <xf numFmtId="0" fontId="94" fillId="0" borderId="0" xfId="137" applyFont="1" applyAlignment="1">
      <alignment horizontal="center" vertical="top"/>
    </xf>
    <xf numFmtId="49" fontId="39" fillId="0" borderId="0" xfId="137" applyNumberFormat="1" applyFont="1" applyAlignment="1">
      <alignment horizontal="right"/>
    </xf>
    <xf numFmtId="0" fontId="98" fillId="0" borderId="0" xfId="137" applyFont="1" applyAlignment="1">
      <alignment horizontal="right"/>
    </xf>
    <xf numFmtId="0" fontId="98" fillId="0" borderId="0" xfId="137" applyFont="1"/>
    <xf numFmtId="0" fontId="20" fillId="0" borderId="0" xfId="137" applyFont="1"/>
    <xf numFmtId="0" fontId="99" fillId="0" borderId="0" xfId="137" applyFont="1" applyAlignment="1">
      <alignment vertical="center" wrapText="1"/>
    </xf>
    <xf numFmtId="0" fontId="99" fillId="0" borderId="0" xfId="137" quotePrefix="1" applyFont="1" applyAlignment="1">
      <alignment horizontal="justify" vertical="center"/>
    </xf>
    <xf numFmtId="0" fontId="99" fillId="0" borderId="0" xfId="137" applyFont="1" applyAlignment="1">
      <alignment horizontal="justify" vertical="center"/>
    </xf>
    <xf numFmtId="0" fontId="35" fillId="0" borderId="0" xfId="141" applyFont="1"/>
    <xf numFmtId="0" fontId="35" fillId="0" borderId="0" xfId="141" applyFont="1" applyAlignment="1">
      <alignment horizontal="right"/>
    </xf>
    <xf numFmtId="0" fontId="99" fillId="0" borderId="0" xfId="137" applyFont="1" applyAlignment="1">
      <alignment vertical="center"/>
    </xf>
    <xf numFmtId="0" fontId="35" fillId="0" borderId="0" xfId="141" applyFont="1" applyAlignment="1">
      <alignment horizontal="left"/>
    </xf>
    <xf numFmtId="0" fontId="100" fillId="0" borderId="0" xfId="137" applyFont="1" applyAlignment="1">
      <alignment horizontal="right"/>
    </xf>
    <xf numFmtId="0" fontId="101" fillId="0" borderId="11" xfId="137" applyFont="1" applyBorder="1" applyAlignment="1">
      <alignment horizontal="center" vertical="center"/>
    </xf>
    <xf numFmtId="0" fontId="101" fillId="0" borderId="14" xfId="137" applyFont="1" applyBorder="1" applyAlignment="1">
      <alignment horizontal="center" vertical="center"/>
    </xf>
    <xf numFmtId="0" fontId="18" fillId="0" borderId="0" xfId="137" applyAlignment="1">
      <alignment horizontal="center" vertical="center"/>
    </xf>
    <xf numFmtId="0" fontId="101" fillId="0" borderId="11" xfId="137" applyFont="1" applyBorder="1" applyAlignment="1">
      <alignment horizontal="center"/>
    </xf>
    <xf numFmtId="0" fontId="101" fillId="0" borderId="14" xfId="137" applyFont="1" applyBorder="1" applyAlignment="1">
      <alignment horizontal="center"/>
    </xf>
    <xf numFmtId="0" fontId="102" fillId="0" borderId="0" xfId="137" applyFont="1" applyAlignment="1">
      <alignment horizontal="center"/>
    </xf>
    <xf numFmtId="166" fontId="39" fillId="0" borderId="0" xfId="143" applyNumberFormat="1" applyFont="1" applyAlignment="1">
      <alignment horizontal="right"/>
    </xf>
    <xf numFmtId="0" fontId="103" fillId="0" borderId="0" xfId="137" applyFont="1" applyAlignment="1">
      <alignment horizontal="right" vertical="top"/>
    </xf>
    <xf numFmtId="0" fontId="103" fillId="0" borderId="0" xfId="137" applyFont="1" applyAlignment="1">
      <alignment horizontal="left" vertical="top" wrapText="1"/>
    </xf>
    <xf numFmtId="0" fontId="99" fillId="0" borderId="0" xfId="137" applyFont="1" applyAlignment="1">
      <alignment horizontal="right"/>
    </xf>
    <xf numFmtId="0" fontId="99" fillId="0" borderId="0" xfId="137" applyFont="1" applyAlignment="1">
      <alignment horizontal="right" vertical="top" wrapText="1"/>
    </xf>
    <xf numFmtId="0" fontId="99" fillId="0" borderId="0" xfId="137" applyFont="1" applyAlignment="1">
      <alignment horizontal="left" vertical="top" wrapText="1"/>
    </xf>
    <xf numFmtId="0" fontId="99" fillId="0" borderId="0" xfId="137" applyFont="1" applyAlignment="1">
      <alignment horizontal="right" wrapText="1"/>
    </xf>
    <xf numFmtId="0" fontId="99" fillId="0" borderId="0" xfId="137" applyFont="1" applyAlignment="1">
      <alignment horizontal="justify" vertical="top"/>
    </xf>
    <xf numFmtId="4" fontId="99" fillId="0" borderId="0" xfId="137" applyNumberFormat="1" applyFont="1" applyAlignment="1">
      <alignment horizontal="right"/>
    </xf>
    <xf numFmtId="0" fontId="99" fillId="0" borderId="0" xfId="137" applyFont="1" applyAlignment="1">
      <alignment horizontal="left"/>
    </xf>
    <xf numFmtId="0" fontId="99" fillId="0" borderId="0" xfId="137" applyFont="1" applyAlignment="1">
      <alignment horizontal="right" vertical="top"/>
    </xf>
    <xf numFmtId="0" fontId="104" fillId="0" borderId="0" xfId="137" applyFont="1" applyAlignment="1">
      <alignment vertical="top" wrapText="1"/>
    </xf>
    <xf numFmtId="0" fontId="99" fillId="0" borderId="0" xfId="137" applyFont="1" applyAlignment="1">
      <alignment vertical="top" wrapText="1"/>
    </xf>
    <xf numFmtId="0" fontId="99" fillId="0" borderId="0" xfId="137" applyFont="1" applyAlignment="1">
      <alignment horizontal="left" wrapText="1"/>
    </xf>
    <xf numFmtId="0" fontId="99" fillId="0" borderId="0" xfId="137" quotePrefix="1" applyFont="1" applyAlignment="1">
      <alignment vertical="top" wrapText="1"/>
    </xf>
    <xf numFmtId="0" fontId="104" fillId="0" borderId="0" xfId="137" applyFont="1" applyAlignment="1">
      <alignment horizontal="right" wrapText="1"/>
    </xf>
    <xf numFmtId="49" fontId="99" fillId="0" borderId="0" xfId="137" applyNumberFormat="1" applyFont="1" applyAlignment="1">
      <alignment horizontal="left" vertical="top" wrapText="1"/>
    </xf>
    <xf numFmtId="49" fontId="99" fillId="0" borderId="4" xfId="137" applyNumberFormat="1" applyFont="1" applyBorder="1" applyAlignment="1">
      <alignment horizontal="right" vertical="top" wrapText="1"/>
    </xf>
    <xf numFmtId="0" fontId="99" fillId="0" borderId="4" xfId="137" applyFont="1" applyBorder="1" applyAlignment="1">
      <alignment horizontal="left" vertical="top" wrapText="1"/>
    </xf>
    <xf numFmtId="0" fontId="99" fillId="0" borderId="4" xfId="137" applyFont="1" applyBorder="1" applyAlignment="1">
      <alignment horizontal="right"/>
    </xf>
    <xf numFmtId="0" fontId="99" fillId="0" borderId="3" xfId="137" applyFont="1" applyBorder="1" applyAlignment="1">
      <alignment horizontal="right" vertical="top"/>
    </xf>
    <xf numFmtId="0" fontId="99" fillId="0" borderId="3" xfId="137" applyFont="1" applyBorder="1" applyAlignment="1">
      <alignment horizontal="left" vertical="top" wrapText="1"/>
    </xf>
    <xf numFmtId="0" fontId="99" fillId="0" borderId="3" xfId="137" applyFont="1" applyBorder="1" applyAlignment="1">
      <alignment horizontal="right"/>
    </xf>
    <xf numFmtId="0" fontId="18" fillId="0" borderId="0" xfId="137" applyAlignment="1">
      <alignment horizontal="right" vertical="top"/>
    </xf>
    <xf numFmtId="0" fontId="18" fillId="0" borderId="0" xfId="137" applyAlignment="1">
      <alignment horizontal="left" vertical="top" wrapText="1"/>
    </xf>
    <xf numFmtId="0" fontId="18" fillId="0" borderId="0" xfId="137" applyAlignment="1">
      <alignment horizontal="center"/>
    </xf>
    <xf numFmtId="166" fontId="18" fillId="0" borderId="0" xfId="137" applyNumberFormat="1"/>
    <xf numFmtId="168" fontId="18" fillId="0" borderId="0" xfId="143" applyNumberFormat="1" applyFont="1" applyAlignment="1">
      <alignment horizontal="right"/>
    </xf>
    <xf numFmtId="0" fontId="103" fillId="0" borderId="0" xfId="137" applyFont="1" applyAlignment="1">
      <alignment vertical="top" wrapText="1"/>
    </xf>
    <xf numFmtId="0" fontId="104" fillId="0" borderId="0" xfId="137" applyFont="1" applyAlignment="1">
      <alignment horizontal="right"/>
    </xf>
    <xf numFmtId="0" fontId="104" fillId="0" borderId="0" xfId="137" applyFont="1" applyAlignment="1">
      <alignment horizontal="right" vertical="top"/>
    </xf>
    <xf numFmtId="168" fontId="99" fillId="0" borderId="0" xfId="137" applyNumberFormat="1" applyFont="1" applyAlignment="1">
      <alignment horizontal="right"/>
    </xf>
    <xf numFmtId="0" fontId="41" fillId="0" borderId="0" xfId="137" applyFont="1" applyAlignment="1">
      <alignment vertical="center"/>
    </xf>
    <xf numFmtId="0" fontId="99" fillId="0" borderId="0" xfId="127" applyFont="1" applyAlignment="1">
      <alignment vertical="top" wrapText="1"/>
    </xf>
    <xf numFmtId="0" fontId="27" fillId="0" borderId="0" xfId="137" applyFont="1" applyAlignment="1">
      <alignment vertical="center"/>
    </xf>
    <xf numFmtId="0" fontId="103" fillId="0" borderId="0" xfId="137" applyFont="1" applyAlignment="1">
      <alignment horizontal="justify" vertical="top" wrapText="1"/>
    </xf>
    <xf numFmtId="0" fontId="27" fillId="0" borderId="0" xfId="137" applyFont="1"/>
    <xf numFmtId="0" fontId="99" fillId="0" borderId="0" xfId="137" applyFont="1" applyAlignment="1">
      <alignment horizontal="justify" vertical="top" wrapText="1"/>
    </xf>
    <xf numFmtId="166" fontId="18" fillId="0" borderId="0" xfId="143" applyNumberFormat="1" applyFont="1" applyAlignment="1">
      <alignment horizontal="right"/>
    </xf>
    <xf numFmtId="0" fontId="99" fillId="0" borderId="0" xfId="137" quotePrefix="1" applyFont="1" applyAlignment="1">
      <alignment horizontal="justify" vertical="top" wrapText="1"/>
    </xf>
    <xf numFmtId="4" fontId="93" fillId="0" borderId="0" xfId="137" applyNumberFormat="1" applyFont="1"/>
    <xf numFmtId="0" fontId="18" fillId="0" borderId="0" xfId="137" applyAlignment="1">
      <alignment vertical="center"/>
    </xf>
    <xf numFmtId="0" fontId="99" fillId="0" borderId="0" xfId="137" applyFont="1"/>
    <xf numFmtId="4" fontId="99" fillId="0" borderId="0" xfId="72" applyNumberFormat="1" applyFont="1" applyAlignment="1">
      <alignment horizontal="right"/>
    </xf>
    <xf numFmtId="0" fontId="99" fillId="0" borderId="3" xfId="137" applyFont="1" applyBorder="1" applyAlignment="1">
      <alignment vertical="top" wrapText="1"/>
    </xf>
    <xf numFmtId="4" fontId="99" fillId="0" borderId="3" xfId="137" applyNumberFormat="1" applyFont="1" applyBorder="1" applyAlignment="1">
      <alignment horizontal="right"/>
    </xf>
    <xf numFmtId="0" fontId="99" fillId="0" borderId="4" xfId="137" applyFont="1" applyBorder="1" applyAlignment="1">
      <alignment horizontal="right" vertical="top"/>
    </xf>
    <xf numFmtId="0" fontId="99" fillId="0" borderId="4" xfId="137" applyFont="1" applyBorder="1" applyAlignment="1">
      <alignment vertical="top" wrapText="1"/>
    </xf>
    <xf numFmtId="4" fontId="99" fillId="0" borderId="4" xfId="137" applyNumberFormat="1" applyFont="1" applyBorder="1" applyAlignment="1">
      <alignment horizontal="right"/>
    </xf>
    <xf numFmtId="0" fontId="18" fillId="0" borderId="0" xfId="137" applyAlignment="1">
      <alignment wrapText="1"/>
    </xf>
    <xf numFmtId="185" fontId="18" fillId="0" borderId="0" xfId="137" applyNumberFormat="1"/>
    <xf numFmtId="0" fontId="103" fillId="0" borderId="0" xfId="137" applyFont="1" applyAlignment="1">
      <alignment horizontal="right" vertical="top" wrapText="1"/>
    </xf>
    <xf numFmtId="0" fontId="99" fillId="0" borderId="0" xfId="137" applyFont="1" applyAlignment="1">
      <alignment wrapText="1"/>
    </xf>
    <xf numFmtId="0" fontId="104" fillId="0" borderId="0" xfId="137" applyFont="1" applyAlignment="1">
      <alignment horizontal="right" vertical="top" wrapText="1"/>
    </xf>
    <xf numFmtId="0" fontId="104" fillId="0" borderId="0" xfId="137" applyFont="1" applyAlignment="1">
      <alignment wrapText="1"/>
    </xf>
    <xf numFmtId="4" fontId="99" fillId="0" borderId="0" xfId="71" applyNumberFormat="1" applyFont="1"/>
    <xf numFmtId="0" fontId="106" fillId="0" borderId="0" xfId="137" applyFont="1" applyAlignment="1">
      <alignment vertical="top" wrapText="1"/>
    </xf>
    <xf numFmtId="0" fontId="99" fillId="0" borderId="0" xfId="128" applyFont="1" applyAlignment="1">
      <alignment vertical="top" wrapText="1"/>
    </xf>
    <xf numFmtId="0" fontId="18" fillId="0" borderId="0" xfId="128"/>
    <xf numFmtId="16" fontId="99" fillId="0" borderId="0" xfId="128" quotePrefix="1" applyNumberFormat="1" applyFont="1" applyAlignment="1">
      <alignment horizontal="right" vertical="top"/>
    </xf>
    <xf numFmtId="0" fontId="99" fillId="0" borderId="0" xfId="128" applyFont="1" applyAlignment="1">
      <alignment horizontal="right"/>
    </xf>
    <xf numFmtId="0" fontId="99" fillId="0" borderId="0" xfId="128" quotePrefix="1" applyFont="1" applyAlignment="1">
      <alignment horizontal="right" vertical="top"/>
    </xf>
    <xf numFmtId="0" fontId="99" fillId="0" borderId="0" xfId="128" applyFont="1" applyAlignment="1">
      <alignment horizontal="right" vertical="top"/>
    </xf>
    <xf numFmtId="0" fontId="41" fillId="0" borderId="0" xfId="137" applyFont="1"/>
    <xf numFmtId="0" fontId="99" fillId="0" borderId="0" xfId="128" quotePrefix="1" applyFont="1" applyAlignment="1">
      <alignment vertical="top" wrapText="1"/>
    </xf>
    <xf numFmtId="0" fontId="99" fillId="0" borderId="0" xfId="86" quotePrefix="1" applyFont="1" applyAlignment="1">
      <alignment vertical="top" wrapText="1"/>
    </xf>
    <xf numFmtId="0" fontId="99" fillId="0" borderId="3" xfId="137" applyFont="1" applyBorder="1" applyAlignment="1">
      <alignment horizontal="right" vertical="top" wrapText="1"/>
    </xf>
    <xf numFmtId="0" fontId="99" fillId="0" borderId="3" xfId="137" applyFont="1" applyBorder="1" applyAlignment="1">
      <alignment horizontal="right" wrapText="1"/>
    </xf>
    <xf numFmtId="0" fontId="99" fillId="0" borderId="3" xfId="137" applyFont="1" applyBorder="1" applyAlignment="1">
      <alignment wrapText="1"/>
    </xf>
    <xf numFmtId="0" fontId="103" fillId="0" borderId="0" xfId="137" applyFont="1" applyAlignment="1">
      <alignment horizontal="left" vertical="top"/>
    </xf>
    <xf numFmtId="0" fontId="99" fillId="0" borderId="3" xfId="137" applyFont="1" applyBorder="1" applyAlignment="1">
      <alignment horizontal="left" wrapText="1"/>
    </xf>
    <xf numFmtId="0" fontId="99" fillId="0" borderId="0" xfId="129" applyFont="1" applyAlignment="1">
      <alignment horizontal="right"/>
    </xf>
    <xf numFmtId="0" fontId="99" fillId="0" borderId="0" xfId="130" applyFont="1" applyAlignment="1">
      <alignment horizontal="left" vertical="top" wrapText="1"/>
    </xf>
    <xf numFmtId="0" fontId="99" fillId="0" borderId="0" xfId="137" applyFont="1" applyAlignment="1">
      <alignment horizontal="left" vertical="top"/>
    </xf>
    <xf numFmtId="0" fontId="99" fillId="0" borderId="0" xfId="73" applyFont="1" applyAlignment="1">
      <alignment horizontal="right" vertical="top"/>
    </xf>
    <xf numFmtId="0" fontId="99" fillId="0" borderId="0" xfId="73" applyFont="1" applyAlignment="1">
      <alignment vertical="top" wrapText="1"/>
    </xf>
    <xf numFmtId="0" fontId="99" fillId="0" borderId="0" xfId="73" applyFont="1" applyAlignment="1">
      <alignment horizontal="right"/>
    </xf>
    <xf numFmtId="0" fontId="99" fillId="0" borderId="0" xfId="73" applyFont="1" applyAlignment="1">
      <alignment horizontal="left"/>
    </xf>
    <xf numFmtId="0" fontId="99" fillId="0" borderId="3" xfId="73" applyFont="1" applyBorder="1" applyAlignment="1">
      <alignment vertical="top" wrapText="1"/>
    </xf>
    <xf numFmtId="0" fontId="99" fillId="0" borderId="3" xfId="73" applyFont="1" applyBorder="1" applyAlignment="1">
      <alignment horizontal="right"/>
    </xf>
    <xf numFmtId="0" fontId="99" fillId="0" borderId="3" xfId="73" applyFont="1" applyBorder="1" applyAlignment="1">
      <alignment horizontal="left"/>
    </xf>
    <xf numFmtId="0" fontId="37" fillId="0" borderId="0" xfId="73" applyFont="1"/>
    <xf numFmtId="4" fontId="93" fillId="0" borderId="0" xfId="137" applyNumberFormat="1" applyFont="1" applyAlignment="1">
      <alignment horizontal="right"/>
    </xf>
    <xf numFmtId="0" fontId="99" fillId="0" borderId="0" xfId="137" applyFont="1" applyAlignment="1">
      <alignment vertical="top"/>
    </xf>
    <xf numFmtId="0" fontId="107" fillId="0" borderId="0" xfId="131" applyFont="1" applyAlignment="1">
      <alignment horizontal="right" vertical="top"/>
    </xf>
    <xf numFmtId="0" fontId="107" fillId="0" borderId="0" xfId="131" applyFont="1" applyAlignment="1">
      <alignment vertical="top" wrapText="1"/>
    </xf>
    <xf numFmtId="0" fontId="99" fillId="0" borderId="0" xfId="131" applyFont="1" applyAlignment="1">
      <alignment horizontal="right"/>
    </xf>
    <xf numFmtId="0" fontId="18" fillId="0" borderId="0" xfId="131"/>
    <xf numFmtId="0" fontId="104" fillId="0" borderId="0" xfId="131" applyFont="1" applyAlignment="1">
      <alignment horizontal="right"/>
    </xf>
    <xf numFmtId="0" fontId="107" fillId="0" borderId="0" xfId="131" quotePrefix="1" applyFont="1" applyAlignment="1">
      <alignment vertical="top" wrapText="1"/>
    </xf>
    <xf numFmtId="0" fontId="99" fillId="0" borderId="0" xfId="131" quotePrefix="1" applyFont="1" applyAlignment="1">
      <alignment horizontal="left" vertical="top" wrapText="1"/>
    </xf>
    <xf numFmtId="0" fontId="104" fillId="0" borderId="0" xfId="131" applyFont="1" applyAlignment="1">
      <alignment horizontal="right" vertical="top"/>
    </xf>
    <xf numFmtId="0" fontId="99" fillId="0" borderId="3" xfId="131" quotePrefix="1" applyFont="1" applyBorder="1" applyAlignment="1">
      <alignment vertical="top"/>
    </xf>
    <xf numFmtId="0" fontId="99" fillId="0" borderId="3" xfId="131" applyFont="1" applyBorder="1" applyAlignment="1">
      <alignment horizontal="right"/>
    </xf>
    <xf numFmtId="0" fontId="93" fillId="0" borderId="0" xfId="131" applyFont="1"/>
    <xf numFmtId="0" fontId="107" fillId="0" borderId="0" xfId="131" applyFont="1" applyAlignment="1">
      <alignment vertical="center" wrapText="1"/>
    </xf>
    <xf numFmtId="0" fontId="107" fillId="0" borderId="0" xfId="131" applyFont="1" applyAlignment="1">
      <alignment horizontal="right"/>
    </xf>
    <xf numFmtId="0" fontId="108" fillId="0" borderId="0" xfId="131" applyFont="1" applyAlignment="1">
      <alignment horizontal="right" vertical="top"/>
    </xf>
    <xf numFmtId="0" fontId="108" fillId="0" borderId="0" xfId="131" applyFont="1" applyAlignment="1">
      <alignment vertical="center" wrapText="1"/>
    </xf>
    <xf numFmtId="0" fontId="108" fillId="0" borderId="0" xfId="131" applyFont="1" applyAlignment="1">
      <alignment horizontal="right"/>
    </xf>
    <xf numFmtId="0" fontId="99" fillId="0" borderId="0" xfId="131" applyFont="1" applyAlignment="1">
      <alignment horizontal="right" vertical="top"/>
    </xf>
    <xf numFmtId="0" fontId="99" fillId="0" borderId="0" xfId="131" applyFont="1" applyAlignment="1">
      <alignment horizontal="justify" vertical="center" wrapText="1"/>
    </xf>
    <xf numFmtId="0" fontId="99" fillId="0" borderId="3" xfId="131" applyFont="1" applyBorder="1" applyAlignment="1">
      <alignment horizontal="justify" vertical="center" wrapText="1"/>
    </xf>
    <xf numFmtId="0" fontId="110" fillId="0" borderId="0" xfId="131" applyFont="1" applyAlignment="1">
      <alignment vertical="center" wrapText="1"/>
    </xf>
    <xf numFmtId="0" fontId="99" fillId="0" borderId="0" xfId="137" quotePrefix="1" applyFont="1" applyAlignment="1">
      <alignment horizontal="left" vertical="top" wrapText="1"/>
    </xf>
    <xf numFmtId="0" fontId="104" fillId="0" borderId="0" xfId="137" applyFont="1" applyAlignment="1">
      <alignment vertical="top"/>
    </xf>
    <xf numFmtId="0" fontId="103" fillId="0" borderId="0" xfId="137" applyFont="1" applyAlignment="1">
      <alignment horizontal="center"/>
    </xf>
    <xf numFmtId="0" fontId="33" fillId="0" borderId="0" xfId="137" applyFont="1" applyAlignment="1">
      <alignment vertical="center"/>
    </xf>
    <xf numFmtId="0" fontId="33" fillId="0" borderId="0" xfId="137" applyFont="1" applyAlignment="1">
      <alignment horizontal="center" vertical="center"/>
    </xf>
    <xf numFmtId="0" fontId="33" fillId="0" borderId="0" xfId="137" applyFont="1" applyAlignment="1">
      <alignment horizontal="left" vertical="center"/>
    </xf>
    <xf numFmtId="7" fontId="33" fillId="0" borderId="0" xfId="137" applyNumberFormat="1" applyFont="1" applyAlignment="1">
      <alignment vertical="center"/>
    </xf>
    <xf numFmtId="0" fontId="99" fillId="0" borderId="0" xfId="137" applyFont="1" applyAlignment="1">
      <alignment horizontal="justify"/>
    </xf>
    <xf numFmtId="7" fontId="18" fillId="0" borderId="0" xfId="137" applyNumberFormat="1" applyAlignment="1">
      <alignment vertical="center"/>
    </xf>
    <xf numFmtId="0" fontId="99" fillId="0" borderId="3" xfId="137" applyFont="1" applyBorder="1"/>
    <xf numFmtId="168" fontId="99" fillId="0" borderId="3" xfId="137" applyNumberFormat="1" applyFont="1" applyBorder="1" applyAlignment="1">
      <alignment horizontal="right"/>
    </xf>
    <xf numFmtId="0" fontId="103" fillId="0" borderId="0" xfId="137" applyFont="1"/>
    <xf numFmtId="0" fontId="18" fillId="0" borderId="0" xfId="137" applyAlignment="1">
      <alignment horizontal="right" vertical="center"/>
    </xf>
    <xf numFmtId="0" fontId="18" fillId="0" borderId="0" xfId="137" applyAlignment="1">
      <alignment horizontal="left" vertical="center"/>
    </xf>
    <xf numFmtId="0" fontId="20" fillId="0" borderId="0" xfId="137" applyFont="1" applyAlignment="1">
      <alignment vertical="center"/>
    </xf>
    <xf numFmtId="0" fontId="20" fillId="0" borderId="0" xfId="137" applyFont="1" applyAlignment="1">
      <alignment horizontal="right"/>
    </xf>
    <xf numFmtId="14" fontId="20" fillId="0" borderId="0" xfId="137" applyNumberFormat="1" applyFont="1" applyAlignment="1">
      <alignment horizontal="left"/>
    </xf>
    <xf numFmtId="0" fontId="39" fillId="0" borderId="0" xfId="141" applyFont="1" applyAlignment="1">
      <alignment horizontal="center"/>
    </xf>
    <xf numFmtId="0" fontId="113" fillId="0" borderId="0" xfId="137" applyFont="1" applyAlignment="1">
      <alignment horizontal="left" vertical="center"/>
    </xf>
    <xf numFmtId="49" fontId="114" fillId="0" borderId="16" xfId="137" applyNumberFormat="1" applyFont="1" applyBorder="1" applyAlignment="1">
      <alignment horizontal="left" vertical="top"/>
    </xf>
    <xf numFmtId="0" fontId="114" fillId="0" borderId="0" xfId="137" applyFont="1" applyAlignment="1">
      <alignment horizontal="left" vertical="center"/>
    </xf>
    <xf numFmtId="49" fontId="114" fillId="0" borderId="19" xfId="137" applyNumberFormat="1" applyFont="1" applyBorder="1" applyAlignment="1">
      <alignment horizontal="left" vertical="top"/>
    </xf>
    <xf numFmtId="49" fontId="114" fillId="0" borderId="21" xfId="137" applyNumberFormat="1" applyFont="1" applyBorder="1" applyAlignment="1">
      <alignment horizontal="center" vertical="top"/>
    </xf>
    <xf numFmtId="0" fontId="114" fillId="0" borderId="0" xfId="137" applyFont="1"/>
    <xf numFmtId="0" fontId="113" fillId="0" borderId="0" xfId="137" applyFont="1"/>
    <xf numFmtId="49" fontId="113" fillId="0" borderId="24" xfId="137" applyNumberFormat="1" applyFont="1" applyBorder="1" applyAlignment="1">
      <alignment vertical="top" wrapText="1"/>
    </xf>
    <xf numFmtId="0" fontId="117" fillId="0" borderId="0" xfId="137" applyFont="1" applyAlignment="1">
      <alignment horizontal="center" vertical="center"/>
    </xf>
    <xf numFmtId="0" fontId="116" fillId="0" borderId="0" xfId="137" applyFont="1"/>
    <xf numFmtId="1" fontId="117" fillId="0" borderId="14" xfId="137" applyNumberFormat="1" applyFont="1" applyBorder="1" applyAlignment="1">
      <alignment horizontal="center" vertical="top" wrapText="1"/>
    </xf>
    <xf numFmtId="0" fontId="117" fillId="0" borderId="14" xfId="137" applyFont="1" applyBorder="1" applyAlignment="1">
      <alignment horizontal="center" vertical="top" wrapText="1"/>
    </xf>
    <xf numFmtId="0" fontId="117" fillId="0" borderId="14" xfId="137" applyFont="1" applyBorder="1" applyAlignment="1">
      <alignment horizontal="center" vertical="center" wrapText="1"/>
    </xf>
    <xf numFmtId="183" fontId="117" fillId="0" borderId="14" xfId="137" applyNumberFormat="1" applyFont="1" applyBorder="1" applyAlignment="1">
      <alignment horizontal="center" vertical="center"/>
    </xf>
    <xf numFmtId="4" fontId="117" fillId="0" borderId="14" xfId="137" applyNumberFormat="1" applyFont="1" applyBorder="1" applyAlignment="1" applyProtection="1">
      <alignment horizontal="center" vertical="center" wrapText="1"/>
      <protection locked="0"/>
    </xf>
    <xf numFmtId="4" fontId="117" fillId="0" borderId="14" xfId="137" applyNumberFormat="1" applyFont="1" applyBorder="1" applyAlignment="1">
      <alignment horizontal="center" vertical="center" wrapText="1"/>
    </xf>
    <xf numFmtId="1" fontId="116" fillId="0" borderId="12" xfId="137" applyNumberFormat="1" applyFont="1" applyBorder="1" applyAlignment="1">
      <alignment horizontal="center" vertical="top"/>
    </xf>
    <xf numFmtId="0" fontId="116" fillId="0" borderId="12" xfId="137" applyFont="1" applyBorder="1" applyAlignment="1">
      <alignment horizontal="left" vertical="top" wrapText="1"/>
    </xf>
    <xf numFmtId="0" fontId="116" fillId="0" borderId="12" xfId="137" applyFont="1" applyBorder="1" applyAlignment="1">
      <alignment horizontal="center"/>
    </xf>
    <xf numFmtId="183" fontId="116" fillId="0" borderId="12" xfId="137" applyNumberFormat="1" applyFont="1" applyBorder="1" applyAlignment="1">
      <alignment horizontal="right"/>
    </xf>
    <xf numFmtId="4" fontId="116" fillId="0" borderId="12" xfId="137" applyNumberFormat="1" applyFont="1" applyBorder="1" applyAlignment="1" applyProtection="1">
      <alignment horizontal="right"/>
      <protection locked="0"/>
    </xf>
    <xf numFmtId="4" fontId="116" fillId="0" borderId="12" xfId="137" applyNumberFormat="1" applyFont="1" applyBorder="1" applyAlignment="1">
      <alignment horizontal="right"/>
    </xf>
    <xf numFmtId="1" fontId="118" fillId="0" borderId="14" xfId="137" applyNumberFormat="1" applyFont="1" applyBorder="1" applyAlignment="1">
      <alignment horizontal="center" vertical="top"/>
    </xf>
    <xf numFmtId="0" fontId="112" fillId="0" borderId="0" xfId="137" applyFont="1" applyAlignment="1">
      <alignment vertical="center"/>
    </xf>
    <xf numFmtId="0" fontId="113" fillId="0" borderId="0" xfId="137" applyFont="1" applyAlignment="1">
      <alignment vertical="center"/>
    </xf>
    <xf numFmtId="1" fontId="119" fillId="0" borderId="0" xfId="137" applyNumberFormat="1" applyFont="1" applyAlignment="1">
      <alignment horizontal="center" vertical="top"/>
    </xf>
    <xf numFmtId="0" fontId="119" fillId="0" borderId="0" xfId="137" applyFont="1" applyAlignment="1">
      <alignment horizontal="left" vertical="top" wrapText="1"/>
    </xf>
    <xf numFmtId="0" fontId="119" fillId="0" borderId="0" xfId="137" applyFont="1" applyAlignment="1">
      <alignment horizontal="center"/>
    </xf>
    <xf numFmtId="183" fontId="119" fillId="0" borderId="0" xfId="137" applyNumberFormat="1" applyFont="1" applyAlignment="1">
      <alignment horizontal="right"/>
    </xf>
    <xf numFmtId="4" fontId="120" fillId="0" borderId="0" xfId="137" applyNumberFormat="1" applyFont="1" applyAlignment="1" applyProtection="1">
      <alignment horizontal="right"/>
      <protection locked="0"/>
    </xf>
    <xf numFmtId="4" fontId="116" fillId="0" borderId="0" xfId="144" applyNumberFormat="1" applyFont="1" applyFill="1" applyBorder="1" applyAlignment="1" applyProtection="1">
      <alignment horizontal="right"/>
    </xf>
    <xf numFmtId="49" fontId="115" fillId="0" borderId="14" xfId="137" applyNumberFormat="1" applyFont="1" applyBorder="1" applyAlignment="1">
      <alignment horizontal="center" vertical="top"/>
    </xf>
    <xf numFmtId="49" fontId="116" fillId="0" borderId="0" xfId="137" applyNumberFormat="1" applyFont="1" applyAlignment="1">
      <alignment horizontal="center" vertical="top"/>
    </xf>
    <xf numFmtId="0" fontId="116" fillId="0" borderId="0" xfId="137" applyFont="1" applyAlignment="1">
      <alignment vertical="top" wrapText="1"/>
    </xf>
    <xf numFmtId="182" fontId="116" fillId="0" borderId="0" xfId="144" applyFont="1" applyFill="1" applyBorder="1" applyAlignment="1" applyProtection="1">
      <alignment horizontal="center"/>
    </xf>
    <xf numFmtId="183" fontId="116" fillId="0" borderId="0" xfId="137" applyNumberFormat="1" applyFont="1" applyAlignment="1">
      <alignment horizontal="right"/>
    </xf>
    <xf numFmtId="0" fontId="32" fillId="0" borderId="0" xfId="137" applyFont="1"/>
    <xf numFmtId="0" fontId="116" fillId="0" borderId="0" xfId="137" applyFont="1" applyAlignment="1">
      <alignment horizontal="left" vertical="top" wrapText="1"/>
    </xf>
    <xf numFmtId="0" fontId="115" fillId="0" borderId="14" xfId="137" applyFont="1" applyBorder="1" applyAlignment="1">
      <alignment horizontal="left" vertical="top" wrapText="1"/>
    </xf>
    <xf numFmtId="0" fontId="122" fillId="0" borderId="0" xfId="137" applyFont="1"/>
    <xf numFmtId="49" fontId="122" fillId="0" borderId="0" xfId="137" applyNumberFormat="1" applyFont="1" applyAlignment="1">
      <alignment horizontal="center" vertical="top"/>
    </xf>
    <xf numFmtId="0" fontId="122" fillId="0" borderId="0" xfId="137" applyFont="1" applyAlignment="1">
      <alignment vertical="top" wrapText="1"/>
    </xf>
    <xf numFmtId="182" fontId="122" fillId="0" borderId="0" xfId="144" applyFont="1" applyFill="1" applyBorder="1" applyAlignment="1" applyProtection="1">
      <alignment horizontal="center"/>
    </xf>
    <xf numFmtId="183" fontId="122" fillId="0" borderId="0" xfId="137" applyNumberFormat="1" applyFont="1" applyAlignment="1">
      <alignment horizontal="right"/>
    </xf>
    <xf numFmtId="49" fontId="123" fillId="0" borderId="0" xfId="137" applyNumberFormat="1" applyFont="1" applyAlignment="1">
      <alignment horizontal="center" vertical="top"/>
    </xf>
    <xf numFmtId="0" fontId="123" fillId="0" borderId="0" xfId="137" applyFont="1" applyAlignment="1" applyProtection="1">
      <alignment horizontal="left" vertical="top" wrapText="1"/>
      <protection locked="0"/>
    </xf>
    <xf numFmtId="182" fontId="123" fillId="0" borderId="0" xfId="144" applyFont="1" applyFill="1" applyBorder="1" applyAlignment="1" applyProtection="1">
      <alignment horizontal="center"/>
    </xf>
    <xf numFmtId="183" fontId="123" fillId="0" borderId="0" xfId="137" applyNumberFormat="1" applyFont="1" applyAlignment="1">
      <alignment horizontal="right"/>
    </xf>
    <xf numFmtId="0" fontId="123" fillId="0" borderId="0" xfId="137" applyFont="1"/>
    <xf numFmtId="4" fontId="123" fillId="0" borderId="0" xfId="137" applyNumberFormat="1" applyFont="1"/>
    <xf numFmtId="0" fontId="123" fillId="0" borderId="0" xfId="137" applyFont="1" applyAlignment="1">
      <alignment vertical="top" wrapText="1"/>
    </xf>
    <xf numFmtId="1" fontId="115" fillId="0" borderId="14" xfId="137" applyNumberFormat="1" applyFont="1" applyBorder="1" applyAlignment="1">
      <alignment horizontal="center" vertical="top"/>
    </xf>
    <xf numFmtId="1" fontId="112" fillId="0" borderId="25" xfId="137" applyNumberFormat="1" applyFont="1" applyBorder="1" applyAlignment="1">
      <alignment horizontal="center" vertical="center"/>
    </xf>
    <xf numFmtId="0" fontId="116" fillId="0" borderId="0" xfId="137" applyFont="1" applyAlignment="1">
      <alignment horizontal="center" vertical="top" wrapText="1"/>
    </xf>
    <xf numFmtId="49" fontId="116" fillId="0" borderId="0" xfId="145" applyNumberFormat="1" applyFont="1" applyAlignment="1">
      <alignment vertical="top"/>
    </xf>
    <xf numFmtId="0" fontId="116" fillId="0" borderId="0" xfId="137" applyFont="1" applyAlignment="1">
      <alignment horizontal="justify" vertical="center" wrapText="1"/>
    </xf>
    <xf numFmtId="4" fontId="116" fillId="0" borderId="0" xfId="137" applyNumberFormat="1" applyFont="1" applyAlignment="1">
      <alignment horizontal="justify" vertical="center" wrapText="1"/>
    </xf>
    <xf numFmtId="4" fontId="116" fillId="0" borderId="0" xfId="137" applyNumberFormat="1" applyFont="1" applyAlignment="1">
      <alignment horizontal="right" wrapText="1"/>
    </xf>
    <xf numFmtId="2" fontId="116" fillId="0" borderId="0" xfId="137" applyNumberFormat="1" applyFont="1" applyAlignment="1">
      <alignment vertical="top" wrapText="1"/>
    </xf>
    <xf numFmtId="4" fontId="116" fillId="0" borderId="0" xfId="137" applyNumberFormat="1" applyFont="1"/>
    <xf numFmtId="49" fontId="116" fillId="0" borderId="0" xfId="137" quotePrefix="1" applyNumberFormat="1" applyFont="1"/>
    <xf numFmtId="49" fontId="116" fillId="0" borderId="0" xfId="137" applyNumberFormat="1" applyFont="1"/>
    <xf numFmtId="0" fontId="122" fillId="0" borderId="0" xfId="137" applyFont="1" applyAlignment="1">
      <alignment vertical="center"/>
    </xf>
    <xf numFmtId="0" fontId="116" fillId="0" borderId="0" xfId="137" applyFont="1" applyAlignment="1">
      <alignment vertical="center"/>
    </xf>
    <xf numFmtId="49" fontId="125" fillId="0" borderId="0" xfId="137" applyNumberFormat="1" applyFont="1"/>
    <xf numFmtId="0" fontId="116" fillId="0" borderId="0" xfId="137" applyFont="1" applyAlignment="1">
      <alignment vertical="top"/>
    </xf>
    <xf numFmtId="0" fontId="126" fillId="0" borderId="0" xfId="137" quotePrefix="1" applyFont="1"/>
    <xf numFmtId="0" fontId="125" fillId="0" borderId="0" xfId="137" quotePrefix="1" applyFont="1"/>
    <xf numFmtId="0" fontId="125" fillId="0" borderId="0" xfId="146" quotePrefix="1" applyFont="1" applyAlignment="1">
      <alignment wrapText="1"/>
    </xf>
    <xf numFmtId="49" fontId="125" fillId="0" borderId="0" xfId="137" quotePrefix="1" applyNumberFormat="1" applyFont="1"/>
    <xf numFmtId="0" fontId="116" fillId="0" borderId="0" xfId="137" applyFont="1" applyAlignment="1">
      <alignment horizontal="left" wrapText="1"/>
    </xf>
    <xf numFmtId="49" fontId="116" fillId="0" borderId="0" xfId="137" quotePrefix="1" applyNumberFormat="1" applyFont="1" applyAlignment="1">
      <alignment horizontal="left" wrapText="1"/>
    </xf>
    <xf numFmtId="0" fontId="123" fillId="0" borderId="0" xfId="133" applyFont="1" applyAlignment="1" applyProtection="1">
      <alignment horizontal="center" vertical="top"/>
      <protection hidden="1"/>
    </xf>
    <xf numFmtId="0" fontId="127" fillId="0" borderId="0" xfId="137" applyFont="1" applyAlignment="1">
      <alignment horizontal="center" vertical="top" wrapText="1"/>
    </xf>
    <xf numFmtId="0" fontId="123" fillId="0" borderId="0" xfId="137" applyFont="1" applyAlignment="1">
      <alignment horizontal="justify" vertical="top" wrapText="1"/>
    </xf>
    <xf numFmtId="183" fontId="123" fillId="0" borderId="0" xfId="137" applyNumberFormat="1" applyFont="1" applyAlignment="1">
      <alignment horizontal="right" wrapText="1"/>
    </xf>
    <xf numFmtId="2" fontId="123" fillId="0" borderId="0" xfId="147" applyNumberFormat="1" applyFont="1" applyAlignment="1">
      <alignment vertical="top" wrapText="1"/>
    </xf>
    <xf numFmtId="49" fontId="123" fillId="0" borderId="0" xfId="147" quotePrefix="1" applyNumberFormat="1" applyFont="1" applyAlignment="1">
      <alignment vertical="top"/>
    </xf>
    <xf numFmtId="49" fontId="123" fillId="0" borderId="0" xfId="147" applyNumberFormat="1" applyFont="1" applyAlignment="1">
      <alignment vertical="top"/>
    </xf>
    <xf numFmtId="49" fontId="129" fillId="0" borderId="0" xfId="147" applyNumberFormat="1" applyFont="1" applyAlignment="1">
      <alignment vertical="top"/>
    </xf>
    <xf numFmtId="0" fontId="131" fillId="0" borderId="0" xfId="147" quotePrefix="1" applyFont="1" applyAlignment="1">
      <alignment vertical="top"/>
    </xf>
    <xf numFmtId="0" fontId="129" fillId="0" borderId="0" xfId="147" quotePrefix="1" applyFont="1" applyAlignment="1">
      <alignment vertical="top"/>
    </xf>
    <xf numFmtId="49" fontId="129" fillId="0" borderId="0" xfId="147" quotePrefix="1" applyNumberFormat="1" applyFont="1" applyAlignment="1">
      <alignment vertical="top"/>
    </xf>
    <xf numFmtId="183" fontId="123" fillId="0" borderId="0" xfId="148" applyNumberFormat="1" applyFont="1" applyAlignment="1" applyProtection="1">
      <alignment horizontal="right"/>
      <protection hidden="1"/>
    </xf>
    <xf numFmtId="49" fontId="123" fillId="0" borderId="0" xfId="147" quotePrefix="1" applyNumberFormat="1" applyFont="1" applyAlignment="1">
      <alignment vertical="top" wrapText="1"/>
    </xf>
    <xf numFmtId="0" fontId="123" fillId="0" borderId="0" xfId="149" applyFont="1" applyAlignment="1">
      <alignment horizontal="justify" vertical="top" wrapText="1"/>
    </xf>
    <xf numFmtId="0" fontId="127" fillId="0" borderId="0" xfId="137" applyFont="1" applyAlignment="1" applyProtection="1">
      <alignment horizontal="center" vertical="top" wrapText="1"/>
      <protection hidden="1"/>
    </xf>
    <xf numFmtId="0" fontId="123" fillId="0" borderId="0" xfId="150" applyFont="1" applyAlignment="1" applyProtection="1">
      <alignment horizontal="center" vertical="top" wrapText="1"/>
      <protection hidden="1"/>
    </xf>
    <xf numFmtId="183" fontId="123" fillId="0" borderId="0" xfId="150" applyNumberFormat="1" applyFont="1" applyAlignment="1" applyProtection="1">
      <alignment horizontal="right" wrapText="1"/>
      <protection hidden="1"/>
    </xf>
    <xf numFmtId="49" fontId="123" fillId="0" borderId="0" xfId="137" quotePrefix="1" applyNumberFormat="1" applyFont="1" applyAlignment="1">
      <alignment vertical="top"/>
    </xf>
    <xf numFmtId="2" fontId="129" fillId="0" borderId="0" xfId="145" applyNumberFormat="1" applyFont="1" applyAlignment="1">
      <alignment horizontal="justify" vertical="top" wrapText="1"/>
    </xf>
    <xf numFmtId="0" fontId="129" fillId="0" borderId="0" xfId="147" quotePrefix="1" applyFont="1" applyAlignment="1">
      <alignment horizontal="justify" vertical="top" wrapText="1"/>
    </xf>
    <xf numFmtId="49" fontId="129" fillId="0" borderId="0" xfId="145" quotePrefix="1" applyNumberFormat="1" applyFont="1" applyAlignment="1">
      <alignment horizontal="justify" vertical="top" wrapText="1"/>
    </xf>
    <xf numFmtId="49" fontId="129" fillId="0" borderId="0" xfId="145" applyNumberFormat="1" applyFont="1" applyAlignment="1">
      <alignment horizontal="justify" vertical="top" wrapText="1"/>
    </xf>
    <xf numFmtId="49" fontId="123" fillId="0" borderId="0" xfId="137" quotePrefix="1" applyNumberFormat="1" applyFont="1" applyAlignment="1">
      <alignment horizontal="justify" vertical="top" wrapText="1"/>
    </xf>
    <xf numFmtId="49" fontId="123" fillId="0" borderId="0" xfId="145" applyNumberFormat="1" applyFont="1" applyAlignment="1">
      <alignment horizontal="justify" vertical="top" wrapText="1"/>
    </xf>
    <xf numFmtId="49" fontId="123" fillId="0" borderId="0" xfId="145" quotePrefix="1" applyNumberFormat="1" applyFont="1" applyAlignment="1">
      <alignment horizontal="justify" vertical="top" wrapText="1"/>
    </xf>
    <xf numFmtId="49" fontId="116" fillId="0" borderId="0" xfId="145" applyNumberFormat="1" applyFont="1" applyAlignment="1">
      <alignment horizontal="justify" vertical="top" wrapText="1"/>
    </xf>
    <xf numFmtId="0" fontId="116" fillId="0" borderId="0" xfId="133" applyFont="1" applyAlignment="1" applyProtection="1">
      <alignment horizontal="center"/>
      <protection hidden="1"/>
    </xf>
    <xf numFmtId="49" fontId="116" fillId="0" borderId="0" xfId="137" applyNumberFormat="1" applyFont="1" applyAlignment="1">
      <alignment horizontal="center" vertical="top" wrapText="1"/>
    </xf>
    <xf numFmtId="0" fontId="136" fillId="0" borderId="0" xfId="137" applyFont="1" applyAlignment="1">
      <alignment horizontal="justify" vertical="top" wrapText="1"/>
    </xf>
    <xf numFmtId="183" fontId="116" fillId="0" borderId="0" xfId="148" applyNumberFormat="1" applyFont="1" applyAlignment="1" applyProtection="1">
      <alignment horizontal="right"/>
      <protection hidden="1"/>
    </xf>
    <xf numFmtId="4" fontId="116" fillId="0" borderId="0" xfId="137" applyNumberFormat="1" applyFont="1" applyAlignment="1">
      <alignment horizontal="right"/>
    </xf>
    <xf numFmtId="0" fontId="116" fillId="0" borderId="0" xfId="137" applyFont="1" applyAlignment="1">
      <alignment horizontal="justify" vertical="top" wrapText="1"/>
    </xf>
    <xf numFmtId="0" fontId="137" fillId="0" borderId="0" xfId="137" applyFont="1" applyAlignment="1">
      <alignment horizontal="center" vertical="top" wrapText="1"/>
    </xf>
    <xf numFmtId="1" fontId="112" fillId="0" borderId="14" xfId="137" applyNumberFormat="1" applyFont="1" applyBorder="1" applyAlignment="1">
      <alignment horizontal="center" vertical="top"/>
    </xf>
    <xf numFmtId="1" fontId="112" fillId="0" borderId="0" xfId="137" applyNumberFormat="1" applyFont="1" applyAlignment="1">
      <alignment horizontal="center" vertical="top"/>
    </xf>
    <xf numFmtId="0" fontId="112" fillId="0" borderId="0" xfId="137" applyFont="1" applyAlignment="1">
      <alignment horizontal="left" vertical="top" wrapText="1"/>
    </xf>
    <xf numFmtId="0" fontId="112" fillId="0" borderId="0" xfId="137" applyFont="1" applyAlignment="1">
      <alignment horizontal="center"/>
    </xf>
    <xf numFmtId="183" fontId="112" fillId="0" borderId="0" xfId="137" applyNumberFormat="1" applyFont="1" applyAlignment="1">
      <alignment horizontal="right"/>
    </xf>
    <xf numFmtId="4" fontId="112" fillId="0" borderId="0" xfId="137" applyNumberFormat="1" applyFont="1" applyAlignment="1" applyProtection="1">
      <alignment horizontal="right"/>
      <protection locked="0"/>
    </xf>
    <xf numFmtId="4" fontId="112" fillId="0" borderId="0" xfId="137" applyNumberFormat="1" applyFont="1" applyAlignment="1">
      <alignment horizontal="right"/>
    </xf>
    <xf numFmtId="49" fontId="115" fillId="0" borderId="0" xfId="137" applyNumberFormat="1" applyFont="1" applyAlignment="1">
      <alignment horizontal="center" vertical="top" wrapText="1"/>
    </xf>
    <xf numFmtId="49" fontId="114" fillId="0" borderId="0" xfId="137" applyNumberFormat="1" applyFont="1" applyAlignment="1">
      <alignment horizontal="center" vertical="top"/>
    </xf>
    <xf numFmtId="0" fontId="115" fillId="0" borderId="0" xfId="137" applyFont="1" applyAlignment="1">
      <alignment horizontal="center" vertical="top"/>
    </xf>
    <xf numFmtId="0" fontId="116" fillId="0" borderId="0" xfId="137" applyFont="1" applyAlignment="1">
      <alignment horizontal="center"/>
    </xf>
    <xf numFmtId="4" fontId="116" fillId="0" borderId="0" xfId="137" applyNumberFormat="1" applyFont="1" applyAlignment="1" applyProtection="1">
      <alignment horizontal="right"/>
      <protection locked="0"/>
    </xf>
    <xf numFmtId="49" fontId="116" fillId="0" borderId="0" xfId="137" applyNumberFormat="1" applyFont="1" applyAlignment="1">
      <alignment horizontal="left" vertical="top" wrapText="1"/>
    </xf>
    <xf numFmtId="1" fontId="116" fillId="0" borderId="0" xfId="137" applyNumberFormat="1" applyFont="1" applyAlignment="1">
      <alignment horizontal="center" vertical="top"/>
    </xf>
    <xf numFmtId="182" fontId="116" fillId="0" borderId="0" xfId="144" applyFont="1" applyBorder="1" applyAlignment="1" applyProtection="1">
      <alignment horizontal="center"/>
    </xf>
    <xf numFmtId="49" fontId="114" fillId="0" borderId="0" xfId="137" applyNumberFormat="1" applyFont="1" applyAlignment="1">
      <alignment horizontal="left" vertical="top" wrapText="1"/>
    </xf>
    <xf numFmtId="0" fontId="114" fillId="0" borderId="0" xfId="137" applyFont="1" applyAlignment="1">
      <alignment horizontal="left" vertical="top" wrapText="1"/>
    </xf>
    <xf numFmtId="0" fontId="122" fillId="0" borderId="0" xfId="137" applyFont="1" applyAlignment="1">
      <alignment horizontal="left" vertical="top" wrapText="1"/>
    </xf>
    <xf numFmtId="0" fontId="122" fillId="0" borderId="0" xfId="137" applyFont="1" applyAlignment="1">
      <alignment horizontal="center"/>
    </xf>
    <xf numFmtId="49" fontId="115" fillId="0" borderId="0" xfId="137" applyNumberFormat="1" applyFont="1" applyAlignment="1">
      <alignment horizontal="center" vertical="top"/>
    </xf>
    <xf numFmtId="0" fontId="115" fillId="0" borderId="0" xfId="137" applyFont="1" applyAlignment="1">
      <alignment horizontal="left" vertical="top" wrapText="1"/>
    </xf>
    <xf numFmtId="0" fontId="115" fillId="0" borderId="0" xfId="137" applyFont="1" applyAlignment="1">
      <alignment horizontal="center"/>
    </xf>
    <xf numFmtId="183" fontId="115" fillId="0" borderId="0" xfId="137" applyNumberFormat="1" applyFont="1" applyAlignment="1">
      <alignment horizontal="right"/>
    </xf>
    <xf numFmtId="4" fontId="115" fillId="0" borderId="0" xfId="137" applyNumberFormat="1" applyFont="1" applyAlignment="1">
      <alignment horizontal="right"/>
    </xf>
    <xf numFmtId="4" fontId="114" fillId="0" borderId="0" xfId="137" applyNumberFormat="1" applyFont="1" applyAlignment="1" applyProtection="1">
      <alignment horizontal="right"/>
      <protection locked="0"/>
    </xf>
    <xf numFmtId="0" fontId="116" fillId="0" borderId="0" xfId="137" applyFont="1" applyAlignment="1">
      <alignment horizontal="center" vertical="top"/>
    </xf>
    <xf numFmtId="0" fontId="116" fillId="0" borderId="0" xfId="137" applyFont="1" applyAlignment="1">
      <alignment wrapText="1"/>
    </xf>
    <xf numFmtId="1" fontId="115" fillId="0" borderId="0" xfId="137" applyNumberFormat="1" applyFont="1" applyAlignment="1">
      <alignment horizontal="center" vertical="top"/>
    </xf>
    <xf numFmtId="1" fontId="115" fillId="0" borderId="0" xfId="137" applyNumberFormat="1" applyFont="1" applyAlignment="1">
      <alignment horizontal="center" vertical="center"/>
    </xf>
    <xf numFmtId="4" fontId="115" fillId="0" borderId="0" xfId="137" applyNumberFormat="1" applyFont="1" applyAlignment="1">
      <alignment horizontal="center" vertical="center"/>
    </xf>
    <xf numFmtId="1" fontId="115" fillId="0" borderId="11" xfId="137" applyNumberFormat="1" applyFont="1" applyBorder="1" applyAlignment="1">
      <alignment horizontal="center" vertical="top"/>
    </xf>
    <xf numFmtId="49" fontId="115" fillId="0" borderId="26" xfId="137" applyNumberFormat="1" applyFont="1" applyBorder="1" applyAlignment="1">
      <alignment horizontal="center" vertical="top"/>
    </xf>
    <xf numFmtId="0" fontId="115" fillId="0" borderId="3" xfId="137" applyFont="1" applyBorder="1" applyAlignment="1">
      <alignment horizontal="left" vertical="top" wrapText="1"/>
    </xf>
    <xf numFmtId="1" fontId="115" fillId="0" borderId="3" xfId="137" applyNumberFormat="1" applyFont="1" applyBorder="1" applyAlignment="1">
      <alignment horizontal="center" vertical="center"/>
    </xf>
    <xf numFmtId="183" fontId="115" fillId="0" borderId="3" xfId="137" applyNumberFormat="1" applyFont="1" applyBorder="1" applyAlignment="1">
      <alignment horizontal="right"/>
    </xf>
    <xf numFmtId="4" fontId="115" fillId="0" borderId="3" xfId="137" applyNumberFormat="1" applyFont="1" applyBorder="1" applyAlignment="1">
      <alignment horizontal="center" vertical="center"/>
    </xf>
    <xf numFmtId="4" fontId="115" fillId="0" borderId="23" xfId="137" applyNumberFormat="1" applyFont="1" applyBorder="1" applyAlignment="1">
      <alignment horizontal="right"/>
    </xf>
    <xf numFmtId="1" fontId="116" fillId="0" borderId="27" xfId="137" applyNumberFormat="1" applyFont="1" applyBorder="1" applyAlignment="1">
      <alignment horizontal="center" vertical="top"/>
    </xf>
    <xf numFmtId="0" fontId="116" fillId="0" borderId="27" xfId="137" applyFont="1" applyBorder="1" applyAlignment="1">
      <alignment horizontal="center"/>
    </xf>
    <xf numFmtId="4" fontId="116" fillId="0" borderId="15" xfId="137" applyNumberFormat="1" applyFont="1" applyBorder="1" applyAlignment="1" applyProtection="1">
      <alignment horizontal="right"/>
      <protection locked="0"/>
    </xf>
    <xf numFmtId="4" fontId="116" fillId="0" borderId="27" xfId="137" applyNumberFormat="1" applyFont="1" applyBorder="1" applyAlignment="1">
      <alignment horizontal="right"/>
    </xf>
    <xf numFmtId="166" fontId="27" fillId="0" borderId="0" xfId="0" applyNumberFormat="1" applyFont="1" applyProtection="1">
      <protection locked="0"/>
    </xf>
    <xf numFmtId="4" fontId="27" fillId="0" borderId="5" xfId="0" applyNumberFormat="1" applyFont="1" applyBorder="1" applyProtection="1">
      <protection locked="0"/>
    </xf>
    <xf numFmtId="166" fontId="30" fillId="0" borderId="0" xfId="0" applyNumberFormat="1" applyFont="1" applyProtection="1">
      <protection locked="0"/>
    </xf>
    <xf numFmtId="166" fontId="18" fillId="0" borderId="0" xfId="0" applyNumberFormat="1" applyFont="1" applyProtection="1">
      <protection locked="0"/>
    </xf>
    <xf numFmtId="166" fontId="78" fillId="0" borderId="0" xfId="0" applyNumberFormat="1" applyFont="1" applyProtection="1">
      <protection locked="0"/>
    </xf>
    <xf numFmtId="0" fontId="27" fillId="0" borderId="0" xfId="0" applyFont="1" applyAlignment="1" applyProtection="1">
      <alignment horizontal="right"/>
      <protection locked="0"/>
    </xf>
    <xf numFmtId="171" fontId="78" fillId="0" borderId="0" xfId="0" applyNumberFormat="1" applyFont="1" applyAlignment="1" applyProtection="1">
      <alignment horizontal="right"/>
      <protection locked="0"/>
    </xf>
    <xf numFmtId="166" fontId="30" fillId="0" borderId="1" xfId="0" applyNumberFormat="1" applyFont="1" applyBorder="1" applyProtection="1">
      <protection locked="0"/>
    </xf>
    <xf numFmtId="171" fontId="56" fillId="0" borderId="14" xfId="0" applyNumberFormat="1" applyFont="1" applyBorder="1"/>
    <xf numFmtId="166" fontId="18" fillId="0" borderId="5" xfId="0" applyNumberFormat="1" applyFont="1" applyBorder="1" applyAlignment="1" applyProtection="1">
      <alignment horizontal="right"/>
      <protection locked="0"/>
    </xf>
    <xf numFmtId="4" fontId="17" fillId="0" borderId="2" xfId="9" applyNumberFormat="1" applyFont="1" applyBorder="1" applyAlignment="1" applyProtection="1">
      <alignment horizontal="right" vertical="top" wrapText="1"/>
      <protection locked="0"/>
    </xf>
    <xf numFmtId="176" fontId="43" fillId="0" borderId="0" xfId="0" applyNumberFormat="1" applyFont="1" applyAlignment="1" applyProtection="1">
      <alignment wrapText="1"/>
      <protection locked="0"/>
    </xf>
    <xf numFmtId="166" fontId="19" fillId="0" borderId="1" xfId="0" applyNumberFormat="1" applyFont="1" applyBorder="1" applyAlignment="1" applyProtection="1">
      <alignment horizontal="right"/>
      <protection locked="0"/>
    </xf>
    <xf numFmtId="4" fontId="18" fillId="0" borderId="5" xfId="0" applyNumberFormat="1" applyFont="1" applyBorder="1" applyProtection="1">
      <protection locked="0"/>
    </xf>
    <xf numFmtId="166" fontId="19" fillId="0" borderId="0" xfId="0" applyNumberFormat="1" applyFont="1" applyProtection="1">
      <protection locked="0"/>
    </xf>
    <xf numFmtId="166" fontId="18" fillId="0" borderId="0" xfId="0" applyNumberFormat="1" applyFont="1" applyAlignment="1" applyProtection="1">
      <alignment vertical="center"/>
      <protection locked="0"/>
    </xf>
    <xf numFmtId="4" fontId="43" fillId="0" borderId="0" xfId="0" applyNumberFormat="1" applyFont="1" applyProtection="1">
      <protection locked="0"/>
    </xf>
    <xf numFmtId="166" fontId="18" fillId="0" borderId="2" xfId="0" applyNumberFormat="1" applyFont="1" applyBorder="1" applyProtection="1">
      <protection locked="0"/>
    </xf>
    <xf numFmtId="166" fontId="12" fillId="0" borderId="0" xfId="0" applyNumberFormat="1" applyFont="1" applyProtection="1">
      <protection locked="0"/>
    </xf>
    <xf numFmtId="166" fontId="33" fillId="0" borderId="0" xfId="0" applyNumberFormat="1" applyFont="1" applyProtection="1">
      <protection locked="0"/>
    </xf>
    <xf numFmtId="166" fontId="17" fillId="0" borderId="2" xfId="0" applyNumberFormat="1" applyFont="1" applyBorder="1" applyAlignment="1" applyProtection="1">
      <alignment horizontal="right" vertical="top"/>
      <protection locked="0"/>
    </xf>
    <xf numFmtId="166" fontId="18" fillId="0" borderId="0" xfId="0" applyNumberFormat="1" applyFont="1" applyAlignment="1" applyProtection="1">
      <alignment horizontal="right" vertical="top"/>
      <protection locked="0"/>
    </xf>
    <xf numFmtId="0" fontId="32" fillId="0" borderId="0" xfId="0" applyFont="1" applyProtection="1">
      <protection locked="0"/>
    </xf>
    <xf numFmtId="4" fontId="32" fillId="0" borderId="5" xfId="0" applyNumberFormat="1" applyFont="1" applyBorder="1" applyProtection="1">
      <protection locked="0"/>
    </xf>
    <xf numFmtId="4" fontId="32" fillId="0" borderId="0" xfId="66" applyNumberFormat="1" applyFont="1" applyProtection="1">
      <protection locked="0"/>
    </xf>
    <xf numFmtId="4" fontId="32" fillId="0" borderId="0" xfId="15" applyNumberFormat="1" applyFont="1" applyProtection="1">
      <protection locked="0"/>
    </xf>
    <xf numFmtId="4" fontId="32" fillId="0" borderId="0" xfId="0" applyNumberFormat="1" applyFont="1" applyProtection="1">
      <protection locked="0"/>
    </xf>
    <xf numFmtId="4" fontId="32" fillId="0" borderId="0" xfId="15" applyNumberFormat="1" applyFont="1" applyAlignment="1" applyProtection="1">
      <alignment wrapText="1"/>
      <protection locked="0"/>
    </xf>
    <xf numFmtId="4" fontId="32" fillId="0" borderId="0" xfId="49" applyNumberFormat="1" applyFont="1" applyProtection="1">
      <protection locked="0"/>
    </xf>
    <xf numFmtId="4" fontId="32" fillId="0" borderId="0" xfId="0" applyNumberFormat="1" applyFont="1" applyAlignment="1" applyProtection="1">
      <alignment horizontal="right" wrapText="1"/>
      <protection locked="0"/>
    </xf>
    <xf numFmtId="4" fontId="32" fillId="0" borderId="0" xfId="15" applyNumberFormat="1" applyFont="1" applyAlignment="1" applyProtection="1">
      <alignment horizontal="right" wrapText="1"/>
      <protection locked="0"/>
    </xf>
    <xf numFmtId="4" fontId="32" fillId="0" borderId="0" xfId="49" applyNumberFormat="1" applyFont="1" applyAlignment="1" applyProtection="1">
      <alignment horizontal="right"/>
      <protection locked="0"/>
    </xf>
    <xf numFmtId="4" fontId="18" fillId="0" borderId="0" xfId="15" applyNumberFormat="1" applyAlignment="1" applyProtection="1">
      <alignment horizontal="right" wrapText="1"/>
      <protection locked="0"/>
    </xf>
    <xf numFmtId="4" fontId="18" fillId="0" borderId="0" xfId="0" applyNumberFormat="1" applyFont="1" applyAlignment="1" applyProtection="1">
      <alignment horizontal="right" wrapText="1"/>
      <protection locked="0"/>
    </xf>
    <xf numFmtId="4" fontId="32" fillId="0" borderId="0" xfId="0" applyNumberFormat="1" applyFont="1" applyAlignment="1" applyProtection="1">
      <alignment wrapText="1"/>
      <protection locked="0"/>
    </xf>
    <xf numFmtId="4" fontId="18" fillId="0" borderId="0" xfId="49" applyNumberFormat="1" applyAlignment="1" applyProtection="1">
      <alignment horizontal="right"/>
      <protection locked="0"/>
    </xf>
    <xf numFmtId="4" fontId="18" fillId="0" borderId="0" xfId="15" applyNumberFormat="1" applyAlignment="1" applyProtection="1">
      <alignment horizontal="right"/>
      <protection locked="0"/>
    </xf>
    <xf numFmtId="4" fontId="32" fillId="0" borderId="0" xfId="10" applyNumberFormat="1" applyFont="1" applyProtection="1">
      <protection locked="0"/>
    </xf>
    <xf numFmtId="171" fontId="32" fillId="0" borderId="0" xfId="0" applyNumberFormat="1" applyFont="1" applyAlignment="1" applyProtection="1">
      <alignment wrapText="1"/>
      <protection locked="0"/>
    </xf>
    <xf numFmtId="4" fontId="32" fillId="0" borderId="0" xfId="0" applyNumberFormat="1" applyFont="1" applyAlignment="1" applyProtection="1">
      <alignment horizontal="left" vertical="top"/>
      <protection locked="0"/>
    </xf>
    <xf numFmtId="171" fontId="32" fillId="0" borderId="0" xfId="0" applyNumberFormat="1" applyFont="1" applyAlignment="1" applyProtection="1">
      <alignment horizontal="right" wrapText="1"/>
      <protection locked="0"/>
    </xf>
    <xf numFmtId="166" fontId="32" fillId="0" borderId="0" xfId="0" applyNumberFormat="1" applyFont="1" applyProtection="1">
      <protection locked="0"/>
    </xf>
    <xf numFmtId="2" fontId="43" fillId="0" borderId="0" xfId="0" applyNumberFormat="1" applyFont="1" applyProtection="1">
      <protection locked="0"/>
    </xf>
    <xf numFmtId="0" fontId="38" fillId="0" borderId="2" xfId="0" applyFont="1" applyBorder="1" applyAlignment="1" applyProtection="1">
      <alignment horizontal="justify" vertical="top" wrapText="1"/>
      <protection locked="0"/>
    </xf>
    <xf numFmtId="4" fontId="32" fillId="0" borderId="4" xfId="0" applyNumberFormat="1" applyFont="1" applyBorder="1" applyAlignment="1" applyProtection="1">
      <alignment wrapText="1"/>
      <protection locked="0"/>
    </xf>
    <xf numFmtId="0" fontId="18" fillId="0" borderId="0" xfId="0" applyFont="1" applyAlignment="1" applyProtection="1">
      <alignment horizontal="justify" vertical="top" wrapText="1"/>
      <protection locked="0"/>
    </xf>
    <xf numFmtId="4" fontId="32" fillId="0" borderId="0" xfId="59" applyNumberFormat="1" applyFont="1" applyAlignment="1" applyProtection="1">
      <alignment horizontal="right"/>
      <protection locked="0"/>
    </xf>
    <xf numFmtId="0" fontId="32" fillId="0" borderId="2" xfId="0" applyFont="1" applyBorder="1" applyProtection="1">
      <protection locked="0"/>
    </xf>
    <xf numFmtId="4" fontId="19" fillId="0" borderId="0" xfId="0" applyNumberFormat="1" applyFont="1" applyAlignment="1" applyProtection="1">
      <alignment wrapText="1"/>
      <protection locked="0"/>
    </xf>
    <xf numFmtId="0" fontId="18" fillId="0" borderId="0" xfId="0" applyFont="1" applyProtection="1">
      <protection locked="0"/>
    </xf>
    <xf numFmtId="0" fontId="27" fillId="0" borderId="0" xfId="0" applyFont="1" applyProtection="1">
      <protection locked="0"/>
    </xf>
    <xf numFmtId="0" fontId="28" fillId="0" borderId="1" xfId="0" applyFont="1" applyBorder="1" applyProtection="1">
      <protection locked="0"/>
    </xf>
    <xf numFmtId="0" fontId="18" fillId="0" borderId="0" xfId="49" applyAlignment="1" applyProtection="1">
      <alignment horizontal="right" vertical="top" wrapText="1"/>
      <protection locked="0"/>
    </xf>
    <xf numFmtId="166" fontId="18" fillId="0" borderId="0" xfId="9" applyNumberFormat="1" applyFont="1" applyProtection="1">
      <protection locked="0"/>
    </xf>
    <xf numFmtId="171" fontId="18" fillId="0" borderId="0" xfId="0" applyNumberFormat="1" applyFont="1" applyAlignment="1" applyProtection="1">
      <alignment wrapText="1"/>
      <protection locked="0"/>
    </xf>
    <xf numFmtId="4" fontId="18" fillId="0" borderId="0" xfId="49" applyNumberFormat="1" applyAlignment="1" applyProtection="1">
      <alignment horizontal="right" vertical="top" wrapText="1"/>
      <protection locked="0"/>
    </xf>
    <xf numFmtId="0" fontId="18" fillId="0" borderId="2" xfId="49" applyBorder="1" applyAlignment="1" applyProtection="1">
      <alignment horizontal="right" vertical="top" wrapText="1"/>
      <protection locked="0"/>
    </xf>
    <xf numFmtId="0" fontId="41" fillId="0" borderId="0" xfId="0" applyFont="1" applyProtection="1">
      <protection locked="0"/>
    </xf>
    <xf numFmtId="4" fontId="41" fillId="0" borderId="0" xfId="66" applyNumberFormat="1" applyFont="1" applyProtection="1">
      <protection locked="0"/>
    </xf>
    <xf numFmtId="171" fontId="17" fillId="0" borderId="0" xfId="0" applyNumberFormat="1" applyFont="1" applyProtection="1">
      <protection locked="0"/>
    </xf>
    <xf numFmtId="166" fontId="17" fillId="0" borderId="0" xfId="0" applyNumberFormat="1" applyFont="1" applyProtection="1">
      <protection locked="0"/>
    </xf>
    <xf numFmtId="166" fontId="29" fillId="0" borderId="0" xfId="0" applyNumberFormat="1" applyFont="1" applyProtection="1">
      <protection locked="0"/>
    </xf>
    <xf numFmtId="171" fontId="29" fillId="0" borderId="0" xfId="0" applyNumberFormat="1" applyFont="1" applyProtection="1">
      <protection locked="0"/>
    </xf>
    <xf numFmtId="171" fontId="17" fillId="0" borderId="2" xfId="0" applyNumberFormat="1" applyFont="1" applyBorder="1" applyProtection="1">
      <protection locked="0"/>
    </xf>
    <xf numFmtId="4" fontId="41" fillId="0" borderId="0" xfId="0" applyNumberFormat="1" applyFont="1" applyAlignment="1" applyProtection="1">
      <alignment wrapText="1"/>
      <protection locked="0"/>
    </xf>
    <xf numFmtId="0" fontId="79" fillId="0" borderId="0" xfId="0" applyFont="1" applyProtection="1">
      <protection locked="0"/>
    </xf>
    <xf numFmtId="4" fontId="41" fillId="0" borderId="0" xfId="66" applyNumberFormat="1" applyFont="1" applyAlignment="1" applyProtection="1">
      <alignment vertical="top"/>
      <protection locked="0"/>
    </xf>
    <xf numFmtId="4" fontId="41" fillId="0" borderId="2" xfId="0" applyNumberFormat="1" applyFont="1" applyBorder="1" applyAlignment="1" applyProtection="1">
      <alignment wrapText="1"/>
      <protection locked="0"/>
    </xf>
    <xf numFmtId="4" fontId="41" fillId="0" borderId="0" xfId="0" applyNumberFormat="1" applyFont="1" applyProtection="1">
      <protection locked="0"/>
    </xf>
    <xf numFmtId="0" fontId="29" fillId="0" borderId="0" xfId="0" applyFont="1" applyProtection="1">
      <protection locked="0"/>
    </xf>
    <xf numFmtId="4" fontId="27" fillId="0" borderId="0" xfId="0" applyNumberFormat="1" applyFont="1" applyAlignment="1" applyProtection="1">
      <alignment vertical="top"/>
      <protection locked="0"/>
    </xf>
    <xf numFmtId="166" fontId="27" fillId="0" borderId="0" xfId="0" applyNumberFormat="1" applyFont="1" applyAlignment="1" applyProtection="1">
      <alignment vertical="top"/>
      <protection locked="0"/>
    </xf>
    <xf numFmtId="166" fontId="18" fillId="0" borderId="0" xfId="0" applyNumberFormat="1" applyFont="1" applyAlignment="1" applyProtection="1">
      <alignment vertical="top"/>
      <protection locked="0"/>
    </xf>
    <xf numFmtId="0" fontId="32" fillId="0" borderId="0" xfId="0" applyFont="1" applyAlignment="1" applyProtection="1">
      <alignment horizontal="right" vertical="top" wrapText="1"/>
      <protection locked="0"/>
    </xf>
    <xf numFmtId="166" fontId="27" fillId="0" borderId="1" xfId="0" applyNumberFormat="1" applyFont="1" applyBorder="1" applyAlignment="1" applyProtection="1">
      <alignment vertical="top"/>
      <protection locked="0"/>
    </xf>
    <xf numFmtId="0" fontId="27" fillId="0" borderId="0" xfId="0" applyFont="1" applyAlignment="1" applyProtection="1">
      <alignment vertical="top"/>
      <protection locked="0"/>
    </xf>
    <xf numFmtId="4" fontId="18" fillId="0" borderId="0" xfId="0" applyNumberFormat="1" applyFont="1" applyAlignment="1" applyProtection="1">
      <alignment vertical="top"/>
      <protection locked="0"/>
    </xf>
    <xf numFmtId="4" fontId="27" fillId="0" borderId="0" xfId="0" applyNumberFormat="1" applyFont="1" applyProtection="1">
      <protection locked="0"/>
    </xf>
    <xf numFmtId="166" fontId="17" fillId="0" borderId="0" xfId="0" applyNumberFormat="1" applyFont="1" applyAlignment="1" applyProtection="1">
      <alignment horizontal="right"/>
      <protection locked="0"/>
    </xf>
    <xf numFmtId="171" fontId="18" fillId="0" borderId="2" xfId="0" applyNumberFormat="1" applyFont="1" applyBorder="1" applyAlignment="1" applyProtection="1">
      <alignment wrapText="1"/>
      <protection locked="0"/>
    </xf>
    <xf numFmtId="166" fontId="27" fillId="0" borderId="2" xfId="0" applyNumberFormat="1" applyFont="1" applyBorder="1" applyProtection="1">
      <protection locked="0"/>
    </xf>
    <xf numFmtId="0" fontId="18" fillId="0" borderId="0" xfId="59" applyAlignment="1" applyProtection="1">
      <alignment horizontal="right"/>
      <protection locked="0"/>
    </xf>
    <xf numFmtId="0" fontId="32" fillId="0" borderId="0" xfId="59" applyFont="1" applyAlignment="1" applyProtection="1">
      <alignment horizontal="right"/>
      <protection locked="0"/>
    </xf>
    <xf numFmtId="0" fontId="18" fillId="0" borderId="2" xfId="59" applyBorder="1" applyAlignment="1" applyProtection="1">
      <alignment horizontal="right"/>
      <protection locked="0"/>
    </xf>
    <xf numFmtId="0" fontId="17" fillId="0" borderId="0" xfId="0" applyFont="1" applyProtection="1">
      <protection locked="0"/>
    </xf>
    <xf numFmtId="168" fontId="18" fillId="0" borderId="0" xfId="0" applyNumberFormat="1" applyFont="1" applyProtection="1">
      <protection locked="0"/>
    </xf>
    <xf numFmtId="166" fontId="32" fillId="0" borderId="0" xfId="66" applyNumberFormat="1" applyFont="1" applyProtection="1">
      <protection locked="0"/>
    </xf>
    <xf numFmtId="166" fontId="17" fillId="0" borderId="2" xfId="0" applyNumberFormat="1" applyFont="1" applyBorder="1" applyProtection="1">
      <protection locked="0"/>
    </xf>
    <xf numFmtId="2" fontId="19" fillId="0" borderId="1" xfId="0" applyNumberFormat="1" applyFont="1" applyBorder="1" applyProtection="1">
      <protection locked="0"/>
    </xf>
    <xf numFmtId="4" fontId="18" fillId="0" borderId="0" xfId="0" applyNumberFormat="1" applyFont="1" applyProtection="1">
      <protection locked="0"/>
    </xf>
    <xf numFmtId="168" fontId="18" fillId="0" borderId="5" xfId="0" applyNumberFormat="1" applyFont="1" applyBorder="1" applyProtection="1">
      <protection locked="0"/>
    </xf>
    <xf numFmtId="168" fontId="19" fillId="0" borderId="1" xfId="0" applyNumberFormat="1" applyFont="1" applyBorder="1" applyProtection="1">
      <protection locked="0"/>
    </xf>
    <xf numFmtId="168" fontId="18" fillId="0" borderId="0" xfId="15" applyNumberFormat="1" applyAlignment="1" applyProtection="1">
      <alignment horizontal="right"/>
      <protection locked="0"/>
    </xf>
    <xf numFmtId="166" fontId="32" fillId="0" borderId="0" xfId="0" applyNumberFormat="1" applyFont="1" applyAlignment="1" applyProtection="1">
      <alignment vertical="center"/>
      <protection locked="0"/>
    </xf>
    <xf numFmtId="166" fontId="32" fillId="0" borderId="0" xfId="9" applyNumberFormat="1" applyFont="1" applyProtection="1">
      <protection locked="0"/>
    </xf>
    <xf numFmtId="2" fontId="32" fillId="0" borderId="0" xfId="9" applyNumberFormat="1" applyFont="1" applyProtection="1">
      <protection locked="0"/>
    </xf>
    <xf numFmtId="166" fontId="17" fillId="0" borderId="0" xfId="9" applyNumberFormat="1" applyFont="1" applyProtection="1">
      <protection locked="0"/>
    </xf>
    <xf numFmtId="4" fontId="18" fillId="0" borderId="0" xfId="0" applyNumberFormat="1" applyFont="1" applyAlignment="1" applyProtection="1">
      <alignment horizontal="right"/>
      <protection locked="0"/>
    </xf>
    <xf numFmtId="168" fontId="19" fillId="0" borderId="0" xfId="9" applyNumberFormat="1" applyFont="1" applyProtection="1">
      <protection locked="0"/>
    </xf>
    <xf numFmtId="49" fontId="19" fillId="0" borderId="0" xfId="0" applyNumberFormat="1" applyFont="1" applyAlignment="1" applyProtection="1">
      <alignment horizontal="left" vertical="top"/>
      <protection locked="0"/>
    </xf>
    <xf numFmtId="4" fontId="18" fillId="0" borderId="0" xfId="0" applyNumberFormat="1" applyFont="1" applyAlignment="1" applyProtection="1">
      <alignment horizontal="right" vertical="top" wrapText="1"/>
      <protection locked="0"/>
    </xf>
    <xf numFmtId="4" fontId="27" fillId="0" borderId="0" xfId="0" applyNumberFormat="1" applyFont="1" applyAlignment="1" applyProtection="1">
      <alignment horizontal="right" vertical="top" wrapText="1"/>
      <protection locked="0"/>
    </xf>
    <xf numFmtId="4" fontId="18" fillId="0" borderId="0" xfId="93" applyNumberFormat="1" applyAlignment="1" applyProtection="1">
      <alignment horizontal="right" vertical="center"/>
      <protection locked="0"/>
    </xf>
    <xf numFmtId="4" fontId="18" fillId="0" borderId="0" xfId="93" applyNumberFormat="1" applyAlignment="1" applyProtection="1">
      <alignment horizontal="right"/>
      <protection locked="0"/>
    </xf>
    <xf numFmtId="4" fontId="18" fillId="0" borderId="0" xfId="126" applyNumberFormat="1" applyAlignment="1" applyProtection="1">
      <alignment horizontal="right"/>
      <protection locked="0"/>
    </xf>
    <xf numFmtId="0" fontId="30" fillId="0" borderId="1" xfId="0" applyFont="1" applyBorder="1" applyProtection="1">
      <protection locked="0"/>
    </xf>
    <xf numFmtId="0" fontId="27" fillId="0" borderId="12" xfId="0" applyFont="1" applyBorder="1" applyProtection="1">
      <protection locked="0"/>
    </xf>
    <xf numFmtId="2" fontId="18" fillId="0" borderId="0" xfId="122" applyNumberFormat="1" applyAlignment="1" applyProtection="1">
      <alignment horizontal="right"/>
      <protection locked="0"/>
    </xf>
    <xf numFmtId="4" fontId="18" fillId="0" borderId="0" xfId="84" applyNumberFormat="1" applyAlignment="1" applyProtection="1">
      <alignment horizontal="right"/>
      <protection locked="0"/>
    </xf>
    <xf numFmtId="0" fontId="18" fillId="0" borderId="0" xfId="84" applyProtection="1">
      <protection locked="0"/>
    </xf>
    <xf numFmtId="4" fontId="18" fillId="0" borderId="0" xfId="140" applyNumberFormat="1" applyAlignment="1" applyProtection="1">
      <alignment horizontal="right"/>
      <protection locked="0"/>
    </xf>
    <xf numFmtId="0" fontId="33" fillId="0" borderId="0" xfId="9" applyFont="1" applyAlignment="1" applyProtection="1">
      <alignment horizontal="center" vertical="center"/>
      <protection locked="0"/>
    </xf>
    <xf numFmtId="4" fontId="18" fillId="0" borderId="0" xfId="0" applyNumberFormat="1" applyFont="1" applyAlignment="1" applyProtection="1">
      <alignment horizontal="right" vertical="top"/>
      <protection locked="0"/>
    </xf>
    <xf numFmtId="0" fontId="18" fillId="0" borderId="0" xfId="72" applyAlignment="1" applyProtection="1">
      <alignment horizontal="center" vertical="center"/>
      <protection locked="0"/>
    </xf>
    <xf numFmtId="4" fontId="18" fillId="0" borderId="0" xfId="122" applyNumberFormat="1" applyAlignment="1" applyProtection="1">
      <alignment horizontal="center" vertical="top"/>
      <protection locked="0"/>
    </xf>
    <xf numFmtId="0" fontId="18" fillId="0" borderId="0" xfId="0" applyFont="1" applyAlignment="1" applyProtection="1">
      <alignment horizontal="right" vertical="center"/>
      <protection locked="0"/>
    </xf>
    <xf numFmtId="4" fontId="18" fillId="0" borderId="0" xfId="0" applyNumberFormat="1" applyFont="1" applyAlignment="1" applyProtection="1">
      <alignment horizontal="right" vertical="center"/>
      <protection locked="0"/>
    </xf>
    <xf numFmtId="0" fontId="30" fillId="0" borderId="0" xfId="0" applyFont="1" applyProtection="1">
      <protection locked="0"/>
    </xf>
    <xf numFmtId="0" fontId="18" fillId="0" borderId="2" xfId="0" applyFont="1" applyBorder="1" applyProtection="1">
      <protection locked="0"/>
    </xf>
    <xf numFmtId="0" fontId="18" fillId="0" borderId="0" xfId="137" applyProtection="1">
      <protection locked="0"/>
    </xf>
    <xf numFmtId="0" fontId="99" fillId="0" borderId="0" xfId="137" applyFont="1" applyAlignment="1" applyProtection="1">
      <alignment horizontal="right"/>
      <protection locked="0"/>
    </xf>
    <xf numFmtId="4" fontId="99" fillId="0" borderId="0" xfId="137" applyNumberFormat="1" applyFont="1" applyAlignment="1" applyProtection="1">
      <alignment horizontal="right"/>
      <protection locked="0"/>
    </xf>
    <xf numFmtId="0" fontId="104" fillId="0" borderId="0" xfId="137" applyFont="1" applyProtection="1">
      <protection locked="0"/>
    </xf>
    <xf numFmtId="4" fontId="99" fillId="0" borderId="0" xfId="71" applyNumberFormat="1" applyFont="1" applyAlignment="1" applyProtection="1">
      <alignment horizontal="right"/>
      <protection locked="0"/>
    </xf>
    <xf numFmtId="0" fontId="93" fillId="0" borderId="0" xfId="137" applyFont="1" applyProtection="1">
      <protection locked="0"/>
    </xf>
    <xf numFmtId="4" fontId="99" fillId="0" borderId="3" xfId="137" applyNumberFormat="1" applyFont="1" applyBorder="1" applyAlignment="1" applyProtection="1">
      <alignment horizontal="right"/>
      <protection locked="0"/>
    </xf>
    <xf numFmtId="4" fontId="99" fillId="0" borderId="0" xfId="128" applyNumberFormat="1" applyFont="1" applyAlignment="1" applyProtection="1">
      <alignment horizontal="right"/>
      <protection locked="0"/>
    </xf>
    <xf numFmtId="0" fontId="99" fillId="0" borderId="3" xfId="137" applyFont="1" applyBorder="1" applyAlignment="1" applyProtection="1">
      <alignment wrapText="1"/>
      <protection locked="0"/>
    </xf>
    <xf numFmtId="4" fontId="99" fillId="0" borderId="0" xfId="137" applyNumberFormat="1" applyFont="1" applyAlignment="1" applyProtection="1">
      <alignment wrapText="1"/>
      <protection locked="0"/>
    </xf>
    <xf numFmtId="0" fontId="99" fillId="0" borderId="3" xfId="137" applyFont="1" applyBorder="1" applyAlignment="1" applyProtection="1">
      <alignment horizontal="right"/>
      <protection locked="0"/>
    </xf>
    <xf numFmtId="0" fontId="99" fillId="0" borderId="0" xfId="137" applyFont="1" applyAlignment="1" applyProtection="1">
      <alignment wrapText="1"/>
      <protection locked="0"/>
    </xf>
    <xf numFmtId="185" fontId="18" fillId="0" borderId="0" xfId="137" applyNumberFormat="1" applyProtection="1">
      <protection locked="0"/>
    </xf>
    <xf numFmtId="0" fontId="104" fillId="0" borderId="0" xfId="137" applyFont="1" applyAlignment="1" applyProtection="1">
      <alignment horizontal="right"/>
      <protection locked="0"/>
    </xf>
    <xf numFmtId="4" fontId="99" fillId="0" borderId="0" xfId="131" applyNumberFormat="1" applyFont="1" applyAlignment="1" applyProtection="1">
      <alignment horizontal="right"/>
      <protection locked="0"/>
    </xf>
    <xf numFmtId="4" fontId="116" fillId="0" borderId="0" xfId="144" applyNumberFormat="1" applyFont="1" applyFill="1" applyBorder="1" applyAlignment="1" applyProtection="1">
      <alignment horizontal="right"/>
      <protection locked="0"/>
    </xf>
    <xf numFmtId="4" fontId="123" fillId="0" borderId="0" xfId="144" applyNumberFormat="1" applyFont="1" applyFill="1" applyBorder="1" applyAlignment="1" applyProtection="1">
      <alignment horizontal="right"/>
      <protection locked="0"/>
    </xf>
    <xf numFmtId="4" fontId="116" fillId="0" borderId="0" xfId="137" applyNumberFormat="1" applyFont="1" applyProtection="1">
      <protection locked="0"/>
    </xf>
    <xf numFmtId="4" fontId="116" fillId="0" borderId="0" xfId="137" applyNumberFormat="1" applyFont="1" applyAlignment="1" applyProtection="1">
      <alignment horizontal="left" wrapText="1"/>
      <protection locked="0"/>
    </xf>
    <xf numFmtId="4" fontId="116" fillId="0" borderId="0" xfId="137" applyNumberFormat="1" applyFont="1" applyAlignment="1" applyProtection="1">
      <alignment horizontal="right" wrapText="1"/>
      <protection locked="0"/>
    </xf>
    <xf numFmtId="4" fontId="122" fillId="0" borderId="0" xfId="137" applyNumberFormat="1" applyFont="1" applyAlignment="1" applyProtection="1">
      <alignment horizontal="right"/>
      <protection locked="0"/>
    </xf>
    <xf numFmtId="4" fontId="115" fillId="0" borderId="0" xfId="137" applyNumberFormat="1" applyFont="1" applyAlignment="1" applyProtection="1">
      <alignment horizontal="right"/>
      <protection locked="0"/>
    </xf>
    <xf numFmtId="168" fontId="41" fillId="0" borderId="0" xfId="0" applyNumberFormat="1" applyFont="1"/>
    <xf numFmtId="2" fontId="43" fillId="0" borderId="0" xfId="0" applyNumberFormat="1" applyFont="1" applyAlignment="1" applyProtection="1">
      <alignment wrapText="1"/>
      <protection locked="0"/>
    </xf>
    <xf numFmtId="2" fontId="27" fillId="0" borderId="0" xfId="0" applyNumberFormat="1" applyFont="1" applyProtection="1">
      <protection locked="0"/>
    </xf>
    <xf numFmtId="2" fontId="18" fillId="0" borderId="0" xfId="0" applyNumberFormat="1" applyFont="1" applyProtection="1">
      <protection locked="0"/>
    </xf>
    <xf numFmtId="0" fontId="18" fillId="0" borderId="0" xfId="0" applyFont="1" applyAlignment="1" applyProtection="1">
      <alignment vertical="top"/>
      <protection locked="0"/>
    </xf>
    <xf numFmtId="4" fontId="18" fillId="0" borderId="5" xfId="0" applyNumberFormat="1" applyFont="1" applyBorder="1" applyAlignment="1" applyProtection="1">
      <alignment vertical="top"/>
      <protection locked="0"/>
    </xf>
    <xf numFmtId="166" fontId="18" fillId="0" borderId="0" xfId="9" applyNumberFormat="1" applyFont="1" applyAlignment="1" applyProtection="1">
      <alignment vertical="top"/>
      <protection locked="0"/>
    </xf>
    <xf numFmtId="171" fontId="18" fillId="0" borderId="0" xfId="0" applyNumberFormat="1" applyFont="1" applyAlignment="1" applyProtection="1">
      <alignment vertical="top" wrapText="1"/>
      <protection locked="0"/>
    </xf>
    <xf numFmtId="166" fontId="18" fillId="0" borderId="5" xfId="0" applyNumberFormat="1" applyFont="1" applyBorder="1" applyAlignment="1">
      <alignment horizontal="right" vertical="top"/>
    </xf>
    <xf numFmtId="168" fontId="18" fillId="0" borderId="5" xfId="0" applyNumberFormat="1" applyFont="1" applyBorder="1" applyAlignment="1">
      <alignment vertical="top"/>
    </xf>
    <xf numFmtId="166" fontId="18" fillId="0" borderId="0" xfId="9" applyNumberFormat="1" applyFont="1" applyAlignment="1">
      <alignment vertical="top"/>
    </xf>
    <xf numFmtId="0" fontId="60" fillId="0" borderId="0" xfId="49" applyFont="1" applyAlignment="1">
      <alignment horizontal="left" vertical="top" wrapText="1"/>
    </xf>
    <xf numFmtId="0" fontId="60" fillId="0" borderId="0" xfId="49" applyFont="1" applyAlignment="1">
      <alignment horizontal="left" vertical="top"/>
    </xf>
    <xf numFmtId="0" fontId="43" fillId="0" borderId="0" xfId="134" applyFont="1" applyAlignment="1">
      <alignment horizontal="left" vertical="top" wrapText="1"/>
    </xf>
    <xf numFmtId="0" fontId="63" fillId="0" borderId="0" xfId="134" applyFont="1" applyAlignment="1">
      <alignment horizontal="left" vertical="top" wrapText="1"/>
    </xf>
    <xf numFmtId="0" fontId="43" fillId="0" borderId="0" xfId="83" applyFont="1" applyAlignment="1">
      <alignment horizontal="left" vertical="top" wrapText="1"/>
    </xf>
    <xf numFmtId="0" fontId="33" fillId="0" borderId="0" xfId="0" applyFont="1" applyAlignment="1">
      <alignment horizontal="left" vertical="top"/>
    </xf>
    <xf numFmtId="0" fontId="33" fillId="0" borderId="0" xfId="0" applyFont="1" applyAlignment="1">
      <alignment horizontal="justify" vertical="center"/>
    </xf>
    <xf numFmtId="0" fontId="18" fillId="0" borderId="0" xfId="0" applyFont="1" applyAlignment="1">
      <alignment horizontal="left" vertical="top"/>
    </xf>
    <xf numFmtId="0" fontId="62" fillId="0" borderId="0" xfId="134" applyFont="1" applyAlignment="1">
      <alignment horizontal="left" vertical="top" wrapText="1"/>
    </xf>
    <xf numFmtId="0" fontId="43" fillId="0" borderId="0" xfId="0" applyFont="1" applyAlignment="1">
      <alignment horizontal="left" vertical="top" wrapText="1"/>
    </xf>
    <xf numFmtId="0" fontId="61" fillId="0" borderId="0" xfId="134" applyFont="1" applyAlignment="1">
      <alignment horizontal="left" vertical="top" wrapText="1"/>
    </xf>
    <xf numFmtId="0" fontId="60" fillId="0" borderId="0" xfId="49" applyFont="1" applyAlignment="1">
      <alignment horizontal="left" vertical="justify"/>
    </xf>
    <xf numFmtId="0" fontId="18" fillId="0" borderId="0" xfId="134" applyFont="1" applyAlignment="1">
      <alignment horizontal="left" vertical="top" wrapText="1"/>
    </xf>
    <xf numFmtId="0" fontId="19" fillId="0" borderId="4" xfId="0" applyFont="1" applyBorder="1" applyAlignment="1">
      <alignment horizontal="justify" vertical="top" wrapText="1"/>
    </xf>
    <xf numFmtId="0" fontId="19" fillId="0" borderId="0" xfId="0" applyFont="1" applyAlignment="1">
      <alignment horizontal="justify" vertical="top" wrapText="1"/>
    </xf>
    <xf numFmtId="0" fontId="36" fillId="0" borderId="0" xfId="0" applyFont="1"/>
    <xf numFmtId="0" fontId="18" fillId="0" borderId="0" xfId="0" applyFont="1" applyAlignment="1">
      <alignment horizontal="center" vertical="top"/>
    </xf>
    <xf numFmtId="0" fontId="0" fillId="0" borderId="0" xfId="0" applyAlignment="1">
      <alignment horizontal="center" vertical="top"/>
    </xf>
    <xf numFmtId="0" fontId="88" fillId="0" borderId="6" xfId="0" applyFont="1" applyBorder="1" applyAlignment="1" applyProtection="1">
      <alignment horizontal="left" vertical="center"/>
      <protection locked="0"/>
    </xf>
    <xf numFmtId="0" fontId="89" fillId="0" borderId="7" xfId="0" applyFont="1" applyBorder="1" applyAlignment="1" applyProtection="1">
      <alignment horizontal="left" vertical="top" wrapText="1"/>
      <protection locked="0"/>
    </xf>
    <xf numFmtId="0" fontId="89" fillId="0" borderId="7" xfId="0" applyFont="1" applyBorder="1" applyAlignment="1" applyProtection="1">
      <alignment horizontal="left" vertical="center" wrapText="1"/>
      <protection locked="0"/>
    </xf>
    <xf numFmtId="0" fontId="89" fillId="0" borderId="7" xfId="0" applyFont="1" applyBorder="1" applyAlignment="1" applyProtection="1">
      <alignment horizontal="left" vertical="center"/>
      <protection locked="0"/>
    </xf>
    <xf numFmtId="0" fontId="18" fillId="0" borderId="0" xfId="0" applyFont="1" applyAlignment="1">
      <alignment vertical="top" wrapText="1"/>
    </xf>
    <xf numFmtId="0" fontId="18" fillId="0" borderId="8" xfId="0" applyFont="1" applyBorder="1" applyAlignment="1">
      <alignment vertical="top" wrapText="1"/>
    </xf>
    <xf numFmtId="0" fontId="18" fillId="0" borderId="3" xfId="137" applyBorder="1" applyAlignment="1">
      <alignment horizontal="center"/>
    </xf>
    <xf numFmtId="0" fontId="96" fillId="0" borderId="3" xfId="137" applyFont="1" applyBorder="1" applyAlignment="1">
      <alignment horizontal="center"/>
    </xf>
    <xf numFmtId="0" fontId="115" fillId="0" borderId="12" xfId="137" applyFont="1" applyBorder="1" applyAlignment="1">
      <alignment horizontal="left" vertical="top"/>
    </xf>
    <xf numFmtId="49" fontId="115" fillId="0" borderId="0" xfId="137" applyNumberFormat="1" applyFont="1" applyAlignment="1">
      <alignment horizontal="center" vertical="top" wrapText="1"/>
    </xf>
    <xf numFmtId="1" fontId="115" fillId="0" borderId="14" xfId="137" applyNumberFormat="1" applyFont="1" applyBorder="1" applyAlignment="1">
      <alignment horizontal="center" vertical="center"/>
    </xf>
    <xf numFmtId="0" fontId="115" fillId="9" borderId="14" xfId="93" applyFont="1" applyFill="1" applyBorder="1" applyAlignment="1">
      <alignment horizontal="center" shrinkToFit="1"/>
    </xf>
    <xf numFmtId="1" fontId="120" fillId="0" borderId="0" xfId="137" applyNumberFormat="1" applyFont="1" applyAlignment="1">
      <alignment horizontal="center" vertical="top"/>
    </xf>
    <xf numFmtId="0" fontId="115" fillId="0" borderId="14" xfId="137" applyFont="1" applyBorder="1" applyAlignment="1">
      <alignment horizontal="left" vertical="top" wrapText="1"/>
    </xf>
    <xf numFmtId="0" fontId="118" fillId="0" borderId="14" xfId="137" applyFont="1" applyBorder="1" applyAlignment="1">
      <alignment horizontal="left" vertical="top" wrapText="1"/>
    </xf>
    <xf numFmtId="0" fontId="112" fillId="0" borderId="25" xfId="137" applyFont="1" applyBorder="1" applyAlignment="1">
      <alignment horizontal="left" vertical="center" wrapText="1"/>
    </xf>
    <xf numFmtId="0" fontId="112" fillId="0" borderId="14" xfId="137" applyFont="1" applyBorder="1" applyAlignment="1">
      <alignment horizontal="left" vertical="top" wrapText="1"/>
    </xf>
    <xf numFmtId="0" fontId="115" fillId="0" borderId="0" xfId="137" applyFont="1" applyAlignment="1">
      <alignment horizontal="left" vertical="top"/>
    </xf>
    <xf numFmtId="0" fontId="139" fillId="0" borderId="11" xfId="137" applyFont="1" applyBorder="1" applyAlignment="1">
      <alignment horizontal="center" vertical="top"/>
    </xf>
    <xf numFmtId="0" fontId="112" fillId="0" borderId="12" xfId="137" applyFont="1" applyBorder="1" applyAlignment="1">
      <alignment horizontal="center" vertical="top"/>
    </xf>
    <xf numFmtId="0" fontId="112" fillId="0" borderId="13" xfId="137" applyFont="1" applyBorder="1" applyAlignment="1">
      <alignment horizontal="center" vertical="top"/>
    </xf>
    <xf numFmtId="0" fontId="112" fillId="0" borderId="11" xfId="137" applyFont="1" applyBorder="1" applyAlignment="1" applyProtection="1">
      <alignment horizontal="center" vertical="center"/>
      <protection locked="0"/>
    </xf>
    <xf numFmtId="0" fontId="112" fillId="0" borderId="12" xfId="137" applyFont="1" applyBorder="1" applyAlignment="1" applyProtection="1">
      <alignment horizontal="center" vertical="center"/>
      <protection locked="0"/>
    </xf>
    <xf numFmtId="0" fontId="112" fillId="0" borderId="13" xfId="137" applyFont="1" applyBorder="1" applyAlignment="1" applyProtection="1">
      <alignment horizontal="center" vertical="center"/>
      <protection locked="0"/>
    </xf>
    <xf numFmtId="49" fontId="112" fillId="0" borderId="15" xfId="137" applyNumberFormat="1" applyFont="1" applyBorder="1" applyAlignment="1">
      <alignment horizontal="center" vertical="top"/>
    </xf>
    <xf numFmtId="49" fontId="112" fillId="0" borderId="0" xfId="137" applyNumberFormat="1" applyFont="1" applyAlignment="1">
      <alignment horizontal="center" vertical="top"/>
    </xf>
    <xf numFmtId="49" fontId="112" fillId="0" borderId="8" xfId="137" applyNumberFormat="1" applyFont="1" applyBorder="1" applyAlignment="1">
      <alignment horizontal="center" vertical="top"/>
    </xf>
    <xf numFmtId="0" fontId="115" fillId="0" borderId="17" xfId="137" applyFont="1" applyBorder="1" applyAlignment="1" applyProtection="1">
      <alignment horizontal="left" vertical="top" wrapText="1"/>
      <protection locked="0"/>
    </xf>
    <xf numFmtId="0" fontId="115" fillId="0" borderId="18" xfId="137" applyFont="1" applyBorder="1" applyAlignment="1" applyProtection="1">
      <alignment horizontal="left" vertical="top" wrapText="1"/>
      <protection locked="0"/>
    </xf>
    <xf numFmtId="0" fontId="115" fillId="0" borderId="7" xfId="137" applyFont="1" applyBorder="1" applyAlignment="1" applyProtection="1">
      <alignment horizontal="left" vertical="center" wrapText="1"/>
      <protection locked="0"/>
    </xf>
    <xf numFmtId="0" fontId="115" fillId="0" borderId="20" xfId="137" applyFont="1" applyBorder="1" applyAlignment="1" applyProtection="1">
      <alignment horizontal="left" vertical="center" wrapText="1"/>
      <protection locked="0"/>
    </xf>
    <xf numFmtId="0" fontId="115" fillId="0" borderId="22" xfId="137" applyFont="1" applyBorder="1" applyAlignment="1" applyProtection="1">
      <alignment horizontal="left" vertical="center"/>
      <protection locked="0"/>
    </xf>
    <xf numFmtId="0" fontId="115" fillId="0" borderId="23" xfId="137" applyFont="1" applyBorder="1" applyAlignment="1" applyProtection="1">
      <alignment horizontal="left" vertical="center"/>
      <protection locked="0"/>
    </xf>
    <xf numFmtId="49" fontId="113" fillId="0" borderId="15" xfId="137" applyNumberFormat="1" applyFont="1" applyBorder="1" applyAlignment="1">
      <alignment horizontal="center" vertical="top"/>
    </xf>
    <xf numFmtId="49" fontId="113" fillId="0" borderId="0" xfId="137" applyNumberFormat="1" applyFont="1" applyAlignment="1">
      <alignment horizontal="center" vertical="top"/>
    </xf>
    <xf numFmtId="49" fontId="113" fillId="0" borderId="8" xfId="137" applyNumberFormat="1" applyFont="1" applyBorder="1" applyAlignment="1">
      <alignment horizontal="center" vertical="top"/>
    </xf>
    <xf numFmtId="0" fontId="116" fillId="0" borderId="12" xfId="137" applyFont="1" applyBorder="1" applyAlignment="1">
      <alignment vertical="top" wrapText="1"/>
    </xf>
    <xf numFmtId="0" fontId="116" fillId="0" borderId="13" xfId="137" applyFont="1" applyBorder="1" applyAlignment="1">
      <alignment vertical="top" wrapText="1"/>
    </xf>
    <xf numFmtId="1" fontId="116" fillId="0" borderId="15" xfId="137" applyNumberFormat="1" applyFont="1" applyBorder="1" applyAlignment="1">
      <alignment horizontal="center" vertical="top"/>
    </xf>
    <xf numFmtId="1" fontId="116" fillId="0" borderId="0" xfId="137" applyNumberFormat="1" applyFont="1" applyAlignment="1">
      <alignment horizontal="center" vertical="top"/>
    </xf>
    <xf numFmtId="1" fontId="116" fillId="0" borderId="8" xfId="137" applyNumberFormat="1" applyFont="1" applyBorder="1" applyAlignment="1">
      <alignment horizontal="center" vertical="top"/>
    </xf>
    <xf numFmtId="1" fontId="140" fillId="0" borderId="0" xfId="137" applyNumberFormat="1" applyFont="1" applyAlignment="1">
      <alignment vertical="top"/>
    </xf>
    <xf numFmtId="1" fontId="115" fillId="0" borderId="0" xfId="137" applyNumberFormat="1" applyFont="1" applyAlignment="1">
      <alignment vertical="top"/>
    </xf>
  </cellXfs>
  <cellStyles count="151">
    <cellStyle name="Bad 2" xfId="69" xr:uid="{00000000-0005-0000-0000-000000000000}"/>
    <cellStyle name="Comma 2" xfId="77" xr:uid="{00000000-0005-0000-0000-000001000000}"/>
    <cellStyle name="Comma 2 2" xfId="82" xr:uid="{00000000-0005-0000-0000-000002000000}"/>
    <cellStyle name="Comma 3" xfId="109" xr:uid="{00000000-0005-0000-0000-000003000000}"/>
    <cellStyle name="Comma 4" xfId="112" xr:uid="{00000000-0005-0000-0000-000004000000}"/>
    <cellStyle name="Comma 5" xfId="132" xr:uid="{00000000-0005-0000-0000-000005000000}"/>
    <cellStyle name="Comma_Polux Tender troskovnik strojarski 2" xfId="144" xr:uid="{C14799F0-57DF-407B-8A98-2B8855E24C14}"/>
    <cellStyle name="Currency 2" xfId="74" xr:uid="{00000000-0005-0000-0000-000007000000}"/>
    <cellStyle name="Currency 3" xfId="105" xr:uid="{00000000-0005-0000-0000-000008000000}"/>
    <cellStyle name="Energetska" xfId="97" xr:uid="{00000000-0005-0000-0000-000009000000}"/>
    <cellStyle name="Excel Built-in Normal" xfId="88" xr:uid="{00000000-0005-0000-0000-00000A000000}"/>
    <cellStyle name="FSEU" xfId="96" xr:uid="{00000000-0005-0000-0000-00000B000000}"/>
    <cellStyle name="Istaknuto" xfId="94" xr:uid="{00000000-0005-0000-0000-00000C000000}"/>
    <cellStyle name="Jedinica mjere" xfId="90" xr:uid="{00000000-0005-0000-0000-00000D000000}"/>
    <cellStyle name="Jedinična cijena" xfId="92" xr:uid="{00000000-0005-0000-0000-00000E000000}"/>
    <cellStyle name="Količina, cijena" xfId="91" xr:uid="{00000000-0005-0000-0000-00000F000000}"/>
    <cellStyle name="naslov stavke" xfId="106" xr:uid="{00000000-0005-0000-0000-000010000000}"/>
    <cellStyle name="Normal 10" xfId="1" xr:uid="{00000000-0005-0000-0000-000012000000}"/>
    <cellStyle name="Normal 10 10" xfId="137" xr:uid="{00000000-0005-0000-0000-000013000000}"/>
    <cellStyle name="Normal 10 2" xfId="70" xr:uid="{00000000-0005-0000-0000-000014000000}"/>
    <cellStyle name="Normal 10 2 2" xfId="113" xr:uid="{00000000-0005-0000-0000-000015000000}"/>
    <cellStyle name="Normal 10 2 2 2" xfId="122" xr:uid="{00000000-0005-0000-0000-000016000000}"/>
    <cellStyle name="Normal 10 3" xfId="78" xr:uid="{00000000-0005-0000-0000-000017000000}"/>
    <cellStyle name="Normal 107" xfId="81" xr:uid="{00000000-0005-0000-0000-000018000000}"/>
    <cellStyle name="Normal 11" xfId="62" xr:uid="{00000000-0005-0000-0000-000019000000}"/>
    <cellStyle name="Normal 11 18" xfId="124" xr:uid="{00000000-0005-0000-0000-00001A000000}"/>
    <cellStyle name="Normal 11 2" xfId="84" xr:uid="{00000000-0005-0000-0000-00001B000000}"/>
    <cellStyle name="Normal 11 2 2" xfId="86" xr:uid="{00000000-0005-0000-0000-00001C000000}"/>
    <cellStyle name="Normal 11 3" xfId="99" xr:uid="{00000000-0005-0000-0000-00001D000000}"/>
    <cellStyle name="Normal 11 4" xfId="115" xr:uid="{00000000-0005-0000-0000-00001E000000}"/>
    <cellStyle name="Normal 111 3" xfId="123" xr:uid="{00000000-0005-0000-0000-00001F000000}"/>
    <cellStyle name="Normal 12" xfId="2" xr:uid="{00000000-0005-0000-0000-000020000000}"/>
    <cellStyle name="Normal 13" xfId="3" xr:uid="{00000000-0005-0000-0000-000021000000}"/>
    <cellStyle name="Normal 14" xfId="4" xr:uid="{00000000-0005-0000-0000-000022000000}"/>
    <cellStyle name="Normal 14 2" xfId="73" xr:uid="{00000000-0005-0000-0000-000023000000}"/>
    <cellStyle name="Normal 149" xfId="129" xr:uid="{00000000-0005-0000-0000-000024000000}"/>
    <cellStyle name="Normal 15" xfId="5" xr:uid="{00000000-0005-0000-0000-000025000000}"/>
    <cellStyle name="Normal 150" xfId="130" xr:uid="{00000000-0005-0000-0000-000026000000}"/>
    <cellStyle name="Normal 153" xfId="131" xr:uid="{00000000-0005-0000-0000-000027000000}"/>
    <cellStyle name="Normal 154" xfId="128" xr:uid="{00000000-0005-0000-0000-000028000000}"/>
    <cellStyle name="Normal 155" xfId="127" xr:uid="{00000000-0005-0000-0000-000029000000}"/>
    <cellStyle name="Normal 16" xfId="6" xr:uid="{00000000-0005-0000-0000-00002A000000}"/>
    <cellStyle name="Normal 17" xfId="61" xr:uid="{00000000-0005-0000-0000-00002B000000}"/>
    <cellStyle name="Normal 18" xfId="7" xr:uid="{00000000-0005-0000-0000-00002C000000}"/>
    <cellStyle name="Normal 19" xfId="8" xr:uid="{00000000-0005-0000-0000-00002D000000}"/>
    <cellStyle name="Normal 2" xfId="9" xr:uid="{00000000-0005-0000-0000-00002E000000}"/>
    <cellStyle name="Normal 2 10 2" xfId="71" xr:uid="{00000000-0005-0000-0000-00002F000000}"/>
    <cellStyle name="Normal 2 13" xfId="72" xr:uid="{00000000-0005-0000-0000-000030000000}"/>
    <cellStyle name="Normal 2 2" xfId="10" xr:uid="{00000000-0005-0000-0000-000031000000}"/>
    <cellStyle name="Normal 2 2 2" xfId="76" xr:uid="{00000000-0005-0000-0000-000032000000}"/>
    <cellStyle name="Normal 2 2 2 2" xfId="114" xr:uid="{00000000-0005-0000-0000-000033000000}"/>
    <cellStyle name="Normal 2 2 3" xfId="149" xr:uid="{8099245D-73E1-4650-BD63-EA9E7471DFFC}"/>
    <cellStyle name="Normal 2 2 3 2" xfId="93" xr:uid="{00000000-0005-0000-0000-000034000000}"/>
    <cellStyle name="Normal 2 3" xfId="11" xr:uid="{00000000-0005-0000-0000-000035000000}"/>
    <cellStyle name="Normal 2 3 2" xfId="145" xr:uid="{8B61DD1F-0EC8-4ABE-AF88-EE6338458C54}"/>
    <cellStyle name="Normal 2 4" xfId="12" xr:uid="{00000000-0005-0000-0000-000036000000}"/>
    <cellStyle name="Normal 2 5" xfId="13" xr:uid="{00000000-0005-0000-0000-000037000000}"/>
    <cellStyle name="Normal 2 55 3" xfId="138" xr:uid="{615E6319-69BA-4F1D-A4C4-CA0044285EE4}"/>
    <cellStyle name="Normal 2 6" xfId="14" xr:uid="{00000000-0005-0000-0000-000038000000}"/>
    <cellStyle name="Normal 2 6 2" xfId="15" xr:uid="{00000000-0005-0000-0000-000039000000}"/>
    <cellStyle name="Normal 2 7" xfId="110" xr:uid="{00000000-0005-0000-0000-00003A000000}"/>
    <cellStyle name="Normal 2 7 5" xfId="126" xr:uid="{00000000-0005-0000-0000-00003B000000}"/>
    <cellStyle name="Normal 20" xfId="16" xr:uid="{00000000-0005-0000-0000-00003C000000}"/>
    <cellStyle name="Normal 20 2 2" xfId="75" xr:uid="{00000000-0005-0000-0000-00003D000000}"/>
    <cellStyle name="Normal 21" xfId="17" xr:uid="{00000000-0005-0000-0000-00003E000000}"/>
    <cellStyle name="Normal 22" xfId="18" xr:uid="{00000000-0005-0000-0000-00003F000000}"/>
    <cellStyle name="Normal 23" xfId="63" xr:uid="{00000000-0005-0000-0000-000040000000}"/>
    <cellStyle name="Normal 23 2" xfId="80" xr:uid="{00000000-0005-0000-0000-000041000000}"/>
    <cellStyle name="Normal 24" xfId="19" xr:uid="{00000000-0005-0000-0000-000042000000}"/>
    <cellStyle name="Normal 25" xfId="20" xr:uid="{00000000-0005-0000-0000-000043000000}"/>
    <cellStyle name="Normal 26" xfId="21" xr:uid="{00000000-0005-0000-0000-000044000000}"/>
    <cellStyle name="Normal 27" xfId="22" xr:uid="{00000000-0005-0000-0000-000045000000}"/>
    <cellStyle name="Normal 27 2" xfId="150" xr:uid="{59A3BA52-AC86-4342-A4A3-103E1F2B6CFB}"/>
    <cellStyle name="Normal 28" xfId="23" xr:uid="{00000000-0005-0000-0000-000046000000}"/>
    <cellStyle name="Normal 29" xfId="24" xr:uid="{00000000-0005-0000-0000-000047000000}"/>
    <cellStyle name="Normal 3" xfId="25" xr:uid="{00000000-0005-0000-0000-000048000000}"/>
    <cellStyle name="Normal 3 13" xfId="79" xr:uid="{00000000-0005-0000-0000-000049000000}"/>
    <cellStyle name="Normal 3 18" xfId="133" xr:uid="{00000000-0005-0000-0000-00004A000000}"/>
    <cellStyle name="Normal 3 2" xfId="26" xr:uid="{00000000-0005-0000-0000-00004B000000}"/>
    <cellStyle name="Normal 3 3" xfId="27" xr:uid="{00000000-0005-0000-0000-00004C000000}"/>
    <cellStyle name="Normal 3 4" xfId="28" xr:uid="{00000000-0005-0000-0000-00004D000000}"/>
    <cellStyle name="Normal 3 5" xfId="29" xr:uid="{00000000-0005-0000-0000-00004E000000}"/>
    <cellStyle name="Normal 3 6" xfId="146" xr:uid="{7A9DF39B-E521-4684-B23B-1A95F78F0CB0}"/>
    <cellStyle name="Normal 30" xfId="30" xr:uid="{00000000-0005-0000-0000-00004F000000}"/>
    <cellStyle name="Normal 31" xfId="31" xr:uid="{00000000-0005-0000-0000-000050000000}"/>
    <cellStyle name="Normal 32" xfId="32" xr:uid="{00000000-0005-0000-0000-000051000000}"/>
    <cellStyle name="Normal 33" xfId="33" xr:uid="{00000000-0005-0000-0000-000052000000}"/>
    <cellStyle name="Normal 34" xfId="34" xr:uid="{00000000-0005-0000-0000-000053000000}"/>
    <cellStyle name="Normal 35" xfId="35" xr:uid="{00000000-0005-0000-0000-000054000000}"/>
    <cellStyle name="Normal 36" xfId="36" xr:uid="{00000000-0005-0000-0000-000055000000}"/>
    <cellStyle name="Normal 37" xfId="37" xr:uid="{00000000-0005-0000-0000-000056000000}"/>
    <cellStyle name="Normal 38" xfId="38" xr:uid="{00000000-0005-0000-0000-000057000000}"/>
    <cellStyle name="Normal 39" xfId="39" xr:uid="{00000000-0005-0000-0000-000058000000}"/>
    <cellStyle name="Normal 4" xfId="40" xr:uid="{00000000-0005-0000-0000-000059000000}"/>
    <cellStyle name="Normal 4 9" xfId="135" xr:uid="{00000000-0005-0000-0000-00005A000000}"/>
    <cellStyle name="Normal 40" xfId="41" xr:uid="{00000000-0005-0000-0000-00005B000000}"/>
    <cellStyle name="Normal 41" xfId="42" xr:uid="{00000000-0005-0000-0000-00005C000000}"/>
    <cellStyle name="Normal 42" xfId="43" xr:uid="{00000000-0005-0000-0000-00005D000000}"/>
    <cellStyle name="Normal 43" xfId="44" xr:uid="{00000000-0005-0000-0000-00005E000000}"/>
    <cellStyle name="Normal 44" xfId="45" xr:uid="{00000000-0005-0000-0000-00005F000000}"/>
    <cellStyle name="Normal 45" xfId="46" xr:uid="{00000000-0005-0000-0000-000060000000}"/>
    <cellStyle name="Normal 46" xfId="47" xr:uid="{00000000-0005-0000-0000-000061000000}"/>
    <cellStyle name="Normal 47" xfId="48" xr:uid="{00000000-0005-0000-0000-000062000000}"/>
    <cellStyle name="Normal 48" xfId="83" xr:uid="{00000000-0005-0000-0000-000063000000}"/>
    <cellStyle name="Normal 48 2" xfId="102" xr:uid="{00000000-0005-0000-0000-000064000000}"/>
    <cellStyle name="Normal 48 2 2" xfId="103" xr:uid="{00000000-0005-0000-0000-000065000000}"/>
    <cellStyle name="Normal 48 2 2 2" xfId="134" xr:uid="{00000000-0005-0000-0000-000066000000}"/>
    <cellStyle name="Normal 48 3" xfId="104" xr:uid="{00000000-0005-0000-0000-000067000000}"/>
    <cellStyle name="Normal 48 4" xfId="111" xr:uid="{00000000-0005-0000-0000-000068000000}"/>
    <cellStyle name="Normal 48 5" xfId="116" xr:uid="{00000000-0005-0000-0000-000069000000}"/>
    <cellStyle name="Normal 48 6" xfId="121" xr:uid="{00000000-0005-0000-0000-00006A000000}"/>
    <cellStyle name="Normal 49" xfId="49" xr:uid="{00000000-0005-0000-0000-00006B000000}"/>
    <cellStyle name="Normal 49 2" xfId="148" xr:uid="{A17DE62B-4480-488B-8966-0486D123DC8B}"/>
    <cellStyle name="Normal 5" xfId="50" xr:uid="{00000000-0005-0000-0000-00006C000000}"/>
    <cellStyle name="Normal 50" xfId="51" xr:uid="{00000000-0005-0000-0000-00006D000000}"/>
    <cellStyle name="Normal 51" xfId="52" xr:uid="{00000000-0005-0000-0000-00006E000000}"/>
    <cellStyle name="Normal 51 2" xfId="87" xr:uid="{00000000-0005-0000-0000-00006F000000}"/>
    <cellStyle name="Normal 52" xfId="85" xr:uid="{00000000-0005-0000-0000-000070000000}"/>
    <cellStyle name="Normal 53" xfId="95" xr:uid="{00000000-0005-0000-0000-000071000000}"/>
    <cellStyle name="Normal 53 2" xfId="139" xr:uid="{87E6714A-9361-4392-9C8E-0331C9A82F75}"/>
    <cellStyle name="Normal 54" xfId="100" xr:uid="{00000000-0005-0000-0000-000072000000}"/>
    <cellStyle name="Normal 55" xfId="108" xr:uid="{00000000-0005-0000-0000-000073000000}"/>
    <cellStyle name="Normal 6" xfId="53" xr:uid="{00000000-0005-0000-0000-000074000000}"/>
    <cellStyle name="Normal 7" xfId="54" xr:uid="{00000000-0005-0000-0000-000075000000}"/>
    <cellStyle name="Normal 8" xfId="55" xr:uid="{00000000-0005-0000-0000-000076000000}"/>
    <cellStyle name="Normal 9" xfId="56" xr:uid="{00000000-0005-0000-0000-000077000000}"/>
    <cellStyle name="Normal_00 PREDLOŽAK GRAĐEVNA in-tegra" xfId="142" xr:uid="{28C8F885-7838-4070-BB8B-8AFC7F3D9CBF}"/>
    <cellStyle name="Normal_C" xfId="64" xr:uid="{00000000-0005-0000-0000-000078000000}"/>
    <cellStyle name="Normal_FASADERSI RADOVI-DVS_TROSKOVNIK_2009_05_07" xfId="67" xr:uid="{00000000-0005-0000-0000-000079000000}"/>
    <cellStyle name="Normal_Sheet1" xfId="140" xr:uid="{C34C5717-78D2-45CF-A8D7-4F488BFF8C0D}"/>
    <cellStyle name="Normal_Sokolgradska-02-TR" xfId="66" xr:uid="{00000000-0005-0000-0000-00007A000000}"/>
    <cellStyle name="Normal_TROŠKOVNIK - KAM - ŽUTO" xfId="143" xr:uid="{FE274A41-029B-4077-A075-8E6CB16369B1}"/>
    <cellStyle name="Normal_VLAšKA 69-A,B,C,D (2)" xfId="141" xr:uid="{26C665FE-EA45-4D39-BA9F-8DA8F497F43A}"/>
    <cellStyle name="Normal_Wulf_gradj_obrt" xfId="57" xr:uid="{00000000-0005-0000-0000-00007B000000}"/>
    <cellStyle name="Normal_zid" xfId="68" xr:uid="{00000000-0005-0000-0000-00007C000000}"/>
    <cellStyle name="Normale_DVS_TROSKOVNI_BETONI" xfId="58" xr:uid="{00000000-0005-0000-0000-00007D000000}"/>
    <cellStyle name="Normalno" xfId="0" builtinId="0"/>
    <cellStyle name="Normalno 2" xfId="118" xr:uid="{00000000-0005-0000-0000-00007E000000}"/>
    <cellStyle name="Normalno 2 2" xfId="147" xr:uid="{0F4FD82B-4FB6-40F1-B291-64EB6D239403}"/>
    <cellStyle name="Normalno 2 4" xfId="120" xr:uid="{00000000-0005-0000-0000-00007F000000}"/>
    <cellStyle name="Normalno 3 2" xfId="119" xr:uid="{00000000-0005-0000-0000-000080000000}"/>
    <cellStyle name="Normalno 3 2 2" xfId="117" xr:uid="{00000000-0005-0000-0000-000081000000}"/>
    <cellStyle name="Obično 2" xfId="59" xr:uid="{00000000-0005-0000-0000-000082000000}"/>
    <cellStyle name="opis stavke" xfId="107" xr:uid="{00000000-0005-0000-0000-000083000000}"/>
    <cellStyle name="Redni broj" xfId="98" xr:uid="{00000000-0005-0000-0000-000084000000}"/>
    <cellStyle name="Stavka" xfId="89" xr:uid="{00000000-0005-0000-0000-000085000000}"/>
    <cellStyle name="Style 1" xfId="60" xr:uid="{00000000-0005-0000-0000-000086000000}"/>
    <cellStyle name="Style 1 2" xfId="125" xr:uid="{00000000-0005-0000-0000-000087000000}"/>
    <cellStyle name="Troškovnik" xfId="136" xr:uid="{00000000-0005-0000-0000-000088000000}"/>
    <cellStyle name="Valuta" xfId="101" builtinId="4"/>
    <cellStyle name="Zarez 2" xfId="65" xr:uid="{00000000-0005-0000-0000-000089000000}"/>
  </cellStyles>
  <dxfs count="3">
    <dxf>
      <font>
        <condense val="0"/>
        <extend val="0"/>
        <color indexed="9"/>
      </font>
    </dxf>
    <dxf>
      <font>
        <condense val="0"/>
        <extend val="0"/>
        <color indexed="9"/>
      </font>
    </dxf>
    <dxf>
      <font>
        <condense val="0"/>
        <extend val="0"/>
        <color auto="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50" Type="http://schemas.openxmlformats.org/officeDocument/2006/relationships/externalLink" Target="externalLinks/externalLink14.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101600</xdr:colOff>
      <xdr:row>73</xdr:row>
      <xdr:rowOff>0</xdr:rowOff>
    </xdr:from>
    <xdr:ext cx="197926" cy="264560"/>
    <xdr:sp macro="" textlink="">
      <xdr:nvSpPr>
        <xdr:cNvPr id="2" name="TextBox 1">
          <a:extLst>
            <a:ext uri="{FF2B5EF4-FFF2-40B4-BE49-F238E27FC236}">
              <a16:creationId xmlns:a16="http://schemas.microsoft.com/office/drawing/2014/main" id="{25E9D4BA-CC65-4FE2-9717-C736395C2F0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3" name="TextBox 2">
          <a:extLst>
            <a:ext uri="{FF2B5EF4-FFF2-40B4-BE49-F238E27FC236}">
              <a16:creationId xmlns:a16="http://schemas.microsoft.com/office/drawing/2014/main" id="{64959F84-2919-4611-83F1-E37D41B377D9}"/>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4" name="TextBox 3">
          <a:extLst>
            <a:ext uri="{FF2B5EF4-FFF2-40B4-BE49-F238E27FC236}">
              <a16:creationId xmlns:a16="http://schemas.microsoft.com/office/drawing/2014/main" id="{CED8C89F-6DA6-4BE5-A376-FD9A23699D8A}"/>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5" name="TextBox 8">
          <a:extLst>
            <a:ext uri="{FF2B5EF4-FFF2-40B4-BE49-F238E27FC236}">
              <a16:creationId xmlns:a16="http://schemas.microsoft.com/office/drawing/2014/main" id="{136B19DA-BA1F-4318-B4CD-D49F7804B69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6" name="TextBox 9">
          <a:extLst>
            <a:ext uri="{FF2B5EF4-FFF2-40B4-BE49-F238E27FC236}">
              <a16:creationId xmlns:a16="http://schemas.microsoft.com/office/drawing/2014/main" id="{990EEE73-63B4-4D8E-B014-22094569304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7" name="TextBox 10">
          <a:extLst>
            <a:ext uri="{FF2B5EF4-FFF2-40B4-BE49-F238E27FC236}">
              <a16:creationId xmlns:a16="http://schemas.microsoft.com/office/drawing/2014/main" id="{B988C54F-FBC7-4A47-9154-AFB8A211E1A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8" name="TextBox 11">
          <a:extLst>
            <a:ext uri="{FF2B5EF4-FFF2-40B4-BE49-F238E27FC236}">
              <a16:creationId xmlns:a16="http://schemas.microsoft.com/office/drawing/2014/main" id="{C439E0DC-1DB1-496E-9B02-713EAF20CEB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9" name="TextBox 12">
          <a:extLst>
            <a:ext uri="{FF2B5EF4-FFF2-40B4-BE49-F238E27FC236}">
              <a16:creationId xmlns:a16="http://schemas.microsoft.com/office/drawing/2014/main" id="{D91CF8D9-197C-4836-B55C-920FBF94CEF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10" name="TextBox 13">
          <a:extLst>
            <a:ext uri="{FF2B5EF4-FFF2-40B4-BE49-F238E27FC236}">
              <a16:creationId xmlns:a16="http://schemas.microsoft.com/office/drawing/2014/main" id="{B442D2CA-1484-4B5B-B5EB-C3A96F7AD8F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11" name="TextBox 14">
          <a:extLst>
            <a:ext uri="{FF2B5EF4-FFF2-40B4-BE49-F238E27FC236}">
              <a16:creationId xmlns:a16="http://schemas.microsoft.com/office/drawing/2014/main" id="{41261C20-293E-4D2E-BF4B-FA34E1DFF596}"/>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12" name="TextBox 15">
          <a:extLst>
            <a:ext uri="{FF2B5EF4-FFF2-40B4-BE49-F238E27FC236}">
              <a16:creationId xmlns:a16="http://schemas.microsoft.com/office/drawing/2014/main" id="{0030F938-6E60-4B6F-9555-DC4F916206F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13" name="TextBox 16">
          <a:extLst>
            <a:ext uri="{FF2B5EF4-FFF2-40B4-BE49-F238E27FC236}">
              <a16:creationId xmlns:a16="http://schemas.microsoft.com/office/drawing/2014/main" id="{DBDCD333-68D3-49C0-A1AC-12D35AD9860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14" name="TextBox 17">
          <a:extLst>
            <a:ext uri="{FF2B5EF4-FFF2-40B4-BE49-F238E27FC236}">
              <a16:creationId xmlns:a16="http://schemas.microsoft.com/office/drawing/2014/main" id="{82D09045-C74E-4E24-84F6-468893F3D39F}"/>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15" name="TextBox 18">
          <a:extLst>
            <a:ext uri="{FF2B5EF4-FFF2-40B4-BE49-F238E27FC236}">
              <a16:creationId xmlns:a16="http://schemas.microsoft.com/office/drawing/2014/main" id="{0A0B1769-3079-45B8-A302-128F178E83A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16" name="TextBox 19">
          <a:extLst>
            <a:ext uri="{FF2B5EF4-FFF2-40B4-BE49-F238E27FC236}">
              <a16:creationId xmlns:a16="http://schemas.microsoft.com/office/drawing/2014/main" id="{2110C363-03B0-4347-A89F-683AC9CEAA4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17" name="TextBox 16">
          <a:extLst>
            <a:ext uri="{FF2B5EF4-FFF2-40B4-BE49-F238E27FC236}">
              <a16:creationId xmlns:a16="http://schemas.microsoft.com/office/drawing/2014/main" id="{54AA019D-776D-4A00-8102-E4BD8B2DACBD}"/>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18" name="TextBox 12">
          <a:extLst>
            <a:ext uri="{FF2B5EF4-FFF2-40B4-BE49-F238E27FC236}">
              <a16:creationId xmlns:a16="http://schemas.microsoft.com/office/drawing/2014/main" id="{08148A1B-BD91-4B21-9B41-654E37E7E09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19" name="TextBox 13">
          <a:extLst>
            <a:ext uri="{FF2B5EF4-FFF2-40B4-BE49-F238E27FC236}">
              <a16:creationId xmlns:a16="http://schemas.microsoft.com/office/drawing/2014/main" id="{E186E460-7CEC-4C19-85B4-16206F033EE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20" name="TextBox 14">
          <a:extLst>
            <a:ext uri="{FF2B5EF4-FFF2-40B4-BE49-F238E27FC236}">
              <a16:creationId xmlns:a16="http://schemas.microsoft.com/office/drawing/2014/main" id="{E9E69E05-0696-492C-826D-5CB90C58DD8C}"/>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21" name="TextBox 15">
          <a:extLst>
            <a:ext uri="{FF2B5EF4-FFF2-40B4-BE49-F238E27FC236}">
              <a16:creationId xmlns:a16="http://schemas.microsoft.com/office/drawing/2014/main" id="{DD6A8D07-89F2-4145-B43D-3244D9B6909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22" name="TextBox 16">
          <a:extLst>
            <a:ext uri="{FF2B5EF4-FFF2-40B4-BE49-F238E27FC236}">
              <a16:creationId xmlns:a16="http://schemas.microsoft.com/office/drawing/2014/main" id="{BA953569-1D3D-4C1E-994E-0A03955A032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23" name="TextBox 17">
          <a:extLst>
            <a:ext uri="{FF2B5EF4-FFF2-40B4-BE49-F238E27FC236}">
              <a16:creationId xmlns:a16="http://schemas.microsoft.com/office/drawing/2014/main" id="{060EDAE3-74AC-4188-BDBF-9D5166AF8A9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24" name="TextBox 18">
          <a:extLst>
            <a:ext uri="{FF2B5EF4-FFF2-40B4-BE49-F238E27FC236}">
              <a16:creationId xmlns:a16="http://schemas.microsoft.com/office/drawing/2014/main" id="{85961F60-85D9-4720-A8AB-46B6EA89878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25" name="TextBox 19">
          <a:extLst>
            <a:ext uri="{FF2B5EF4-FFF2-40B4-BE49-F238E27FC236}">
              <a16:creationId xmlns:a16="http://schemas.microsoft.com/office/drawing/2014/main" id="{3ACE7A22-9B5A-42F3-9325-57816478C46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26" name="TextBox 25">
          <a:extLst>
            <a:ext uri="{FF2B5EF4-FFF2-40B4-BE49-F238E27FC236}">
              <a16:creationId xmlns:a16="http://schemas.microsoft.com/office/drawing/2014/main" id="{641916E0-4CB5-493C-ADD1-8967DDC819F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27" name="TextBox 26">
          <a:extLst>
            <a:ext uri="{FF2B5EF4-FFF2-40B4-BE49-F238E27FC236}">
              <a16:creationId xmlns:a16="http://schemas.microsoft.com/office/drawing/2014/main" id="{BB7FEF1C-BBAD-46DC-B034-5D7A6046C830}"/>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28" name="TextBox 27">
          <a:extLst>
            <a:ext uri="{FF2B5EF4-FFF2-40B4-BE49-F238E27FC236}">
              <a16:creationId xmlns:a16="http://schemas.microsoft.com/office/drawing/2014/main" id="{9D09C787-4BE1-4935-8E9F-46C7A8583ED7}"/>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29" name="TextBox 8">
          <a:extLst>
            <a:ext uri="{FF2B5EF4-FFF2-40B4-BE49-F238E27FC236}">
              <a16:creationId xmlns:a16="http://schemas.microsoft.com/office/drawing/2014/main" id="{0A45C93B-AC1E-4187-93CA-D1B544BD528C}"/>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30" name="TextBox 9">
          <a:extLst>
            <a:ext uri="{FF2B5EF4-FFF2-40B4-BE49-F238E27FC236}">
              <a16:creationId xmlns:a16="http://schemas.microsoft.com/office/drawing/2014/main" id="{9DE84E67-7B6F-461A-841F-ACCA340DF976}"/>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31" name="TextBox 10">
          <a:extLst>
            <a:ext uri="{FF2B5EF4-FFF2-40B4-BE49-F238E27FC236}">
              <a16:creationId xmlns:a16="http://schemas.microsoft.com/office/drawing/2014/main" id="{6A00C5D2-06FB-4400-94ED-BE13B5A64F5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32" name="TextBox 11">
          <a:extLst>
            <a:ext uri="{FF2B5EF4-FFF2-40B4-BE49-F238E27FC236}">
              <a16:creationId xmlns:a16="http://schemas.microsoft.com/office/drawing/2014/main" id="{E5F3954B-447D-475C-BA24-4C952F34BEB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33" name="TextBox 12">
          <a:extLst>
            <a:ext uri="{FF2B5EF4-FFF2-40B4-BE49-F238E27FC236}">
              <a16:creationId xmlns:a16="http://schemas.microsoft.com/office/drawing/2014/main" id="{B4D11F1A-6EEB-49B1-9B41-BE7198BA3EA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34" name="TextBox 13">
          <a:extLst>
            <a:ext uri="{FF2B5EF4-FFF2-40B4-BE49-F238E27FC236}">
              <a16:creationId xmlns:a16="http://schemas.microsoft.com/office/drawing/2014/main" id="{879809EA-7E64-4201-AD36-4414CC5308B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35" name="TextBox 14">
          <a:extLst>
            <a:ext uri="{FF2B5EF4-FFF2-40B4-BE49-F238E27FC236}">
              <a16:creationId xmlns:a16="http://schemas.microsoft.com/office/drawing/2014/main" id="{1DD1EABE-693B-491D-9A9F-F4C697F2CDB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36" name="TextBox 15">
          <a:extLst>
            <a:ext uri="{FF2B5EF4-FFF2-40B4-BE49-F238E27FC236}">
              <a16:creationId xmlns:a16="http://schemas.microsoft.com/office/drawing/2014/main" id="{2983B549-FAD3-4417-848A-E2AB459E5E0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37" name="TextBox 16">
          <a:extLst>
            <a:ext uri="{FF2B5EF4-FFF2-40B4-BE49-F238E27FC236}">
              <a16:creationId xmlns:a16="http://schemas.microsoft.com/office/drawing/2014/main" id="{EC5248D4-561E-4838-BAA6-B6720D453B3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38" name="TextBox 17">
          <a:extLst>
            <a:ext uri="{FF2B5EF4-FFF2-40B4-BE49-F238E27FC236}">
              <a16:creationId xmlns:a16="http://schemas.microsoft.com/office/drawing/2014/main" id="{320216A2-3D82-4738-9FCC-B92E1C2E1BD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39" name="TextBox 18">
          <a:extLst>
            <a:ext uri="{FF2B5EF4-FFF2-40B4-BE49-F238E27FC236}">
              <a16:creationId xmlns:a16="http://schemas.microsoft.com/office/drawing/2014/main" id="{2368A5AB-D5B7-46E4-8AD6-727D352EB44C}"/>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40" name="TextBox 19">
          <a:extLst>
            <a:ext uri="{FF2B5EF4-FFF2-40B4-BE49-F238E27FC236}">
              <a16:creationId xmlns:a16="http://schemas.microsoft.com/office/drawing/2014/main" id="{2F7D6261-EFA1-4203-B850-8D056AB5483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41" name="TextBox 40">
          <a:extLst>
            <a:ext uri="{FF2B5EF4-FFF2-40B4-BE49-F238E27FC236}">
              <a16:creationId xmlns:a16="http://schemas.microsoft.com/office/drawing/2014/main" id="{AAF4BF74-8CC1-4287-AEF4-1FE9CEDFA567}"/>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42" name="TextBox 12">
          <a:extLst>
            <a:ext uri="{FF2B5EF4-FFF2-40B4-BE49-F238E27FC236}">
              <a16:creationId xmlns:a16="http://schemas.microsoft.com/office/drawing/2014/main" id="{15270DE2-F09C-41BA-A1FC-B291F33905F5}"/>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43" name="TextBox 13">
          <a:extLst>
            <a:ext uri="{FF2B5EF4-FFF2-40B4-BE49-F238E27FC236}">
              <a16:creationId xmlns:a16="http://schemas.microsoft.com/office/drawing/2014/main" id="{F878103C-D0E3-4BA6-96AD-2145FBA8B20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44" name="TextBox 14">
          <a:extLst>
            <a:ext uri="{FF2B5EF4-FFF2-40B4-BE49-F238E27FC236}">
              <a16:creationId xmlns:a16="http://schemas.microsoft.com/office/drawing/2014/main" id="{A3F143F8-F285-4E10-8F65-5FDA7FA9D80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45" name="TextBox 15">
          <a:extLst>
            <a:ext uri="{FF2B5EF4-FFF2-40B4-BE49-F238E27FC236}">
              <a16:creationId xmlns:a16="http://schemas.microsoft.com/office/drawing/2014/main" id="{7CEC63E8-6AFE-4070-BF87-7B30BDAA1D8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46" name="TextBox 16">
          <a:extLst>
            <a:ext uri="{FF2B5EF4-FFF2-40B4-BE49-F238E27FC236}">
              <a16:creationId xmlns:a16="http://schemas.microsoft.com/office/drawing/2014/main" id="{91B36CB6-C5DE-4000-B8FE-FF995E5FB1D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47" name="TextBox 17">
          <a:extLst>
            <a:ext uri="{FF2B5EF4-FFF2-40B4-BE49-F238E27FC236}">
              <a16:creationId xmlns:a16="http://schemas.microsoft.com/office/drawing/2014/main" id="{4F7A8A14-1B4D-465D-B44E-B927092E5A2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48" name="TextBox 18">
          <a:extLst>
            <a:ext uri="{FF2B5EF4-FFF2-40B4-BE49-F238E27FC236}">
              <a16:creationId xmlns:a16="http://schemas.microsoft.com/office/drawing/2014/main" id="{2AA474DC-6CE9-4803-9707-491F38591C3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49" name="TextBox 19">
          <a:extLst>
            <a:ext uri="{FF2B5EF4-FFF2-40B4-BE49-F238E27FC236}">
              <a16:creationId xmlns:a16="http://schemas.microsoft.com/office/drawing/2014/main" id="{EB0AC2C9-8211-4BFB-A3FF-2EA232A27ED6}"/>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50" name="TextBox 49">
          <a:extLst>
            <a:ext uri="{FF2B5EF4-FFF2-40B4-BE49-F238E27FC236}">
              <a16:creationId xmlns:a16="http://schemas.microsoft.com/office/drawing/2014/main" id="{C3C09BC9-590B-4E0E-A979-A932431CF114}"/>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51" name="TextBox 50">
          <a:extLst>
            <a:ext uri="{FF2B5EF4-FFF2-40B4-BE49-F238E27FC236}">
              <a16:creationId xmlns:a16="http://schemas.microsoft.com/office/drawing/2014/main" id="{F4C038F9-3971-4D79-845F-25E27F41D265}"/>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52" name="TextBox 51">
          <a:extLst>
            <a:ext uri="{FF2B5EF4-FFF2-40B4-BE49-F238E27FC236}">
              <a16:creationId xmlns:a16="http://schemas.microsoft.com/office/drawing/2014/main" id="{8EDE9F35-66F8-44F6-A03E-A21D9842E385}"/>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53" name="TextBox 8">
          <a:extLst>
            <a:ext uri="{FF2B5EF4-FFF2-40B4-BE49-F238E27FC236}">
              <a16:creationId xmlns:a16="http://schemas.microsoft.com/office/drawing/2014/main" id="{2E718C1D-4D53-4840-87A0-0A3340F4BD56}"/>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54" name="TextBox 9">
          <a:extLst>
            <a:ext uri="{FF2B5EF4-FFF2-40B4-BE49-F238E27FC236}">
              <a16:creationId xmlns:a16="http://schemas.microsoft.com/office/drawing/2014/main" id="{FC695655-D141-481A-AB23-874A4D31E82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55" name="TextBox 10">
          <a:extLst>
            <a:ext uri="{FF2B5EF4-FFF2-40B4-BE49-F238E27FC236}">
              <a16:creationId xmlns:a16="http://schemas.microsoft.com/office/drawing/2014/main" id="{36F1A4F1-C0BA-4B05-B599-F82308FD8738}"/>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56" name="TextBox 11">
          <a:extLst>
            <a:ext uri="{FF2B5EF4-FFF2-40B4-BE49-F238E27FC236}">
              <a16:creationId xmlns:a16="http://schemas.microsoft.com/office/drawing/2014/main" id="{ECF28BE7-8518-47DF-964E-AD42A11F504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57" name="TextBox 12">
          <a:extLst>
            <a:ext uri="{FF2B5EF4-FFF2-40B4-BE49-F238E27FC236}">
              <a16:creationId xmlns:a16="http://schemas.microsoft.com/office/drawing/2014/main" id="{1F9B8607-569F-4631-B0B1-00B58212200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58" name="TextBox 13">
          <a:extLst>
            <a:ext uri="{FF2B5EF4-FFF2-40B4-BE49-F238E27FC236}">
              <a16:creationId xmlns:a16="http://schemas.microsoft.com/office/drawing/2014/main" id="{4AB2BDA5-072D-4873-8F4C-D06ACD9DFAB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59" name="TextBox 14">
          <a:extLst>
            <a:ext uri="{FF2B5EF4-FFF2-40B4-BE49-F238E27FC236}">
              <a16:creationId xmlns:a16="http://schemas.microsoft.com/office/drawing/2014/main" id="{BD688642-1C97-4F6E-B81D-0B1ABED85B2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60" name="TextBox 15">
          <a:extLst>
            <a:ext uri="{FF2B5EF4-FFF2-40B4-BE49-F238E27FC236}">
              <a16:creationId xmlns:a16="http://schemas.microsoft.com/office/drawing/2014/main" id="{8A6D885D-51FD-4E61-84F2-C903F8D4FCC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61" name="TextBox 16">
          <a:extLst>
            <a:ext uri="{FF2B5EF4-FFF2-40B4-BE49-F238E27FC236}">
              <a16:creationId xmlns:a16="http://schemas.microsoft.com/office/drawing/2014/main" id="{A7139EAE-B400-4580-814D-6DD7F4CE2A4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62" name="TextBox 17">
          <a:extLst>
            <a:ext uri="{FF2B5EF4-FFF2-40B4-BE49-F238E27FC236}">
              <a16:creationId xmlns:a16="http://schemas.microsoft.com/office/drawing/2014/main" id="{EE62D991-9D2B-490E-AFCC-36B39558264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63" name="TextBox 18">
          <a:extLst>
            <a:ext uri="{FF2B5EF4-FFF2-40B4-BE49-F238E27FC236}">
              <a16:creationId xmlns:a16="http://schemas.microsoft.com/office/drawing/2014/main" id="{E305B8A6-035F-4C06-9226-8AF9156DCB8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64" name="TextBox 19">
          <a:extLst>
            <a:ext uri="{FF2B5EF4-FFF2-40B4-BE49-F238E27FC236}">
              <a16:creationId xmlns:a16="http://schemas.microsoft.com/office/drawing/2014/main" id="{E0E8EC8B-250E-4D94-926F-3B1C4FD2AA9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65" name="TextBox 64">
          <a:extLst>
            <a:ext uri="{FF2B5EF4-FFF2-40B4-BE49-F238E27FC236}">
              <a16:creationId xmlns:a16="http://schemas.microsoft.com/office/drawing/2014/main" id="{12C74B60-5C47-4972-9DAF-0DC359585CAE}"/>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66" name="TextBox 12">
          <a:extLst>
            <a:ext uri="{FF2B5EF4-FFF2-40B4-BE49-F238E27FC236}">
              <a16:creationId xmlns:a16="http://schemas.microsoft.com/office/drawing/2014/main" id="{E317FB8B-ECB3-4A98-8953-FBE90B32722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67" name="TextBox 13">
          <a:extLst>
            <a:ext uri="{FF2B5EF4-FFF2-40B4-BE49-F238E27FC236}">
              <a16:creationId xmlns:a16="http://schemas.microsoft.com/office/drawing/2014/main" id="{803D6C6C-EBD0-4861-82DA-67EFDA1EBD8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68" name="TextBox 14">
          <a:extLst>
            <a:ext uri="{FF2B5EF4-FFF2-40B4-BE49-F238E27FC236}">
              <a16:creationId xmlns:a16="http://schemas.microsoft.com/office/drawing/2014/main" id="{A904D270-FE35-45D6-8B25-1BDBA758A698}"/>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69" name="TextBox 15">
          <a:extLst>
            <a:ext uri="{FF2B5EF4-FFF2-40B4-BE49-F238E27FC236}">
              <a16:creationId xmlns:a16="http://schemas.microsoft.com/office/drawing/2014/main" id="{34D289EC-6868-47EF-B919-5ABC4F2BBCE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70" name="TextBox 16">
          <a:extLst>
            <a:ext uri="{FF2B5EF4-FFF2-40B4-BE49-F238E27FC236}">
              <a16:creationId xmlns:a16="http://schemas.microsoft.com/office/drawing/2014/main" id="{FB14B896-79E1-45A9-8370-404726D3FFF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71" name="TextBox 17">
          <a:extLst>
            <a:ext uri="{FF2B5EF4-FFF2-40B4-BE49-F238E27FC236}">
              <a16:creationId xmlns:a16="http://schemas.microsoft.com/office/drawing/2014/main" id="{EE2606B5-B4F7-4C91-8FC0-43ACBC94B49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72" name="TextBox 18">
          <a:extLst>
            <a:ext uri="{FF2B5EF4-FFF2-40B4-BE49-F238E27FC236}">
              <a16:creationId xmlns:a16="http://schemas.microsoft.com/office/drawing/2014/main" id="{444B46A5-F925-4E88-9575-2FA8C137EAC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73" name="TextBox 19">
          <a:extLst>
            <a:ext uri="{FF2B5EF4-FFF2-40B4-BE49-F238E27FC236}">
              <a16:creationId xmlns:a16="http://schemas.microsoft.com/office/drawing/2014/main" id="{46B98599-333A-44AD-ABB7-7C9FF7655426}"/>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74" name="TextBox 73">
          <a:extLst>
            <a:ext uri="{FF2B5EF4-FFF2-40B4-BE49-F238E27FC236}">
              <a16:creationId xmlns:a16="http://schemas.microsoft.com/office/drawing/2014/main" id="{9EF94DCF-934A-42DC-A137-CF49F13068D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75" name="TextBox 74">
          <a:extLst>
            <a:ext uri="{FF2B5EF4-FFF2-40B4-BE49-F238E27FC236}">
              <a16:creationId xmlns:a16="http://schemas.microsoft.com/office/drawing/2014/main" id="{337F0A3E-CA0E-4481-9E78-6E76086595BE}"/>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76" name="TextBox 75">
          <a:extLst>
            <a:ext uri="{FF2B5EF4-FFF2-40B4-BE49-F238E27FC236}">
              <a16:creationId xmlns:a16="http://schemas.microsoft.com/office/drawing/2014/main" id="{FA2FAEF0-B881-44FF-8E17-4896F28ACF40}"/>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77" name="TextBox 8">
          <a:extLst>
            <a:ext uri="{FF2B5EF4-FFF2-40B4-BE49-F238E27FC236}">
              <a16:creationId xmlns:a16="http://schemas.microsoft.com/office/drawing/2014/main" id="{AA44365C-4456-4D4F-8486-382DFF1DF1C2}"/>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78" name="TextBox 9">
          <a:extLst>
            <a:ext uri="{FF2B5EF4-FFF2-40B4-BE49-F238E27FC236}">
              <a16:creationId xmlns:a16="http://schemas.microsoft.com/office/drawing/2014/main" id="{66E07A9A-CD20-44DF-B58B-AEEA51DF16F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79" name="TextBox 10">
          <a:extLst>
            <a:ext uri="{FF2B5EF4-FFF2-40B4-BE49-F238E27FC236}">
              <a16:creationId xmlns:a16="http://schemas.microsoft.com/office/drawing/2014/main" id="{7D1A9AFF-5966-4F06-869C-68066D5791B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80" name="TextBox 11">
          <a:extLst>
            <a:ext uri="{FF2B5EF4-FFF2-40B4-BE49-F238E27FC236}">
              <a16:creationId xmlns:a16="http://schemas.microsoft.com/office/drawing/2014/main" id="{FC94712D-1AE1-4A93-8BAE-30EC0C3F87D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81" name="TextBox 12">
          <a:extLst>
            <a:ext uri="{FF2B5EF4-FFF2-40B4-BE49-F238E27FC236}">
              <a16:creationId xmlns:a16="http://schemas.microsoft.com/office/drawing/2014/main" id="{8C47526C-B6E7-4985-8698-A8E20D0EAC65}"/>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82" name="TextBox 13">
          <a:extLst>
            <a:ext uri="{FF2B5EF4-FFF2-40B4-BE49-F238E27FC236}">
              <a16:creationId xmlns:a16="http://schemas.microsoft.com/office/drawing/2014/main" id="{E9673CAF-63A7-4ED3-82BF-97206E4AF2E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83" name="TextBox 14">
          <a:extLst>
            <a:ext uri="{FF2B5EF4-FFF2-40B4-BE49-F238E27FC236}">
              <a16:creationId xmlns:a16="http://schemas.microsoft.com/office/drawing/2014/main" id="{B041B6F8-01E7-43F1-A0D1-2944E46E074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84" name="TextBox 15">
          <a:extLst>
            <a:ext uri="{FF2B5EF4-FFF2-40B4-BE49-F238E27FC236}">
              <a16:creationId xmlns:a16="http://schemas.microsoft.com/office/drawing/2014/main" id="{EA09E23E-03C7-4015-A213-7E4BDD186EA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85" name="TextBox 16">
          <a:extLst>
            <a:ext uri="{FF2B5EF4-FFF2-40B4-BE49-F238E27FC236}">
              <a16:creationId xmlns:a16="http://schemas.microsoft.com/office/drawing/2014/main" id="{2F7CBD9A-C965-4214-B761-E59D9E6C1DE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86" name="TextBox 17">
          <a:extLst>
            <a:ext uri="{FF2B5EF4-FFF2-40B4-BE49-F238E27FC236}">
              <a16:creationId xmlns:a16="http://schemas.microsoft.com/office/drawing/2014/main" id="{865F9585-235D-4F06-8DB1-C03DBE624F2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87" name="TextBox 18">
          <a:extLst>
            <a:ext uri="{FF2B5EF4-FFF2-40B4-BE49-F238E27FC236}">
              <a16:creationId xmlns:a16="http://schemas.microsoft.com/office/drawing/2014/main" id="{3FE6550E-CA60-4703-B6E2-B35753A007F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88" name="TextBox 19">
          <a:extLst>
            <a:ext uri="{FF2B5EF4-FFF2-40B4-BE49-F238E27FC236}">
              <a16:creationId xmlns:a16="http://schemas.microsoft.com/office/drawing/2014/main" id="{CA283CFB-6A4A-4E58-B575-AE64671BB295}"/>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84731" cy="264560"/>
    <xdr:sp macro="" textlink="">
      <xdr:nvSpPr>
        <xdr:cNvPr id="89" name="TextBox 88">
          <a:extLst>
            <a:ext uri="{FF2B5EF4-FFF2-40B4-BE49-F238E27FC236}">
              <a16:creationId xmlns:a16="http://schemas.microsoft.com/office/drawing/2014/main" id="{17CBF89E-B237-4635-9A21-BC8EEFA5569F}"/>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90" name="TextBox 12">
          <a:extLst>
            <a:ext uri="{FF2B5EF4-FFF2-40B4-BE49-F238E27FC236}">
              <a16:creationId xmlns:a16="http://schemas.microsoft.com/office/drawing/2014/main" id="{04073AE9-5DA7-4EBF-8DE6-04EDC086446C}"/>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91" name="TextBox 13">
          <a:extLst>
            <a:ext uri="{FF2B5EF4-FFF2-40B4-BE49-F238E27FC236}">
              <a16:creationId xmlns:a16="http://schemas.microsoft.com/office/drawing/2014/main" id="{BD71DBE8-777D-4D74-8F09-91B07941ADB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92" name="TextBox 14">
          <a:extLst>
            <a:ext uri="{FF2B5EF4-FFF2-40B4-BE49-F238E27FC236}">
              <a16:creationId xmlns:a16="http://schemas.microsoft.com/office/drawing/2014/main" id="{A764AE55-0185-4917-9B62-99353CA04FEC}"/>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93" name="TextBox 15">
          <a:extLst>
            <a:ext uri="{FF2B5EF4-FFF2-40B4-BE49-F238E27FC236}">
              <a16:creationId xmlns:a16="http://schemas.microsoft.com/office/drawing/2014/main" id="{B1BA6102-F4A1-48C0-BAE7-23DBE81F421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94" name="TextBox 16">
          <a:extLst>
            <a:ext uri="{FF2B5EF4-FFF2-40B4-BE49-F238E27FC236}">
              <a16:creationId xmlns:a16="http://schemas.microsoft.com/office/drawing/2014/main" id="{9B03D219-6CF2-451A-BA7B-E806DD9B359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95" name="TextBox 17">
          <a:extLst>
            <a:ext uri="{FF2B5EF4-FFF2-40B4-BE49-F238E27FC236}">
              <a16:creationId xmlns:a16="http://schemas.microsoft.com/office/drawing/2014/main" id="{A0E6BF17-3357-4A7F-A359-56BD2BA14615}"/>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96" name="TextBox 18">
          <a:extLst>
            <a:ext uri="{FF2B5EF4-FFF2-40B4-BE49-F238E27FC236}">
              <a16:creationId xmlns:a16="http://schemas.microsoft.com/office/drawing/2014/main" id="{71732094-E3E8-4CC6-8296-31A34514518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73</xdr:row>
      <xdr:rowOff>0</xdr:rowOff>
    </xdr:from>
    <xdr:ext cx="197926" cy="264560"/>
    <xdr:sp macro="" textlink="">
      <xdr:nvSpPr>
        <xdr:cNvPr id="97" name="TextBox 19">
          <a:extLst>
            <a:ext uri="{FF2B5EF4-FFF2-40B4-BE49-F238E27FC236}">
              <a16:creationId xmlns:a16="http://schemas.microsoft.com/office/drawing/2014/main" id="{0F9DF7E3-E2E7-4BEB-9EB7-0654E12B7F0F}"/>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twoCellAnchor>
    <xdr:from>
      <xdr:col>3</xdr:col>
      <xdr:colOff>0</xdr:colOff>
      <xdr:row>0</xdr:row>
      <xdr:rowOff>0</xdr:rowOff>
    </xdr:from>
    <xdr:to>
      <xdr:col>3</xdr:col>
      <xdr:colOff>1671637</xdr:colOff>
      <xdr:row>4</xdr:row>
      <xdr:rowOff>95249</xdr:rowOff>
    </xdr:to>
    <xdr:pic>
      <xdr:nvPicPr>
        <xdr:cNvPr id="98" name="Picture 97">
          <a:extLst>
            <a:ext uri="{FF2B5EF4-FFF2-40B4-BE49-F238E27FC236}">
              <a16:creationId xmlns:a16="http://schemas.microsoft.com/office/drawing/2014/main" id="{DDABA28C-B6CE-4FB7-8813-C90F235A7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0"/>
          <a:ext cx="1671637" cy="742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101600</xdr:colOff>
      <xdr:row>566</xdr:row>
      <xdr:rowOff>0</xdr:rowOff>
    </xdr:from>
    <xdr:ext cx="197926" cy="264560"/>
    <xdr:sp macro="" textlink="">
      <xdr:nvSpPr>
        <xdr:cNvPr id="2" name="TextBox 1">
          <a:extLst>
            <a:ext uri="{FF2B5EF4-FFF2-40B4-BE49-F238E27FC236}">
              <a16:creationId xmlns:a16="http://schemas.microsoft.com/office/drawing/2014/main" id="{88152638-39C6-41D6-89FF-41158D908E08}"/>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3" name="TextBox 2">
          <a:extLst>
            <a:ext uri="{FF2B5EF4-FFF2-40B4-BE49-F238E27FC236}">
              <a16:creationId xmlns:a16="http://schemas.microsoft.com/office/drawing/2014/main" id="{B5926EF9-6667-4FB8-A150-7FAD49FC5C53}"/>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4" name="TextBox 3">
          <a:extLst>
            <a:ext uri="{FF2B5EF4-FFF2-40B4-BE49-F238E27FC236}">
              <a16:creationId xmlns:a16="http://schemas.microsoft.com/office/drawing/2014/main" id="{8F4BC88E-BBA2-4AA1-BCD7-58F1E89A6D57}"/>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5" name="TextBox 8">
          <a:extLst>
            <a:ext uri="{FF2B5EF4-FFF2-40B4-BE49-F238E27FC236}">
              <a16:creationId xmlns:a16="http://schemas.microsoft.com/office/drawing/2014/main" id="{A77BB53D-8F98-47A6-A76C-DF35AA30D1C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6" name="TextBox 9">
          <a:extLst>
            <a:ext uri="{FF2B5EF4-FFF2-40B4-BE49-F238E27FC236}">
              <a16:creationId xmlns:a16="http://schemas.microsoft.com/office/drawing/2014/main" id="{485C8183-9FCB-46D7-B5C0-7CDD6F58A98B}"/>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7" name="TextBox 10">
          <a:extLst>
            <a:ext uri="{FF2B5EF4-FFF2-40B4-BE49-F238E27FC236}">
              <a16:creationId xmlns:a16="http://schemas.microsoft.com/office/drawing/2014/main" id="{F517B271-CE55-42CB-BA38-34DA1F4CFD5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8" name="TextBox 11">
          <a:extLst>
            <a:ext uri="{FF2B5EF4-FFF2-40B4-BE49-F238E27FC236}">
              <a16:creationId xmlns:a16="http://schemas.microsoft.com/office/drawing/2014/main" id="{B800581D-3D6D-4CBB-A9D9-822F284AEFF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9" name="TextBox 12">
          <a:extLst>
            <a:ext uri="{FF2B5EF4-FFF2-40B4-BE49-F238E27FC236}">
              <a16:creationId xmlns:a16="http://schemas.microsoft.com/office/drawing/2014/main" id="{A62EFF9B-F27A-44B9-B475-D584845EEE48}"/>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10" name="TextBox 13">
          <a:extLst>
            <a:ext uri="{FF2B5EF4-FFF2-40B4-BE49-F238E27FC236}">
              <a16:creationId xmlns:a16="http://schemas.microsoft.com/office/drawing/2014/main" id="{D00CED2F-BEE6-447B-AD20-87CD1475127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11" name="TextBox 14">
          <a:extLst>
            <a:ext uri="{FF2B5EF4-FFF2-40B4-BE49-F238E27FC236}">
              <a16:creationId xmlns:a16="http://schemas.microsoft.com/office/drawing/2014/main" id="{8BEB5EE3-E475-4DF0-9057-379E402FA3AC}"/>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12" name="TextBox 15">
          <a:extLst>
            <a:ext uri="{FF2B5EF4-FFF2-40B4-BE49-F238E27FC236}">
              <a16:creationId xmlns:a16="http://schemas.microsoft.com/office/drawing/2014/main" id="{6E8DF920-E849-4FDC-A018-531AADE6AF5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13" name="TextBox 16">
          <a:extLst>
            <a:ext uri="{FF2B5EF4-FFF2-40B4-BE49-F238E27FC236}">
              <a16:creationId xmlns:a16="http://schemas.microsoft.com/office/drawing/2014/main" id="{D9631494-1271-470D-BDF1-4A3276329EC2}"/>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14" name="TextBox 17">
          <a:extLst>
            <a:ext uri="{FF2B5EF4-FFF2-40B4-BE49-F238E27FC236}">
              <a16:creationId xmlns:a16="http://schemas.microsoft.com/office/drawing/2014/main" id="{F52AF358-5611-40FB-AA8E-077F236F012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15" name="TextBox 18">
          <a:extLst>
            <a:ext uri="{FF2B5EF4-FFF2-40B4-BE49-F238E27FC236}">
              <a16:creationId xmlns:a16="http://schemas.microsoft.com/office/drawing/2014/main" id="{C41362EA-6719-4AE3-8CA2-E3549A689C4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16" name="TextBox 19">
          <a:extLst>
            <a:ext uri="{FF2B5EF4-FFF2-40B4-BE49-F238E27FC236}">
              <a16:creationId xmlns:a16="http://schemas.microsoft.com/office/drawing/2014/main" id="{A16BB8B7-67E8-4EB5-A763-202D8E2F437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17" name="TextBox 16">
          <a:extLst>
            <a:ext uri="{FF2B5EF4-FFF2-40B4-BE49-F238E27FC236}">
              <a16:creationId xmlns:a16="http://schemas.microsoft.com/office/drawing/2014/main" id="{CDEFF90D-2B6E-45B2-8833-260A7416B6D9}"/>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18" name="TextBox 12">
          <a:extLst>
            <a:ext uri="{FF2B5EF4-FFF2-40B4-BE49-F238E27FC236}">
              <a16:creationId xmlns:a16="http://schemas.microsoft.com/office/drawing/2014/main" id="{BE7A0ADB-EA73-455B-9C83-99B8378A8C9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19" name="TextBox 13">
          <a:extLst>
            <a:ext uri="{FF2B5EF4-FFF2-40B4-BE49-F238E27FC236}">
              <a16:creationId xmlns:a16="http://schemas.microsoft.com/office/drawing/2014/main" id="{52B58258-EE56-4686-B63C-54A3DC1FD86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20" name="TextBox 14">
          <a:extLst>
            <a:ext uri="{FF2B5EF4-FFF2-40B4-BE49-F238E27FC236}">
              <a16:creationId xmlns:a16="http://schemas.microsoft.com/office/drawing/2014/main" id="{C5EC063A-7CD2-47D5-AF5A-5EC6C1E4B7B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21" name="TextBox 15">
          <a:extLst>
            <a:ext uri="{FF2B5EF4-FFF2-40B4-BE49-F238E27FC236}">
              <a16:creationId xmlns:a16="http://schemas.microsoft.com/office/drawing/2014/main" id="{CB01D32A-BF81-43FF-BF0D-879F0CE1B35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22" name="TextBox 16">
          <a:extLst>
            <a:ext uri="{FF2B5EF4-FFF2-40B4-BE49-F238E27FC236}">
              <a16:creationId xmlns:a16="http://schemas.microsoft.com/office/drawing/2014/main" id="{D179318F-988B-4E61-95E6-CB87028D84E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23" name="TextBox 17">
          <a:extLst>
            <a:ext uri="{FF2B5EF4-FFF2-40B4-BE49-F238E27FC236}">
              <a16:creationId xmlns:a16="http://schemas.microsoft.com/office/drawing/2014/main" id="{25A5A04A-ECEA-41F2-A0A2-FA15CE2CAE0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24" name="TextBox 18">
          <a:extLst>
            <a:ext uri="{FF2B5EF4-FFF2-40B4-BE49-F238E27FC236}">
              <a16:creationId xmlns:a16="http://schemas.microsoft.com/office/drawing/2014/main" id="{6F361B2E-C853-4374-AF46-636C7168927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25" name="TextBox 19">
          <a:extLst>
            <a:ext uri="{FF2B5EF4-FFF2-40B4-BE49-F238E27FC236}">
              <a16:creationId xmlns:a16="http://schemas.microsoft.com/office/drawing/2014/main" id="{7450BC7E-B0E1-42D4-AD0E-87148728EB5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26" name="TextBox 25">
          <a:extLst>
            <a:ext uri="{FF2B5EF4-FFF2-40B4-BE49-F238E27FC236}">
              <a16:creationId xmlns:a16="http://schemas.microsoft.com/office/drawing/2014/main" id="{084AA628-A604-4B71-B49A-F0CC9BE8414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27" name="TextBox 26">
          <a:extLst>
            <a:ext uri="{FF2B5EF4-FFF2-40B4-BE49-F238E27FC236}">
              <a16:creationId xmlns:a16="http://schemas.microsoft.com/office/drawing/2014/main" id="{A5952EB3-0241-4ECF-83CC-2CA25C11C73A}"/>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28" name="TextBox 27">
          <a:extLst>
            <a:ext uri="{FF2B5EF4-FFF2-40B4-BE49-F238E27FC236}">
              <a16:creationId xmlns:a16="http://schemas.microsoft.com/office/drawing/2014/main" id="{BDEFE77C-F940-47DB-A045-0DAC86D1EB12}"/>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29" name="TextBox 8">
          <a:extLst>
            <a:ext uri="{FF2B5EF4-FFF2-40B4-BE49-F238E27FC236}">
              <a16:creationId xmlns:a16="http://schemas.microsoft.com/office/drawing/2014/main" id="{0F29ADEB-851B-4B0F-9D92-814E6F48FA8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30" name="TextBox 9">
          <a:extLst>
            <a:ext uri="{FF2B5EF4-FFF2-40B4-BE49-F238E27FC236}">
              <a16:creationId xmlns:a16="http://schemas.microsoft.com/office/drawing/2014/main" id="{9697353E-16E7-4F19-A839-2CB87D31E97B}"/>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31" name="TextBox 10">
          <a:extLst>
            <a:ext uri="{FF2B5EF4-FFF2-40B4-BE49-F238E27FC236}">
              <a16:creationId xmlns:a16="http://schemas.microsoft.com/office/drawing/2014/main" id="{4F4D238E-2DFB-42DA-8320-C40DA1B537E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32" name="TextBox 11">
          <a:extLst>
            <a:ext uri="{FF2B5EF4-FFF2-40B4-BE49-F238E27FC236}">
              <a16:creationId xmlns:a16="http://schemas.microsoft.com/office/drawing/2014/main" id="{5309C113-71AA-4691-B738-039C5B897142}"/>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33" name="TextBox 12">
          <a:extLst>
            <a:ext uri="{FF2B5EF4-FFF2-40B4-BE49-F238E27FC236}">
              <a16:creationId xmlns:a16="http://schemas.microsoft.com/office/drawing/2014/main" id="{A483C8AA-9467-4FC2-88D7-7C544F86540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34" name="TextBox 13">
          <a:extLst>
            <a:ext uri="{FF2B5EF4-FFF2-40B4-BE49-F238E27FC236}">
              <a16:creationId xmlns:a16="http://schemas.microsoft.com/office/drawing/2014/main" id="{DC04E265-2F8E-408C-B24C-00CB12F66B1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35" name="TextBox 14">
          <a:extLst>
            <a:ext uri="{FF2B5EF4-FFF2-40B4-BE49-F238E27FC236}">
              <a16:creationId xmlns:a16="http://schemas.microsoft.com/office/drawing/2014/main" id="{3018D777-2D45-446D-96C4-65A17AB4F32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36" name="TextBox 15">
          <a:extLst>
            <a:ext uri="{FF2B5EF4-FFF2-40B4-BE49-F238E27FC236}">
              <a16:creationId xmlns:a16="http://schemas.microsoft.com/office/drawing/2014/main" id="{B2EF28BA-ED96-4E23-B4C1-C371A6D2B4F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37" name="TextBox 16">
          <a:extLst>
            <a:ext uri="{FF2B5EF4-FFF2-40B4-BE49-F238E27FC236}">
              <a16:creationId xmlns:a16="http://schemas.microsoft.com/office/drawing/2014/main" id="{53BD8303-4918-459F-B6C4-4CC271781EF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38" name="TextBox 17">
          <a:extLst>
            <a:ext uri="{FF2B5EF4-FFF2-40B4-BE49-F238E27FC236}">
              <a16:creationId xmlns:a16="http://schemas.microsoft.com/office/drawing/2014/main" id="{677A6D7E-1AB7-443E-A09E-DACB5D5FD78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39" name="TextBox 18">
          <a:extLst>
            <a:ext uri="{FF2B5EF4-FFF2-40B4-BE49-F238E27FC236}">
              <a16:creationId xmlns:a16="http://schemas.microsoft.com/office/drawing/2014/main" id="{64D0EEDF-C3D5-4735-8819-0997C09BE6CB}"/>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40" name="TextBox 19">
          <a:extLst>
            <a:ext uri="{FF2B5EF4-FFF2-40B4-BE49-F238E27FC236}">
              <a16:creationId xmlns:a16="http://schemas.microsoft.com/office/drawing/2014/main" id="{DC1D1384-BA2F-474F-A84A-6A43E5B4F832}"/>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41" name="TextBox 40">
          <a:extLst>
            <a:ext uri="{FF2B5EF4-FFF2-40B4-BE49-F238E27FC236}">
              <a16:creationId xmlns:a16="http://schemas.microsoft.com/office/drawing/2014/main" id="{F8AEDB9C-9811-4593-885E-3DBBF43E1B48}"/>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42" name="TextBox 12">
          <a:extLst>
            <a:ext uri="{FF2B5EF4-FFF2-40B4-BE49-F238E27FC236}">
              <a16:creationId xmlns:a16="http://schemas.microsoft.com/office/drawing/2014/main" id="{A0A07B4F-3CDE-4159-BC2A-5B1EE915185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43" name="TextBox 13">
          <a:extLst>
            <a:ext uri="{FF2B5EF4-FFF2-40B4-BE49-F238E27FC236}">
              <a16:creationId xmlns:a16="http://schemas.microsoft.com/office/drawing/2014/main" id="{E7D253FE-E03F-46B7-A946-DBB50E354C1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44" name="TextBox 14">
          <a:extLst>
            <a:ext uri="{FF2B5EF4-FFF2-40B4-BE49-F238E27FC236}">
              <a16:creationId xmlns:a16="http://schemas.microsoft.com/office/drawing/2014/main" id="{3D4FA802-9994-4756-A854-41A203213B1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45" name="TextBox 15">
          <a:extLst>
            <a:ext uri="{FF2B5EF4-FFF2-40B4-BE49-F238E27FC236}">
              <a16:creationId xmlns:a16="http://schemas.microsoft.com/office/drawing/2014/main" id="{2D33D753-FC7B-4B2E-84F3-0584BEF2970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46" name="TextBox 16">
          <a:extLst>
            <a:ext uri="{FF2B5EF4-FFF2-40B4-BE49-F238E27FC236}">
              <a16:creationId xmlns:a16="http://schemas.microsoft.com/office/drawing/2014/main" id="{2E092EC4-8A09-4338-B5FB-8D22CE7DFCB9}"/>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47" name="TextBox 17">
          <a:extLst>
            <a:ext uri="{FF2B5EF4-FFF2-40B4-BE49-F238E27FC236}">
              <a16:creationId xmlns:a16="http://schemas.microsoft.com/office/drawing/2014/main" id="{9525953F-1E61-4D34-AB2E-29A2E69F780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48" name="TextBox 18">
          <a:extLst>
            <a:ext uri="{FF2B5EF4-FFF2-40B4-BE49-F238E27FC236}">
              <a16:creationId xmlns:a16="http://schemas.microsoft.com/office/drawing/2014/main" id="{7A2151A7-7BAF-4896-B4C8-F8872925C06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49" name="TextBox 19">
          <a:extLst>
            <a:ext uri="{FF2B5EF4-FFF2-40B4-BE49-F238E27FC236}">
              <a16:creationId xmlns:a16="http://schemas.microsoft.com/office/drawing/2014/main" id="{45D1EAEE-CDCD-447D-A29B-EE8E6730D34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50" name="TextBox 49">
          <a:extLst>
            <a:ext uri="{FF2B5EF4-FFF2-40B4-BE49-F238E27FC236}">
              <a16:creationId xmlns:a16="http://schemas.microsoft.com/office/drawing/2014/main" id="{220F5982-0357-4EA3-AF6E-9F6E70AA64A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51" name="TextBox 50">
          <a:extLst>
            <a:ext uri="{FF2B5EF4-FFF2-40B4-BE49-F238E27FC236}">
              <a16:creationId xmlns:a16="http://schemas.microsoft.com/office/drawing/2014/main" id="{E4F3F57F-2F73-440A-ADE7-E038C3040334}"/>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52" name="TextBox 51">
          <a:extLst>
            <a:ext uri="{FF2B5EF4-FFF2-40B4-BE49-F238E27FC236}">
              <a16:creationId xmlns:a16="http://schemas.microsoft.com/office/drawing/2014/main" id="{BDE58AE1-0135-4222-BB06-DF40924400E8}"/>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53" name="TextBox 8">
          <a:extLst>
            <a:ext uri="{FF2B5EF4-FFF2-40B4-BE49-F238E27FC236}">
              <a16:creationId xmlns:a16="http://schemas.microsoft.com/office/drawing/2014/main" id="{6CACA366-2F9A-4D89-8412-28DDBED0554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54" name="TextBox 9">
          <a:extLst>
            <a:ext uri="{FF2B5EF4-FFF2-40B4-BE49-F238E27FC236}">
              <a16:creationId xmlns:a16="http://schemas.microsoft.com/office/drawing/2014/main" id="{E7B16EF8-C0D5-46B6-9B9D-E5995CCA6A7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55" name="TextBox 10">
          <a:extLst>
            <a:ext uri="{FF2B5EF4-FFF2-40B4-BE49-F238E27FC236}">
              <a16:creationId xmlns:a16="http://schemas.microsoft.com/office/drawing/2014/main" id="{4F6CEF98-9765-4823-9C22-EB9067999B1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56" name="TextBox 11">
          <a:extLst>
            <a:ext uri="{FF2B5EF4-FFF2-40B4-BE49-F238E27FC236}">
              <a16:creationId xmlns:a16="http://schemas.microsoft.com/office/drawing/2014/main" id="{1BDAD601-65ED-41AE-AB26-D5401FF4278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57" name="TextBox 12">
          <a:extLst>
            <a:ext uri="{FF2B5EF4-FFF2-40B4-BE49-F238E27FC236}">
              <a16:creationId xmlns:a16="http://schemas.microsoft.com/office/drawing/2014/main" id="{51802171-12B7-416F-885B-9B77CF11A7C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58" name="TextBox 13">
          <a:extLst>
            <a:ext uri="{FF2B5EF4-FFF2-40B4-BE49-F238E27FC236}">
              <a16:creationId xmlns:a16="http://schemas.microsoft.com/office/drawing/2014/main" id="{15949CA3-1F9D-498A-9D67-4916C9689A8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59" name="TextBox 14">
          <a:extLst>
            <a:ext uri="{FF2B5EF4-FFF2-40B4-BE49-F238E27FC236}">
              <a16:creationId xmlns:a16="http://schemas.microsoft.com/office/drawing/2014/main" id="{A79746E2-CC46-46C1-B961-BEFE28EE3E1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60" name="TextBox 15">
          <a:extLst>
            <a:ext uri="{FF2B5EF4-FFF2-40B4-BE49-F238E27FC236}">
              <a16:creationId xmlns:a16="http://schemas.microsoft.com/office/drawing/2014/main" id="{97B088D9-D6F3-478C-8859-D30F0628C89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61" name="TextBox 16">
          <a:extLst>
            <a:ext uri="{FF2B5EF4-FFF2-40B4-BE49-F238E27FC236}">
              <a16:creationId xmlns:a16="http://schemas.microsoft.com/office/drawing/2014/main" id="{77D94ADF-017A-400B-9311-920310660C17}"/>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62" name="TextBox 17">
          <a:extLst>
            <a:ext uri="{FF2B5EF4-FFF2-40B4-BE49-F238E27FC236}">
              <a16:creationId xmlns:a16="http://schemas.microsoft.com/office/drawing/2014/main" id="{9FFE8A97-5E2F-45F5-AF64-1078B0EBB66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63" name="TextBox 18">
          <a:extLst>
            <a:ext uri="{FF2B5EF4-FFF2-40B4-BE49-F238E27FC236}">
              <a16:creationId xmlns:a16="http://schemas.microsoft.com/office/drawing/2014/main" id="{891B2398-3E64-4B3E-8570-CEEBAEB7C3E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64" name="TextBox 19">
          <a:extLst>
            <a:ext uri="{FF2B5EF4-FFF2-40B4-BE49-F238E27FC236}">
              <a16:creationId xmlns:a16="http://schemas.microsoft.com/office/drawing/2014/main" id="{83399761-770A-47F5-BFEE-9190704F741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65" name="TextBox 64">
          <a:extLst>
            <a:ext uri="{FF2B5EF4-FFF2-40B4-BE49-F238E27FC236}">
              <a16:creationId xmlns:a16="http://schemas.microsoft.com/office/drawing/2014/main" id="{1B3B1BF2-E4BB-478E-890D-13EB303D69F2}"/>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66" name="TextBox 12">
          <a:extLst>
            <a:ext uri="{FF2B5EF4-FFF2-40B4-BE49-F238E27FC236}">
              <a16:creationId xmlns:a16="http://schemas.microsoft.com/office/drawing/2014/main" id="{EA06ADDF-9C25-4351-9A46-9ED8E5B2A1D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67" name="TextBox 13">
          <a:extLst>
            <a:ext uri="{FF2B5EF4-FFF2-40B4-BE49-F238E27FC236}">
              <a16:creationId xmlns:a16="http://schemas.microsoft.com/office/drawing/2014/main" id="{EF029501-060F-4774-9981-921AAFCB5EA9}"/>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68" name="TextBox 14">
          <a:extLst>
            <a:ext uri="{FF2B5EF4-FFF2-40B4-BE49-F238E27FC236}">
              <a16:creationId xmlns:a16="http://schemas.microsoft.com/office/drawing/2014/main" id="{5DCFD243-75F5-4044-989B-5FE1FA3EE21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69" name="TextBox 15">
          <a:extLst>
            <a:ext uri="{FF2B5EF4-FFF2-40B4-BE49-F238E27FC236}">
              <a16:creationId xmlns:a16="http://schemas.microsoft.com/office/drawing/2014/main" id="{316D00E7-FBDE-4F47-9B77-9B27C1F8B1ED}"/>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70" name="TextBox 16">
          <a:extLst>
            <a:ext uri="{FF2B5EF4-FFF2-40B4-BE49-F238E27FC236}">
              <a16:creationId xmlns:a16="http://schemas.microsoft.com/office/drawing/2014/main" id="{018FE83A-25F5-41CD-B57C-60BA34A32F1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71" name="TextBox 17">
          <a:extLst>
            <a:ext uri="{FF2B5EF4-FFF2-40B4-BE49-F238E27FC236}">
              <a16:creationId xmlns:a16="http://schemas.microsoft.com/office/drawing/2014/main" id="{4A370060-C942-4156-831D-4149E4F5F549}"/>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72" name="TextBox 18">
          <a:extLst>
            <a:ext uri="{FF2B5EF4-FFF2-40B4-BE49-F238E27FC236}">
              <a16:creationId xmlns:a16="http://schemas.microsoft.com/office/drawing/2014/main" id="{115E9542-CF81-48DB-A9E5-C2498D60BD17}"/>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73" name="TextBox 19">
          <a:extLst>
            <a:ext uri="{FF2B5EF4-FFF2-40B4-BE49-F238E27FC236}">
              <a16:creationId xmlns:a16="http://schemas.microsoft.com/office/drawing/2014/main" id="{C828D394-42F1-4985-A1F3-BE9A238BBC2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74" name="TextBox 73">
          <a:extLst>
            <a:ext uri="{FF2B5EF4-FFF2-40B4-BE49-F238E27FC236}">
              <a16:creationId xmlns:a16="http://schemas.microsoft.com/office/drawing/2014/main" id="{B9F15D21-274C-4FFE-A831-D4D5124D07B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75" name="TextBox 74">
          <a:extLst>
            <a:ext uri="{FF2B5EF4-FFF2-40B4-BE49-F238E27FC236}">
              <a16:creationId xmlns:a16="http://schemas.microsoft.com/office/drawing/2014/main" id="{6961CDD2-DD1B-42AC-BDF4-6DCAC3E8C541}"/>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76" name="TextBox 75">
          <a:extLst>
            <a:ext uri="{FF2B5EF4-FFF2-40B4-BE49-F238E27FC236}">
              <a16:creationId xmlns:a16="http://schemas.microsoft.com/office/drawing/2014/main" id="{4F89A249-BB69-4065-9D8C-8D78009A3F7D}"/>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77" name="TextBox 8">
          <a:extLst>
            <a:ext uri="{FF2B5EF4-FFF2-40B4-BE49-F238E27FC236}">
              <a16:creationId xmlns:a16="http://schemas.microsoft.com/office/drawing/2014/main" id="{0F090CE5-E551-4619-A970-C23C7617CFA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78" name="TextBox 9">
          <a:extLst>
            <a:ext uri="{FF2B5EF4-FFF2-40B4-BE49-F238E27FC236}">
              <a16:creationId xmlns:a16="http://schemas.microsoft.com/office/drawing/2014/main" id="{4C971858-F628-46A2-A8D6-B04BFCA333F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79" name="TextBox 10">
          <a:extLst>
            <a:ext uri="{FF2B5EF4-FFF2-40B4-BE49-F238E27FC236}">
              <a16:creationId xmlns:a16="http://schemas.microsoft.com/office/drawing/2014/main" id="{992067FB-FE6E-44F4-A06A-1CD3B9B1CC3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80" name="TextBox 11">
          <a:extLst>
            <a:ext uri="{FF2B5EF4-FFF2-40B4-BE49-F238E27FC236}">
              <a16:creationId xmlns:a16="http://schemas.microsoft.com/office/drawing/2014/main" id="{1DDC5957-ADF5-4B9A-9613-EAF989D1BA3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81" name="TextBox 12">
          <a:extLst>
            <a:ext uri="{FF2B5EF4-FFF2-40B4-BE49-F238E27FC236}">
              <a16:creationId xmlns:a16="http://schemas.microsoft.com/office/drawing/2014/main" id="{E521A769-7CD5-4AE4-A2A3-4B0FA26B2A9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82" name="TextBox 13">
          <a:extLst>
            <a:ext uri="{FF2B5EF4-FFF2-40B4-BE49-F238E27FC236}">
              <a16:creationId xmlns:a16="http://schemas.microsoft.com/office/drawing/2014/main" id="{54E19D46-DFBE-47DD-84A2-637AAF85934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83" name="TextBox 14">
          <a:extLst>
            <a:ext uri="{FF2B5EF4-FFF2-40B4-BE49-F238E27FC236}">
              <a16:creationId xmlns:a16="http://schemas.microsoft.com/office/drawing/2014/main" id="{9723BFF9-6534-497F-9F5B-14B3D34118B2}"/>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84" name="TextBox 15">
          <a:extLst>
            <a:ext uri="{FF2B5EF4-FFF2-40B4-BE49-F238E27FC236}">
              <a16:creationId xmlns:a16="http://schemas.microsoft.com/office/drawing/2014/main" id="{0B9072AF-048B-4477-A86F-CE812A4AD0FD}"/>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85" name="TextBox 16">
          <a:extLst>
            <a:ext uri="{FF2B5EF4-FFF2-40B4-BE49-F238E27FC236}">
              <a16:creationId xmlns:a16="http://schemas.microsoft.com/office/drawing/2014/main" id="{CA3F76A0-94ED-4FB6-A8B7-0E83A624B81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86" name="TextBox 17">
          <a:extLst>
            <a:ext uri="{FF2B5EF4-FFF2-40B4-BE49-F238E27FC236}">
              <a16:creationId xmlns:a16="http://schemas.microsoft.com/office/drawing/2014/main" id="{DB8D8E58-68CA-48DC-962C-BE8724F7847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87" name="TextBox 18">
          <a:extLst>
            <a:ext uri="{FF2B5EF4-FFF2-40B4-BE49-F238E27FC236}">
              <a16:creationId xmlns:a16="http://schemas.microsoft.com/office/drawing/2014/main" id="{93810DF4-E912-4502-BE1B-E71C829B7A8B}"/>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88" name="TextBox 19">
          <a:extLst>
            <a:ext uri="{FF2B5EF4-FFF2-40B4-BE49-F238E27FC236}">
              <a16:creationId xmlns:a16="http://schemas.microsoft.com/office/drawing/2014/main" id="{DBBBF887-93F6-4E5C-BCB0-F8E65D08C3E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84731" cy="264560"/>
    <xdr:sp macro="" textlink="">
      <xdr:nvSpPr>
        <xdr:cNvPr id="89" name="TextBox 88">
          <a:extLst>
            <a:ext uri="{FF2B5EF4-FFF2-40B4-BE49-F238E27FC236}">
              <a16:creationId xmlns:a16="http://schemas.microsoft.com/office/drawing/2014/main" id="{3F2A7498-CD47-491F-967B-13C74483FF7F}"/>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90" name="TextBox 12">
          <a:extLst>
            <a:ext uri="{FF2B5EF4-FFF2-40B4-BE49-F238E27FC236}">
              <a16:creationId xmlns:a16="http://schemas.microsoft.com/office/drawing/2014/main" id="{9A61AAA3-C9E0-470E-9187-86E5968DCD58}"/>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91" name="TextBox 13">
          <a:extLst>
            <a:ext uri="{FF2B5EF4-FFF2-40B4-BE49-F238E27FC236}">
              <a16:creationId xmlns:a16="http://schemas.microsoft.com/office/drawing/2014/main" id="{2540C5D4-6BB2-4DB5-B96D-A498901FEF6B}"/>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92" name="TextBox 14">
          <a:extLst>
            <a:ext uri="{FF2B5EF4-FFF2-40B4-BE49-F238E27FC236}">
              <a16:creationId xmlns:a16="http://schemas.microsoft.com/office/drawing/2014/main" id="{07D865AB-404A-4CB2-8BCD-EE1E52EE527D}"/>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93" name="TextBox 15">
          <a:extLst>
            <a:ext uri="{FF2B5EF4-FFF2-40B4-BE49-F238E27FC236}">
              <a16:creationId xmlns:a16="http://schemas.microsoft.com/office/drawing/2014/main" id="{C1EC8DD4-0C1D-4BAF-BA18-A05A9F21CB6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94" name="TextBox 16">
          <a:extLst>
            <a:ext uri="{FF2B5EF4-FFF2-40B4-BE49-F238E27FC236}">
              <a16:creationId xmlns:a16="http://schemas.microsoft.com/office/drawing/2014/main" id="{403B1217-22F9-498C-970D-294759FAB79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95" name="TextBox 17">
          <a:extLst>
            <a:ext uri="{FF2B5EF4-FFF2-40B4-BE49-F238E27FC236}">
              <a16:creationId xmlns:a16="http://schemas.microsoft.com/office/drawing/2014/main" id="{462C3962-93A7-4041-BA27-2BE472FC3D7D}"/>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96" name="TextBox 18">
          <a:extLst>
            <a:ext uri="{FF2B5EF4-FFF2-40B4-BE49-F238E27FC236}">
              <a16:creationId xmlns:a16="http://schemas.microsoft.com/office/drawing/2014/main" id="{FBE63676-5A03-4059-8AC0-54BDCBEB157D}"/>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566</xdr:row>
      <xdr:rowOff>0</xdr:rowOff>
    </xdr:from>
    <xdr:ext cx="197926" cy="264560"/>
    <xdr:sp macro="" textlink="">
      <xdr:nvSpPr>
        <xdr:cNvPr id="97" name="TextBox 19">
          <a:extLst>
            <a:ext uri="{FF2B5EF4-FFF2-40B4-BE49-F238E27FC236}">
              <a16:creationId xmlns:a16="http://schemas.microsoft.com/office/drawing/2014/main" id="{DDEE0C94-7D4B-48EA-9A89-0A077E9B7B7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twoCellAnchor>
    <xdr:from>
      <xdr:col>3</xdr:col>
      <xdr:colOff>0</xdr:colOff>
      <xdr:row>0</xdr:row>
      <xdr:rowOff>0</xdr:rowOff>
    </xdr:from>
    <xdr:to>
      <xdr:col>3</xdr:col>
      <xdr:colOff>1671637</xdr:colOff>
      <xdr:row>4</xdr:row>
      <xdr:rowOff>95249</xdr:rowOff>
    </xdr:to>
    <xdr:pic>
      <xdr:nvPicPr>
        <xdr:cNvPr id="98" name="Picture 97">
          <a:extLst>
            <a:ext uri="{FF2B5EF4-FFF2-40B4-BE49-F238E27FC236}">
              <a16:creationId xmlns:a16="http://schemas.microsoft.com/office/drawing/2014/main" id="{4E0F7C73-4228-435C-81B4-1804062A05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0"/>
          <a:ext cx="757237"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202\e\Users\mislav\AppData\Local\Microsoft\Windows\INetCache\Content.Outlook\8D7C7G9V\file:\Fenix_04\c\My%20Documents\POPOVAC\GRADEX-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KP-C1\Files\_Projekti\IKEA-GLAVNI%20PROJEKT\Tender\&#268;vor%20Otok%20Svibovski_krakovi%201,3,4,5,6-tende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av\projektiranje$\Users\dsusterc\Documents\D%20R%20A%20&#381;%20E%20N\4%20IKEA\7%20Projekti\38%20TENDER%20II%20-%20gradevinski%20radovi\KNJIGA%20VI%20-%20TROSKOVNICI\C%2001_C%2005_Cvor%20Otok%20Svibovski_krakovi%201,3,4,5,6-tende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stanic\RAZMJENI\Ugovrni%20tro&#353;kovnik%20%20IZGRADNJA%20J%20-%20VG%20od%200+000%20DO%206+3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Ugovrni%20tro&#353;kovnik%20%20IZGRADNJA%20J%20-%20VG%20od%200+000%20DO%206+3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pzserver\instalateri\projekti\H-66-2005-BLATO%20DVORANA\Troskovnici\Instalacije\Uredaj%20za%20prociscavanje_tr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X:\Users\Lovorka\Documents\LOVORKA\002_CRTEZI\015_KOPRIVNICA_PODRAVKA\08_GLAVNI%20PROJEKT\06_TROSKOVNIK\04_KATJA\OUT\06_izolaterski.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X:\002_CRTEZI\033_Dom-DJAKOVO\04_TROSKOVNIK\00_FINALNO\Users\Lovorka\Documents\LOVORKA\002_CRTEZI\015_KOPRIVNICA_PODRAVKA\08_GLAVNI%20PROJEKT\06_TROSKOVNIK\04_KATJA\OUT\06_izolaterski.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E\Documents%20and%20Settings\Renato\My%20Documents\Izbor\Izbor_TR_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ovorka\crtez-pr-1\Documents%20and%20Settings\Renato\My%20Documents\Izbor\Izbor_TR_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oga\e\Documents%20and%20Settings\Renato\My%20Documents\Izbor\Izbor_TR_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av\gradjenje$\Documents%20and%20Settings\mlozanci\My%20Documents\JAVNA%20NADMETANJA%20GRA&#272;ENJE\&#352;PRANCE\FAKTORI.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av\projektiranje$\Ugovorni%20troskovnici\Izmjestanja\2007-EE%20i%20TK%20Dalekovod.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av\gradjenje$\projektiranje\AC%20Op&#263;enito\Grupa%20za%20troskovnike\Tipski%20troskovnici\Nova%20spranca%20Primavera\primavera%20d\2.%20UT%20KNJIGA%204A%20Telekomunikacij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av\projektiranje$\Documents%20and%20Settings\iblagus.INSTITUT\Local%20Settings\Temporary%20Internet%20Files\OLKDC\Nova%20spranca%20Primavera\primavera%20d\2.%20UT%20KNJIGA%204A%20Telekomunikacij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av\projektiranje$\Ugovorni%20troskovnici\CP\Jedinstvo,%20CP%20Busevec,%2020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av\projektiranje$\Ugovorni%20troskovnici\A11%20Zagreb%20-%20Sisak\Ugovorni%20troskovnik%20gradjevinski%20V%20Gorica%20-%20Buseve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1"/>
      <sheetName val="List2"/>
      <sheetName val="List3"/>
      <sheetName val="Nap"/>
      <sheetName val="Podaci"/>
      <sheetName val="Baza"/>
      <sheetName val="Kuce"/>
      <sheetName val="Pr-Sit"/>
      <sheetName val="Dop-Ug"/>
      <sheetName val="Situacija"/>
      <sheetName val="Ok-Sit"/>
      <sheetName val="Evid"/>
      <sheetName val="MRO-08"/>
      <sheetName val="Depoz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ČVOR IVANJA REKA"/>
    </sheetNames>
    <sheetDataSet>
      <sheetData sheetId="0" refreshError="1">
        <row r="4">
          <cell r="B4">
            <v>0.9</v>
          </cell>
        </row>
        <row r="5">
          <cell r="B5">
            <v>0.89</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ČVOR IVANJA REKA"/>
    </sheetNames>
    <sheetDataSet>
      <sheetData sheetId="0" refreshError="1">
        <row r="4">
          <cell r="B4">
            <v>0.9</v>
          </cell>
        </row>
        <row r="5">
          <cell r="B5">
            <v>0.89</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1-GL.TRASA I OBJEKTI"/>
      <sheetName val="VODOVOD,KANALIZACIJA,.... "/>
      <sheetName val="REKAPITULACIJA"/>
    </sheetNames>
    <sheetDataSet>
      <sheetData sheetId="0" refreshError="1">
        <row r="4">
          <cell r="B4">
            <v>0.95299999999999996</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1-GL.TRASA I OBJEKTI"/>
      <sheetName val="VODOVOD,KANALIZACIJA,.... "/>
      <sheetName val="REKAPITULACIJA"/>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vorana"/>
      <sheetName val="dogradnja škole"/>
      <sheetName val="vanjski vodovod"/>
      <sheetName val="sanacija"/>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IZOL."/>
    </sheetNames>
    <sheetDataSet>
      <sheetData sheetId="0" refreshError="1">
        <row r="3">
          <cell r="A3" t="str">
            <v>06.</v>
          </cell>
          <cell r="D3" t="str">
            <v>IZOLATERSKI RADOVI</v>
          </cell>
        </row>
        <row r="5">
          <cell r="D5" t="str">
            <v>NAPOMENA:</v>
          </cell>
        </row>
        <row r="6">
          <cell r="D6" t="str">
            <v>OPĆI UVJETI SU SASTAVNI DIO SVAKE POJEDINE STAVKE. Sve što je navedeno u njima, a nije u pojedinačnom opisu stavke smatra se uključenim u jediničnu cijenu.</v>
          </cell>
        </row>
        <row r="7">
          <cell r="D7" t="str">
            <v xml:space="preserve">U jediničnim cijenama uračunati su svi radovi dotične stavke, s dobavom potrebnog materijala, s istovarom i uskladištenjem na gradilištu, sav horizontalni i vertikalni transport do radnog mjesta, kao i sva potrebna radna snaga i režijski troškovi, te sve </v>
          </cell>
        </row>
        <row r="9">
          <cell r="A9" t="str">
            <v>Red.</v>
          </cell>
          <cell r="B9" t="str">
            <v>br.</v>
          </cell>
          <cell r="D9" t="str">
            <v>Opis stavke</v>
          </cell>
          <cell r="E9" t="str">
            <v>J.m.</v>
          </cell>
          <cell r="G9" t="str">
            <v>Kol.</v>
          </cell>
          <cell r="H9" t="str">
            <v>Jed.cijena</v>
          </cell>
          <cell r="I9" t="str">
            <v>Uk.cijena</v>
          </cell>
        </row>
        <row r="11">
          <cell r="D11" t="str">
            <v>HIDROIZOLACIJE</v>
          </cell>
          <cell r="G11">
            <v>0</v>
          </cell>
        </row>
        <row r="12">
          <cell r="A12" t="str">
            <v>06.</v>
          </cell>
          <cell r="B12" t="str">
            <v>01.</v>
          </cell>
          <cell r="D12" t="str">
            <v>Dobava i postava horizontalne hidroizolacije iz sintetičke membrane na bazi PVC, debljine d= 1,5 mm, obostrano zaštićene sa slojem geotekstila : donji 500 g/m2 , gornji : 300 g/m2. Hidroizolacija se na detaljima linearno učvršćuje za podlogu kontaktnim lj</v>
          </cell>
          <cell r="G12">
            <v>0</v>
          </cell>
        </row>
        <row r="13">
          <cell r="A13" t="str">
            <v xml:space="preserve"> </v>
          </cell>
          <cell r="B13" t="str">
            <v xml:space="preserve"> </v>
          </cell>
          <cell r="D13" t="str">
            <v>Jediničnom cijenom obračunata je i postava dvostrukog PP/PES filc (geotekstil) na slojeve hidroizolacije.</v>
          </cell>
        </row>
        <row r="14">
          <cell r="A14" t="str">
            <v xml:space="preserve"> </v>
          </cell>
          <cell r="B14" t="str">
            <v xml:space="preserve"> </v>
          </cell>
          <cell r="D14" t="str">
            <v>Uključivo vertikalno podizanje hidroizolacije na stupove i zidoveu visini od 14 cm. U cijeni su svi potrebni odgovarajući holkeri za vertikalno povijanje izolacije.</v>
          </cell>
          <cell r="G14">
            <v>0</v>
          </cell>
        </row>
        <row r="15">
          <cell r="A15" t="str">
            <v xml:space="preserve"> </v>
          </cell>
          <cell r="B15" t="str">
            <v xml:space="preserve"> </v>
          </cell>
          <cell r="D15" t="str">
            <v>Svi detalji pričvršćivanja i spojeva, izvode se prema uputstvima proizvođača, uključivo sa dobavom potrebnog spojnog materijala u cijeni stavke. Obračun po m² komplet slojeva.</v>
          </cell>
          <cell r="E15" t="str">
            <v>m²</v>
          </cell>
          <cell r="F15">
            <v>104.8145</v>
          </cell>
          <cell r="G15">
            <v>12162</v>
          </cell>
          <cell r="H15">
            <v>80</v>
          </cell>
          <cell r="I15">
            <v>972960</v>
          </cell>
        </row>
        <row r="17">
          <cell r="A17" t="str">
            <v>06.</v>
          </cell>
          <cell r="B17" t="str">
            <v>02.</v>
          </cell>
          <cell r="D17" t="str">
            <v>Izvedba sigurnosne hidroizolacije sanitarnih
prostora postavom dvokomp. elastičnog hidroizolacijskog morta na bazi polimer cementa. Mort se izvodi na za to pripremljenu podlogu (podloga mora biti suha, čista,bez udjela ulja i masti, bez nevezanog materija</v>
          </cell>
        </row>
        <row r="18">
          <cell r="D18" t="str">
            <v>MK1a</v>
          </cell>
          <cell r="E18" t="str">
            <v>m²</v>
          </cell>
          <cell r="F18">
            <v>104.8145</v>
          </cell>
          <cell r="G18">
            <v>12162</v>
          </cell>
          <cell r="H18">
            <v>145</v>
          </cell>
          <cell r="I18">
            <v>1763490</v>
          </cell>
        </row>
        <row r="20">
          <cell r="A20" t="str">
            <v>06.</v>
          </cell>
          <cell r="B20" t="str">
            <v>03.</v>
          </cell>
          <cell r="D20" t="str">
            <v>Dobava i ugradba sintetske hidroizolacijske trake za vertikalnu hidroizolaciju građevine (1000 kg/m³), neškodljive na podzemne vode, s podložnim filcem  0.2 + 0.2 cm (sokl vanjskog zida zgrade A).</v>
          </cell>
        </row>
        <row r="21">
          <cell r="D21" t="str">
            <v>Svi detalji pričvršćivanja i spojeva, izvode se prema uputstvima proizvođača, uključivo sa dobavom potrebnog spojnog materijala u cijeni stavke. 
Obračun po m² komplet slojeva.</v>
          </cell>
        </row>
        <row r="22">
          <cell r="D22" t="str">
            <v>VZ1,VZ2</v>
          </cell>
          <cell r="E22" t="str">
            <v>m²</v>
          </cell>
          <cell r="G22">
            <v>11386</v>
          </cell>
          <cell r="H22">
            <v>145</v>
          </cell>
          <cell r="I22">
            <v>1650970</v>
          </cell>
        </row>
        <row r="24">
          <cell r="A24" t="str">
            <v>06.</v>
          </cell>
          <cell r="B24" t="str">
            <v>04.</v>
          </cell>
          <cell r="D24" t="str">
            <v>Dobava i postava hidroizolacije iz sintetičke membrane na bazi mekog PVC-a na toplinsku izolaciju krovova (obračunata u zasebnoj stavci). Membrana je armirana staklenom tkaninom, UV nestabilna, otporna na gljivice, mikroorganizme, te korijenje, debljine d</v>
          </cell>
        </row>
        <row r="25">
          <cell r="D25" t="str">
            <v>K1, K1a, K1b, K1c i K2</v>
          </cell>
          <cell r="E25" t="str">
            <v>m²</v>
          </cell>
          <cell r="G25">
            <v>45.5</v>
          </cell>
          <cell r="H25">
            <v>30</v>
          </cell>
          <cell r="I25">
            <v>1365</v>
          </cell>
        </row>
        <row r="27">
          <cell r="D27" t="str">
            <v>PE FOLIJE I GEOTEXTILI</v>
          </cell>
        </row>
        <row r="28">
          <cell r="A28" t="str">
            <v>06.</v>
          </cell>
          <cell r="B28" t="str">
            <v>05.</v>
          </cell>
          <cell r="D28" t="str">
            <v>Dobava i postava PE folije, d=0,2 mm sa preklopom 10 cm. PE folija se postavlja na slojeve toplinske izolacije u podovima na tlu i u međukatne konstrukcije (prema fizici). Postava horizontalno - slobodno položeno; postava vertikalno- točkasto fiksirano. S</v>
          </cell>
          <cell r="G28">
            <v>0</v>
          </cell>
        </row>
        <row r="29">
          <cell r="A29" t="str">
            <v xml:space="preserve"> </v>
          </cell>
          <cell r="B29" t="str">
            <v xml:space="preserve"> </v>
          </cell>
          <cell r="D29" t="str">
            <v>P1, P2, P3</v>
          </cell>
          <cell r="E29" t="str">
            <v>m²</v>
          </cell>
          <cell r="F29">
            <v>34.31</v>
          </cell>
          <cell r="G29">
            <v>985.2</v>
          </cell>
          <cell r="H29">
            <v>18</v>
          </cell>
          <cell r="I29">
            <v>17733.600000000002</v>
          </cell>
        </row>
        <row r="30">
          <cell r="D30" t="str">
            <v>MK1, MK1a, MK1b, MK3</v>
          </cell>
          <cell r="E30" t="str">
            <v>m²</v>
          </cell>
          <cell r="F30">
            <v>34.31</v>
          </cell>
          <cell r="G30">
            <v>985.2</v>
          </cell>
          <cell r="H30">
            <v>18</v>
          </cell>
          <cell r="I30">
            <v>17733.600000000002</v>
          </cell>
        </row>
        <row r="32">
          <cell r="A32" t="str">
            <v>06.</v>
          </cell>
          <cell r="B32" t="str">
            <v>06.</v>
          </cell>
          <cell r="D32" t="str">
            <v>Dobava i postava PE folije, d=0,25 mm sa preklopom 10 cm. PE folija se postavlja u krovove na sloj toplinske izolacije od  XPS-a. Postava horizontalno - slobodno položeno; postava vertikalno- točkasto fiksirano. Svi detalji pričvršćivanja i spojeva, izvod</v>
          </cell>
        </row>
        <row r="33">
          <cell r="D33" t="str">
            <v>K2</v>
          </cell>
          <cell r="E33" t="str">
            <v>m²</v>
          </cell>
          <cell r="G33">
            <v>11145</v>
          </cell>
          <cell r="H33">
            <v>23.55</v>
          </cell>
          <cell r="I33">
            <v>262464.75</v>
          </cell>
        </row>
        <row r="35">
          <cell r="A35" t="str">
            <v>06.</v>
          </cell>
          <cell r="B35" t="str">
            <v>07.</v>
          </cell>
          <cell r="D35" t="str">
            <v>Dobava i postava geotekstila - gornji sloj 120 g, a donji sloj 300 g/m2  na bazi polipropilena (PP,termo fiksirani) sa preklopom od 10 cm u svrhu zaštite toplinske izolacije (klasični krovovi). Svi detalji pričvršćivanja i spojeva, izvode se prema uputstv</v>
          </cell>
        </row>
        <row r="36">
          <cell r="D36" t="str">
            <v>K1, K1a, K1b i K1c</v>
          </cell>
          <cell r="E36" t="str">
            <v>m²</v>
          </cell>
          <cell r="G36">
            <v>2037</v>
          </cell>
          <cell r="H36">
            <v>34.549999999999997</v>
          </cell>
          <cell r="I36">
            <v>70378.349999999991</v>
          </cell>
        </row>
        <row r="38">
          <cell r="A38" t="str">
            <v>06.</v>
          </cell>
          <cell r="B38" t="str">
            <v>08.</v>
          </cell>
          <cell r="D38" t="str">
            <v>Dobava i postava geotekstila 300 g/m2  na bazi polipropilena (PP,termo fiksirani) sa preklopom od 10 cm u svrhu zaštite hidroizolacije (obrnuti krov atrija). Svi detalji pričvršćivanja i spojeva, izvode se prema uputstvima proizvođača, uključivo sa dobavo</v>
          </cell>
        </row>
        <row r="39">
          <cell r="D39" t="str">
            <v>K2</v>
          </cell>
          <cell r="E39" t="str">
            <v>m²</v>
          </cell>
          <cell r="G39">
            <v>2037</v>
          </cell>
          <cell r="H39">
            <v>34.549999999999997</v>
          </cell>
          <cell r="I39">
            <v>70378.349999999991</v>
          </cell>
        </row>
        <row r="41">
          <cell r="A41" t="str">
            <v>06.</v>
          </cell>
          <cell r="B41" t="str">
            <v>09.</v>
          </cell>
          <cell r="D41" t="str">
            <v>Dobava i postava parne brane na AB konstrukciju krova - bitumenska traka za zavarivanje u jednom sloju s uloškom Al folije d=0,4 cm. Membrana se slobodno polaže na podlogu u preklopu spoja od 8 cm. Periferno se membrana lijepi za atiku ili zid trakom. Slo</v>
          </cell>
        </row>
        <row r="42">
          <cell r="D42" t="str">
            <v>K1, K1a, K1b i K1c</v>
          </cell>
          <cell r="E42" t="str">
            <v>m²</v>
          </cell>
          <cell r="G42">
            <v>2037</v>
          </cell>
          <cell r="H42">
            <v>34.549999999999997</v>
          </cell>
          <cell r="I42">
            <v>70378.349999999991</v>
          </cell>
        </row>
        <row r="44">
          <cell r="A44" t="str">
            <v>06.</v>
          </cell>
          <cell r="B44" t="str">
            <v>10.</v>
          </cell>
          <cell r="D44" t="str">
            <v>Dobava i ugradba drenažne PEHD čepasta traka za oblaganje ekstrudiranog polistirena zida pročelja uz teren (sokl vanjskog zida zgrade A). 
Obavezno izvesti preklapanje od 10 cm s polimercementnom žbukom.</v>
          </cell>
        </row>
        <row r="45">
          <cell r="D45" t="str">
            <v>Svi detalji pričvršćivanja i spojeva, izvode se prema uputstvima proizvođača, uključivo sa dobavom potrebnog spojnog materijala u cijeni stavke. Obračun po m².</v>
          </cell>
        </row>
        <row r="46">
          <cell r="D46" t="str">
            <v>VZ1, VZ2</v>
          </cell>
          <cell r="E46" t="str">
            <v>m²</v>
          </cell>
          <cell r="G46">
            <v>197</v>
          </cell>
          <cell r="H46">
            <v>16.399999999999999</v>
          </cell>
          <cell r="I46">
            <v>3230.7999999999997</v>
          </cell>
        </row>
        <row r="48">
          <cell r="A48" t="str">
            <v>06.</v>
          </cell>
          <cell r="B48" t="str">
            <v>11.</v>
          </cell>
          <cell r="D48" t="str">
            <v xml:space="preserve">Dobava i postavljanje podložne pjenaste trake neoprena ili pjenaste PE trake za prekid toplinskog mosta između dva metalna elementa (ventilirana fasada od HPL ploča).
Svi detalji pričvršćivanja i spojeva, izvode se prema uputstvima proizvođača, uključivo </v>
          </cell>
        </row>
        <row r="49">
          <cell r="D49" t="str">
            <v>VZ1</v>
          </cell>
          <cell r="E49" t="str">
            <v>paušal</v>
          </cell>
          <cell r="G49">
            <v>197</v>
          </cell>
          <cell r="H49">
            <v>16.399999999999999</v>
          </cell>
          <cell r="I49">
            <v>3230.7999999999997</v>
          </cell>
        </row>
        <row r="51">
          <cell r="D51" t="str">
            <v>TOPLINSKE IZOLACIJE</v>
          </cell>
        </row>
        <row r="52">
          <cell r="A52" t="str">
            <v>06.</v>
          </cell>
          <cell r="B52" t="str">
            <v>12.</v>
          </cell>
          <cell r="D52" t="str">
            <v>Dobava i izvedba toplinske izolacije poda na tlu grijanog prostora. 
Na zaglađenu betonsku podlogu postavljaju se (odozdo prema gore):</v>
          </cell>
        </row>
        <row r="53">
          <cell r="D53" t="str">
            <v>elastificirani ekspandirani polistiren (EePS)   2x1 cm;</v>
          </cell>
        </row>
        <row r="54">
          <cell r="D54" t="str">
            <v>tvrde ploče od ekspandiranog polistirena (EPS) d=10 cm</v>
          </cell>
        </row>
        <row r="55">
          <cell r="D55" t="str">
            <v>Jediničnom cijenom obračunati i traku EePS-a kojom su završna podna obloga i cementni estrih odvojeni od zida.</v>
          </cell>
        </row>
        <row r="56">
          <cell r="D56" t="str">
            <v>Svi detalji pričvršćivanja i spojeva, izvode se prema uputstvima proizvođača, uključivo sa dobavom potrebnog spojnog materijala u cijeni stavke. Obračun po m² komplet slojeva.</v>
          </cell>
        </row>
        <row r="57">
          <cell r="D57" t="str">
            <v>P1, P2, P3</v>
          </cell>
          <cell r="E57" t="str">
            <v>m²</v>
          </cell>
          <cell r="G57">
            <v>410</v>
          </cell>
          <cell r="H57">
            <v>200</v>
          </cell>
          <cell r="I57">
            <v>82000</v>
          </cell>
        </row>
        <row r="59">
          <cell r="A59" t="str">
            <v>06.</v>
          </cell>
          <cell r="B59" t="str">
            <v>13.</v>
          </cell>
          <cell r="D59" t="str">
            <v>Dobava i izvedba toplinske izolacije poda međukatnih konstrukcija. Na zaglađenu betonsku podlogu postavlja se (odozdo prema gore):</v>
          </cell>
        </row>
        <row r="60">
          <cell r="D60" t="str">
            <v>elastificirani ekspandirani polistiren (EePS)  2x1 cm;</v>
          </cell>
        </row>
        <row r="61">
          <cell r="D61" t="str">
            <v>tvrde ploče ekspandiranog polistirena (EPS), d=2 cm</v>
          </cell>
        </row>
        <row r="62">
          <cell r="D62" t="str">
            <v>Jediničnom cijenom obračunati i traku EePS-a kojom su završna podna obloga i cementni estrih odvojeni od zida.</v>
          </cell>
        </row>
        <row r="63">
          <cell r="D63" t="str">
            <v>Svi detalji pričvršćivanja i spojeva, izvode se prema uputstvima proizvođača, uključivo sa dobavom potrebnog spojnog materijala u cijeni stavke. Obračun po m² komplet slojeva.</v>
          </cell>
        </row>
        <row r="64">
          <cell r="D64" t="str">
            <v>MK1, MK1a, MK1b, MK3</v>
          </cell>
          <cell r="E64" t="str">
            <v>m²</v>
          </cell>
          <cell r="G64">
            <v>8102</v>
          </cell>
          <cell r="H64">
            <v>117.6</v>
          </cell>
          <cell r="I64">
            <v>952795.2</v>
          </cell>
        </row>
        <row r="66">
          <cell r="A66" t="str">
            <v>06.</v>
          </cell>
          <cell r="B66" t="str">
            <v>14.</v>
          </cell>
          <cell r="D66" t="str">
            <v>Izvedba toplinske izolacije vanjskih ventiliranih zidova polutvrdim, hidrofobnim pločama kamene vune, vanjski sloj kaširan bitumeniziran staklenim voalom. Debljina ploča je d=16 cm. Svi detalji pričvršćivanja i spojeva, izvode se prema uputstvima proizvođ</v>
          </cell>
        </row>
        <row r="67">
          <cell r="D67" t="str">
            <v xml:space="preserve">VZ1, VZ2 ,VZ2a, VZ4 i VZ4a </v>
          </cell>
          <cell r="E67" t="str">
            <v>m²</v>
          </cell>
          <cell r="G67">
            <v>410</v>
          </cell>
          <cell r="H67">
            <v>200</v>
          </cell>
          <cell r="I67">
            <v>82000</v>
          </cell>
        </row>
        <row r="69">
          <cell r="A69" t="str">
            <v>06.</v>
          </cell>
          <cell r="B69" t="str">
            <v>15.</v>
          </cell>
          <cell r="D69" t="str">
            <v>Izvedba toplinske izolacije sokla vanjskog zida zgrade A od  ploča od ekstrudiranog polistirena (XPS) u sloju debljine d=6 cm. 
Toplinska izolacija se postavlja na prethodno izvedenu sintetsku hidroizolacijske trake, 0,2+0,2 cm, te se zaštićuje tankim slo</v>
          </cell>
        </row>
        <row r="70">
          <cell r="D70" t="str">
            <v xml:space="preserve">Svi detalji pričvršćivanja i spojeva, izvode se prema uputstvima proizvođača, uključivo sa dobavom potrebnog spojnog materijala u cijeni stavke. Obračun po m².    </v>
          </cell>
        </row>
        <row r="71">
          <cell r="D71" t="str">
            <v>VZ1, VZ2</v>
          </cell>
          <cell r="E71" t="str">
            <v>m²</v>
          </cell>
          <cell r="G71">
            <v>8102</v>
          </cell>
          <cell r="H71">
            <v>117.6</v>
          </cell>
          <cell r="I71">
            <v>952795.2</v>
          </cell>
        </row>
        <row r="73">
          <cell r="A73" t="str">
            <v>06.</v>
          </cell>
          <cell r="B73" t="str">
            <v>16.</v>
          </cell>
          <cell r="D73" t="str">
            <v>Izvedba toplinske izolacije od ploča ekstrudirane polistirenske pjene (XPS) d=6 cm  na nadozidima vanjskog zida i atike krova. 
Slojevi se postavljaju iznutra prema van:</v>
          </cell>
        </row>
        <row r="74">
          <cell r="D74" t="str">
            <v>vertikalna parna brana (nastavak horizontalne parne brane krova) iz bitumenske trake za zavarivanje u jednom sloju sa uloškom Al folije d=0,2 mm. Postavlja se na zaglađeni armirano betonski zid / AB troslojne panele.</v>
          </cell>
        </row>
        <row r="75">
          <cell r="D75" t="str">
            <v>polimerna hidroizolacijska traka na bazi PVC-P, obostrano obložena filcom - nastavak horizontalne hidroizolacije krova</v>
          </cell>
        </row>
        <row r="76">
          <cell r="D76" t="str">
            <v>ekstrudirana polistirenska pjena d=6 cm</v>
          </cell>
        </row>
        <row r="77">
          <cell r="D77" t="str">
            <v xml:space="preserve">Svi detalji pričvršćivanja i spojeva, izvode se prema uputstvima proizvođača, uključivo sa dobavom potrebnog spojnog materijala u cijeni stavke. Obračun po m².    </v>
          </cell>
        </row>
        <row r="78">
          <cell r="D78" t="str">
            <v>VZ2a, VZ2b, VZ3a i VZ4a</v>
          </cell>
          <cell r="E78" t="str">
            <v>m²</v>
          </cell>
          <cell r="G78">
            <v>4361</v>
          </cell>
          <cell r="H78">
            <v>225</v>
          </cell>
          <cell r="I78">
            <v>981225</v>
          </cell>
        </row>
        <row r="80">
          <cell r="A80" t="str">
            <v>06.</v>
          </cell>
          <cell r="B80" t="str">
            <v>17.</v>
          </cell>
          <cell r="D80" t="str">
            <v>Dobava i ugradba ispune dilatacije između građevine A i B elastificiranim ekspandiranim polistirenom (EePS) d=5 cm.
Svi detalji pričvršćivanja i spojeva, izvode se prema uputstvima proizvođača, uključivo sa dobavom potrebnog spojnog materijala u cijeni st</v>
          </cell>
        </row>
        <row r="81">
          <cell r="E81" t="str">
            <v>m²</v>
          </cell>
          <cell r="G81">
            <v>883</v>
          </cell>
          <cell r="H81">
            <v>204</v>
          </cell>
          <cell r="I81">
            <v>180132</v>
          </cell>
        </row>
        <row r="83">
          <cell r="A83" t="str">
            <v>06.</v>
          </cell>
          <cell r="B83" t="str">
            <v>18.</v>
          </cell>
          <cell r="D83" t="str">
            <v>Izvedba toplinske izolacije krovne konstrukcije od ploča tvrde kamene vune, hidrofobirane debljine d=20 cm. Svi detalji pričvršćivanja i spojeva, izvode se prema uputstvima proizvođača, uključivo sa dobavom potrebnog spojnog materijala u cijeni stavke. Ob</v>
          </cell>
          <cell r="G83">
            <v>0</v>
          </cell>
        </row>
        <row r="84">
          <cell r="D84" t="str">
            <v>K1, K1a, K1b i K1c</v>
          </cell>
          <cell r="E84" t="str">
            <v>m²</v>
          </cell>
          <cell r="G84">
            <v>2280.3000000000002</v>
          </cell>
          <cell r="H84">
            <v>87</v>
          </cell>
          <cell r="I84">
            <v>198386.1</v>
          </cell>
        </row>
        <row r="86">
          <cell r="A86" t="str">
            <v>06.</v>
          </cell>
          <cell r="B86" t="str">
            <v>19.</v>
          </cell>
          <cell r="D86" t="str">
            <v>Izvedba toplinske izolacije krovne konstrukcije od ploča ekstrudirane polistirenske pjene (XPS) , debljine d=20 cm. 
Ploče XPS-a se postavljaju na prethodno postavljenu hidroizolaciju na bazi PVC-P, zaštićenu geotekstilom (obračunate u zasebnim stavkama).</v>
          </cell>
          <cell r="G86">
            <v>0</v>
          </cell>
        </row>
        <row r="87">
          <cell r="D87" t="str">
            <v xml:space="preserve">Svi detalji pričvršćivanja i spojeva, izvode se prema uputstvima proizvođača, uključivo sa dobavom potrebnog spojnog materijala u cijeni stavke. Obračun po m².    </v>
          </cell>
        </row>
        <row r="88">
          <cell r="D88" t="str">
            <v>K2</v>
          </cell>
          <cell r="E88" t="str">
            <v>m²</v>
          </cell>
          <cell r="G88">
            <v>206</v>
          </cell>
          <cell r="H88">
            <v>87</v>
          </cell>
          <cell r="I88">
            <v>17922</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IZOL."/>
    </sheetNames>
    <sheetDataSet>
      <sheetData sheetId="0" refreshError="1">
        <row r="3">
          <cell r="A3" t="str">
            <v>06.</v>
          </cell>
          <cell r="D3" t="str">
            <v>IZOLATERSKI RADOVI</v>
          </cell>
        </row>
        <row r="5">
          <cell r="D5" t="str">
            <v>NAPOMENA:</v>
          </cell>
        </row>
        <row r="6">
          <cell r="D6" t="str">
            <v>OPĆI UVJETI SU SASTAVNI DIO SVAKE POJEDINE STAVKE. Sve što je navedeno u njima, a nije u pojedinačnom opisu stavke smatra se uključenim u jediničnu cijenu.</v>
          </cell>
        </row>
        <row r="7">
          <cell r="D7" t="str">
            <v xml:space="preserve">U jediničnim cijenama uračunati su svi radovi dotične stavke, s dobavom potrebnog materijala, s istovarom i uskladištenjem na gradilištu, sav horizontalni i vertikalni transport do radnog mjesta, kao i sva potrebna radna snaga i režijski troškovi, te sve </v>
          </cell>
        </row>
        <row r="9">
          <cell r="A9" t="str">
            <v>Red.</v>
          </cell>
          <cell r="B9" t="str">
            <v>br.</v>
          </cell>
          <cell r="D9" t="str">
            <v>Opis stavke</v>
          </cell>
          <cell r="E9" t="str">
            <v>J.m.</v>
          </cell>
          <cell r="G9" t="str">
            <v>Kol.</v>
          </cell>
          <cell r="H9" t="str">
            <v>Jed.cijena</v>
          </cell>
          <cell r="I9" t="str">
            <v>Uk.cijena</v>
          </cell>
        </row>
        <row r="11">
          <cell r="D11" t="str">
            <v>HIDROIZOLACIJE</v>
          </cell>
          <cell r="G11" t="str">
            <v/>
          </cell>
        </row>
        <row r="12">
          <cell r="A12" t="str">
            <v>06.</v>
          </cell>
          <cell r="B12" t="str">
            <v>01.</v>
          </cell>
          <cell r="D12" t="str">
            <v>Dobava i postava horizontalne hidroizolacije iz sintetičke membrane na bazi PVC, debljine d= 1,5 mm, obostrano zaštićene sa slojem geotekstila : donji 500 g/m2 , gornji : 300 g/m2. Hidroizolacija se na detaljima linearno učvršćuje za podlogu kontaktnim lj</v>
          </cell>
          <cell r="G12" t="str">
            <v/>
          </cell>
        </row>
        <row r="13">
          <cell r="A13" t="str">
            <v xml:space="preserve"> </v>
          </cell>
          <cell r="B13" t="str">
            <v xml:space="preserve"> </v>
          </cell>
          <cell r="D13" t="str">
            <v>Jediničnom cijenom obračunata je i postava dvostrukog PP/PES filc (geotekstil) na slojeve hidroizolacije.</v>
          </cell>
        </row>
        <row r="14">
          <cell r="A14" t="str">
            <v xml:space="preserve"> </v>
          </cell>
          <cell r="B14" t="str">
            <v xml:space="preserve"> </v>
          </cell>
          <cell r="D14" t="str">
            <v>Uključivo vertikalno podizanje hidroizolacije na stupove i zidoveu visini od 14 cm. U cijeni su svi potrebni odgovarajući holkeri za vertikalno povijanje izolacije.</v>
          </cell>
          <cell r="G14" t="str">
            <v/>
          </cell>
        </row>
        <row r="15">
          <cell r="A15" t="str">
            <v xml:space="preserve"> </v>
          </cell>
          <cell r="B15" t="str">
            <v xml:space="preserve"> </v>
          </cell>
          <cell r="D15" t="str">
            <v>Svi detalji pričvršćivanja i spojeva, izvode se prema uputstvima proizvođača, uključivo sa dobavom potrebnog spojnog materijala u cijeni stavke. Obračun po m² komplet slojeva.</v>
          </cell>
          <cell r="E15" t="str">
            <v>m²</v>
          </cell>
          <cell r="F15">
            <v>104.8145</v>
          </cell>
          <cell r="G15">
            <v>12162</v>
          </cell>
          <cell r="H15">
            <v>80</v>
          </cell>
          <cell r="I15">
            <v>972960</v>
          </cell>
        </row>
        <row r="17">
          <cell r="A17" t="str">
            <v>06.</v>
          </cell>
          <cell r="B17" t="str">
            <v>02.</v>
          </cell>
          <cell r="D17" t="str">
            <v>Izvedba sigurnosne hidroizolacije sanitarnih
prostora postavom dvokomp. elastičnog hidroizolacijskog morta na bazi polimer cementa. Mort se izvodi na za to pripremljenu podlogu (podloga mora biti suha, čista,bez udjela ulja i masti, bez nevezanog materija</v>
          </cell>
        </row>
        <row r="18">
          <cell r="D18" t="str">
            <v>MK1a</v>
          </cell>
          <cell r="E18" t="str">
            <v>m²</v>
          </cell>
          <cell r="F18">
            <v>104.8145</v>
          </cell>
          <cell r="G18">
            <v>12162</v>
          </cell>
          <cell r="H18">
            <v>145</v>
          </cell>
          <cell r="I18">
            <v>1763490</v>
          </cell>
        </row>
        <row r="20">
          <cell r="A20" t="str">
            <v>06.</v>
          </cell>
          <cell r="B20" t="str">
            <v>03.</v>
          </cell>
          <cell r="D20" t="str">
            <v>Dobava i ugradba sintetske hidroizolacijske trake za vertikalnu hidroizolaciju građevine (1000 kg/m³), neškodljive na podzemne vode, s podložnim filcem  0.2 + 0.2 cm (sokl vanjskog zida zgrade A).</v>
          </cell>
        </row>
        <row r="21">
          <cell r="D21" t="str">
            <v>Svi detalji pričvršćivanja i spojeva, izvode se prema uputstvima proizvođača, uključivo sa dobavom potrebnog spojnog materijala u cijeni stavke. 
Obračun po m² komplet slojeva.</v>
          </cell>
        </row>
        <row r="22">
          <cell r="D22" t="str">
            <v>VZ1,VZ2</v>
          </cell>
          <cell r="E22" t="str">
            <v>m²</v>
          </cell>
          <cell r="G22">
            <v>11386</v>
          </cell>
          <cell r="H22">
            <v>145</v>
          </cell>
          <cell r="I22">
            <v>1650970</v>
          </cell>
        </row>
        <row r="24">
          <cell r="A24" t="str">
            <v>06.</v>
          </cell>
          <cell r="B24" t="str">
            <v>04.</v>
          </cell>
          <cell r="D24" t="str">
            <v>Dobava i postava hidroizolacije iz sintetičke membrane na bazi mekog PVC-a na toplinsku izolaciju krovova (obračunata u zasebnoj stavci). Membrana je armirana staklenom tkaninom, UV nestabilna, otporna na gljivice, mikroorganizme, te korijenje, debljine d</v>
          </cell>
        </row>
        <row r="25">
          <cell r="D25" t="str">
            <v>K1, K1a, K1b, K1c i K2</v>
          </cell>
          <cell r="E25" t="str">
            <v>m²</v>
          </cell>
          <cell r="G25">
            <v>45.5</v>
          </cell>
          <cell r="H25">
            <v>30</v>
          </cell>
          <cell r="I25">
            <v>1365</v>
          </cell>
        </row>
        <row r="27">
          <cell r="D27" t="str">
            <v>PE FOLIJE I GEOTEXTILI</v>
          </cell>
        </row>
        <row r="28">
          <cell r="A28" t="str">
            <v>06.</v>
          </cell>
          <cell r="B28" t="str">
            <v>05.</v>
          </cell>
          <cell r="D28" t="str">
            <v>Dobava i postava PE folije, d=0,2 mm sa preklopom 10 cm. PE folija se postavlja na slojeve toplinske izolacije u podovima na tlu i u međukatne konstrukcije (prema fizici). Postava horizontalno - slobodno položeno; postava vertikalno- točkasto fiksirano. S</v>
          </cell>
          <cell r="G28" t="str">
            <v/>
          </cell>
        </row>
        <row r="29">
          <cell r="A29" t="str">
            <v xml:space="preserve"> </v>
          </cell>
          <cell r="B29" t="str">
            <v xml:space="preserve"> </v>
          </cell>
          <cell r="D29" t="str">
            <v>P1, P2, P3</v>
          </cell>
          <cell r="E29" t="str">
            <v>m²</v>
          </cell>
          <cell r="F29">
            <v>34.31</v>
          </cell>
          <cell r="G29">
            <v>985.2</v>
          </cell>
          <cell r="H29">
            <v>18</v>
          </cell>
          <cell r="I29">
            <v>17733.600000000002</v>
          </cell>
        </row>
        <row r="30">
          <cell r="D30" t="str">
            <v>MK1, MK1a, MK1b, MK3</v>
          </cell>
          <cell r="E30" t="str">
            <v>m²</v>
          </cell>
          <cell r="F30">
            <v>34.31</v>
          </cell>
          <cell r="G30">
            <v>985.2</v>
          </cell>
          <cell r="H30">
            <v>18</v>
          </cell>
          <cell r="I30">
            <v>17733.600000000002</v>
          </cell>
        </row>
        <row r="32">
          <cell r="A32" t="str">
            <v>06.</v>
          </cell>
          <cell r="B32" t="str">
            <v>06.</v>
          </cell>
          <cell r="D32" t="str">
            <v>Dobava i postava PE folije, d=0,25 mm sa preklopom 10 cm. PE folija se postavlja u krovove na sloj toplinske izolacije od  XPS-a. Postava horizontalno - slobodno položeno; postava vertikalno- točkasto fiksirano. Svi detalji pričvršćivanja i spojeva, izvod</v>
          </cell>
        </row>
        <row r="33">
          <cell r="D33" t="str">
            <v>K2</v>
          </cell>
          <cell r="E33" t="str">
            <v>m²</v>
          </cell>
          <cell r="G33">
            <v>11145</v>
          </cell>
          <cell r="H33">
            <v>23.55</v>
          </cell>
          <cell r="I33">
            <v>262464.75</v>
          </cell>
        </row>
        <row r="35">
          <cell r="A35" t="str">
            <v>06.</v>
          </cell>
          <cell r="B35" t="str">
            <v>07.</v>
          </cell>
          <cell r="D35" t="str">
            <v>Dobava i postava geotekstila - gornji sloj 120 g, a donji sloj 300 g/m2  na bazi polipropilena (PP,termo fiksirani) sa preklopom od 10 cm u svrhu zaštite toplinske izolacije (klasični krovovi). Svi detalji pričvršćivanja i spojeva, izvode se prema uputstv</v>
          </cell>
        </row>
        <row r="36">
          <cell r="D36" t="str">
            <v>K1, K1a, K1b i K1c</v>
          </cell>
          <cell r="E36" t="str">
            <v>m²</v>
          </cell>
          <cell r="G36">
            <v>2037</v>
          </cell>
          <cell r="H36">
            <v>34.549999999999997</v>
          </cell>
          <cell r="I36">
            <v>70378.349999999991</v>
          </cell>
        </row>
        <row r="38">
          <cell r="A38" t="str">
            <v>06.</v>
          </cell>
          <cell r="B38" t="str">
            <v>08.</v>
          </cell>
          <cell r="D38" t="str">
            <v>Dobava i postava geotekstila 300 g/m2  na bazi polipropilena (PP,termo fiksirani) sa preklopom od 10 cm u svrhu zaštite hidroizolacije (obrnuti krov atrija). Svi detalji pričvršćivanja i spojeva, izvode se prema uputstvima proizvođača, uključivo sa dobavo</v>
          </cell>
        </row>
        <row r="39">
          <cell r="D39" t="str">
            <v>K2</v>
          </cell>
          <cell r="E39" t="str">
            <v>m²</v>
          </cell>
          <cell r="G39">
            <v>2037</v>
          </cell>
          <cell r="H39">
            <v>34.549999999999997</v>
          </cell>
          <cell r="I39">
            <v>70378.349999999991</v>
          </cell>
        </row>
        <row r="41">
          <cell r="A41" t="str">
            <v>06.</v>
          </cell>
          <cell r="B41" t="str">
            <v>09.</v>
          </cell>
          <cell r="D41" t="str">
            <v>Dobava i postava parne brane na AB konstrukciju krova - bitumenska traka za zavarivanje u jednom sloju s uloškom Al folije d=0,4 cm. Membrana se slobodno polaže na podlogu u preklopu spoja od 8 cm. Periferno se membrana lijepi za atiku ili zid trakom. Slo</v>
          </cell>
        </row>
        <row r="42">
          <cell r="D42" t="str">
            <v>K1, K1a, K1b i K1c</v>
          </cell>
          <cell r="E42" t="str">
            <v>m²</v>
          </cell>
          <cell r="G42">
            <v>2037</v>
          </cell>
          <cell r="H42">
            <v>34.549999999999997</v>
          </cell>
          <cell r="I42">
            <v>70378.349999999991</v>
          </cell>
        </row>
        <row r="44">
          <cell r="A44" t="str">
            <v>06.</v>
          </cell>
          <cell r="B44" t="str">
            <v>10.</v>
          </cell>
          <cell r="D44" t="str">
            <v>Dobava i ugradba drenažne PEHD čepasta traka za oblaganje ekstrudiranog polistirena zida pročelja uz teren (sokl vanjskog zida zgrade A). 
Obavezno izvesti preklapanje od 10 cm s polimercementnom žbukom.</v>
          </cell>
        </row>
        <row r="45">
          <cell r="D45" t="str">
            <v>Svi detalji pričvršćivanja i spojeva, izvode se prema uputstvima proizvođača, uključivo sa dobavom potrebnog spojnog materijala u cijeni stavke. Obračun po m².</v>
          </cell>
        </row>
        <row r="46">
          <cell r="D46" t="str">
            <v>VZ1, VZ2</v>
          </cell>
          <cell r="E46" t="str">
            <v>m²</v>
          </cell>
          <cell r="G46">
            <v>197</v>
          </cell>
          <cell r="H46">
            <v>16.399999999999999</v>
          </cell>
          <cell r="I46">
            <v>3230.7999999999997</v>
          </cell>
        </row>
        <row r="48">
          <cell r="A48" t="str">
            <v>06.</v>
          </cell>
          <cell r="B48" t="str">
            <v>11.</v>
          </cell>
          <cell r="D48" t="str">
            <v xml:space="preserve">Dobava i postavljanje podložne pjenaste trake neoprena ili pjenaste PE trake za prekid toplinskog mosta između dva metalna elementa (ventilirana fasada od HPL ploča).
Svi detalji pričvršćivanja i spojeva, izvode se prema uputstvima proizvođača, uključivo </v>
          </cell>
        </row>
        <row r="49">
          <cell r="D49" t="str">
            <v>VZ1</v>
          </cell>
          <cell r="E49" t="str">
            <v>paušal</v>
          </cell>
          <cell r="G49">
            <v>197</v>
          </cell>
          <cell r="H49">
            <v>16.399999999999999</v>
          </cell>
          <cell r="I49">
            <v>3230.7999999999997</v>
          </cell>
        </row>
        <row r="51">
          <cell r="D51" t="str">
            <v>TOPLINSKE IZOLACIJE</v>
          </cell>
        </row>
        <row r="52">
          <cell r="A52" t="str">
            <v>06.</v>
          </cell>
          <cell r="B52" t="str">
            <v>12.</v>
          </cell>
          <cell r="D52" t="str">
            <v>Dobava i izvedba toplinske izolacije poda na tlu grijanog prostora. 
Na zaglađenu betonsku podlogu postavljaju se (odozdo prema gore):</v>
          </cell>
        </row>
        <row r="53">
          <cell r="D53" t="str">
            <v>elastificirani ekspandirani polistiren (EePS)   2x1 cm;</v>
          </cell>
        </row>
        <row r="54">
          <cell r="D54" t="str">
            <v>tvrde ploče od ekspandiranog polistirena (EPS) d=10 cm</v>
          </cell>
        </row>
        <row r="55">
          <cell r="D55" t="str">
            <v>Jediničnom cijenom obračunati i traku EePS-a kojom su završna podna obloga i cementni estrih odvojeni od zida.</v>
          </cell>
        </row>
        <row r="56">
          <cell r="D56" t="str">
            <v>Svi detalji pričvršćivanja i spojeva, izvode se prema uputstvima proizvođača, uključivo sa dobavom potrebnog spojnog materijala u cijeni stavke. Obračun po m² komplet slojeva.</v>
          </cell>
        </row>
        <row r="57">
          <cell r="D57" t="str">
            <v>P1, P2, P3</v>
          </cell>
          <cell r="E57" t="str">
            <v>m²</v>
          </cell>
          <cell r="G57">
            <v>410</v>
          </cell>
          <cell r="H57">
            <v>200</v>
          </cell>
          <cell r="I57">
            <v>82000</v>
          </cell>
        </row>
        <row r="59">
          <cell r="A59" t="str">
            <v>06.</v>
          </cell>
          <cell r="B59" t="str">
            <v>13.</v>
          </cell>
          <cell r="D59" t="str">
            <v>Dobava i izvedba toplinske izolacije poda međukatnih konstrukcija. Na zaglađenu betonsku podlogu postavlja se (odozdo prema gore):</v>
          </cell>
        </row>
        <row r="60">
          <cell r="D60" t="str">
            <v>elastificirani ekspandirani polistiren (EePS)  2x1 cm;</v>
          </cell>
        </row>
        <row r="61">
          <cell r="D61" t="str">
            <v>tvrde ploče ekspandiranog polistirena (EPS), d=2 cm</v>
          </cell>
        </row>
        <row r="62">
          <cell r="D62" t="str">
            <v>Jediničnom cijenom obračunati i traku EePS-a kojom su završna podna obloga i cementni estrih odvojeni od zida.</v>
          </cell>
        </row>
        <row r="63">
          <cell r="D63" t="str">
            <v>Svi detalji pričvršćivanja i spojeva, izvode se prema uputstvima proizvođača, uključivo sa dobavom potrebnog spojnog materijala u cijeni stavke. Obračun po m² komplet slojeva.</v>
          </cell>
        </row>
        <row r="64">
          <cell r="D64" t="str">
            <v>MK1, MK1a, MK1b, MK3</v>
          </cell>
          <cell r="E64" t="str">
            <v>m²</v>
          </cell>
          <cell r="G64">
            <v>8102</v>
          </cell>
          <cell r="H64">
            <v>117.6</v>
          </cell>
          <cell r="I64">
            <v>952795.2</v>
          </cell>
        </row>
        <row r="66">
          <cell r="A66" t="str">
            <v>06.</v>
          </cell>
          <cell r="B66" t="str">
            <v>14.</v>
          </cell>
          <cell r="D66" t="str">
            <v>Izvedba toplinske izolacije vanjskih ventiliranih zidova polutvrdim, hidrofobnim pločama kamene vune, vanjski sloj kaširan bitumeniziran staklenim voalom. Debljina ploča je d=16 cm. Svi detalji pričvršćivanja i spojeva, izvode se prema uputstvima proizvođ</v>
          </cell>
        </row>
        <row r="67">
          <cell r="D67" t="str">
            <v xml:space="preserve">VZ1, VZ2 ,VZ2a, VZ4 i VZ4a </v>
          </cell>
          <cell r="E67" t="str">
            <v>m²</v>
          </cell>
          <cell r="G67">
            <v>410</v>
          </cell>
          <cell r="H67">
            <v>200</v>
          </cell>
          <cell r="I67">
            <v>82000</v>
          </cell>
        </row>
        <row r="69">
          <cell r="A69" t="str">
            <v>06.</v>
          </cell>
          <cell r="B69" t="str">
            <v>15.</v>
          </cell>
          <cell r="D69" t="str">
            <v>Izvedba toplinske izolacije sokla vanjskog zida zgrade A od  ploča od ekstrudiranog polistirena (XPS) u sloju debljine d=6 cm. 
Toplinska izolacija se postavlja na prethodno izvedenu sintetsku hidroizolacijske trake, 0,2+0,2 cm, te se zaštićuje tankim slo</v>
          </cell>
        </row>
        <row r="70">
          <cell r="D70" t="str">
            <v xml:space="preserve">Svi detalji pričvršćivanja i spojeva, izvode se prema uputstvima proizvođača, uključivo sa dobavom potrebnog spojnog materijala u cijeni stavke. Obračun po m².    </v>
          </cell>
        </row>
        <row r="71">
          <cell r="D71" t="str">
            <v>VZ1, VZ2</v>
          </cell>
          <cell r="E71" t="str">
            <v>m²</v>
          </cell>
          <cell r="G71">
            <v>8102</v>
          </cell>
          <cell r="H71">
            <v>117.6</v>
          </cell>
          <cell r="I71">
            <v>952795.2</v>
          </cell>
        </row>
        <row r="73">
          <cell r="A73" t="str">
            <v>06.</v>
          </cell>
          <cell r="B73" t="str">
            <v>16.</v>
          </cell>
          <cell r="D73" t="str">
            <v>Izvedba toplinske izolacije od ploča ekstrudirane polistirenske pjene (XPS) d=6 cm  na nadozidima vanjskog zida i atike krova. 
Slojevi se postavljaju iznutra prema van:</v>
          </cell>
        </row>
        <row r="74">
          <cell r="D74" t="str">
            <v>vertikalna parna brana (nastavak horizontalne parne brane krova) iz bitumenske trake za zavarivanje u jednom sloju sa uloškom Al folije d=0,2 mm. Postavlja se na zaglađeni armirano betonski zid / AB troslojne panele.</v>
          </cell>
        </row>
        <row r="75">
          <cell r="D75" t="str">
            <v>polimerna hidroizolacijska traka na bazi PVC-P, obostrano obložena filcom - nastavak horizontalne hidroizolacije krova</v>
          </cell>
        </row>
        <row r="76">
          <cell r="D76" t="str">
            <v>ekstrudirana polistirenska pjena d=6 cm</v>
          </cell>
        </row>
        <row r="77">
          <cell r="D77" t="str">
            <v xml:space="preserve">Svi detalji pričvršćivanja i spojeva, izvode se prema uputstvima proizvođača, uključivo sa dobavom potrebnog spojnog materijala u cijeni stavke. Obračun po m².    </v>
          </cell>
        </row>
        <row r="78">
          <cell r="D78" t="str">
            <v>VZ2a, VZ2b, VZ3a i VZ4a</v>
          </cell>
          <cell r="E78" t="str">
            <v>m²</v>
          </cell>
          <cell r="G78">
            <v>4361</v>
          </cell>
          <cell r="H78">
            <v>225</v>
          </cell>
          <cell r="I78">
            <v>981225</v>
          </cell>
        </row>
        <row r="80">
          <cell r="A80" t="str">
            <v>06.</v>
          </cell>
          <cell r="B80" t="str">
            <v>17.</v>
          </cell>
          <cell r="D80" t="str">
            <v>Dobava i ugradba ispune dilatacije između građevine A i B elastificiranim ekspandiranim polistirenom (EePS) d=5 cm.
Svi detalji pričvršćivanja i spojeva, izvode se prema uputstvima proizvođača, uključivo sa dobavom potrebnog spojnog materijala u cijeni st</v>
          </cell>
        </row>
        <row r="81">
          <cell r="E81" t="str">
            <v>m²</v>
          </cell>
          <cell r="G81">
            <v>883</v>
          </cell>
          <cell r="H81">
            <v>204</v>
          </cell>
          <cell r="I81">
            <v>180132</v>
          </cell>
        </row>
        <row r="83">
          <cell r="A83" t="str">
            <v>06.</v>
          </cell>
          <cell r="B83" t="str">
            <v>18.</v>
          </cell>
          <cell r="D83" t="str">
            <v>Izvedba toplinske izolacije krovne konstrukcije od ploča tvrde kamene vune, hidrofobirane debljine d=20 cm. Svi detalji pričvršćivanja i spojeva, izvode se prema uputstvima proizvođača, uključivo sa dobavom potrebnog spojnog materijala u cijeni stavke. Ob</v>
          </cell>
          <cell r="G83" t="str">
            <v/>
          </cell>
        </row>
        <row r="84">
          <cell r="D84" t="str">
            <v>K1, K1a, K1b i K1c</v>
          </cell>
          <cell r="E84" t="str">
            <v>m²</v>
          </cell>
          <cell r="G84">
            <v>2280.3000000000002</v>
          </cell>
          <cell r="H84">
            <v>87</v>
          </cell>
          <cell r="I84">
            <v>198386.1</v>
          </cell>
        </row>
        <row r="86">
          <cell r="A86" t="str">
            <v>06.</v>
          </cell>
          <cell r="B86" t="str">
            <v>19.</v>
          </cell>
          <cell r="D86" t="str">
            <v>Izvedba toplinske izolacije krovne konstrukcije od ploča ekstrudirane polistirenske pjene (XPS) , debljine d=20 cm. 
Ploče XPS-a se postavljaju na prethodno postavljenu hidroizolaciju na bazi PVC-P, zaštićenu geotekstilom (obračunate u zasebnim stavkama).</v>
          </cell>
          <cell r="G86" t="str">
            <v/>
          </cell>
        </row>
        <row r="87">
          <cell r="D87" t="str">
            <v xml:space="preserve">Svi detalji pričvršćivanja i spojeva, izvode se prema uputstvima proizvođača, uključivo sa dobavom potrebnog spojnog materijala u cijeni stavke. Obračun po m².    </v>
          </cell>
        </row>
        <row r="88">
          <cell r="D88" t="str">
            <v>K2</v>
          </cell>
          <cell r="E88" t="str">
            <v>m²</v>
          </cell>
          <cell r="G88">
            <v>206</v>
          </cell>
          <cell r="H88">
            <v>87</v>
          </cell>
          <cell r="I88">
            <v>17922</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E"/>
      <sheetName val="Naslovnica"/>
      <sheetName val="1.  ZEMLJANI"/>
      <sheetName val="2. BET. I ARM_BET"/>
      <sheetName val="3. ARMIRAČKI"/>
      <sheetName val="4. ZIDARSKI"/>
      <sheetName val="5. TESARSKI"/>
      <sheetName val="6. IZOLATERSKI"/>
      <sheetName val="7. FASADERSKI"/>
      <sheetName val="8. LIMARSKI"/>
      <sheetName val="9. SOB. LIČILAČKI"/>
      <sheetName val="10. KERAMIČARSKI"/>
      <sheetName val="11. PARKETARSKI"/>
      <sheetName val="12. STOLARSKI"/>
      <sheetName val="13. AL. BRAVARSKI"/>
      <sheetName val="14. PVC STOLARIJA"/>
      <sheetName val="15. OSTALI"/>
      <sheetName val="REKAPITULACIJA"/>
      <sheetName val="1_  ZEMLJANI"/>
    </sheetNames>
    <sheetDataSet>
      <sheetData sheetId="0" refreshError="1"/>
      <sheetData sheetId="1" refreshError="1"/>
      <sheetData sheetId="2" refreshError="1">
        <row r="3">
          <cell r="A3" t="str">
            <v>01.</v>
          </cell>
          <cell r="D3" t="str">
            <v>ZEMLJANI RADOVI</v>
          </cell>
        </row>
        <row r="5">
          <cell r="D5" t="str">
            <v>NAPOMENA:</v>
          </cell>
        </row>
        <row r="6">
          <cell r="D6" t="str">
            <v>U cijenu svake pojedine stavke uračunato:</v>
          </cell>
        </row>
        <row r="7">
          <cell r="D7" t="str">
            <v>-sav prijevoz iskopanog materijala, ili materijala dobivenog od rušenja, na gradsku deponiju. Posebni se odvoz materijala ne obračunava</v>
          </cell>
        </row>
        <row r="8">
          <cell r="D8" t="str">
            <v>-dobava i ugradnja svog potrebnog materijala, sav unutrašnji i vanjski transport,</v>
          </cell>
        </row>
        <row r="9">
          <cell r="D9" t="str">
            <v>-sve potrebne skele, podupiranja, razupiranja, osiguranje iskopa i susjednih objekata za dubinu iskopa do jedne etaže (3,0 m)</v>
          </cell>
        </row>
        <row r="10">
          <cell r="D10" t="str">
            <v>-izrada i uklanjanje svih prilaznih i radnih rampi,</v>
          </cell>
        </row>
        <row r="11">
          <cell r="D11" t="str">
            <v>-sva eventualna ispumpavanja voda u građevinskoj jami ili djelovima zgrade.</v>
          </cell>
        </row>
        <row r="12">
          <cell r="B12" t="str">
            <v xml:space="preserve"> </v>
          </cell>
        </row>
        <row r="13">
          <cell r="A13" t="str">
            <v xml:space="preserve"> </v>
          </cell>
          <cell r="B13" t="str">
            <v xml:space="preserve"> </v>
          </cell>
        </row>
        <row r="14">
          <cell r="A14" t="str">
            <v xml:space="preserve"> </v>
          </cell>
          <cell r="B14" t="str">
            <v xml:space="preserve"> </v>
          </cell>
        </row>
        <row r="15">
          <cell r="A15" t="str">
            <v>01.</v>
          </cell>
          <cell r="B15">
            <v>1</v>
          </cell>
          <cell r="D15" t="str">
            <v xml:space="preserve">Strojni široki iskop u zemlji za podrum. Iskop do dubine ~500cm). U cijenu su uračunata sva potrebna podupiranja i razupiranja, osiguranje iskopa i susjednih objekata, izrada prilaznih rampi, eventualni rad u vodi. Radovi vezani za osiguranje građevinske </v>
          </cell>
        </row>
        <row r="16">
          <cell r="A16" t="str">
            <v xml:space="preserve"> </v>
          </cell>
          <cell r="B16" t="str">
            <v xml:space="preserve"> </v>
          </cell>
          <cell r="E16" t="str">
            <v xml:space="preserve">m3 </v>
          </cell>
          <cell r="F16">
            <v>1478.559</v>
          </cell>
        </row>
        <row r="17">
          <cell r="A17" t="str">
            <v xml:space="preserve"> </v>
          </cell>
          <cell r="B17" t="str">
            <v xml:space="preserve"> </v>
          </cell>
        </row>
        <row r="18">
          <cell r="A18" t="str">
            <v>01.</v>
          </cell>
          <cell r="B18">
            <v>2</v>
          </cell>
          <cell r="D18" t="str">
            <v>Planiranje dna građevinske jame širokog iskopa i iskopa za trakaste temelje s točnošću ± 3 cm i nabijanje do modula stišljivosti tla od M=7000 kN/m3. Obračun po m2 isplanirane površine.</v>
          </cell>
        </row>
        <row r="19">
          <cell r="A19" t="str">
            <v xml:space="preserve"> </v>
          </cell>
          <cell r="B19" t="str">
            <v xml:space="preserve"> </v>
          </cell>
          <cell r="E19" t="str">
            <v xml:space="preserve">m2 </v>
          </cell>
          <cell r="F19">
            <v>301.49</v>
          </cell>
        </row>
        <row r="20">
          <cell r="A20" t="str">
            <v xml:space="preserve"> </v>
          </cell>
          <cell r="B20" t="str">
            <v xml:space="preserve"> </v>
          </cell>
        </row>
        <row r="21">
          <cell r="A21" t="str">
            <v>01.</v>
          </cell>
          <cell r="B21">
            <v>3</v>
          </cell>
          <cell r="D21" t="str">
            <v>Nasipavanje uz obodne zidove podruma materijalom dobivenim iz iskopa s nabijanjem u slojevima od 50 cm do modula stišljivosti tla od M=7000 kN/m3.</v>
          </cell>
        </row>
        <row r="22">
          <cell r="A22" t="str">
            <v xml:space="preserve"> </v>
          </cell>
          <cell r="B22" t="str">
            <v xml:space="preserve"> </v>
          </cell>
          <cell r="E22" t="str">
            <v>m3</v>
          </cell>
          <cell r="F22">
            <v>19.487600000000004</v>
          </cell>
        </row>
        <row r="23">
          <cell r="A23" t="str">
            <v xml:space="preserve"> </v>
          </cell>
          <cell r="B23" t="str">
            <v xml:space="preserve"> </v>
          </cell>
        </row>
        <row r="24">
          <cell r="A24" t="str">
            <v>01.</v>
          </cell>
          <cell r="B24">
            <v>4</v>
          </cell>
          <cell r="D24" t="str">
            <v>Izrada kamenog nabačaja (kaldrme) od kamena lomljenca debljine 15 cm s nabijanjem i izravnavanjem s točnošću ± 3 cm.</v>
          </cell>
        </row>
        <row r="25">
          <cell r="A25" t="str">
            <v xml:space="preserve"> </v>
          </cell>
          <cell r="B25" t="str">
            <v xml:space="preserve"> </v>
          </cell>
          <cell r="E25" t="str">
            <v xml:space="preserve">m3  </v>
          </cell>
          <cell r="F25">
            <v>45.223500000000001</v>
          </cell>
        </row>
        <row r="26">
          <cell r="A26" t="str">
            <v xml:space="preserve"> </v>
          </cell>
          <cell r="B26" t="str">
            <v xml:space="preserve"> </v>
          </cell>
        </row>
        <row r="28">
          <cell r="A28" t="str">
            <v>01.</v>
          </cell>
          <cell r="D28" t="str">
            <v>UKUPNO ZEMLJANI RADOVI:</v>
          </cell>
        </row>
      </sheetData>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E"/>
      <sheetName val="Naslovnica"/>
      <sheetName val="1.  ZEMLJANI"/>
      <sheetName val="2. BET. I ARM_BET"/>
      <sheetName val="3. ARMIRAČKI"/>
      <sheetName val="4. ZIDARSKI"/>
      <sheetName val="5. TESARSKI"/>
      <sheetName val="6. IZOLATERSKI"/>
      <sheetName val="7. FASADERSKI"/>
      <sheetName val="8. LIMARSKI"/>
      <sheetName val="9. SOB. LIČILAČKI"/>
      <sheetName val="10. KERAMIČARSKI"/>
      <sheetName val="11. PARKETARSKI"/>
      <sheetName val="12. STOLARSKI"/>
      <sheetName val="13. AL. BRAVARSKI"/>
      <sheetName val="14. PVC STOLARIJA"/>
      <sheetName val="15. OSTALI"/>
      <sheetName val="REKAPITULACIJA"/>
      <sheetName val="1_  ZEMLJANI"/>
    </sheetNames>
    <sheetDataSet>
      <sheetData sheetId="0" refreshError="1"/>
      <sheetData sheetId="1" refreshError="1"/>
      <sheetData sheetId="2" refreshError="1">
        <row r="3">
          <cell r="A3" t="str">
            <v>01.</v>
          </cell>
          <cell r="D3" t="str">
            <v>ZEMLJANI RADOVI</v>
          </cell>
        </row>
        <row r="5">
          <cell r="D5" t="str">
            <v>NAPOMENA:</v>
          </cell>
        </row>
        <row r="6">
          <cell r="D6" t="str">
            <v>U cijenu svake pojedine stavke uračunato:</v>
          </cell>
        </row>
        <row r="7">
          <cell r="D7" t="str">
            <v>-sav prijevoz iskopanog materijala, ili materijala dobivenog od rušenja, na gradsku deponiju. Posebni se odvoz materijala ne obračunava</v>
          </cell>
        </row>
        <row r="8">
          <cell r="D8" t="str">
            <v>-dobava i ugradnja svog potrebnog materijala, sav unutrašnji i vanjski transport,</v>
          </cell>
        </row>
        <row r="9">
          <cell r="D9" t="str">
            <v>-sve potrebne skele, podupiranja, razupiranja, osiguranje iskopa i susjednih objekata za dubinu iskopa do jedne etaže (3,0 m)</v>
          </cell>
        </row>
        <row r="10">
          <cell r="D10" t="str">
            <v>-izrada i uklanjanje svih prilaznih i radnih rampi,</v>
          </cell>
        </row>
        <row r="11">
          <cell r="D11" t="str">
            <v>-sva eventualna ispumpavanja voda u građevinskoj jami ili djelovima zgrade.</v>
          </cell>
        </row>
        <row r="12">
          <cell r="B12" t="str">
            <v xml:space="preserve"> </v>
          </cell>
        </row>
        <row r="13">
          <cell r="A13" t="str">
            <v xml:space="preserve"> </v>
          </cell>
          <cell r="B13" t="str">
            <v xml:space="preserve"> </v>
          </cell>
        </row>
        <row r="14">
          <cell r="A14" t="str">
            <v xml:space="preserve"> </v>
          </cell>
          <cell r="B14" t="str">
            <v xml:space="preserve"> </v>
          </cell>
        </row>
        <row r="15">
          <cell r="A15" t="str">
            <v>01.</v>
          </cell>
          <cell r="B15">
            <v>1</v>
          </cell>
          <cell r="D15" t="str">
            <v xml:space="preserve">Strojni široki iskop u zemlji za podrum. Iskop do dubine ~500cm). U cijenu su uračunata sva potrebna podupiranja i razupiranja, osiguranje iskopa i susjednih objekata, izrada prilaznih rampi, eventualni rad u vodi. Radovi vezani za osiguranje građevinske </v>
          </cell>
        </row>
        <row r="16">
          <cell r="A16" t="str">
            <v xml:space="preserve"> </v>
          </cell>
          <cell r="B16" t="str">
            <v xml:space="preserve"> </v>
          </cell>
          <cell r="E16" t="str">
            <v xml:space="preserve">m3 </v>
          </cell>
          <cell r="F16">
            <v>1478.559</v>
          </cell>
        </row>
        <row r="17">
          <cell r="A17" t="str">
            <v xml:space="preserve"> </v>
          </cell>
          <cell r="B17" t="str">
            <v xml:space="preserve"> </v>
          </cell>
        </row>
        <row r="18">
          <cell r="A18" t="str">
            <v>01.</v>
          </cell>
          <cell r="B18">
            <v>2</v>
          </cell>
          <cell r="D18" t="str">
            <v>Planiranje dna građevinske jame širokog iskopa i iskopa za trakaste temelje s točnošću ± 3 cm i nabijanje do modula stišljivosti tla od M=7000 kN/m3. Obračun po m2 isplanirane površine.</v>
          </cell>
        </row>
        <row r="19">
          <cell r="A19" t="str">
            <v xml:space="preserve"> </v>
          </cell>
          <cell r="B19" t="str">
            <v xml:space="preserve"> </v>
          </cell>
          <cell r="E19" t="str">
            <v xml:space="preserve">m2 </v>
          </cell>
          <cell r="F19">
            <v>301.49</v>
          </cell>
        </row>
        <row r="20">
          <cell r="A20" t="str">
            <v xml:space="preserve"> </v>
          </cell>
          <cell r="B20" t="str">
            <v xml:space="preserve"> </v>
          </cell>
        </row>
        <row r="21">
          <cell r="A21" t="str">
            <v>01.</v>
          </cell>
          <cell r="B21">
            <v>3</v>
          </cell>
          <cell r="D21" t="str">
            <v>Nasipavanje uz obodne zidove podruma materijalom dobivenim iz iskopa s nabijanjem u slojevima od 50 cm do modula stišljivosti tla od M=7000 kN/m3.</v>
          </cell>
        </row>
        <row r="22">
          <cell r="A22" t="str">
            <v xml:space="preserve"> </v>
          </cell>
          <cell r="B22" t="str">
            <v xml:space="preserve"> </v>
          </cell>
          <cell r="E22" t="str">
            <v>m3</v>
          </cell>
          <cell r="F22">
            <v>19.487600000000004</v>
          </cell>
        </row>
        <row r="23">
          <cell r="A23" t="str">
            <v xml:space="preserve"> </v>
          </cell>
          <cell r="B23" t="str">
            <v xml:space="preserve"> </v>
          </cell>
        </row>
        <row r="24">
          <cell r="A24" t="str">
            <v>01.</v>
          </cell>
          <cell r="B24">
            <v>4</v>
          </cell>
          <cell r="D24" t="str">
            <v>Izrada kamenog nabačaja (kaldrme) od kamena lomljenca debljine 15 cm s nabijanjem i izravnavanjem s točnošću ± 3 cm.</v>
          </cell>
        </row>
        <row r="25">
          <cell r="A25" t="str">
            <v xml:space="preserve"> </v>
          </cell>
          <cell r="B25" t="str">
            <v xml:space="preserve"> </v>
          </cell>
          <cell r="E25" t="str">
            <v xml:space="preserve">m3  </v>
          </cell>
          <cell r="F25">
            <v>45.223500000000001</v>
          </cell>
        </row>
        <row r="26">
          <cell r="A26" t="str">
            <v xml:space="preserve"> </v>
          </cell>
          <cell r="B26" t="str">
            <v xml:space="preserve"> </v>
          </cell>
        </row>
        <row r="28">
          <cell r="A28" t="str">
            <v>01.</v>
          </cell>
          <cell r="D28" t="str">
            <v>UKUPNO ZEMLJANI RADOVI:</v>
          </cell>
        </row>
      </sheetData>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E"/>
      <sheetName val="Naslovnica"/>
      <sheetName val="1.  ZEMLJANI"/>
      <sheetName val="2. BET. I ARM_BET"/>
      <sheetName val="3. ARMIRAČKI"/>
      <sheetName val="4. ZIDARSKI"/>
      <sheetName val="5. TESARSKI"/>
      <sheetName val="6. IZOLATERSKI"/>
      <sheetName val="7. FASADERSKI"/>
      <sheetName val="8. LIMARSKI"/>
      <sheetName val="9. SOB. LIČILAČKI"/>
      <sheetName val="10. KERAMIČARSKI"/>
      <sheetName val="11. PARKETARSKI"/>
      <sheetName val="12. STOLARSKI"/>
      <sheetName val="13. AL. BRAVARSKI"/>
      <sheetName val="14. PVC STOLARIJA"/>
      <sheetName val="15. OSTALI"/>
      <sheetName val="REKAPITULACIJA"/>
      <sheetName val="1_  ZEMLJANI"/>
    </sheetNames>
    <sheetDataSet>
      <sheetData sheetId="0" refreshError="1"/>
      <sheetData sheetId="1" refreshError="1"/>
      <sheetData sheetId="2" refreshError="1">
        <row r="3">
          <cell r="A3" t="str">
            <v>01.</v>
          </cell>
          <cell r="D3" t="str">
            <v>ZEMLJANI RADOVI</v>
          </cell>
        </row>
        <row r="5">
          <cell r="D5" t="str">
            <v>NAPOMENA:</v>
          </cell>
        </row>
        <row r="6">
          <cell r="D6" t="str">
            <v>U cijenu svake pojedine stavke uračunato:</v>
          </cell>
        </row>
        <row r="7">
          <cell r="D7" t="str">
            <v>-sav prijevoz iskopanog materijala, ili materijala dobivenog od rušenja, na gradsku deponiju. Posebni se odvoz materijala ne obračunava</v>
          </cell>
        </row>
        <row r="8">
          <cell r="D8" t="str">
            <v>-dobava i ugradnja svog potrebnog materijala, sav unutrašnji i vanjski transport,</v>
          </cell>
        </row>
        <row r="9">
          <cell r="D9" t="str">
            <v>-sve potrebne skele, podupiranja, razupiranja, osiguranje iskopa i susjednih objekata za dubinu iskopa do jedne etaže (3,0 m)</v>
          </cell>
        </row>
        <row r="10">
          <cell r="D10" t="str">
            <v>-izrada i uklanjanje svih prilaznih i radnih rampi,</v>
          </cell>
        </row>
        <row r="11">
          <cell r="D11" t="str">
            <v>-sva eventualna ispumpavanja voda u građevinskoj jami ili djelovima zgrade.</v>
          </cell>
        </row>
        <row r="12">
          <cell r="B12" t="str">
            <v xml:space="preserve"> </v>
          </cell>
        </row>
        <row r="13">
          <cell r="A13" t="str">
            <v xml:space="preserve"> </v>
          </cell>
          <cell r="B13" t="str">
            <v xml:space="preserve"> </v>
          </cell>
        </row>
        <row r="14">
          <cell r="A14" t="str">
            <v xml:space="preserve"> </v>
          </cell>
          <cell r="B14" t="str">
            <v xml:space="preserve"> </v>
          </cell>
        </row>
        <row r="15">
          <cell r="A15" t="str">
            <v>01.</v>
          </cell>
          <cell r="B15">
            <v>1</v>
          </cell>
          <cell r="D15" t="str">
            <v xml:space="preserve">Strojni široki iskop u zemlji za podrum. Iskop do dubine ~500cm). U cijenu su uračunata sva potrebna podupiranja i razupiranja, osiguranje iskopa i susjednih objekata, izrada prilaznih rampi, eventualni rad u vodi. Radovi vezani za osiguranje građevinske </v>
          </cell>
        </row>
        <row r="16">
          <cell r="A16" t="str">
            <v xml:space="preserve"> </v>
          </cell>
          <cell r="B16" t="str">
            <v xml:space="preserve"> </v>
          </cell>
          <cell r="E16" t="str">
            <v xml:space="preserve">m3 </v>
          </cell>
          <cell r="F16">
            <v>1478.559</v>
          </cell>
        </row>
        <row r="17">
          <cell r="A17" t="str">
            <v xml:space="preserve"> </v>
          </cell>
          <cell r="B17" t="str">
            <v xml:space="preserve"> </v>
          </cell>
        </row>
        <row r="18">
          <cell r="A18" t="str">
            <v>01.</v>
          </cell>
          <cell r="B18">
            <v>2</v>
          </cell>
          <cell r="D18" t="str">
            <v>Planiranje dna građevinske jame širokog iskopa i iskopa za trakaste temelje s točnošću ± 3 cm i nabijanje do modula stišljivosti tla od M=7000 kN/m3. Obračun po m2 isplanirane površine.</v>
          </cell>
        </row>
        <row r="19">
          <cell r="A19" t="str">
            <v xml:space="preserve"> </v>
          </cell>
          <cell r="B19" t="str">
            <v xml:space="preserve"> </v>
          </cell>
          <cell r="E19" t="str">
            <v xml:space="preserve">m2 </v>
          </cell>
          <cell r="F19">
            <v>301.49</v>
          </cell>
        </row>
        <row r="20">
          <cell r="A20" t="str">
            <v xml:space="preserve"> </v>
          </cell>
          <cell r="B20" t="str">
            <v xml:space="preserve"> </v>
          </cell>
        </row>
        <row r="21">
          <cell r="A21" t="str">
            <v>01.</v>
          </cell>
          <cell r="B21">
            <v>3</v>
          </cell>
          <cell r="D21" t="str">
            <v>Nasipavanje uz obodne zidove podruma materijalom dobivenim iz iskopa s nabijanjem u slojevima od 50 cm do modula stišljivosti tla od M=7000 kN/m3.</v>
          </cell>
        </row>
        <row r="22">
          <cell r="A22" t="str">
            <v xml:space="preserve"> </v>
          </cell>
          <cell r="B22" t="str">
            <v xml:space="preserve"> </v>
          </cell>
          <cell r="E22" t="str">
            <v>m3</v>
          </cell>
          <cell r="F22">
            <v>19.487600000000004</v>
          </cell>
        </row>
        <row r="23">
          <cell r="A23" t="str">
            <v xml:space="preserve"> </v>
          </cell>
          <cell r="B23" t="str">
            <v xml:space="preserve"> </v>
          </cell>
        </row>
        <row r="24">
          <cell r="A24" t="str">
            <v>01.</v>
          </cell>
          <cell r="B24">
            <v>4</v>
          </cell>
          <cell r="D24" t="str">
            <v>Izrada kamenog nabačaja (kaldrme) od kamena lomljenca debljine 15 cm s nabijanjem i izravnavanjem s točnošću ± 3 cm.</v>
          </cell>
        </row>
        <row r="25">
          <cell r="A25" t="str">
            <v xml:space="preserve"> </v>
          </cell>
          <cell r="B25" t="str">
            <v xml:space="preserve"> </v>
          </cell>
          <cell r="E25" t="str">
            <v xml:space="preserve">m3  </v>
          </cell>
          <cell r="F25">
            <v>45.223500000000001</v>
          </cell>
        </row>
        <row r="26">
          <cell r="A26" t="str">
            <v xml:space="preserve"> </v>
          </cell>
          <cell r="B26" t="str">
            <v xml:space="preserve"> </v>
          </cell>
        </row>
        <row r="28">
          <cell r="A28" t="str">
            <v>01.</v>
          </cell>
          <cell r="D28" t="str">
            <v>UKUPNO ZEMLJANI RADOVI:</v>
          </cell>
        </row>
      </sheetData>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FAKTORI 2"/>
      <sheetName val="FAKTORI 3"/>
    </sheetNames>
    <sheetDataSet>
      <sheetData sheetId="0" refreshError="1"/>
      <sheetData sheetId="1" refreshError="1">
        <row r="3">
          <cell r="B3">
            <v>1</v>
          </cell>
        </row>
      </sheetData>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TK poddionica 1"/>
      <sheetName val="1. EE -  VODOVI "/>
      <sheetName val="SVE REKAP"/>
      <sheetName val="TK poddionica 2"/>
      <sheetName val="SNR Mraclin 2"/>
      <sheetName val="ZTS 96 "/>
      <sheetName val="ZTS 252"/>
      <sheetName val="EE REKAP"/>
    </sheetNames>
    <sheetDataSet>
      <sheetData sheetId="0" refreshError="1">
        <row r="2">
          <cell r="B2">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Š KABEL.KAN"/>
      <sheetName val="Š-SVJETLOV.KABEL"/>
      <sheetName val="Š-TPS"/>
      <sheetName val="Š-PRELAGANJE TK"/>
      <sheetName val="Š-SUSTAV NAPLATE"/>
      <sheetName val="Š-RADIO SUSTAV"/>
      <sheetName val="Š-OZVUČENJE TUNELA"/>
      <sheetName val="Z-KABEL.KAN"/>
      <sheetName val="Z-SVJETLOV.KABEL"/>
      <sheetName val="Z TPS"/>
      <sheetName val="Z PRELAGANJE TK"/>
      <sheetName val="Z-SUSTAV NAPLATE"/>
      <sheetName val="REKAPITULACIJ 4ATELEKOMUNIKACIJ"/>
      <sheetName val="FAKTORI"/>
      <sheetName val="ŠESTANOV-ZAGVOZD (REK.TELEK)"/>
      <sheetName val="ZAGVOZD-RAČA (REK.TELEK)"/>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B3">
            <v>0.97650000000000003</v>
          </cell>
        </row>
      </sheetData>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Š KABEL.KAN"/>
      <sheetName val="Š-SVJETLOV.KABEL"/>
      <sheetName val="Š-TPS"/>
      <sheetName val="Š-PRELAGANJE TK"/>
      <sheetName val="Š-SUSTAV NAPLATE"/>
      <sheetName val="Š-RADIO SUSTAV"/>
      <sheetName val="Š-OZVUČENJE TUNELA"/>
      <sheetName val="Z-KABEL.KAN"/>
      <sheetName val="Z-SVJETLOV.KABEL"/>
      <sheetName val="Z TPS"/>
      <sheetName val="Z PRELAGANJE TK"/>
      <sheetName val="Z-SUSTAV NAPLATE"/>
      <sheetName val="REKAPITULACIJ 4ATELEKOMUNIKACIJ"/>
      <sheetName val="FAKTORI"/>
      <sheetName val="ŠESTANOV-ZAGVOZD (REK.TELEK)"/>
      <sheetName val="ZAGVOZD-RAČA (REK.TELEK)"/>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B3">
            <v>0.97650000000000003</v>
          </cell>
        </row>
      </sheetData>
      <sheetData sheetId="14" refreshError="1"/>
      <sheetData sheetId="15" refreshError="1"/>
      <sheetData sheetId="16" refreshError="1"/>
      <sheetData sheetId="17" refreshError="1"/>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DRŽAJ"/>
      <sheetName val="OPĆE NAPOMENE"/>
      <sheetName val="POSEBNI TEHNIČKI UVJETI"/>
      <sheetName val="Građ-obrtnički"/>
      <sheetName val="Vod i kanal"/>
      <sheetName val="Strojarski"/>
      <sheetName val="Elektro"/>
      <sheetName val="Promet"/>
      <sheetName val="Rekapitulacij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2">
          <cell r="C52">
            <v>1</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ĆI UVJETI"/>
      <sheetName val="IZGRADNJA"/>
      <sheetName val="REKAPITULACIJA"/>
      <sheetName val="FAKTORI"/>
    </sheetNames>
    <sheetDataSet>
      <sheetData sheetId="0" refreshError="1"/>
      <sheetData sheetId="1" refreshError="1"/>
      <sheetData sheetId="2" refreshError="1"/>
      <sheetData sheetId="3" refreshError="1">
        <row r="3">
          <cell r="B3">
            <v>0.95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H770"/>
  <sheetViews>
    <sheetView topLeftCell="B427" zoomScale="75" workbookViewId="0">
      <selection activeCell="D422" sqref="D422:E446"/>
    </sheetView>
  </sheetViews>
  <sheetFormatPr defaultColWidth="8.6328125" defaultRowHeight="15.6"/>
  <cols>
    <col min="1" max="2" width="4.453125" style="10" customWidth="1"/>
    <col min="3" max="3" width="7.81640625" style="1" hidden="1" customWidth="1"/>
    <col min="4" max="4" width="39.453125" style="2" customWidth="1"/>
    <col min="5" max="6" width="7.08984375" style="3" customWidth="1"/>
    <col min="7" max="8" width="7.08984375" customWidth="1"/>
  </cols>
  <sheetData>
    <row r="3" spans="1:5">
      <c r="A3" s="8" t="s">
        <v>128</v>
      </c>
      <c r="C3" s="1" t="s">
        <v>129</v>
      </c>
      <c r="D3" s="2" t="s">
        <v>130</v>
      </c>
    </row>
    <row r="5" spans="1:5" ht="27.6">
      <c r="A5" s="9" t="str">
        <f t="shared" ref="A5:A20" si="0">IF(OR(B5="",B5= " ")," ",$A$3)</f>
        <v>1.</v>
      </c>
      <c r="B5" s="11">
        <f>IF(AND(D5&gt;0,NOT(D5=" "),NOT(D4&gt;0)),1+(COUNTIF($B$3:B4,"&gt;0"))," ")</f>
        <v>1</v>
      </c>
      <c r="C5" s="1" t="s">
        <v>131</v>
      </c>
      <c r="D5" s="2" t="s">
        <v>132</v>
      </c>
    </row>
    <row r="6" spans="1:5">
      <c r="A6" s="9" t="str">
        <f t="shared" si="0"/>
        <v xml:space="preserve"> </v>
      </c>
      <c r="B6" s="11" t="str">
        <f>IF(AND(D6&gt;0,NOT(D6=" "),NOT(D5&gt;0)),1+(COUNTIF($B$3:B5,"&gt;0"))," ")</f>
        <v xml:space="preserve"> </v>
      </c>
      <c r="E6" s="3" t="s">
        <v>133</v>
      </c>
    </row>
    <row r="7" spans="1:5">
      <c r="A7" s="9" t="str">
        <f t="shared" si="0"/>
        <v xml:space="preserve"> </v>
      </c>
      <c r="B7" s="11" t="str">
        <f>IF(AND(D7&gt;0,NOT(D7=" "),NOT(D6&gt;0)),1+(COUNTIF($B$3:B6,"&gt;0"))," ")</f>
        <v xml:space="preserve"> </v>
      </c>
    </row>
    <row r="8" spans="1:5" ht="27.6">
      <c r="A8" s="9" t="str">
        <f>IF(OR(B8="",B8= " ")," ",$A$3)</f>
        <v>1.</v>
      </c>
      <c r="B8" s="11">
        <f>IF(AND(D8&gt;0,NOT(D8=" "),NOT(D7&gt;0)),1+(COUNTIF($B$3:B7,"&gt;0"))," ")</f>
        <v>2</v>
      </c>
      <c r="C8" s="1" t="s">
        <v>134</v>
      </c>
      <c r="D8" s="2" t="s">
        <v>135</v>
      </c>
    </row>
    <row r="9" spans="1:5">
      <c r="A9" s="9" t="str">
        <f t="shared" si="0"/>
        <v xml:space="preserve"> </v>
      </c>
      <c r="B9" s="11" t="str">
        <f>IF(AND(D9&gt;0,NOT(D9=" "),NOT(D8&gt;0)),1+(COUNTIF($B$3:B8,"&gt;0"))," ")</f>
        <v xml:space="preserve"> </v>
      </c>
      <c r="E9" s="3" t="s">
        <v>133</v>
      </c>
    </row>
    <row r="10" spans="1:5">
      <c r="A10" s="9" t="str">
        <f t="shared" si="0"/>
        <v xml:space="preserve"> </v>
      </c>
      <c r="B10" s="11" t="str">
        <f>IF(AND(D10&gt;0,NOT(D10=" "),NOT(D9&gt;0)),1+(COUNTIF($B$3:B9,"&gt;0"))," ")</f>
        <v xml:space="preserve"> </v>
      </c>
    </row>
    <row r="11" spans="1:5" ht="41.4">
      <c r="A11" s="9" t="str">
        <f t="shared" si="0"/>
        <v>1.</v>
      </c>
      <c r="B11" s="11">
        <f>IF(AND(D11&gt;0,NOT(D11=" "),NOT(D10&gt;0)),1+(COUNTIF($B$3:B10,"&gt;0"))," ")</f>
        <v>3</v>
      </c>
      <c r="C11" s="1" t="s">
        <v>136</v>
      </c>
      <c r="D11" s="2" t="s">
        <v>137</v>
      </c>
    </row>
    <row r="12" spans="1:5">
      <c r="A12" s="9" t="str">
        <f t="shared" si="0"/>
        <v xml:space="preserve"> </v>
      </c>
      <c r="B12" s="11" t="str">
        <f>IF(AND(D12&gt;0,NOT(D12=" "),NOT(D11&gt;0)),1+(COUNTIF($B$3:B11,"&gt;0"))," ")</f>
        <v xml:space="preserve"> </v>
      </c>
      <c r="E12" s="3" t="s">
        <v>138</v>
      </c>
    </row>
    <row r="13" spans="1:5">
      <c r="A13" s="9" t="str">
        <f t="shared" si="0"/>
        <v xml:space="preserve"> </v>
      </c>
      <c r="B13" s="11" t="str">
        <f>IF(AND(D13&gt;0,NOT(D13=" "),NOT(D12&gt;0)),1+(COUNTIF($B$3:B12,"&gt;0"))," ")</f>
        <v xml:space="preserve"> </v>
      </c>
    </row>
    <row r="14" spans="1:5" ht="69">
      <c r="A14" s="9" t="str">
        <f t="shared" si="0"/>
        <v>1.</v>
      </c>
      <c r="B14" s="11">
        <f>IF(AND(D14&gt;0,NOT(D14=" "),NOT(D13&gt;0)),1+(COUNTIF($B$3:B13,"&gt;0"))," ")</f>
        <v>4</v>
      </c>
      <c r="C14" s="1" t="s">
        <v>139</v>
      </c>
      <c r="D14" s="2" t="s">
        <v>140</v>
      </c>
    </row>
    <row r="15" spans="1:5">
      <c r="A15" s="9" t="str">
        <f t="shared" si="0"/>
        <v xml:space="preserve"> </v>
      </c>
      <c r="B15" s="11" t="str">
        <f>IF(AND(D15&gt;0,NOT(D15=" "),NOT(D14&gt;0)),1+(COUNTIF($B$3:B14,"&gt;0"))," ")</f>
        <v xml:space="preserve"> </v>
      </c>
      <c r="D15" s="2" t="s">
        <v>141</v>
      </c>
      <c r="E15" s="3" t="s">
        <v>133</v>
      </c>
    </row>
    <row r="16" spans="1:5">
      <c r="A16" s="9" t="str">
        <f t="shared" si="0"/>
        <v xml:space="preserve"> </v>
      </c>
      <c r="B16" s="11" t="str">
        <f>IF(AND(D16&gt;0,NOT(D16=" "),NOT(D15&gt;0)),1+(COUNTIF($B$3:B15,"&gt;0"))," ")</f>
        <v xml:space="preserve"> </v>
      </c>
      <c r="D16" s="2" t="s">
        <v>142</v>
      </c>
      <c r="E16" s="3" t="s">
        <v>133</v>
      </c>
    </row>
    <row r="17" spans="1:8">
      <c r="A17" s="9" t="str">
        <f t="shared" si="0"/>
        <v xml:space="preserve"> </v>
      </c>
      <c r="B17" s="11" t="str">
        <f>IF(AND(D17&gt;0,NOT(D17=" "),NOT(D16&gt;0)),1+(COUNTIF($B$3:B16,"&gt;0"))," ")</f>
        <v xml:space="preserve"> </v>
      </c>
    </row>
    <row r="18" spans="1:8" ht="41.4">
      <c r="A18" s="9" t="str">
        <f t="shared" si="0"/>
        <v>1.</v>
      </c>
      <c r="B18" s="11">
        <f>IF(AND(D18&gt;0,NOT(D18=" "),NOT(D17&gt;0)),1+(COUNTIF($B$3:B17,"&gt;0"))," ")</f>
        <v>5</v>
      </c>
      <c r="C18" s="1" t="s">
        <v>143</v>
      </c>
      <c r="D18" s="2" t="s">
        <v>390</v>
      </c>
    </row>
    <row r="19" spans="1:8">
      <c r="A19" s="9" t="str">
        <f t="shared" si="0"/>
        <v xml:space="preserve"> </v>
      </c>
      <c r="B19" s="11" t="str">
        <f>IF(AND(D19&gt;0,NOT(D19=" "),NOT(D18&gt;0)),1+(COUNTIF($B$3:B18,"&gt;0"))," ")</f>
        <v xml:space="preserve"> </v>
      </c>
      <c r="E19" s="3" t="s">
        <v>391</v>
      </c>
    </row>
    <row r="20" spans="1:8">
      <c r="A20" s="9" t="str">
        <f t="shared" si="0"/>
        <v xml:space="preserve"> </v>
      </c>
      <c r="B20" s="11" t="str">
        <f>IF(AND(D20&gt;0,NOT(D20=" "),NOT(D19&gt;0)),1+(COUNTIF($B$3:B19,"&gt;0"))," ")</f>
        <v xml:space="preserve"> </v>
      </c>
    </row>
    <row r="21" spans="1:8" ht="41.4">
      <c r="A21" s="9" t="str">
        <f t="shared" ref="A21:A36" si="1">IF(OR(B21="",B21= " ")," ",$A$3)</f>
        <v>1.</v>
      </c>
      <c r="B21" s="11">
        <f>IF(AND(D21&gt;0,NOT(D21=" "),NOT(D20&gt;0)),1+(COUNTIF($B$3:B20,"&gt;0"))," ")</f>
        <v>6</v>
      </c>
      <c r="C21" s="1" t="s">
        <v>392</v>
      </c>
      <c r="D21" s="2" t="s">
        <v>380</v>
      </c>
    </row>
    <row r="22" spans="1:8">
      <c r="A22" s="9" t="str">
        <f t="shared" si="1"/>
        <v xml:space="preserve"> </v>
      </c>
      <c r="B22" s="11" t="str">
        <f>IF(AND(D22&gt;0,NOT(D22=" "),NOT(D21&gt;0)),1+(COUNTIF($B$3:B21,"&gt;0"))," ")</f>
        <v xml:space="preserve"> </v>
      </c>
    </row>
    <row r="23" spans="1:8">
      <c r="A23" s="9" t="str">
        <f t="shared" si="1"/>
        <v>1.</v>
      </c>
      <c r="B23" s="11">
        <f>IF(AND(D23&gt;0,NOT(D23=" "),NOT(D22&gt;0)),1+(COUNTIF($B$3:B22,"&gt;0"))," ")</f>
        <v>7</v>
      </c>
      <c r="D23" s="2" t="s">
        <v>381</v>
      </c>
    </row>
    <row r="24" spans="1:8">
      <c r="A24" s="9" t="str">
        <f t="shared" si="1"/>
        <v xml:space="preserve"> </v>
      </c>
      <c r="B24" s="11" t="str">
        <f>IF(AND(D24&gt;0,NOT(D24=" "),NOT(D23&gt;0)),1+(COUNTIF($B$3:B23,"&gt;0"))," ")</f>
        <v xml:space="preserve"> </v>
      </c>
      <c r="E24" s="3" t="s">
        <v>382</v>
      </c>
    </row>
    <row r="25" spans="1:8">
      <c r="A25" s="9" t="str">
        <f t="shared" si="1"/>
        <v xml:space="preserve"> </v>
      </c>
      <c r="B25" s="11" t="str">
        <f>IF(AND(D25&gt;0,NOT(D25=" "),NOT(D24&gt;0)),1+(COUNTIF($B$3:B24,"&gt;0"))," ")</f>
        <v xml:space="preserve"> </v>
      </c>
    </row>
    <row r="26" spans="1:8" ht="55.2">
      <c r="A26" s="9" t="str">
        <f t="shared" si="1"/>
        <v>1.</v>
      </c>
      <c r="B26" s="11">
        <f>IF(AND(D26&gt;0,NOT(D26=" "),NOT(D25&gt;0)),1+(COUNTIF($B$3:B25,"&gt;0"))," ")</f>
        <v>8</v>
      </c>
      <c r="C26" s="1" t="s">
        <v>383</v>
      </c>
      <c r="D26" s="2" t="s">
        <v>0</v>
      </c>
    </row>
    <row r="27" spans="1:8">
      <c r="A27" s="9" t="str">
        <f t="shared" si="1"/>
        <v xml:space="preserve"> </v>
      </c>
      <c r="B27" s="11" t="str">
        <f>IF(AND(D27&gt;0,NOT(D27=" "),NOT(D26&gt;0)),1+(COUNTIF($B$3:B26,"&gt;0"))," ")</f>
        <v xml:space="preserve"> </v>
      </c>
      <c r="E27" s="3" t="s">
        <v>382</v>
      </c>
    </row>
    <row r="28" spans="1:8">
      <c r="A28" s="9" t="str">
        <f t="shared" si="1"/>
        <v xml:space="preserve"> </v>
      </c>
      <c r="B28" s="11" t="str">
        <f>IF(AND(D28&gt;0,NOT(D28=" "),NOT(D27&gt;0)),1+(COUNTIF($B$3:B27,"&gt;0"))," ")</f>
        <v xml:space="preserve"> </v>
      </c>
    </row>
    <row r="29" spans="1:8" ht="69">
      <c r="A29" s="9" t="str">
        <f t="shared" si="1"/>
        <v>1.</v>
      </c>
      <c r="B29" s="11">
        <f>IF(AND(D29&gt;0,NOT(D29=" "),NOT(D28&gt;0)),1+(COUNTIF($B$3:B28,"&gt;0"))," ")</f>
        <v>9</v>
      </c>
      <c r="C29" s="1" t="s">
        <v>1</v>
      </c>
      <c r="D29" s="2" t="s">
        <v>195</v>
      </c>
    </row>
    <row r="30" spans="1:8">
      <c r="A30" s="9" t="str">
        <f t="shared" si="1"/>
        <v xml:space="preserve"> </v>
      </c>
      <c r="B30" s="11" t="str">
        <f>IF(AND(D30&gt;0,NOT(D30=" "),NOT(D29&gt;0)),1+(COUNTIF($B$3:B29,"&gt;0"))," ")</f>
        <v xml:space="preserve"> </v>
      </c>
      <c r="E30" s="3" t="s">
        <v>196</v>
      </c>
      <c r="H30" t="s">
        <v>197</v>
      </c>
    </row>
    <row r="31" spans="1:8">
      <c r="A31" s="9" t="str">
        <f t="shared" si="1"/>
        <v xml:space="preserve"> </v>
      </c>
      <c r="B31" s="11" t="str">
        <f>IF(AND(D31&gt;0,NOT(D31=" "),NOT(D30&gt;0)),1+(COUNTIF($B$3:B30,"&gt;0"))," ")</f>
        <v xml:space="preserve"> </v>
      </c>
    </row>
    <row r="32" spans="1:8" ht="41.4">
      <c r="A32" s="9" t="str">
        <f t="shared" si="1"/>
        <v>1.</v>
      </c>
      <c r="B32" s="11">
        <f>IF(AND(D32&gt;0,NOT(D32=" "),NOT(D31&gt;0)),1+(COUNTIF($B$3:B31,"&gt;0"))," ")</f>
        <v>10</v>
      </c>
      <c r="C32" s="1" t="s">
        <v>198</v>
      </c>
      <c r="D32" s="2" t="s">
        <v>414</v>
      </c>
    </row>
    <row r="33" spans="1:5">
      <c r="A33" s="9" t="str">
        <f t="shared" si="1"/>
        <v xml:space="preserve"> </v>
      </c>
      <c r="B33" s="11" t="str">
        <f>IF(AND(D33&gt;0,NOT(D33=" "),NOT(D32&gt;0)),1+(COUNTIF($B$3:B32,"&gt;0"))," ")</f>
        <v xml:space="preserve"> </v>
      </c>
      <c r="E33" s="3" t="s">
        <v>415</v>
      </c>
    </row>
    <row r="34" spans="1:5">
      <c r="A34" s="9" t="str">
        <f t="shared" si="1"/>
        <v xml:space="preserve"> </v>
      </c>
      <c r="B34" s="11" t="str">
        <f>IF(AND(D34&gt;0,NOT(D34=" "),NOT(D33&gt;0)),1+(COUNTIF($B$3:B33,"&gt;0"))," ")</f>
        <v xml:space="preserve"> </v>
      </c>
    </row>
    <row r="35" spans="1:5" ht="82.8">
      <c r="A35" s="9" t="str">
        <f t="shared" si="1"/>
        <v>1.</v>
      </c>
      <c r="B35" s="11">
        <f>IF(AND(D35&gt;0,NOT(D35=" "),NOT(D34&gt;0)),1+(COUNTIF($B$3:B34,"&gt;0"))," ")</f>
        <v>11</v>
      </c>
      <c r="C35" s="1" t="s">
        <v>416</v>
      </c>
      <c r="D35" s="2" t="s">
        <v>371</v>
      </c>
    </row>
    <row r="36" spans="1:5">
      <c r="A36" s="9" t="str">
        <f t="shared" si="1"/>
        <v xml:space="preserve"> </v>
      </c>
      <c r="B36" s="11" t="str">
        <f>IF(AND(D36&gt;0,NOT(D36=" "),NOT(D35&gt;0)),1+(COUNTIF($B$3:B35,"&gt;0"))," ")</f>
        <v xml:space="preserve"> </v>
      </c>
      <c r="D36" s="2" t="s">
        <v>372</v>
      </c>
    </row>
    <row r="37" spans="1:5" ht="41.4">
      <c r="A37" s="9" t="str">
        <f t="shared" ref="A37:A52" si="2">IF(OR(B37="",B37= " ")," ",$A$3)</f>
        <v xml:space="preserve"> </v>
      </c>
      <c r="B37" s="11" t="str">
        <f>IF(AND(D37&gt;0,NOT(D37=" "),NOT(D36&gt;0)),1+(COUNTIF($B$3:B36,"&gt;0"))," ")</f>
        <v xml:space="preserve"> </v>
      </c>
      <c r="D37" s="2" t="s">
        <v>373</v>
      </c>
    </row>
    <row r="38" spans="1:5">
      <c r="A38" s="9" t="str">
        <f t="shared" si="2"/>
        <v xml:space="preserve"> </v>
      </c>
      <c r="B38" s="11" t="str">
        <f>IF(AND(D38&gt;0,NOT(D38=" "),NOT(D37&gt;0)),1+(COUNTIF($B$3:B37,"&gt;0"))," ")</f>
        <v xml:space="preserve"> </v>
      </c>
      <c r="E38" s="3" t="s">
        <v>374</v>
      </c>
    </row>
    <row r="39" spans="1:5">
      <c r="A39" s="9" t="str">
        <f t="shared" si="2"/>
        <v xml:space="preserve"> </v>
      </c>
      <c r="B39" s="11" t="str">
        <f>IF(AND(D39&gt;0,NOT(D39=" "),NOT(D38&gt;0)),1+(COUNTIF($B$3:B38,"&gt;0"))," ")</f>
        <v xml:space="preserve"> </v>
      </c>
    </row>
    <row r="40" spans="1:5" ht="69">
      <c r="A40" s="9" t="str">
        <f t="shared" si="2"/>
        <v>1.</v>
      </c>
      <c r="B40" s="11">
        <f>IF(AND(D40&gt;0,NOT(D40=" "),NOT(D39&gt;0)),1+(COUNTIF($B$3:B39,"&gt;0"))," ")</f>
        <v>12</v>
      </c>
      <c r="C40" s="1" t="s">
        <v>375</v>
      </c>
      <c r="D40" s="2" t="s">
        <v>423</v>
      </c>
    </row>
    <row r="41" spans="1:5">
      <c r="A41" s="9" t="str">
        <f t="shared" si="2"/>
        <v xml:space="preserve"> </v>
      </c>
      <c r="B41" s="11" t="str">
        <f>IF(AND(D41&gt;0,NOT(D41=" "),NOT(D40&gt;0)),1+(COUNTIF($B$3:B40,"&gt;0"))," ")</f>
        <v xml:space="preserve"> </v>
      </c>
      <c r="E41" s="3" t="s">
        <v>196</v>
      </c>
    </row>
    <row r="42" spans="1:5">
      <c r="A42" s="9" t="str">
        <f t="shared" si="2"/>
        <v xml:space="preserve"> </v>
      </c>
      <c r="B42" s="11" t="str">
        <f>IF(AND(D42&gt;0,NOT(D42=" "),NOT(D41&gt;0)),1+(COUNTIF($B$3:B41,"&gt;0"))," ")</f>
        <v xml:space="preserve"> </v>
      </c>
    </row>
    <row r="43" spans="1:5" ht="41.4">
      <c r="A43" s="9" t="str">
        <f t="shared" si="2"/>
        <v>1.</v>
      </c>
      <c r="B43" s="11">
        <f>IF(AND(D43&gt;0,NOT(D43=" "),NOT(D42&gt;0)),1+(COUNTIF($B$3:B42,"&gt;0"))," ")</f>
        <v>13</v>
      </c>
      <c r="C43" s="1" t="s">
        <v>424</v>
      </c>
      <c r="D43" s="2" t="s">
        <v>119</v>
      </c>
    </row>
    <row r="44" spans="1:5">
      <c r="A44" s="9" t="str">
        <f t="shared" si="2"/>
        <v xml:space="preserve"> </v>
      </c>
      <c r="B44" s="11" t="str">
        <f>IF(AND(D44&gt;0,NOT(D44=" "),NOT(D43&gt;0)),1+(COUNTIF($B$3:B43,"&gt;0"))," ")</f>
        <v xml:space="preserve"> </v>
      </c>
      <c r="E44" s="3" t="s">
        <v>196</v>
      </c>
    </row>
    <row r="45" spans="1:5">
      <c r="A45" s="9" t="str">
        <f t="shared" si="2"/>
        <v xml:space="preserve"> </v>
      </c>
      <c r="B45" s="11" t="str">
        <f>IF(AND(D45&gt;0,NOT(D45=" "),NOT(D44&gt;0)),1+(COUNTIF($B$3:B44,"&gt;0"))," ")</f>
        <v xml:space="preserve"> </v>
      </c>
    </row>
    <row r="46" spans="1:5" ht="69">
      <c r="A46" s="9" t="str">
        <f t="shared" si="2"/>
        <v>1.</v>
      </c>
      <c r="B46" s="11">
        <f>IF(AND(D46&gt;0,NOT(D46=" "),NOT(D45&gt;0)),1+(COUNTIF($B$3:B45,"&gt;0"))," ")</f>
        <v>14</v>
      </c>
      <c r="C46" s="1" t="s">
        <v>120</v>
      </c>
      <c r="D46" s="2" t="s">
        <v>225</v>
      </c>
    </row>
    <row r="47" spans="1:5">
      <c r="A47" s="9" t="str">
        <f t="shared" si="2"/>
        <v xml:space="preserve"> </v>
      </c>
      <c r="B47" s="11" t="str">
        <f>IF(AND(D47&gt;0,NOT(D47=" "),NOT(D46&gt;0)),1+(COUNTIF($B$3:B46,"&gt;0"))," ")</f>
        <v xml:space="preserve"> </v>
      </c>
      <c r="E47" s="3" t="s">
        <v>196</v>
      </c>
    </row>
    <row r="48" spans="1:5">
      <c r="A48" s="9" t="str">
        <f t="shared" si="2"/>
        <v xml:space="preserve"> </v>
      </c>
      <c r="B48" s="11" t="str">
        <f>IF(AND(D48&gt;0,NOT(D48=" "),NOT(D47&gt;0)),1+(COUNTIF($B$3:B47,"&gt;0"))," ")</f>
        <v xml:space="preserve"> </v>
      </c>
    </row>
    <row r="49" spans="1:8" ht="69">
      <c r="A49" s="9" t="str">
        <f t="shared" si="2"/>
        <v>1.</v>
      </c>
      <c r="B49" s="11">
        <f>IF(AND(D49&gt;0,NOT(D49=" "),NOT(D48&gt;0)),1+(COUNTIF($B$3:B48,"&gt;0"))," ")</f>
        <v>15</v>
      </c>
      <c r="C49" s="1" t="s">
        <v>226</v>
      </c>
      <c r="D49" s="2" t="s">
        <v>227</v>
      </c>
    </row>
    <row r="50" spans="1:8">
      <c r="A50" s="9" t="str">
        <f t="shared" si="2"/>
        <v xml:space="preserve"> </v>
      </c>
      <c r="B50" s="11" t="str">
        <f>IF(AND(D50&gt;0,NOT(D50=" "),NOT(D49&gt;0)),1+(COUNTIF($B$3:B49,"&gt;0"))," ")</f>
        <v xml:space="preserve"> </v>
      </c>
      <c r="E50" s="3" t="s">
        <v>415</v>
      </c>
    </row>
    <row r="51" spans="1:8">
      <c r="A51" s="9" t="str">
        <f t="shared" si="2"/>
        <v xml:space="preserve"> </v>
      </c>
      <c r="B51" s="11" t="str">
        <f>IF(AND(D51&gt;0,NOT(D51=" "),NOT(D50&gt;0)),1+(COUNTIF($B$3:B50,"&gt;0"))," ")</f>
        <v xml:space="preserve"> </v>
      </c>
    </row>
    <row r="52" spans="1:8" ht="82.8">
      <c r="A52" s="9" t="str">
        <f t="shared" si="2"/>
        <v>1.</v>
      </c>
      <c r="B52" s="11">
        <f>IF(AND(D52&gt;0,NOT(D52=" "),NOT(D51&gt;0)),1+(COUNTIF($B$3:B51,"&gt;0"))," ")</f>
        <v>16</v>
      </c>
      <c r="C52" s="1" t="s">
        <v>228</v>
      </c>
      <c r="D52" s="2" t="s">
        <v>229</v>
      </c>
    </row>
    <row r="53" spans="1:8">
      <c r="A53" s="9" t="str">
        <f t="shared" ref="A53:A60" si="3">IF(OR(B53="",B53= " ")," ",$A$3)</f>
        <v xml:space="preserve"> </v>
      </c>
      <c r="B53" s="11" t="str">
        <f>IF(AND(D53&gt;0,NOT(D53=" "),NOT(D52&gt;0)),1+(COUNTIF($B$3:B52,"&gt;0"))," ")</f>
        <v xml:space="preserve"> </v>
      </c>
      <c r="E53" s="3" t="s">
        <v>415</v>
      </c>
    </row>
    <row r="54" spans="1:8">
      <c r="A54" s="9" t="str">
        <f t="shared" si="3"/>
        <v xml:space="preserve"> </v>
      </c>
      <c r="B54" s="11" t="str">
        <f>IF(AND(D54&gt;0,NOT(D54=" "),NOT(D53&gt;0)),1+(COUNTIF($B$3:B53,"&gt;0"))," ")</f>
        <v xml:space="preserve"> </v>
      </c>
    </row>
    <row r="55" spans="1:8" ht="27.6">
      <c r="A55" s="9" t="str">
        <f t="shared" si="3"/>
        <v>1.</v>
      </c>
      <c r="B55" s="11">
        <f>IF(AND(D55&gt;0,NOT(D55=" "),NOT(D54&gt;0)),1+(COUNTIF($B$3:B54,"&gt;0"))," ")</f>
        <v>17</v>
      </c>
      <c r="C55" s="1" t="s">
        <v>129</v>
      </c>
      <c r="D55" s="2" t="s">
        <v>230</v>
      </c>
    </row>
    <row r="56" spans="1:8">
      <c r="A56" s="9"/>
      <c r="B56" s="11" t="str">
        <f>IF(AND(D56&gt;0,NOT(D56=" "),NOT(D55&gt;0)),1+(COUNTIF($B$3:B55,"&gt;0"))," ")</f>
        <v xml:space="preserve"> </v>
      </c>
    </row>
    <row r="57" spans="1:8">
      <c r="A57" s="9"/>
      <c r="B57" s="11" t="str">
        <f>IF(AND(D57&gt;0,NOT(D57=" "),NOT(D56&gt;0)),1+(COUNTIF($B$3:B56,"&gt;0"))," ")</f>
        <v xml:space="preserve"> </v>
      </c>
    </row>
    <row r="58" spans="1:8">
      <c r="A58" s="9"/>
      <c r="B58" s="11" t="str">
        <f>IF(AND(D58&gt;0,NOT(D58=" "),NOT(D57&gt;0)),1+(COUNTIF($B$3:B57,"&gt;0"))," ")</f>
        <v xml:space="preserve"> </v>
      </c>
    </row>
    <row r="59" spans="1:8">
      <c r="A59" s="9" t="str">
        <f t="shared" si="3"/>
        <v xml:space="preserve"> </v>
      </c>
      <c r="B59" s="11" t="str">
        <f>IF(AND(D59&gt;0,NOT(D59=" "),NOT(D58&gt;0)),1+(COUNTIF($B$3:B58,"&gt;0"))," ")</f>
        <v xml:space="preserve"> </v>
      </c>
    </row>
    <row r="60" spans="1:8">
      <c r="A60" s="9" t="str">
        <f t="shared" si="3"/>
        <v xml:space="preserve"> </v>
      </c>
      <c r="B60" s="11" t="str">
        <f>IF(AND(D60&gt;0,NOT(D60=" "),NOT(D59&gt;0)),1+(COUNTIF($B$3:B59,"&gt;0"))," ")</f>
        <v xml:space="preserve"> </v>
      </c>
    </row>
    <row r="61" spans="1:8">
      <c r="A61" s="9" t="s">
        <v>231</v>
      </c>
      <c r="B61" s="11"/>
      <c r="C61" s="4" t="s">
        <v>232</v>
      </c>
      <c r="D61" s="5" t="s">
        <v>233</v>
      </c>
      <c r="H61" s="6"/>
    </row>
    <row r="62" spans="1:8">
      <c r="A62" s="9" t="str">
        <f>IF(OR(B62="",B62= " ")," ",$A$3)</f>
        <v xml:space="preserve"> </v>
      </c>
      <c r="B62" s="11" t="str">
        <f>IF(AND(D62&gt;0,NOT(D62=" "),NOT(D61&gt;0)),1+(COUNTIF($B$3:B61,"&gt;0"))," ")</f>
        <v xml:space="preserve"> </v>
      </c>
    </row>
    <row r="63" spans="1:8" ht="82.8">
      <c r="A63" s="9" t="str">
        <f t="shared" ref="A63:A98" si="4">IF(OR(B63="",B63= " ")," ",$A$61)</f>
        <v>2.</v>
      </c>
      <c r="B63" s="11">
        <f>IF(AND(D63&gt;0,NOT(D63=" "),NOT(D62&gt;0)),1+(COUNTIF($B$61:B62,"&gt;0"))," ")</f>
        <v>1</v>
      </c>
      <c r="C63" s="1" t="s">
        <v>234</v>
      </c>
      <c r="D63" s="2" t="s">
        <v>235</v>
      </c>
    </row>
    <row r="64" spans="1:8">
      <c r="A64" s="9" t="str">
        <f t="shared" si="4"/>
        <v xml:space="preserve"> </v>
      </c>
      <c r="B64" s="11" t="str">
        <f>IF(AND(D64&gt;0,NOT(D64=" "),NOT(D63&gt;0)),1+(COUNTIF($B$61:B63,"&gt;0"))," ")</f>
        <v xml:space="preserve"> </v>
      </c>
      <c r="E64" s="3" t="s">
        <v>415</v>
      </c>
    </row>
    <row r="65" spans="1:5">
      <c r="A65" s="9" t="str">
        <f t="shared" si="4"/>
        <v xml:space="preserve"> </v>
      </c>
      <c r="B65" s="11" t="str">
        <f>IF(AND(D65&gt;0,NOT(D65=" "),NOT(D64&gt;0)),1+(COUNTIF($B$61:B64,"&gt;0"))," ")</f>
        <v xml:space="preserve"> </v>
      </c>
    </row>
    <row r="66" spans="1:5" ht="69">
      <c r="A66" s="9" t="str">
        <f t="shared" si="4"/>
        <v>2.</v>
      </c>
      <c r="B66" s="11">
        <f>IF(AND(D66&gt;0,NOT(D66=" "),NOT(D65&gt;0)),1+(COUNTIF($B$61:B65,"&gt;0"))," ")</f>
        <v>2</v>
      </c>
      <c r="C66" s="1" t="s">
        <v>236</v>
      </c>
      <c r="D66" s="2" t="s">
        <v>237</v>
      </c>
    </row>
    <row r="67" spans="1:5">
      <c r="A67" s="9" t="str">
        <f t="shared" si="4"/>
        <v xml:space="preserve"> </v>
      </c>
      <c r="B67" s="11" t="str">
        <f>IF(AND(D67&gt;0,NOT(D67=" "),NOT(D66&gt;0)),1+(COUNTIF($B$61:B66,"&gt;0"))," ")</f>
        <v xml:space="preserve"> </v>
      </c>
      <c r="E67" s="3" t="s">
        <v>238</v>
      </c>
    </row>
    <row r="68" spans="1:5">
      <c r="A68" s="9" t="str">
        <f t="shared" si="4"/>
        <v xml:space="preserve"> </v>
      </c>
      <c r="B68" s="11" t="str">
        <f>IF(AND(D68&gt;0,NOT(D68=" "),NOT(D67&gt;0)),1+(COUNTIF($B$61:B67,"&gt;0"))," ")</f>
        <v xml:space="preserve"> </v>
      </c>
    </row>
    <row r="69" spans="1:5" ht="82.8">
      <c r="A69" s="9" t="str">
        <f t="shared" si="4"/>
        <v>2.</v>
      </c>
      <c r="B69" s="11">
        <f>IF(AND(D69&gt;0,NOT(D69=" "),NOT(D68&gt;0)),1+(COUNTIF($B$61:B68,"&gt;0"))," ")</f>
        <v>3</v>
      </c>
      <c r="C69" s="1" t="s">
        <v>239</v>
      </c>
      <c r="D69" s="2" t="s">
        <v>305</v>
      </c>
    </row>
    <row r="70" spans="1:5">
      <c r="A70" s="9" t="str">
        <f t="shared" si="4"/>
        <v xml:space="preserve"> </v>
      </c>
      <c r="B70" s="11" t="str">
        <f>IF(AND(D70&gt;0,NOT(D70=" "),NOT(D69&gt;0)),1+(COUNTIF($B$61:B69,"&gt;0"))," ")</f>
        <v xml:space="preserve"> </v>
      </c>
      <c r="E70" s="3" t="s">
        <v>238</v>
      </c>
    </row>
    <row r="71" spans="1:5">
      <c r="A71" s="9" t="str">
        <f t="shared" si="4"/>
        <v xml:space="preserve"> </v>
      </c>
      <c r="B71" s="11" t="str">
        <f>IF(AND(D71&gt;0,NOT(D71=" "),NOT(D70&gt;0)),1+(COUNTIF($B$61:B70,"&gt;0"))," ")</f>
        <v xml:space="preserve"> </v>
      </c>
    </row>
    <row r="72" spans="1:5" ht="82.8">
      <c r="A72" s="9" t="str">
        <f t="shared" si="4"/>
        <v>2.</v>
      </c>
      <c r="B72" s="11">
        <f>IF(AND(D72&gt;0,NOT(D72=" "),NOT(D71&gt;0)),1+(COUNTIF($B$61:B71,"&gt;0"))," ")</f>
        <v>4</v>
      </c>
      <c r="C72" s="1" t="s">
        <v>306</v>
      </c>
      <c r="D72" s="2" t="s">
        <v>349</v>
      </c>
    </row>
    <row r="73" spans="1:5">
      <c r="A73" s="9" t="str">
        <f t="shared" si="4"/>
        <v xml:space="preserve"> </v>
      </c>
      <c r="B73" s="11" t="str">
        <f>IF(AND(D73&gt;0,NOT(D73=" "),NOT(D72&gt;0)),1+(COUNTIF($B$61:B72,"&gt;0"))," ")</f>
        <v xml:space="preserve"> </v>
      </c>
      <c r="E73" s="3" t="s">
        <v>415</v>
      </c>
    </row>
    <row r="74" spans="1:5">
      <c r="A74" s="9" t="str">
        <f t="shared" si="4"/>
        <v xml:space="preserve"> </v>
      </c>
      <c r="B74" s="11" t="str">
        <f>IF(AND(D74&gt;0,NOT(D74=" "),NOT(D73&gt;0)),1+(COUNTIF($B$61:B73,"&gt;0"))," ")</f>
        <v xml:space="preserve"> </v>
      </c>
    </row>
    <row r="75" spans="1:5" ht="82.8">
      <c r="A75" s="9" t="str">
        <f t="shared" si="4"/>
        <v>2.</v>
      </c>
      <c r="B75" s="11">
        <f>IF(AND(D75&gt;0,NOT(D75=" "),NOT(D74&gt;0)),1+(COUNTIF($B$61:B74,"&gt;0"))," ")</f>
        <v>5</v>
      </c>
      <c r="C75" s="1" t="s">
        <v>350</v>
      </c>
      <c r="D75" s="2" t="s">
        <v>351</v>
      </c>
    </row>
    <row r="76" spans="1:5">
      <c r="A76" s="9" t="str">
        <f t="shared" si="4"/>
        <v xml:space="preserve"> </v>
      </c>
      <c r="B76" s="11" t="str">
        <f>IF(AND(D76&gt;0,NOT(D76=" "),NOT(D75&gt;0)),1+(COUNTIF($B$61:B75,"&gt;0"))," ")</f>
        <v xml:space="preserve"> </v>
      </c>
      <c r="E76" s="3" t="s">
        <v>415</v>
      </c>
    </row>
    <row r="77" spans="1:5">
      <c r="A77" s="9" t="str">
        <f t="shared" si="4"/>
        <v xml:space="preserve"> </v>
      </c>
      <c r="B77" s="11" t="str">
        <f>IF(AND(D77&gt;0,NOT(D77=" "),NOT(D76&gt;0)),1+(COUNTIF($B$61:B76,"&gt;0"))," ")</f>
        <v xml:space="preserve"> </v>
      </c>
    </row>
    <row r="78" spans="1:5" ht="82.8">
      <c r="A78" s="9" t="str">
        <f t="shared" si="4"/>
        <v>2.</v>
      </c>
      <c r="B78" s="11">
        <f>IF(AND(D78&gt;0,NOT(D78=" "),NOT(D77&gt;0)),1+(COUNTIF($B$61:B77,"&gt;0"))," ")</f>
        <v>6</v>
      </c>
      <c r="C78" s="1" t="s">
        <v>352</v>
      </c>
      <c r="D78" s="2" t="s">
        <v>199</v>
      </c>
    </row>
    <row r="79" spans="1:5">
      <c r="A79" s="9" t="str">
        <f t="shared" si="4"/>
        <v xml:space="preserve"> </v>
      </c>
      <c r="B79" s="11" t="str">
        <f>IF(AND(D79&gt;0,NOT(D79=" "),NOT(D78&gt;0)),1+(COUNTIF($B$61:B78,"&gt;0"))," ")</f>
        <v xml:space="preserve"> </v>
      </c>
      <c r="E79" s="3" t="s">
        <v>238</v>
      </c>
    </row>
    <row r="80" spans="1:5">
      <c r="A80" s="9" t="str">
        <f t="shared" si="4"/>
        <v xml:space="preserve"> </v>
      </c>
      <c r="B80" s="11" t="str">
        <f>IF(AND(D80&gt;0,NOT(D80=" "),NOT(D79&gt;0)),1+(COUNTIF($B$61:B79,"&gt;0"))," ")</f>
        <v xml:space="preserve"> </v>
      </c>
    </row>
    <row r="81" spans="1:5" ht="82.8">
      <c r="A81" s="9" t="str">
        <f t="shared" si="4"/>
        <v>2.</v>
      </c>
      <c r="B81" s="11">
        <f>IF(AND(D81&gt;0,NOT(D81=" "),NOT(D80&gt;0)),1+(COUNTIF($B$61:B80,"&gt;0"))," ")</f>
        <v>7</v>
      </c>
      <c r="C81" s="1" t="s">
        <v>200</v>
      </c>
      <c r="D81" s="2" t="s">
        <v>201</v>
      </c>
    </row>
    <row r="82" spans="1:5">
      <c r="A82" s="9" t="str">
        <f t="shared" si="4"/>
        <v xml:space="preserve"> </v>
      </c>
      <c r="B82" s="11" t="str">
        <f>IF(AND(D82&gt;0,NOT(D82=" "),NOT(D81&gt;0)),1+(COUNTIF($B$61:B81,"&gt;0"))," ")</f>
        <v xml:space="preserve"> </v>
      </c>
      <c r="E82" s="3" t="s">
        <v>238</v>
      </c>
    </row>
    <row r="83" spans="1:5">
      <c r="A83" s="9" t="str">
        <f t="shared" si="4"/>
        <v xml:space="preserve"> </v>
      </c>
      <c r="B83" s="11" t="str">
        <f>IF(AND(D83&gt;0,NOT(D83=" "),NOT(D82&gt;0)),1+(COUNTIF($B$61:B82,"&gt;0"))," ")</f>
        <v xml:space="preserve"> </v>
      </c>
    </row>
    <row r="84" spans="1:5" ht="82.8">
      <c r="A84" s="9" t="str">
        <f t="shared" si="4"/>
        <v>2.</v>
      </c>
      <c r="B84" s="11">
        <f>IF(AND(D84&gt;0,NOT(D84=" "),NOT(D83&gt;0)),1+(COUNTIF($B$61:B83,"&gt;0"))," ")</f>
        <v>8</v>
      </c>
      <c r="C84" s="1" t="s">
        <v>202</v>
      </c>
      <c r="D84" s="2" t="s">
        <v>203</v>
      </c>
    </row>
    <row r="85" spans="1:5">
      <c r="A85" s="9" t="str">
        <f t="shared" si="4"/>
        <v xml:space="preserve"> </v>
      </c>
      <c r="B85" s="11" t="str">
        <f>IF(AND(D85&gt;0,NOT(D85=" "),NOT(D84&gt;0)),1+(COUNTIF($B$61:B84,"&gt;0"))," ")</f>
        <v xml:space="preserve"> </v>
      </c>
      <c r="E85" s="3" t="s">
        <v>196</v>
      </c>
    </row>
    <row r="86" spans="1:5">
      <c r="A86" s="9" t="str">
        <f t="shared" si="4"/>
        <v xml:space="preserve"> </v>
      </c>
      <c r="B86" s="11" t="str">
        <f>IF(AND(D86&gt;0,NOT(D86=" "),NOT(D85&gt;0)),1+(COUNTIF($B$61:B85,"&gt;0"))," ")</f>
        <v xml:space="preserve"> </v>
      </c>
    </row>
    <row r="87" spans="1:5" ht="82.8">
      <c r="A87" s="9" t="str">
        <f t="shared" si="4"/>
        <v>2.</v>
      </c>
      <c r="B87" s="11">
        <f>IF(AND(D87&gt;0,NOT(D87=" "),NOT(D86&gt;0)),1+(COUNTIF($B$61:B86,"&gt;0"))," ")</f>
        <v>9</v>
      </c>
      <c r="C87" s="1" t="s">
        <v>204</v>
      </c>
      <c r="D87" s="2" t="s">
        <v>205</v>
      </c>
    </row>
    <row r="88" spans="1:5">
      <c r="A88" s="9" t="str">
        <f t="shared" si="4"/>
        <v xml:space="preserve"> </v>
      </c>
      <c r="B88" s="11" t="str">
        <f>IF(AND(D88&gt;0,NOT(D88=" "),NOT(D87&gt;0)),1+(COUNTIF($B$61:B87,"&gt;0"))," ")</f>
        <v xml:space="preserve"> </v>
      </c>
      <c r="E88" s="3" t="s">
        <v>196</v>
      </c>
    </row>
    <row r="89" spans="1:5">
      <c r="A89" s="9" t="str">
        <f t="shared" si="4"/>
        <v xml:space="preserve"> </v>
      </c>
      <c r="B89" s="11" t="str">
        <f>IF(AND(D89&gt;0,NOT(D89=" "),NOT(D88&gt;0)),1+(COUNTIF($B$61:B88,"&gt;0"))," ")</f>
        <v xml:space="preserve"> </v>
      </c>
    </row>
    <row r="90" spans="1:5" ht="82.8">
      <c r="A90" s="9" t="str">
        <f t="shared" si="4"/>
        <v>2.</v>
      </c>
      <c r="B90" s="11">
        <f>IF(AND(D90&gt;0,NOT(D90=" "),NOT(D89&gt;0)),1+(COUNTIF($B$61:B89,"&gt;0"))," ")</f>
        <v>10</v>
      </c>
      <c r="C90" s="1" t="s">
        <v>206</v>
      </c>
      <c r="D90" s="2" t="s">
        <v>207</v>
      </c>
    </row>
    <row r="91" spans="1:5">
      <c r="A91" s="9" t="str">
        <f t="shared" si="4"/>
        <v xml:space="preserve"> </v>
      </c>
      <c r="B91" s="11" t="str">
        <f>IF(AND(D91&gt;0,NOT(D91=" "),NOT(D90&gt;0)),1+(COUNTIF($B$61:B90,"&gt;0"))," ")</f>
        <v xml:space="preserve"> </v>
      </c>
      <c r="E91" s="3" t="s">
        <v>196</v>
      </c>
    </row>
    <row r="92" spans="1:5">
      <c r="A92" s="9" t="str">
        <f t="shared" si="4"/>
        <v xml:space="preserve"> </v>
      </c>
      <c r="B92" s="11" t="str">
        <f>IF(AND(D92&gt;0,NOT(D92=" "),NOT(D91&gt;0)),1+(COUNTIF($B$61:B91,"&gt;0"))," ")</f>
        <v xml:space="preserve"> </v>
      </c>
    </row>
    <row r="93" spans="1:5" ht="82.8">
      <c r="A93" s="9" t="str">
        <f t="shared" si="4"/>
        <v>2.</v>
      </c>
      <c r="B93" s="11">
        <f>IF(AND(D93&gt;0,NOT(D93=" "),NOT(D92&gt;0)),1+(COUNTIF($B$61:B92,"&gt;0"))," ")</f>
        <v>11</v>
      </c>
      <c r="C93" s="1" t="s">
        <v>208</v>
      </c>
      <c r="D93" s="2" t="s">
        <v>315</v>
      </c>
    </row>
    <row r="94" spans="1:5">
      <c r="A94" s="9" t="str">
        <f t="shared" si="4"/>
        <v xml:space="preserve"> </v>
      </c>
      <c r="B94" s="11" t="str">
        <f>IF(AND(D94&gt;0,NOT(D94=" "),NOT(D93&gt;0)),1+(COUNTIF($B$61:B93,"&gt;0"))," ")</f>
        <v xml:space="preserve"> </v>
      </c>
      <c r="E94" s="3" t="s">
        <v>196</v>
      </c>
    </row>
    <row r="95" spans="1:5">
      <c r="A95" s="9" t="str">
        <f t="shared" si="4"/>
        <v xml:space="preserve"> </v>
      </c>
      <c r="B95" s="11" t="str">
        <f>IF(AND(D95&gt;0,NOT(D95=" "),NOT(D94&gt;0)),1+(COUNTIF($B$61:B94,"&gt;0"))," ")</f>
        <v xml:space="preserve"> </v>
      </c>
    </row>
    <row r="96" spans="1:5" ht="82.8">
      <c r="A96" s="9" t="str">
        <f t="shared" si="4"/>
        <v>2.</v>
      </c>
      <c r="B96" s="11">
        <f>IF(AND(D96&gt;0,NOT(D96=" "),NOT(D95&gt;0)),1+(COUNTIF($B$61:B95,"&gt;0"))," ")</f>
        <v>12</v>
      </c>
      <c r="C96" s="1" t="s">
        <v>316</v>
      </c>
      <c r="D96" s="2" t="s">
        <v>317</v>
      </c>
    </row>
    <row r="97" spans="1:5">
      <c r="A97" s="9" t="str">
        <f t="shared" si="4"/>
        <v xml:space="preserve"> </v>
      </c>
      <c r="B97" s="11" t="str">
        <f>IF(AND(D97&gt;0,NOT(D97=" "),NOT(D96&gt;0)),1+(COUNTIF($B$61:B96,"&gt;0"))," ")</f>
        <v xml:space="preserve"> </v>
      </c>
      <c r="E97" s="3" t="s">
        <v>133</v>
      </c>
    </row>
    <row r="98" spans="1:5">
      <c r="A98" s="9" t="str">
        <f t="shared" si="4"/>
        <v xml:space="preserve"> </v>
      </c>
      <c r="B98" s="11" t="str">
        <f>IF(AND(D98&gt;0,NOT(D98=" "),NOT(D97&gt;0)),1+(COUNTIF($B$61:B97,"&gt;0"))," ")</f>
        <v xml:space="preserve"> </v>
      </c>
    </row>
    <row r="99" spans="1:5">
      <c r="A99" s="9" t="str">
        <f>$A$61</f>
        <v>2.</v>
      </c>
      <c r="B99" s="11">
        <f>IF(AND(D99&gt;0,NOT(D99=" "),NOT(D98&gt;0)),1+(COUNTIF($B$61:B98,"&gt;0"))," ")</f>
        <v>13</v>
      </c>
      <c r="C99" s="1" t="s">
        <v>232</v>
      </c>
      <c r="D99" s="2" t="s">
        <v>92</v>
      </c>
    </row>
    <row r="100" spans="1:5">
      <c r="A100" s="9" t="str">
        <f>IF(OR(B100="",B100= " ")," ",$A$61)</f>
        <v xml:space="preserve"> </v>
      </c>
      <c r="B100" s="11" t="str">
        <f>IF(AND(D100&gt;0,NOT(D100=" "),NOT(D99&gt;0)),1+(COUNTIF($B$61:B99,"&gt;0"))," ")</f>
        <v xml:space="preserve"> </v>
      </c>
    </row>
    <row r="101" spans="1:5">
      <c r="A101" s="9" t="str">
        <f>IF(OR(B101="",B101= " ")," ",$A$61)</f>
        <v xml:space="preserve"> </v>
      </c>
      <c r="B101" s="11" t="str">
        <f>IF(AND(D101&gt;0,NOT(D101=" "),NOT(D100&gt;0)),1+(COUNTIF($B$61:B100,"&gt;0"))," ")</f>
        <v xml:space="preserve"> </v>
      </c>
    </row>
    <row r="102" spans="1:5">
      <c r="A102" s="9" t="s">
        <v>93</v>
      </c>
      <c r="B102" s="11"/>
      <c r="C102" s="1" t="s">
        <v>94</v>
      </c>
      <c r="D102" s="2" t="s">
        <v>95</v>
      </c>
    </row>
    <row r="103" spans="1:5">
      <c r="A103" s="9" t="str">
        <f>IF(OR(B103="",B103= " ")," ",$A$61)</f>
        <v xml:space="preserve"> </v>
      </c>
      <c r="B103" s="11" t="str">
        <f>IF(AND(D103&gt;0,NOT(D103=" "),NOT(D102&gt;0)),1+(COUNTIF($B$61:B102,"&gt;0"))," ")</f>
        <v xml:space="preserve"> </v>
      </c>
    </row>
    <row r="104" spans="1:5">
      <c r="A104" s="9"/>
      <c r="B104" s="11"/>
      <c r="D104" s="12" t="s">
        <v>372</v>
      </c>
    </row>
    <row r="105" spans="1:5" ht="55.2">
      <c r="A105" s="9"/>
      <c r="B105" s="11"/>
      <c r="C105" s="1" t="s">
        <v>372</v>
      </c>
      <c r="D105" s="2" t="s">
        <v>96</v>
      </c>
    </row>
    <row r="106" spans="1:5">
      <c r="A106" s="9" t="str">
        <f t="shared" ref="A106:A121" si="5">IF(OR(B106="",B106= " ")," ",$A$102)</f>
        <v xml:space="preserve"> </v>
      </c>
      <c r="B106" s="11" t="str">
        <f>IF(AND(D106&gt;0,NOT(D106=" "),NOT(D105&gt;0)),1+(COUNTIF($B$102:B105,"&gt;0"))," ")</f>
        <v xml:space="preserve"> </v>
      </c>
    </row>
    <row r="107" spans="1:5" ht="41.4">
      <c r="A107" s="9" t="str">
        <f t="shared" si="5"/>
        <v>3.</v>
      </c>
      <c r="B107" s="11">
        <f>IF(AND(D107&gt;0,NOT(D107=" "),NOT(D106&gt;0)),1+(COUNTIF($B$102:B106,"&gt;0"))," ")</f>
        <v>1</v>
      </c>
      <c r="C107" s="1" t="s">
        <v>97</v>
      </c>
      <c r="D107" s="2" t="s">
        <v>98</v>
      </c>
    </row>
    <row r="108" spans="1:5">
      <c r="A108" s="9" t="str">
        <f t="shared" si="5"/>
        <v xml:space="preserve"> </v>
      </c>
      <c r="B108" s="11" t="str">
        <f>IF(AND(D108&gt;0,NOT(D108=" "),NOT(D107&gt;0)),1+(COUNTIF($B$102:B107,"&gt;0"))," ")</f>
        <v xml:space="preserve"> </v>
      </c>
      <c r="E108" s="3" t="s">
        <v>415</v>
      </c>
    </row>
    <row r="109" spans="1:5">
      <c r="A109" s="9" t="str">
        <f t="shared" si="5"/>
        <v xml:space="preserve"> </v>
      </c>
      <c r="B109" s="11" t="str">
        <f>IF(AND(D109&gt;0,NOT(D109=" "),NOT(D108&gt;0)),1+(COUNTIF($B$102:B108,"&gt;0"))," ")</f>
        <v xml:space="preserve"> </v>
      </c>
    </row>
    <row r="110" spans="1:5" ht="69">
      <c r="A110" s="9" t="str">
        <f t="shared" si="5"/>
        <v>3.</v>
      </c>
      <c r="B110" s="11">
        <f>IF(AND(D110&gt;0,NOT(D110=" "),NOT(D109&gt;0)),1+(COUNTIF($B$102:B109,"&gt;0"))," ")</f>
        <v>2</v>
      </c>
      <c r="C110" s="1" t="s">
        <v>99</v>
      </c>
      <c r="D110" s="2" t="s">
        <v>23</v>
      </c>
    </row>
    <row r="111" spans="1:5">
      <c r="A111" s="9" t="str">
        <f t="shared" si="5"/>
        <v xml:space="preserve"> </v>
      </c>
      <c r="B111" s="11" t="str">
        <f>IF(AND(D111&gt;0,NOT(D111=" "),NOT(D110&gt;0)),1+(COUNTIF($B$102:B110,"&gt;0"))," ")</f>
        <v xml:space="preserve"> </v>
      </c>
      <c r="E111" s="3" t="s">
        <v>415</v>
      </c>
    </row>
    <row r="112" spans="1:5">
      <c r="A112" s="9" t="str">
        <f t="shared" si="5"/>
        <v xml:space="preserve"> </v>
      </c>
      <c r="B112" s="11" t="str">
        <f>IF(AND(D112&gt;0,NOT(D112=" "),NOT(D111&gt;0)),1+(COUNTIF($B$102:B111,"&gt;0"))," ")</f>
        <v xml:space="preserve"> </v>
      </c>
    </row>
    <row r="113" spans="1:5" ht="69">
      <c r="A113" s="9" t="str">
        <f t="shared" si="5"/>
        <v>3.</v>
      </c>
      <c r="B113" s="11">
        <f>IF(AND(D113&gt;0,NOT(D113=" "),NOT(D112&gt;0)),1+(COUNTIF($B$102:B112,"&gt;0"))," ")</f>
        <v>3</v>
      </c>
      <c r="C113" s="1" t="s">
        <v>244</v>
      </c>
      <c r="D113" s="2" t="s">
        <v>180</v>
      </c>
    </row>
    <row r="114" spans="1:5">
      <c r="A114" s="9" t="str">
        <f t="shared" si="5"/>
        <v xml:space="preserve"> </v>
      </c>
      <c r="B114" s="11" t="str">
        <f>IF(AND(D114&gt;0,NOT(D114=" "),NOT(D113&gt;0)),1+(COUNTIF($B$102:B113,"&gt;0"))," ")</f>
        <v xml:space="preserve"> </v>
      </c>
      <c r="E114" s="3" t="s">
        <v>415</v>
      </c>
    </row>
    <row r="115" spans="1:5">
      <c r="A115" s="9" t="str">
        <f t="shared" si="5"/>
        <v xml:space="preserve"> </v>
      </c>
      <c r="B115" s="11" t="str">
        <f>IF(AND(D115&gt;0,NOT(D115=" "),NOT(D114&gt;0)),1+(COUNTIF($B$102:B114,"&gt;0"))," ")</f>
        <v xml:space="preserve"> </v>
      </c>
    </row>
    <row r="116" spans="1:5" ht="69">
      <c r="A116" s="9" t="str">
        <f t="shared" si="5"/>
        <v>3.</v>
      </c>
      <c r="B116" s="11">
        <f>IF(AND(D116&gt;0,NOT(D116=" "),NOT(D115&gt;0)),1+(COUNTIF($B$102:B115,"&gt;0"))," ")</f>
        <v>4</v>
      </c>
      <c r="C116" s="1" t="s">
        <v>181</v>
      </c>
      <c r="D116" s="2" t="s">
        <v>182</v>
      </c>
    </row>
    <row r="117" spans="1:5">
      <c r="A117" s="9" t="str">
        <f t="shared" si="5"/>
        <v xml:space="preserve"> </v>
      </c>
      <c r="B117" s="11" t="str">
        <f>IF(AND(D117&gt;0,NOT(D117=" "),NOT(D116&gt;0)),1+(COUNTIF($B$102:B116,"&gt;0"))," ")</f>
        <v xml:space="preserve"> </v>
      </c>
      <c r="E117" s="3" t="s">
        <v>415</v>
      </c>
    </row>
    <row r="118" spans="1:5">
      <c r="A118" s="9" t="str">
        <f t="shared" si="5"/>
        <v xml:space="preserve"> </v>
      </c>
      <c r="B118" s="11" t="str">
        <f>IF(AND(D118&gt;0,NOT(D118=" "),NOT(D117&gt;0)),1+(COUNTIF($B$102:B117,"&gt;0"))," ")</f>
        <v xml:space="preserve"> </v>
      </c>
    </row>
    <row r="119" spans="1:5" ht="69">
      <c r="A119" s="9" t="str">
        <f t="shared" si="5"/>
        <v>3.</v>
      </c>
      <c r="B119" s="11">
        <f>IF(AND(D119&gt;0,NOT(D119=" "),NOT(D118&gt;0)),1+(COUNTIF($B$102:B118,"&gt;0"))," ")</f>
        <v>5</v>
      </c>
      <c r="C119" s="1" t="s">
        <v>183</v>
      </c>
      <c r="D119" s="2" t="s">
        <v>28</v>
      </c>
    </row>
    <row r="120" spans="1:5">
      <c r="A120" s="9" t="str">
        <f t="shared" si="5"/>
        <v xml:space="preserve"> </v>
      </c>
      <c r="B120" s="11" t="str">
        <f>IF(AND(D120&gt;0,NOT(D120=" "),NOT(D119&gt;0)),1+(COUNTIF($B$102:B119,"&gt;0"))," ")</f>
        <v xml:space="preserve"> </v>
      </c>
      <c r="E120" s="3" t="s">
        <v>415</v>
      </c>
    </row>
    <row r="121" spans="1:5">
      <c r="A121" s="9" t="str">
        <f t="shared" si="5"/>
        <v xml:space="preserve"> </v>
      </c>
      <c r="B121" s="11" t="str">
        <f>IF(AND(D121&gt;0,NOT(D121=" "),NOT(D120&gt;0)),1+(COUNTIF($B$102:B120,"&gt;0"))," ")</f>
        <v xml:space="preserve"> </v>
      </c>
    </row>
    <row r="122" spans="1:5" ht="82.8">
      <c r="A122" s="9" t="str">
        <f t="shared" ref="A122:A137" si="6">IF(OR(B122="",B122= " ")," ",$A$102)</f>
        <v>3.</v>
      </c>
      <c r="B122" s="11">
        <f>IF(AND(D122&gt;0,NOT(D122=" "),NOT(D121&gt;0)),1+(COUNTIF($B$102:B121,"&gt;0"))," ")</f>
        <v>6</v>
      </c>
      <c r="C122" s="1" t="s">
        <v>29</v>
      </c>
      <c r="D122" s="2" t="s">
        <v>434</v>
      </c>
    </row>
    <row r="123" spans="1:5">
      <c r="A123" s="9" t="str">
        <f t="shared" si="6"/>
        <v xml:space="preserve"> </v>
      </c>
      <c r="B123" s="11" t="str">
        <f>IF(AND(D123&gt;0,NOT(D123=" "),NOT(D122&gt;0)),1+(COUNTIF($B$102:B122,"&gt;0"))," ")</f>
        <v xml:space="preserve"> </v>
      </c>
      <c r="E123" s="3" t="s">
        <v>415</v>
      </c>
    </row>
    <row r="124" spans="1:5">
      <c r="A124" s="9" t="str">
        <f t="shared" si="6"/>
        <v xml:space="preserve"> </v>
      </c>
      <c r="B124" s="11" t="str">
        <f>IF(AND(D124&gt;0,NOT(D124=" "),NOT(D123&gt;0)),1+(COUNTIF($B$102:B123,"&gt;0"))," ")</f>
        <v xml:space="preserve"> </v>
      </c>
    </row>
    <row r="125" spans="1:5" ht="69">
      <c r="A125" s="9" t="str">
        <f t="shared" si="6"/>
        <v>3.</v>
      </c>
      <c r="B125" s="11">
        <f>IF(AND(D125&gt;0,NOT(D125=" "),NOT(D124&gt;0)),1+(COUNTIF($B$102:B124,"&gt;0"))," ")</f>
        <v>7</v>
      </c>
      <c r="C125" s="1" t="s">
        <v>435</v>
      </c>
      <c r="D125" s="2" t="s">
        <v>436</v>
      </c>
    </row>
    <row r="126" spans="1:5">
      <c r="A126" s="9" t="str">
        <f t="shared" si="6"/>
        <v xml:space="preserve"> </v>
      </c>
      <c r="B126" s="11" t="str">
        <f>IF(AND(D126&gt;0,NOT(D126=" "),NOT(D125&gt;0)),1+(COUNTIF($B$102:B125,"&gt;0"))," ")</f>
        <v xml:space="preserve"> </v>
      </c>
      <c r="E126" s="3" t="s">
        <v>415</v>
      </c>
    </row>
    <row r="127" spans="1:5">
      <c r="A127" s="9" t="str">
        <f t="shared" si="6"/>
        <v xml:space="preserve"> </v>
      </c>
      <c r="B127" s="11" t="str">
        <f>IF(AND(D127&gt;0,NOT(D127=" "),NOT(D126&gt;0)),1+(COUNTIF($B$102:B126,"&gt;0"))," ")</f>
        <v xml:space="preserve"> </v>
      </c>
    </row>
    <row r="128" spans="1:5" ht="69">
      <c r="A128" s="9" t="str">
        <f t="shared" si="6"/>
        <v>3.</v>
      </c>
      <c r="B128" s="11">
        <f>IF(AND(D128&gt;0,NOT(D128=" "),NOT(D127&gt;0)),1+(COUNTIF($B$102:B127,"&gt;0"))," ")</f>
        <v>8</v>
      </c>
      <c r="C128" s="1" t="s">
        <v>437</v>
      </c>
      <c r="D128" s="2" t="s">
        <v>438</v>
      </c>
    </row>
    <row r="129" spans="1:5">
      <c r="A129" s="9" t="str">
        <f t="shared" si="6"/>
        <v xml:space="preserve"> </v>
      </c>
      <c r="B129" s="11" t="str">
        <f>IF(AND(D129&gt;0,NOT(D129=" "),NOT(D128&gt;0)),1+(COUNTIF($B$102:B128,"&gt;0"))," ")</f>
        <v xml:space="preserve"> </v>
      </c>
      <c r="E129" s="3" t="s">
        <v>415</v>
      </c>
    </row>
    <row r="130" spans="1:5">
      <c r="A130" s="9" t="str">
        <f t="shared" si="6"/>
        <v xml:space="preserve"> </v>
      </c>
      <c r="B130" s="11" t="str">
        <f>IF(AND(D130&gt;0,NOT(D130=" "),NOT(D129&gt;0)),1+(COUNTIF($B$102:B129,"&gt;0"))," ")</f>
        <v xml:space="preserve"> </v>
      </c>
    </row>
    <row r="131" spans="1:5" ht="69">
      <c r="A131" s="9" t="str">
        <f t="shared" si="6"/>
        <v>3.</v>
      </c>
      <c r="B131" s="11">
        <f>IF(AND(D131&gt;0,NOT(D131=" "),NOT(D130&gt;0)),1+(COUNTIF($B$102:B130,"&gt;0"))," ")</f>
        <v>9</v>
      </c>
      <c r="C131" s="1" t="s">
        <v>439</v>
      </c>
      <c r="D131" s="2" t="s">
        <v>440</v>
      </c>
    </row>
    <row r="132" spans="1:5">
      <c r="A132" s="9" t="str">
        <f t="shared" si="6"/>
        <v xml:space="preserve"> </v>
      </c>
      <c r="B132" s="11" t="str">
        <f>IF(AND(D132&gt;0,NOT(D132=" "),NOT(D131&gt;0)),1+(COUNTIF($B$102:B131,"&gt;0"))," ")</f>
        <v xml:space="preserve"> </v>
      </c>
      <c r="E132" s="3" t="s">
        <v>415</v>
      </c>
    </row>
    <row r="133" spans="1:5">
      <c r="A133" s="9" t="str">
        <f t="shared" si="6"/>
        <v xml:space="preserve"> </v>
      </c>
      <c r="B133" s="11" t="str">
        <f>IF(AND(D133&gt;0,NOT(D133=" "),NOT(D132&gt;0)),1+(COUNTIF($B$102:B132,"&gt;0"))," ")</f>
        <v xml:space="preserve"> </v>
      </c>
    </row>
    <row r="134" spans="1:5" ht="69">
      <c r="A134" s="9" t="str">
        <f t="shared" si="6"/>
        <v>3.</v>
      </c>
      <c r="B134" s="11">
        <f>IF(AND(D134&gt;0,NOT(D134=" "),NOT(D133&gt;0)),1+(COUNTIF($B$102:B133,"&gt;0"))," ")</f>
        <v>10</v>
      </c>
      <c r="C134" s="1" t="s">
        <v>441</v>
      </c>
      <c r="D134" s="2" t="s">
        <v>442</v>
      </c>
    </row>
    <row r="135" spans="1:5">
      <c r="A135" s="9" t="str">
        <f t="shared" si="6"/>
        <v xml:space="preserve"> </v>
      </c>
      <c r="B135" s="11" t="str">
        <f>IF(AND(D135&gt;0,NOT(D135=" "),NOT(D134&gt;0)),1+(COUNTIF($B$102:B134,"&gt;0"))," ")</f>
        <v xml:space="preserve"> </v>
      </c>
      <c r="E135" s="3" t="s">
        <v>415</v>
      </c>
    </row>
    <row r="136" spans="1:5">
      <c r="A136" s="9" t="str">
        <f t="shared" si="6"/>
        <v xml:space="preserve"> </v>
      </c>
      <c r="B136" s="11" t="str">
        <f>IF(AND(D136&gt;0,NOT(D136=" "),NOT(D135&gt;0)),1+(COUNTIF($B$102:B135,"&gt;0"))," ")</f>
        <v xml:space="preserve"> </v>
      </c>
    </row>
    <row r="137" spans="1:5" ht="69">
      <c r="A137" s="9" t="str">
        <f t="shared" si="6"/>
        <v>3.</v>
      </c>
      <c r="B137" s="11">
        <f>IF(AND(D137&gt;0,NOT(D137=" "),NOT(D136&gt;0)),1+(COUNTIF($B$102:B136,"&gt;0"))," ")</f>
        <v>11</v>
      </c>
      <c r="C137" s="1" t="s">
        <v>443</v>
      </c>
      <c r="D137" s="2" t="s">
        <v>421</v>
      </c>
    </row>
    <row r="138" spans="1:5">
      <c r="A138" s="9" t="str">
        <f t="shared" ref="A138:A153" si="7">IF(OR(B138="",B138= " ")," ",$A$102)</f>
        <v xml:space="preserve"> </v>
      </c>
      <c r="B138" s="11" t="str">
        <f>IF(AND(D138&gt;0,NOT(D138=" "),NOT(D137&gt;0)),1+(COUNTIF($B$102:B137,"&gt;0"))," ")</f>
        <v xml:space="preserve"> </v>
      </c>
      <c r="E138" s="3" t="s">
        <v>415</v>
      </c>
    </row>
    <row r="139" spans="1:5">
      <c r="A139" s="9" t="str">
        <f t="shared" si="7"/>
        <v xml:space="preserve"> </v>
      </c>
      <c r="B139" s="11" t="str">
        <f>IF(AND(D139&gt;0,NOT(D139=" "),NOT(D138&gt;0)),1+(COUNTIF($B$102:B138,"&gt;0"))," ")</f>
        <v xml:space="preserve"> </v>
      </c>
    </row>
    <row r="140" spans="1:5" ht="82.8">
      <c r="A140" s="9" t="str">
        <f t="shared" si="7"/>
        <v>3.</v>
      </c>
      <c r="B140" s="11">
        <f>IF(AND(D140&gt;0,NOT(D140=" "),NOT(D139&gt;0)),1+(COUNTIF($B$102:B139,"&gt;0"))," ")</f>
        <v>12</v>
      </c>
      <c r="C140" s="1" t="s">
        <v>422</v>
      </c>
      <c r="D140" s="2" t="s">
        <v>51</v>
      </c>
    </row>
    <row r="141" spans="1:5">
      <c r="A141" s="9" t="str">
        <f t="shared" si="7"/>
        <v xml:space="preserve"> </v>
      </c>
      <c r="B141" s="11" t="str">
        <f>IF(AND(D141&gt;0,NOT(D141=" "),NOT(D140&gt;0)),1+(COUNTIF($B$102:B140,"&gt;0"))," ")</f>
        <v xml:space="preserve"> </v>
      </c>
      <c r="E141" s="3" t="s">
        <v>415</v>
      </c>
    </row>
    <row r="142" spans="1:5">
      <c r="A142" s="9" t="str">
        <f t="shared" si="7"/>
        <v xml:space="preserve"> </v>
      </c>
      <c r="B142" s="11" t="str">
        <f>IF(AND(D142&gt;0,NOT(D142=" "),NOT(D141&gt;0)),1+(COUNTIF($B$102:B141,"&gt;0"))," ")</f>
        <v xml:space="preserve"> </v>
      </c>
    </row>
    <row r="143" spans="1:5" ht="82.8">
      <c r="A143" s="9" t="str">
        <f t="shared" si="7"/>
        <v>3.</v>
      </c>
      <c r="B143" s="11">
        <f>IF(AND(D143&gt;0,NOT(D143=" "),NOT(D142&gt;0)),1+(COUNTIF($B$102:B142,"&gt;0"))," ")</f>
        <v>13</v>
      </c>
      <c r="C143" s="1" t="s">
        <v>52</v>
      </c>
      <c r="D143" s="2" t="s">
        <v>53</v>
      </c>
    </row>
    <row r="144" spans="1:5">
      <c r="A144" s="9" t="str">
        <f t="shared" si="7"/>
        <v xml:space="preserve"> </v>
      </c>
      <c r="B144" s="11" t="str">
        <f>IF(AND(D144&gt;0,NOT(D144=" "),NOT(D143&gt;0)),1+(COUNTIF($B$102:B143,"&gt;0"))," ")</f>
        <v xml:space="preserve"> </v>
      </c>
      <c r="E144" s="3" t="s">
        <v>415</v>
      </c>
    </row>
    <row r="145" spans="1:5">
      <c r="A145" s="9" t="str">
        <f t="shared" si="7"/>
        <v xml:space="preserve"> </v>
      </c>
      <c r="B145" s="11" t="str">
        <f>IF(AND(D145&gt;0,NOT(D145=" "),NOT(D144&gt;0)),1+(COUNTIF($B$102:B144,"&gt;0"))," ")</f>
        <v xml:space="preserve"> </v>
      </c>
    </row>
    <row r="146" spans="1:5" ht="69">
      <c r="A146" s="9" t="str">
        <f t="shared" si="7"/>
        <v>3.</v>
      </c>
      <c r="B146" s="11">
        <f>IF(AND(D146&gt;0,NOT(D146=" "),NOT(D145&gt;0)),1+(COUNTIF($B$102:B145,"&gt;0"))," ")</f>
        <v>14</v>
      </c>
      <c r="C146" s="1" t="s">
        <v>54</v>
      </c>
      <c r="D146" s="2" t="s">
        <v>55</v>
      </c>
    </row>
    <row r="147" spans="1:5">
      <c r="A147" s="9" t="str">
        <f t="shared" si="7"/>
        <v xml:space="preserve"> </v>
      </c>
      <c r="B147" s="11" t="str">
        <f>IF(AND(D147&gt;0,NOT(D147=" "),NOT(D146&gt;0)),1+(COUNTIF($B$102:B146,"&gt;0"))," ")</f>
        <v xml:space="preserve"> </v>
      </c>
      <c r="E147" s="3" t="s">
        <v>415</v>
      </c>
    </row>
    <row r="148" spans="1:5">
      <c r="A148" s="9" t="str">
        <f t="shared" si="7"/>
        <v xml:space="preserve"> </v>
      </c>
      <c r="B148" s="11" t="str">
        <f>IF(AND(D148&gt;0,NOT(D148=" "),NOT(D147&gt;0)),1+(COUNTIF($B$102:B147,"&gt;0"))," ")</f>
        <v xml:space="preserve"> </v>
      </c>
    </row>
    <row r="149" spans="1:5" ht="82.8">
      <c r="A149" s="9" t="str">
        <f t="shared" si="7"/>
        <v>3.</v>
      </c>
      <c r="B149" s="11">
        <f>IF(AND(D149&gt;0,NOT(D149=" "),NOT(D148&gt;0)),1+(COUNTIF($B$102:B148,"&gt;0"))," ")</f>
        <v>15</v>
      </c>
      <c r="C149" s="1" t="s">
        <v>56</v>
      </c>
      <c r="D149" s="2" t="s">
        <v>444</v>
      </c>
    </row>
    <row r="150" spans="1:5">
      <c r="A150" s="9" t="str">
        <f t="shared" si="7"/>
        <v xml:space="preserve"> </v>
      </c>
      <c r="B150" s="11" t="str">
        <f>IF(AND(D150&gt;0,NOT(D150=" "),NOT(D149&gt;0)),1+(COUNTIF($B$102:B149,"&gt;0"))," ")</f>
        <v xml:space="preserve"> </v>
      </c>
      <c r="E150" s="3" t="s">
        <v>415</v>
      </c>
    </row>
    <row r="151" spans="1:5">
      <c r="A151" s="9" t="str">
        <f t="shared" si="7"/>
        <v xml:space="preserve"> </v>
      </c>
      <c r="B151" s="11" t="str">
        <f>IF(AND(D151&gt;0,NOT(D151=" "),NOT(D150&gt;0)),1+(COUNTIF($B$102:B150,"&gt;0"))," ")</f>
        <v xml:space="preserve"> </v>
      </c>
    </row>
    <row r="152" spans="1:5" ht="55.2">
      <c r="A152" s="9" t="str">
        <f t="shared" si="7"/>
        <v>3.</v>
      </c>
      <c r="B152" s="11">
        <f>IF(AND(D152&gt;0,NOT(D152=" "),NOT(D151&gt;0)),1+(COUNTIF($B$102:B151,"&gt;0"))," ")</f>
        <v>16</v>
      </c>
      <c r="C152" s="1" t="s">
        <v>470</v>
      </c>
      <c r="D152" s="2" t="s">
        <v>471</v>
      </c>
    </row>
    <row r="153" spans="1:5">
      <c r="A153" s="9" t="str">
        <f t="shared" si="7"/>
        <v xml:space="preserve"> </v>
      </c>
      <c r="B153" s="11" t="str">
        <f>IF(AND(D153&gt;0,NOT(D153=" "),NOT(D152&gt;0)),1+(COUNTIF($B$102:B152,"&gt;0"))," ")</f>
        <v xml:space="preserve"> </v>
      </c>
      <c r="E153" s="3" t="s">
        <v>415</v>
      </c>
    </row>
    <row r="154" spans="1:5">
      <c r="A154" s="9" t="str">
        <f t="shared" ref="A154:A169" si="8">IF(OR(B154="",B154= " ")," ",$A$102)</f>
        <v xml:space="preserve"> </v>
      </c>
      <c r="B154" s="11" t="str">
        <f>IF(AND(D154&gt;0,NOT(D154=" "),NOT(D153&gt;0)),1+(COUNTIF($B$102:B153,"&gt;0"))," ")</f>
        <v xml:space="preserve"> </v>
      </c>
    </row>
    <row r="155" spans="1:5" ht="55.2">
      <c r="A155" s="9" t="str">
        <f t="shared" si="8"/>
        <v>3.</v>
      </c>
      <c r="B155" s="11">
        <f>IF(AND(D155&gt;0,NOT(D155=" "),NOT(D154&gt;0)),1+(COUNTIF($B$102:B154,"&gt;0"))," ")</f>
        <v>17</v>
      </c>
      <c r="C155" s="1" t="s">
        <v>472</v>
      </c>
      <c r="D155" s="2" t="s">
        <v>473</v>
      </c>
    </row>
    <row r="156" spans="1:5">
      <c r="A156" s="9" t="str">
        <f t="shared" si="8"/>
        <v xml:space="preserve"> </v>
      </c>
      <c r="B156" s="11" t="str">
        <f>IF(AND(D156&gt;0,NOT(D156=" "),NOT(D155&gt;0)),1+(COUNTIF($B$102:B155,"&gt;0"))," ")</f>
        <v xml:space="preserve"> </v>
      </c>
      <c r="E156" s="3" t="s">
        <v>415</v>
      </c>
    </row>
    <row r="157" spans="1:5">
      <c r="A157" s="9" t="str">
        <f t="shared" si="8"/>
        <v xml:space="preserve"> </v>
      </c>
      <c r="B157" s="11" t="str">
        <f>IF(AND(D157&gt;0,NOT(D157=" "),NOT(D156&gt;0)),1+(COUNTIF($B$102:B156,"&gt;0"))," ")</f>
        <v xml:space="preserve"> </v>
      </c>
    </row>
    <row r="158" spans="1:5" ht="55.2">
      <c r="A158" s="9" t="str">
        <f t="shared" si="8"/>
        <v>3.</v>
      </c>
      <c r="B158" s="11">
        <f>IF(AND(D158&gt;0,NOT(D158=" "),NOT(D157&gt;0)),1+(COUNTIF($B$102:B157,"&gt;0"))," ")</f>
        <v>18</v>
      </c>
      <c r="C158" s="1" t="s">
        <v>474</v>
      </c>
      <c r="D158" s="2" t="s">
        <v>475</v>
      </c>
    </row>
    <row r="159" spans="1:5">
      <c r="A159" s="9" t="str">
        <f t="shared" si="8"/>
        <v xml:space="preserve"> </v>
      </c>
      <c r="B159" s="11" t="str">
        <f>IF(AND(D159&gt;0,NOT(D159=" "),NOT(D158&gt;0)),1+(COUNTIF($B$102:B158,"&gt;0"))," ")</f>
        <v xml:space="preserve"> </v>
      </c>
      <c r="E159" s="3" t="s">
        <v>415</v>
      </c>
    </row>
    <row r="160" spans="1:5">
      <c r="A160" s="9" t="str">
        <f t="shared" si="8"/>
        <v xml:space="preserve"> </v>
      </c>
      <c r="B160" s="11" t="str">
        <f>IF(AND(D160&gt;0,NOT(D160=" "),NOT(D159&gt;0)),1+(COUNTIF($B$102:B159,"&gt;0"))," ")</f>
        <v xml:space="preserve"> </v>
      </c>
    </row>
    <row r="161" spans="1:5" ht="55.2">
      <c r="A161" s="9" t="str">
        <f t="shared" si="8"/>
        <v>3.</v>
      </c>
      <c r="B161" s="11">
        <f>IF(AND(D161&gt;0,NOT(D161=" "),NOT(D160&gt;0)),1+(COUNTIF($B$102:B160,"&gt;0"))," ")</f>
        <v>19</v>
      </c>
      <c r="C161" s="1" t="s">
        <v>476</v>
      </c>
      <c r="D161" s="2" t="s">
        <v>252</v>
      </c>
    </row>
    <row r="162" spans="1:5">
      <c r="A162" s="9" t="str">
        <f t="shared" si="8"/>
        <v xml:space="preserve"> </v>
      </c>
      <c r="B162" s="11" t="str">
        <f>IF(AND(D162&gt;0,NOT(D162=" "),NOT(D161&gt;0)),1+(COUNTIF($B$102:B161,"&gt;0"))," ")</f>
        <v xml:space="preserve"> </v>
      </c>
      <c r="E162" s="3" t="s">
        <v>415</v>
      </c>
    </row>
    <row r="163" spans="1:5">
      <c r="A163" s="9" t="str">
        <f t="shared" si="8"/>
        <v xml:space="preserve"> </v>
      </c>
      <c r="B163" s="11" t="str">
        <f>IF(AND(D163&gt;0,NOT(D163=" "),NOT(D162&gt;0)),1+(COUNTIF($B$102:B162,"&gt;0"))," ")</f>
        <v xml:space="preserve"> </v>
      </c>
    </row>
    <row r="164" spans="1:5" ht="55.2">
      <c r="A164" s="9" t="str">
        <f t="shared" si="8"/>
        <v>3.</v>
      </c>
      <c r="B164" s="11">
        <f>IF(AND(D164&gt;0,NOT(D164=" "),NOT(D163&gt;0)),1+(COUNTIF($B$102:B163,"&gt;0"))," ")</f>
        <v>20</v>
      </c>
      <c r="C164" s="1" t="s">
        <v>253</v>
      </c>
      <c r="D164" s="2" t="s">
        <v>318</v>
      </c>
    </row>
    <row r="165" spans="1:5">
      <c r="A165" s="9" t="str">
        <f t="shared" si="8"/>
        <v xml:space="preserve"> </v>
      </c>
      <c r="B165" s="11" t="str">
        <f>IF(AND(D165&gt;0,NOT(D165=" "),NOT(D164&gt;0)),1+(COUNTIF($B$102:B164,"&gt;0"))," ")</f>
        <v xml:space="preserve"> </v>
      </c>
      <c r="E165" s="3" t="s">
        <v>415</v>
      </c>
    </row>
    <row r="166" spans="1:5">
      <c r="A166" s="9" t="str">
        <f t="shared" si="8"/>
        <v xml:space="preserve"> </v>
      </c>
      <c r="B166" s="11" t="str">
        <f>IF(AND(D166&gt;0,NOT(D166=" "),NOT(D165&gt;0)),1+(COUNTIF($B$102:B165,"&gt;0"))," ")</f>
        <v xml:space="preserve"> </v>
      </c>
    </row>
    <row r="167" spans="1:5">
      <c r="A167" s="9" t="str">
        <f t="shared" si="8"/>
        <v>3.</v>
      </c>
      <c r="B167" s="11">
        <f>IF(AND(D167&gt;0,NOT(D167=" "),NOT(D166&gt;0)),1+(COUNTIF($B$102:B166,"&gt;0"))," ")</f>
        <v>21</v>
      </c>
      <c r="C167" s="1" t="s">
        <v>94</v>
      </c>
      <c r="D167" s="2" t="s">
        <v>319</v>
      </c>
    </row>
    <row r="168" spans="1:5">
      <c r="A168" s="9" t="str">
        <f t="shared" si="8"/>
        <v xml:space="preserve"> </v>
      </c>
      <c r="B168" s="11" t="str">
        <f>IF(AND(D168&gt;0,NOT(D168=" "),NOT(D167&gt;0)),1+(COUNTIF($B$102:B167,"&gt;0"))," ")</f>
        <v xml:space="preserve"> </v>
      </c>
    </row>
    <row r="169" spans="1:5">
      <c r="A169" s="9" t="str">
        <f t="shared" si="8"/>
        <v xml:space="preserve"> </v>
      </c>
      <c r="B169" s="11" t="str">
        <f>IF(AND(D169&gt;0,NOT(D169=" "),NOT(D168&gt;0)),1+(COUNTIF($B$102:B168,"&gt;0"))," ")</f>
        <v xml:space="preserve"> </v>
      </c>
    </row>
    <row r="170" spans="1:5">
      <c r="A170" s="9" t="s">
        <v>320</v>
      </c>
      <c r="B170" s="11"/>
      <c r="C170" s="1" t="s">
        <v>321</v>
      </c>
      <c r="D170" s="2" t="s">
        <v>322</v>
      </c>
    </row>
    <row r="171" spans="1:5">
      <c r="A171" s="9" t="str">
        <f>IF(OR(B171="",B171= " ")," ",$A$102)</f>
        <v xml:space="preserve"> </v>
      </c>
      <c r="B171" s="11" t="str">
        <f>IF(AND(D171&gt;0,NOT(D171=" "),NOT(D170&gt;0)),1+(COUNTIF($B$102:B170,"&gt;0"))," ")</f>
        <v xml:space="preserve"> </v>
      </c>
    </row>
    <row r="172" spans="1:5">
      <c r="A172" s="9" t="str">
        <f>IF(OR(B172="",B172= " ")," ",$A$170)</f>
        <v>4.</v>
      </c>
      <c r="B172" s="11">
        <f>IF(AND(D172&gt;0,NOT(D172=" "),NOT(D171&gt;0)),1+(COUNTIF($B$170:B171,"&gt;0"))," ")</f>
        <v>1</v>
      </c>
      <c r="C172" s="1" t="s">
        <v>323</v>
      </c>
      <c r="D172" s="2" t="s">
        <v>324</v>
      </c>
    </row>
    <row r="173" spans="1:5">
      <c r="A173" s="9" t="str">
        <f>IF(OR(B173="",B173= " ")," ",$A$170)</f>
        <v xml:space="preserve"> </v>
      </c>
      <c r="B173" s="11" t="str">
        <f>IF(AND(D173&gt;0,NOT(D173=" "),NOT(D172&gt;0)),1+(COUNTIF($B$170:B172,"&gt;0"))," ")</f>
        <v xml:space="preserve"> </v>
      </c>
    </row>
    <row r="174" spans="1:5">
      <c r="A174" s="9" t="str">
        <f>IF(OR(B174="",B174= " ")," ",$A$170)</f>
        <v>4.</v>
      </c>
      <c r="B174" s="11">
        <f>IF(AND(D174&gt;0,NOT(D174=" "),NOT(D173&gt;0)),1+(COUNTIF($B$170:B173,"&gt;0"))," ")</f>
        <v>2</v>
      </c>
      <c r="C174" s="1" t="s">
        <v>321</v>
      </c>
      <c r="D174" s="2" t="s">
        <v>325</v>
      </c>
    </row>
    <row r="175" spans="1:5">
      <c r="A175" s="9" t="str">
        <f>IF(OR(B175="",B175= " ")," ",$A$170)</f>
        <v xml:space="preserve"> </v>
      </c>
      <c r="B175" s="11" t="str">
        <f>IF(AND(D175&gt;0,NOT(D175=" "),NOT(D174&gt;0)),1+(COUNTIF($B$170:B174,"&gt;0"))," ")</f>
        <v xml:space="preserve"> </v>
      </c>
    </row>
    <row r="176" spans="1:5">
      <c r="A176" s="9" t="s">
        <v>326</v>
      </c>
      <c r="B176" s="11"/>
      <c r="C176" s="1" t="s">
        <v>327</v>
      </c>
      <c r="D176" s="2" t="s">
        <v>328</v>
      </c>
    </row>
    <row r="177" spans="1:5">
      <c r="A177" s="9" t="str">
        <f>IF(OR(B177="",B177= " ")," ",$A$170)</f>
        <v xml:space="preserve"> </v>
      </c>
      <c r="B177" s="11" t="str">
        <f>IF(AND(D177&gt;0,NOT(D177=" "),NOT(D176&gt;0)),1+(COUNTIF($B$170:B176,"&gt;0"))," ")</f>
        <v xml:space="preserve"> </v>
      </c>
    </row>
    <row r="178" spans="1:5" ht="82.8">
      <c r="A178" s="9" t="str">
        <f>IF(OR(B178="",B178= " ")," ",$A$176)</f>
        <v>5.</v>
      </c>
      <c r="B178" s="11">
        <f>IF(AND(D178&gt;0,NOT(D178=" "),NOT(D177&gt;0)),1+(COUNTIF($B$176:B177,"&gt;0"))," ")</f>
        <v>1</v>
      </c>
      <c r="C178" s="1" t="s">
        <v>329</v>
      </c>
      <c r="D178" s="2" t="s">
        <v>166</v>
      </c>
    </row>
    <row r="179" spans="1:5">
      <c r="A179" s="9" t="str">
        <f t="shared" ref="A179:A194" si="9">IF(OR(B179="",B179= " ")," ",$A$176)</f>
        <v xml:space="preserve"> </v>
      </c>
      <c r="B179" s="11" t="str">
        <f>IF(AND(D179&gt;0,NOT(D179=" "),NOT(D178&gt;0)),1+(COUNTIF($B$176:B178,"&gt;0"))," ")</f>
        <v xml:space="preserve"> </v>
      </c>
      <c r="E179" s="3" t="s">
        <v>415</v>
      </c>
    </row>
    <row r="180" spans="1:5">
      <c r="A180" s="9" t="str">
        <f t="shared" si="9"/>
        <v xml:space="preserve"> </v>
      </c>
      <c r="B180" s="11" t="str">
        <f>IF(AND(D180&gt;0,NOT(D180=" "),NOT(D179&gt;0)),1+(COUNTIF($B$176:B179,"&gt;0"))," ")</f>
        <v xml:space="preserve"> </v>
      </c>
    </row>
    <row r="181" spans="1:5" ht="69">
      <c r="A181" s="9" t="str">
        <f t="shared" si="9"/>
        <v>5.</v>
      </c>
      <c r="B181" s="11">
        <f>IF(AND(D181&gt;0,NOT(D181=" "),NOT(D180&gt;0)),1+(COUNTIF($B$176:B180,"&gt;0"))," ")</f>
        <v>2</v>
      </c>
      <c r="C181" s="1" t="s">
        <v>167</v>
      </c>
      <c r="D181" s="2" t="s">
        <v>448</v>
      </c>
    </row>
    <row r="182" spans="1:5">
      <c r="A182" s="9" t="str">
        <f t="shared" si="9"/>
        <v xml:space="preserve"> </v>
      </c>
      <c r="B182" s="11" t="str">
        <f>IF(AND(D182&gt;0,NOT(D182=" "),NOT(D181&gt;0)),1+(COUNTIF($B$176:B181,"&gt;0"))," ")</f>
        <v xml:space="preserve"> </v>
      </c>
      <c r="E182" s="3" t="s">
        <v>415</v>
      </c>
    </row>
    <row r="183" spans="1:5">
      <c r="A183" s="9" t="str">
        <f t="shared" si="9"/>
        <v xml:space="preserve"> </v>
      </c>
      <c r="B183" s="11" t="str">
        <f>IF(AND(D183&gt;0,NOT(D183=" "),NOT(D182&gt;0)),1+(COUNTIF($B$176:B182,"&gt;0"))," ")</f>
        <v xml:space="preserve"> </v>
      </c>
    </row>
    <row r="184" spans="1:5" ht="82.8">
      <c r="A184" s="9" t="str">
        <f t="shared" si="9"/>
        <v>5.</v>
      </c>
      <c r="B184" s="11">
        <f>IF(AND(D184&gt;0,NOT(D184=" "),NOT(D183&gt;0)),1+(COUNTIF($B$176:B183,"&gt;0"))," ")</f>
        <v>3</v>
      </c>
      <c r="C184" s="1" t="s">
        <v>449</v>
      </c>
      <c r="D184" s="2" t="s">
        <v>450</v>
      </c>
    </row>
    <row r="185" spans="1:5">
      <c r="A185" s="9" t="str">
        <f t="shared" si="9"/>
        <v xml:space="preserve"> </v>
      </c>
      <c r="B185" s="11" t="str">
        <f>IF(AND(D185&gt;0,NOT(D185=" "),NOT(D184&gt;0)),1+(COUNTIF($B$176:B184,"&gt;0"))," ")</f>
        <v xml:space="preserve"> </v>
      </c>
      <c r="E185" s="3" t="s">
        <v>196</v>
      </c>
    </row>
    <row r="186" spans="1:5">
      <c r="A186" s="9" t="str">
        <f t="shared" si="9"/>
        <v xml:space="preserve"> </v>
      </c>
      <c r="B186" s="11" t="str">
        <f>IF(AND(D186&gt;0,NOT(D186=" "),NOT(D185&gt;0)),1+(COUNTIF($B$176:B185,"&gt;0"))," ")</f>
        <v xml:space="preserve"> </v>
      </c>
    </row>
    <row r="187" spans="1:5" ht="55.2">
      <c r="A187" s="9" t="str">
        <f t="shared" si="9"/>
        <v>5.</v>
      </c>
      <c r="B187" s="11">
        <f>IF(AND(D187&gt;0,NOT(D187=" "),NOT(D186&gt;0)),1+(COUNTIF($B$176:B186,"&gt;0"))," ")</f>
        <v>4</v>
      </c>
      <c r="C187" s="1" t="s">
        <v>451</v>
      </c>
      <c r="D187" s="2" t="s">
        <v>223</v>
      </c>
    </row>
    <row r="188" spans="1:5">
      <c r="A188" s="9" t="str">
        <f t="shared" si="9"/>
        <v xml:space="preserve"> </v>
      </c>
      <c r="B188" s="11" t="str">
        <f>IF(AND(D188&gt;0,NOT(D188=" "),NOT(D187&gt;0)),1+(COUNTIF($B$176:B187,"&gt;0"))," ")</f>
        <v xml:space="preserve"> </v>
      </c>
      <c r="E188" s="3" t="s">
        <v>196</v>
      </c>
    </row>
    <row r="189" spans="1:5">
      <c r="A189" s="9" t="str">
        <f t="shared" si="9"/>
        <v xml:space="preserve"> </v>
      </c>
      <c r="B189" s="11" t="str">
        <f>IF(AND(D189&gt;0,NOT(D189=" "),NOT(D188&gt;0)),1+(COUNTIF($B$176:B188,"&gt;0"))," ")</f>
        <v xml:space="preserve"> </v>
      </c>
    </row>
    <row r="190" spans="1:5" ht="82.8">
      <c r="A190" s="9" t="str">
        <f t="shared" si="9"/>
        <v>5.</v>
      </c>
      <c r="B190" s="11">
        <f>IF(AND(D190&gt;0,NOT(D190=" "),NOT(D189&gt;0)),1+(COUNTIF($B$176:B189,"&gt;0"))," ")</f>
        <v>5</v>
      </c>
      <c r="C190" s="1" t="s">
        <v>224</v>
      </c>
      <c r="D190" s="2" t="s">
        <v>353</v>
      </c>
    </row>
    <row r="191" spans="1:5">
      <c r="A191" s="9" t="str">
        <f t="shared" si="9"/>
        <v xml:space="preserve"> </v>
      </c>
      <c r="B191" s="11" t="str">
        <f>IF(AND(D191&gt;0,NOT(D191=" "),NOT(D190&gt;0)),1+(COUNTIF($B$176:B190,"&gt;0"))," ")</f>
        <v xml:space="preserve"> </v>
      </c>
      <c r="D191" s="2" t="s">
        <v>354</v>
      </c>
      <c r="E191" s="3" t="s">
        <v>355</v>
      </c>
    </row>
    <row r="192" spans="1:5">
      <c r="A192" s="9" t="str">
        <f t="shared" si="9"/>
        <v xml:space="preserve"> </v>
      </c>
      <c r="B192" s="11" t="str">
        <f>IF(AND(D192&gt;0,NOT(D192=" "),NOT(D191&gt;0)),1+(COUNTIF($B$176:B191,"&gt;0"))," ")</f>
        <v xml:space="preserve"> </v>
      </c>
      <c r="D192" s="2" t="s">
        <v>356</v>
      </c>
      <c r="E192" s="3" t="s">
        <v>355</v>
      </c>
    </row>
    <row r="193" spans="1:5">
      <c r="A193" s="9" t="str">
        <f t="shared" si="9"/>
        <v xml:space="preserve"> </v>
      </c>
      <c r="B193" s="11" t="str">
        <f>IF(AND(D193&gt;0,NOT(D193=" "),NOT(D192&gt;0)),1+(COUNTIF($B$176:B192,"&gt;0"))," ")</f>
        <v xml:space="preserve"> </v>
      </c>
      <c r="D193" s="2" t="s">
        <v>357</v>
      </c>
      <c r="E193" s="3" t="s">
        <v>355</v>
      </c>
    </row>
    <row r="194" spans="1:5">
      <c r="A194" s="9" t="str">
        <f t="shared" si="9"/>
        <v xml:space="preserve"> </v>
      </c>
      <c r="B194" s="11" t="str">
        <f>IF(AND(D194&gt;0,NOT(D194=" "),NOT(D193&gt;0)),1+(COUNTIF($B$176:B193,"&gt;0"))," ")</f>
        <v xml:space="preserve"> </v>
      </c>
    </row>
    <row r="195" spans="1:5" ht="82.8">
      <c r="A195" s="9" t="str">
        <f t="shared" ref="A195:A210" si="10">IF(OR(B195="",B195= " ")," ",$A$176)</f>
        <v>5.</v>
      </c>
      <c r="B195" s="11">
        <f>IF(AND(D195&gt;0,NOT(D195=" "),NOT(D194&gt;0)),1+(COUNTIF($B$176:B194,"&gt;0"))," ")</f>
        <v>6</v>
      </c>
      <c r="C195" s="1" t="s">
        <v>358</v>
      </c>
      <c r="D195" s="2" t="s">
        <v>484</v>
      </c>
    </row>
    <row r="196" spans="1:5">
      <c r="A196" s="9" t="str">
        <f t="shared" si="10"/>
        <v xml:space="preserve"> </v>
      </c>
      <c r="B196" s="11" t="str">
        <f>IF(AND(D196&gt;0,NOT(D196=" "),NOT(D195&gt;0)),1+(COUNTIF($B$176:B195,"&gt;0"))," ")</f>
        <v xml:space="preserve"> </v>
      </c>
      <c r="E196" s="3" t="s">
        <v>355</v>
      </c>
    </row>
    <row r="197" spans="1:5">
      <c r="A197" s="9" t="str">
        <f t="shared" si="10"/>
        <v xml:space="preserve"> </v>
      </c>
      <c r="B197" s="11" t="str">
        <f>IF(AND(D197&gt;0,NOT(D197=" "),NOT(D196&gt;0)),1+(COUNTIF($B$176:B196,"&gt;0"))," ")</f>
        <v xml:space="preserve"> </v>
      </c>
    </row>
    <row r="198" spans="1:5" ht="69">
      <c r="A198" s="9" t="str">
        <f t="shared" si="10"/>
        <v>5.</v>
      </c>
      <c r="B198" s="11">
        <f>IF(AND(D198&gt;0,NOT(D198=" "),NOT(D197&gt;0)),1+(COUNTIF($B$176:B197,"&gt;0"))," ")</f>
        <v>7</v>
      </c>
      <c r="C198" s="1" t="s">
        <v>485</v>
      </c>
      <c r="D198" s="2" t="s">
        <v>486</v>
      </c>
    </row>
    <row r="199" spans="1:5">
      <c r="A199" s="9" t="str">
        <f t="shared" si="10"/>
        <v xml:space="preserve"> </v>
      </c>
      <c r="B199" s="11" t="str">
        <f>IF(AND(D199&gt;0,NOT(D199=" "),NOT(D198&gt;0)),1+(COUNTIF($B$176:B198,"&gt;0"))," ")</f>
        <v xml:space="preserve"> </v>
      </c>
      <c r="C199" s="1" t="s">
        <v>487</v>
      </c>
      <c r="D199" s="2" t="s">
        <v>355</v>
      </c>
      <c r="E199" s="3">
        <v>4</v>
      </c>
    </row>
    <row r="200" spans="1:5">
      <c r="A200" s="9" t="str">
        <f t="shared" si="10"/>
        <v xml:space="preserve"> </v>
      </c>
      <c r="B200" s="11" t="str">
        <f>IF(AND(D200&gt;0,NOT(D200=" "),NOT(D199&gt;0)),1+(COUNTIF($B$176:B199,"&gt;0"))," ")</f>
        <v xml:space="preserve"> </v>
      </c>
      <c r="C200" s="1" t="s">
        <v>488</v>
      </c>
      <c r="D200" s="2" t="s">
        <v>355</v>
      </c>
      <c r="E200" s="3">
        <v>28</v>
      </c>
    </row>
    <row r="201" spans="1:5">
      <c r="A201" s="9" t="str">
        <f t="shared" si="10"/>
        <v xml:space="preserve"> </v>
      </c>
      <c r="B201" s="11" t="str">
        <f>IF(AND(D201&gt;0,NOT(D201=" "),NOT(D200&gt;0)),1+(COUNTIF($B$176:B200,"&gt;0"))," ")</f>
        <v xml:space="preserve"> </v>
      </c>
      <c r="C201" s="1" t="s">
        <v>489</v>
      </c>
      <c r="D201" s="2" t="s">
        <v>355</v>
      </c>
      <c r="E201" s="3">
        <v>406</v>
      </c>
    </row>
    <row r="202" spans="1:5">
      <c r="A202" s="9" t="str">
        <f t="shared" si="10"/>
        <v xml:space="preserve"> </v>
      </c>
      <c r="B202" s="11" t="str">
        <f>IF(AND(D202&gt;0,NOT(D202=" "),NOT(D201&gt;0)),1+(COUNTIF($B$176:B201,"&gt;0"))," ")</f>
        <v xml:space="preserve"> </v>
      </c>
      <c r="C202" s="1" t="s">
        <v>490</v>
      </c>
      <c r="D202" s="2" t="s">
        <v>355</v>
      </c>
      <c r="E202" s="3">
        <v>14</v>
      </c>
    </row>
    <row r="203" spans="1:5">
      <c r="A203" s="9" t="str">
        <f t="shared" si="10"/>
        <v xml:space="preserve"> </v>
      </c>
      <c r="B203" s="11" t="str">
        <f>IF(AND(D203&gt;0,NOT(D203=" "),NOT(D202&gt;0)),1+(COUNTIF($B$176:B202,"&gt;0"))," ")</f>
        <v xml:space="preserve"> </v>
      </c>
      <c r="C203" s="1" t="s">
        <v>491</v>
      </c>
      <c r="D203" s="2" t="s">
        <v>355</v>
      </c>
      <c r="E203" s="3">
        <v>16</v>
      </c>
    </row>
    <row r="204" spans="1:5">
      <c r="A204" s="9" t="str">
        <f t="shared" si="10"/>
        <v xml:space="preserve"> </v>
      </c>
      <c r="B204" s="11" t="str">
        <f>IF(AND(D204&gt;0,NOT(D204=" "),NOT(D203&gt;0)),1+(COUNTIF($B$176:B203,"&gt;0"))," ")</f>
        <v xml:space="preserve"> </v>
      </c>
    </row>
    <row r="205" spans="1:5" ht="82.8">
      <c r="A205" s="9" t="str">
        <f t="shared" si="10"/>
        <v>5.</v>
      </c>
      <c r="B205" s="11">
        <f>IF(AND(D205&gt;0,NOT(D205=" "),NOT(D204&gt;0)),1+(COUNTIF($B$176:B204,"&gt;0"))," ")</f>
        <v>8</v>
      </c>
      <c r="C205" s="1" t="s">
        <v>492</v>
      </c>
      <c r="D205" s="2" t="s">
        <v>493</v>
      </c>
    </row>
    <row r="206" spans="1:5">
      <c r="A206" s="9" t="str">
        <f t="shared" si="10"/>
        <v xml:space="preserve"> </v>
      </c>
      <c r="B206" s="11" t="str">
        <f>IF(AND(D206&gt;0,NOT(D206=" "),NOT(D205&gt;0)),1+(COUNTIF($B$176:B205,"&gt;0"))," ")</f>
        <v xml:space="preserve"> </v>
      </c>
      <c r="E206" s="3" t="s">
        <v>196</v>
      </c>
    </row>
    <row r="207" spans="1:5">
      <c r="A207" s="9" t="str">
        <f t="shared" si="10"/>
        <v xml:space="preserve"> </v>
      </c>
      <c r="B207" s="11" t="str">
        <f>IF(AND(D207&gt;0,NOT(D207=" "),NOT(D206&gt;0)),1+(COUNTIF($B$176:B206,"&gt;0"))," ")</f>
        <v xml:space="preserve"> </v>
      </c>
    </row>
    <row r="208" spans="1:5" ht="55.2">
      <c r="A208" s="9" t="str">
        <f t="shared" si="10"/>
        <v>5.</v>
      </c>
      <c r="B208" s="11">
        <f>IF(AND(D208&gt;0,NOT(D208=" "),NOT(D207&gt;0)),1+(COUNTIF($B$176:B207,"&gt;0"))," ")</f>
        <v>9</v>
      </c>
      <c r="C208" s="1" t="s">
        <v>494</v>
      </c>
      <c r="D208" s="2" t="s">
        <v>495</v>
      </c>
    </row>
    <row r="209" spans="1:5">
      <c r="A209" s="9" t="str">
        <f t="shared" si="10"/>
        <v xml:space="preserve"> </v>
      </c>
      <c r="B209" s="11" t="str">
        <f>IF(AND(D209&gt;0,NOT(D209=" "),NOT(D208&gt;0)),1+(COUNTIF($B$176:B208,"&gt;0"))," ")</f>
        <v xml:space="preserve"> </v>
      </c>
      <c r="E209" s="3" t="s">
        <v>355</v>
      </c>
    </row>
    <row r="210" spans="1:5">
      <c r="A210" s="9" t="str">
        <f t="shared" si="10"/>
        <v xml:space="preserve"> </v>
      </c>
      <c r="B210" s="11" t="str">
        <f>IF(AND(D210&gt;0,NOT(D210=" "),NOT(D209&gt;0)),1+(COUNTIF($B$176:B209,"&gt;0"))," ")</f>
        <v xml:space="preserve"> </v>
      </c>
    </row>
    <row r="211" spans="1:5" ht="55.2">
      <c r="A211" s="9" t="str">
        <f t="shared" ref="A211:A226" si="11">IF(OR(B211="",B211= " ")," ",$A$176)</f>
        <v>5.</v>
      </c>
      <c r="B211" s="11">
        <f>IF(AND(D211&gt;0,NOT(D211=" "),NOT(D210&gt;0)),1+(COUNTIF($B$176:B210,"&gt;0"))," ")</f>
        <v>10</v>
      </c>
      <c r="C211" s="1" t="s">
        <v>496</v>
      </c>
      <c r="D211" s="2" t="s">
        <v>497</v>
      </c>
    </row>
    <row r="212" spans="1:5">
      <c r="A212" s="9" t="str">
        <f t="shared" si="11"/>
        <v xml:space="preserve"> </v>
      </c>
      <c r="B212" s="11" t="str">
        <f>IF(AND(D212&gt;0,NOT(D212=" "),NOT(D211&gt;0)),1+(COUNTIF($B$176:B211,"&gt;0"))," ")</f>
        <v xml:space="preserve"> </v>
      </c>
      <c r="E212" s="3" t="s">
        <v>355</v>
      </c>
    </row>
    <row r="213" spans="1:5">
      <c r="A213" s="9" t="str">
        <f t="shared" si="11"/>
        <v xml:space="preserve"> </v>
      </c>
      <c r="B213" s="11" t="str">
        <f>IF(AND(D213&gt;0,NOT(D213=" "),NOT(D212&gt;0)),1+(COUNTIF($B$176:B212,"&gt;0"))," ")</f>
        <v xml:space="preserve"> </v>
      </c>
    </row>
    <row r="214" spans="1:5" ht="27.6">
      <c r="A214" s="9" t="str">
        <f t="shared" si="11"/>
        <v>5.</v>
      </c>
      <c r="B214" s="11">
        <f>IF(AND(D214&gt;0,NOT(D214=" "),NOT(D213&gt;0)),1+(COUNTIF($B$176:B213,"&gt;0"))," ")</f>
        <v>11</v>
      </c>
      <c r="C214" s="1" t="s">
        <v>498</v>
      </c>
      <c r="D214" s="2" t="s">
        <v>499</v>
      </c>
    </row>
    <row r="215" spans="1:5">
      <c r="A215" s="9" t="str">
        <f t="shared" si="11"/>
        <v xml:space="preserve"> </v>
      </c>
      <c r="B215" s="11" t="str">
        <f>IF(AND(D215&gt;0,NOT(D215=" "),NOT(D214&gt;0)),1+(COUNTIF($B$176:B214,"&gt;0"))," ")</f>
        <v xml:space="preserve"> </v>
      </c>
      <c r="D215" s="2" t="s">
        <v>270</v>
      </c>
      <c r="E215" s="3" t="s">
        <v>391</v>
      </c>
    </row>
    <row r="216" spans="1:5">
      <c r="A216" s="9" t="str">
        <f t="shared" si="11"/>
        <v xml:space="preserve"> </v>
      </c>
      <c r="B216" s="11" t="str">
        <f>IF(AND(D216&gt;0,NOT(D216=" "),NOT(D215&gt;0)),1+(COUNTIF($B$176:B215,"&gt;0"))," ")</f>
        <v xml:space="preserve"> </v>
      </c>
      <c r="D216" s="2" t="s">
        <v>271</v>
      </c>
      <c r="E216" s="3" t="s">
        <v>391</v>
      </c>
    </row>
    <row r="217" spans="1:5">
      <c r="A217" s="9" t="str">
        <f t="shared" si="11"/>
        <v xml:space="preserve"> </v>
      </c>
      <c r="B217" s="11" t="str">
        <f>IF(AND(D217&gt;0,NOT(D217=" "),NOT(D216&gt;0)),1+(COUNTIF($B$176:B216,"&gt;0"))," ")</f>
        <v xml:space="preserve"> </v>
      </c>
    </row>
    <row r="218" spans="1:5" ht="55.2">
      <c r="A218" s="9" t="str">
        <f t="shared" si="11"/>
        <v>5.</v>
      </c>
      <c r="B218" s="11">
        <f>IF(AND(D218&gt;0,NOT(D218=" "),NOT(D217&gt;0)),1+(COUNTIF($B$176:B217,"&gt;0"))," ")</f>
        <v>12</v>
      </c>
      <c r="C218" s="1" t="s">
        <v>272</v>
      </c>
      <c r="D218" s="2" t="s">
        <v>273</v>
      </c>
    </row>
    <row r="219" spans="1:5">
      <c r="A219" s="9" t="str">
        <f t="shared" si="11"/>
        <v xml:space="preserve"> </v>
      </c>
      <c r="B219" s="11" t="str">
        <f>IF(AND(D219&gt;0,NOT(D219=" "),NOT(D218&gt;0)),1+(COUNTIF($B$176:B218,"&gt;0"))," ")</f>
        <v xml:space="preserve"> </v>
      </c>
      <c r="D219" s="2" t="s">
        <v>274</v>
      </c>
      <c r="E219" s="3" t="s">
        <v>391</v>
      </c>
    </row>
    <row r="220" spans="1:5">
      <c r="A220" s="9" t="str">
        <f t="shared" si="11"/>
        <v xml:space="preserve"> </v>
      </c>
      <c r="B220" s="11" t="str">
        <f>IF(AND(D220&gt;0,NOT(D220=" "),NOT(D219&gt;0)),1+(COUNTIF($B$176:B219,"&gt;0"))," ")</f>
        <v xml:space="preserve"> </v>
      </c>
      <c r="D220" s="2" t="s">
        <v>275</v>
      </c>
      <c r="E220" s="3" t="s">
        <v>391</v>
      </c>
    </row>
    <row r="221" spans="1:5">
      <c r="A221" s="9" t="str">
        <f t="shared" si="11"/>
        <v xml:space="preserve"> </v>
      </c>
      <c r="B221" s="11" t="str">
        <f>IF(AND(D221&gt;0,NOT(D221=" "),NOT(D220&gt;0)),1+(COUNTIF($B$176:B220,"&gt;0"))," ")</f>
        <v xml:space="preserve"> </v>
      </c>
    </row>
    <row r="222" spans="1:5" ht="41.4">
      <c r="A222" s="9" t="str">
        <f t="shared" si="11"/>
        <v>5.</v>
      </c>
      <c r="B222" s="11">
        <f>IF(AND(D222&gt;0,NOT(D222=" "),NOT(D221&gt;0)),1+(COUNTIF($B$176:B221,"&gt;0"))," ")</f>
        <v>13</v>
      </c>
      <c r="C222" s="1" t="s">
        <v>276</v>
      </c>
      <c r="D222" s="2" t="s">
        <v>277</v>
      </c>
    </row>
    <row r="223" spans="1:5">
      <c r="A223" s="9" t="str">
        <f t="shared" si="11"/>
        <v xml:space="preserve"> </v>
      </c>
      <c r="B223" s="11" t="str">
        <f>IF(AND(D223&gt;0,NOT(D223=" "),NOT(D222&gt;0)),1+(COUNTIF($B$176:B222,"&gt;0"))," ")</f>
        <v xml:space="preserve"> </v>
      </c>
      <c r="E223" s="3" t="s">
        <v>391</v>
      </c>
    </row>
    <row r="224" spans="1:5">
      <c r="A224" s="9" t="str">
        <f t="shared" si="11"/>
        <v xml:space="preserve"> </v>
      </c>
      <c r="B224" s="11" t="str">
        <f>IF(AND(D224&gt;0,NOT(D224=" "),NOT(D223&gt;0)),1+(COUNTIF($B$176:B223,"&gt;0"))," ")</f>
        <v xml:space="preserve"> </v>
      </c>
    </row>
    <row r="225" spans="1:5" ht="27.6">
      <c r="A225" s="9" t="str">
        <f t="shared" si="11"/>
        <v>5.</v>
      </c>
      <c r="B225" s="11">
        <f>IF(AND(D225&gt;0,NOT(D225=" "),NOT(D224&gt;0)),1+(COUNTIF($B$176:B224,"&gt;0"))," ")</f>
        <v>14</v>
      </c>
      <c r="C225" s="1" t="s">
        <v>278</v>
      </c>
      <c r="D225" s="2" t="s">
        <v>279</v>
      </c>
    </row>
    <row r="226" spans="1:5">
      <c r="A226" s="9" t="str">
        <f t="shared" si="11"/>
        <v xml:space="preserve"> </v>
      </c>
      <c r="B226" s="11" t="str">
        <f>IF(AND(D226&gt;0,NOT(D226=" "),NOT(D225&gt;0)),1+(COUNTIF($B$176:B225,"&gt;0"))," ")</f>
        <v xml:space="preserve"> </v>
      </c>
      <c r="E226" s="3" t="s">
        <v>391</v>
      </c>
    </row>
    <row r="227" spans="1:5">
      <c r="A227" s="9" t="str">
        <f t="shared" ref="A227:A236" si="12">IF(OR(B227="",B227= " ")," ",$A$176)</f>
        <v xml:space="preserve"> </v>
      </c>
      <c r="B227" s="11" t="str">
        <f>IF(AND(D227&gt;0,NOT(D227=" "),NOT(D226&gt;0)),1+(COUNTIF($B$176:B226,"&gt;0"))," ")</f>
        <v xml:space="preserve"> </v>
      </c>
    </row>
    <row r="228" spans="1:5" ht="41.4">
      <c r="A228" s="9" t="str">
        <f t="shared" si="12"/>
        <v>5.</v>
      </c>
      <c r="B228" s="11">
        <f>IF(AND(D228&gt;0,NOT(D228=" "),NOT(D227&gt;0)),1+(COUNTIF($B$176:B227,"&gt;0"))," ")</f>
        <v>15</v>
      </c>
      <c r="C228" s="1" t="s">
        <v>280</v>
      </c>
      <c r="D228" s="2" t="s">
        <v>281</v>
      </c>
    </row>
    <row r="229" spans="1:5">
      <c r="A229" s="9" t="str">
        <f t="shared" si="12"/>
        <v xml:space="preserve"> </v>
      </c>
      <c r="B229" s="11" t="str">
        <f>IF(AND(D229&gt;0,NOT(D229=" "),NOT(D228&gt;0)),1+(COUNTIF($B$176:B228,"&gt;0"))," ")</f>
        <v xml:space="preserve"> </v>
      </c>
      <c r="E229" s="3" t="s">
        <v>282</v>
      </c>
    </row>
    <row r="230" spans="1:5">
      <c r="A230" s="9" t="str">
        <f t="shared" si="12"/>
        <v xml:space="preserve"> </v>
      </c>
      <c r="B230" s="11" t="str">
        <f>IF(AND(D230&gt;0,NOT(D230=" "),NOT(D229&gt;0)),1+(COUNTIF($B$176:B229,"&gt;0"))," ")</f>
        <v xml:space="preserve"> </v>
      </c>
    </row>
    <row r="231" spans="1:5">
      <c r="A231" s="9" t="str">
        <f>$A$176</f>
        <v>5.</v>
      </c>
      <c r="B231" s="11">
        <f>IF(AND(D231&gt;0,NOT(D231=" "),NOT(D230&gt;0)),1+(COUNTIF($B$176:B230,"&gt;0"))," ")</f>
        <v>16</v>
      </c>
      <c r="C231" s="1" t="s">
        <v>327</v>
      </c>
      <c r="D231" s="2" t="s">
        <v>283</v>
      </c>
    </row>
    <row r="232" spans="1:5">
      <c r="A232" s="9" t="str">
        <f t="shared" si="12"/>
        <v xml:space="preserve"> </v>
      </c>
      <c r="B232" s="11" t="str">
        <f>IF(AND(D232&gt;0,NOT(D232=" "),NOT(D231&gt;0)),1+(COUNTIF($B$176:B231,"&gt;0"))," ")</f>
        <v xml:space="preserve"> </v>
      </c>
    </row>
    <row r="233" spans="1:5">
      <c r="A233" s="9" t="str">
        <f t="shared" si="12"/>
        <v xml:space="preserve"> </v>
      </c>
      <c r="B233" s="11" t="str">
        <f>IF(AND(D233&gt;0,NOT(D233=" "),NOT(D232&gt;0)),1+(COUNTIF($B$176:B232,"&gt;0"))," ")</f>
        <v xml:space="preserve"> </v>
      </c>
    </row>
    <row r="234" spans="1:5">
      <c r="A234" s="9" t="str">
        <f t="shared" si="12"/>
        <v xml:space="preserve"> </v>
      </c>
      <c r="B234" s="11" t="str">
        <f>IF(AND(D234&gt;0,NOT(D234=" "),NOT(D233&gt;0)),1+(COUNTIF($B$176:B233,"&gt;0"))," ")</f>
        <v xml:space="preserve"> </v>
      </c>
    </row>
    <row r="235" spans="1:5">
      <c r="A235" s="9" t="s">
        <v>284</v>
      </c>
      <c r="B235" s="11"/>
      <c r="C235" s="1" t="s">
        <v>285</v>
      </c>
      <c r="D235" s="2" t="s">
        <v>286</v>
      </c>
    </row>
    <row r="236" spans="1:5">
      <c r="A236" s="9" t="str">
        <f t="shared" si="12"/>
        <v xml:space="preserve"> </v>
      </c>
      <c r="B236" s="11" t="str">
        <f>IF(AND(D236&gt;0,NOT(D236=" "),NOT(D235&gt;0)),1+(COUNTIF($B$176:B235,"&gt;0"))," ")</f>
        <v xml:space="preserve"> </v>
      </c>
    </row>
    <row r="237" spans="1:5" ht="27.6">
      <c r="A237" s="9" t="str">
        <f>IF(OR(B237="",B237= " ")," ",$A$235)</f>
        <v>6.</v>
      </c>
      <c r="B237" s="11">
        <f>IF(AND(D237&gt;0,NOT(D237=" "),NOT(D236&gt;0)),1+(COUNTIF($B$235:B236,"&gt;0"))," ")</f>
        <v>1</v>
      </c>
      <c r="C237" s="1" t="s">
        <v>372</v>
      </c>
      <c r="D237" s="2" t="s">
        <v>287</v>
      </c>
    </row>
    <row r="238" spans="1:5">
      <c r="A238" s="9" t="str">
        <f t="shared" ref="A238:A253" si="13">IF(OR(B238="",B238= " ")," ",$A$235)</f>
        <v xml:space="preserve"> </v>
      </c>
      <c r="B238" s="11" t="str">
        <f>IF(AND(D238&gt;0,NOT(D238=" "),NOT(D237&gt;0)),1+(COUNTIF($B$235:B237,"&gt;0"))," ")</f>
        <v xml:space="preserve"> </v>
      </c>
    </row>
    <row r="239" spans="1:5" ht="69">
      <c r="A239" s="9" t="str">
        <f t="shared" si="13"/>
        <v>6.</v>
      </c>
      <c r="B239" s="11">
        <f>IF(AND(D239&gt;0,NOT(D239=" "),NOT(D238&gt;0)),1+(COUNTIF($B$235:B238,"&gt;0"))," ")</f>
        <v>2</v>
      </c>
      <c r="C239" s="1" t="s">
        <v>288</v>
      </c>
      <c r="D239" s="2" t="s">
        <v>250</v>
      </c>
    </row>
    <row r="240" spans="1:5">
      <c r="A240" s="9" t="str">
        <f t="shared" si="13"/>
        <v xml:space="preserve"> </v>
      </c>
      <c r="B240" s="11" t="str">
        <f>IF(AND(D240&gt;0,NOT(D240=" "),NOT(D239&gt;0)),1+(COUNTIF($B$235:B239,"&gt;0"))," ")</f>
        <v xml:space="preserve"> </v>
      </c>
      <c r="E240" s="3" t="s">
        <v>196</v>
      </c>
    </row>
    <row r="241" spans="1:5">
      <c r="A241" s="9" t="str">
        <f t="shared" si="13"/>
        <v xml:space="preserve"> </v>
      </c>
      <c r="B241" s="11" t="str">
        <f>IF(AND(D241&gt;0,NOT(D241=" "),NOT(D240&gt;0)),1+(COUNTIF($B$235:B240,"&gt;0"))," ")</f>
        <v xml:space="preserve"> </v>
      </c>
    </row>
    <row r="242" spans="1:5" ht="82.8">
      <c r="A242" s="9" t="str">
        <f t="shared" si="13"/>
        <v>6.</v>
      </c>
      <c r="B242" s="11">
        <f>IF(AND(D242&gt;0,NOT(D242=" "),NOT(D241&gt;0)),1+(COUNTIF($B$235:B241,"&gt;0"))," ")</f>
        <v>3</v>
      </c>
      <c r="C242" s="1" t="s">
        <v>251</v>
      </c>
      <c r="D242" s="2" t="s">
        <v>178</v>
      </c>
    </row>
    <row r="243" spans="1:5">
      <c r="A243" s="9" t="str">
        <f t="shared" si="13"/>
        <v xml:space="preserve"> </v>
      </c>
      <c r="B243" s="11" t="str">
        <f>IF(AND(D243&gt;0,NOT(D243=" "),NOT(D242&gt;0)),1+(COUNTIF($B$235:B242,"&gt;0"))," ")</f>
        <v xml:space="preserve"> </v>
      </c>
      <c r="E243" s="3" t="s">
        <v>196</v>
      </c>
    </row>
    <row r="244" spans="1:5">
      <c r="A244" s="9" t="str">
        <f t="shared" si="13"/>
        <v xml:space="preserve"> </v>
      </c>
      <c r="B244" s="11" t="str">
        <f>IF(AND(D244&gt;0,NOT(D244=" "),NOT(D243&gt;0)),1+(COUNTIF($B$235:B243,"&gt;0"))," ")</f>
        <v xml:space="preserve"> </v>
      </c>
    </row>
    <row r="245" spans="1:5" ht="82.8">
      <c r="A245" s="9" t="str">
        <f t="shared" si="13"/>
        <v>6.</v>
      </c>
      <c r="B245" s="11">
        <f>IF(AND(D245&gt;0,NOT(D245=" "),NOT(D244&gt;0)),1+(COUNTIF($B$235:B244,"&gt;0"))," ")</f>
        <v>4</v>
      </c>
      <c r="C245" s="1" t="s">
        <v>179</v>
      </c>
      <c r="D245" s="2" t="s">
        <v>193</v>
      </c>
    </row>
    <row r="246" spans="1:5">
      <c r="A246" s="9" t="str">
        <f t="shared" si="13"/>
        <v xml:space="preserve"> </v>
      </c>
      <c r="B246" s="11" t="str">
        <f>IF(AND(D246&gt;0,NOT(D246=" "),NOT(D245&gt;0)),1+(COUNTIF($B$235:B245,"&gt;0"))," ")</f>
        <v xml:space="preserve"> </v>
      </c>
      <c r="E246" s="3" t="s">
        <v>196</v>
      </c>
    </row>
    <row r="247" spans="1:5">
      <c r="A247" s="9" t="str">
        <f t="shared" si="13"/>
        <v xml:space="preserve"> </v>
      </c>
      <c r="B247" s="11" t="str">
        <f>IF(AND(D247&gt;0,NOT(D247=" "),NOT(D246&gt;0)),1+(COUNTIF($B$235:B246,"&gt;0"))," ")</f>
        <v xml:space="preserve"> </v>
      </c>
    </row>
    <row r="248" spans="1:5" ht="82.8">
      <c r="A248" s="9" t="str">
        <f t="shared" si="13"/>
        <v>6.</v>
      </c>
      <c r="B248" s="11">
        <f>IF(AND(D248&gt;0,NOT(D248=" "),NOT(D247&gt;0)),1+(COUNTIF($B$235:B247,"&gt;0"))," ")</f>
        <v>5</v>
      </c>
      <c r="C248" s="1" t="s">
        <v>194</v>
      </c>
      <c r="D248" s="2" t="s">
        <v>45</v>
      </c>
    </row>
    <row r="249" spans="1:5">
      <c r="A249" s="9" t="str">
        <f t="shared" si="13"/>
        <v xml:space="preserve"> </v>
      </c>
      <c r="B249" s="11" t="str">
        <f>IF(AND(D249&gt;0,NOT(D249=" "),NOT(D248&gt;0)),1+(COUNTIF($B$235:B248,"&gt;0"))," ")</f>
        <v xml:space="preserve"> </v>
      </c>
      <c r="E249" s="3" t="s">
        <v>196</v>
      </c>
    </row>
    <row r="250" spans="1:5">
      <c r="A250" s="9" t="str">
        <f t="shared" si="13"/>
        <v xml:space="preserve"> </v>
      </c>
      <c r="B250" s="11" t="str">
        <f>IF(AND(D250&gt;0,NOT(D250=" "),NOT(D249&gt;0)),1+(COUNTIF($B$235:B249,"&gt;0"))," ")</f>
        <v xml:space="preserve"> </v>
      </c>
    </row>
    <row r="251" spans="1:5" ht="69">
      <c r="A251" s="9" t="str">
        <f t="shared" si="13"/>
        <v>6.</v>
      </c>
      <c r="B251" s="11">
        <f>IF(AND(D251&gt;0,NOT(D251=" "),NOT(D250&gt;0)),1+(COUNTIF($B$235:B250,"&gt;0"))," ")</f>
        <v>6</v>
      </c>
      <c r="C251" s="1" t="s">
        <v>46</v>
      </c>
      <c r="D251" s="2" t="s">
        <v>47</v>
      </c>
    </row>
    <row r="252" spans="1:5">
      <c r="A252" s="9" t="str">
        <f t="shared" si="13"/>
        <v xml:space="preserve"> </v>
      </c>
      <c r="B252" s="11" t="str">
        <f>IF(AND(D252&gt;0,NOT(D252=" "),NOT(D251&gt;0)),1+(COUNTIF($B$235:B251,"&gt;0"))," ")</f>
        <v xml:space="preserve"> </v>
      </c>
      <c r="E252" s="3" t="s">
        <v>196</v>
      </c>
    </row>
    <row r="253" spans="1:5">
      <c r="A253" s="9" t="str">
        <f t="shared" si="13"/>
        <v xml:space="preserve"> </v>
      </c>
      <c r="B253" s="11" t="str">
        <f>IF(AND(D253&gt;0,NOT(D253=" "),NOT(D252&gt;0)),1+(COUNTIF($B$235:B252,"&gt;0"))," ")</f>
        <v xml:space="preserve"> </v>
      </c>
    </row>
    <row r="254" spans="1:5" ht="69">
      <c r="A254" s="9" t="str">
        <f t="shared" ref="A254:A269" si="14">IF(OR(B254="",B254= " ")," ",$A$235)</f>
        <v>6.</v>
      </c>
      <c r="B254" s="11">
        <f>IF(AND(D254&gt;0,NOT(D254=" "),NOT(D253&gt;0)),1+(COUNTIF($B$235:B253,"&gt;0"))," ")</f>
        <v>7</v>
      </c>
      <c r="C254" s="1" t="s">
        <v>48</v>
      </c>
      <c r="D254" s="2" t="s">
        <v>336</v>
      </c>
    </row>
    <row r="255" spans="1:5">
      <c r="A255" s="9" t="str">
        <f t="shared" si="14"/>
        <v xml:space="preserve"> </v>
      </c>
      <c r="B255" s="11" t="str">
        <f>IF(AND(D255&gt;0,NOT(D255=" "),NOT(D254&gt;0)),1+(COUNTIF($B$235:B254,"&gt;0"))," ")</f>
        <v xml:space="preserve"> </v>
      </c>
      <c r="E255" s="3" t="s">
        <v>196</v>
      </c>
    </row>
    <row r="256" spans="1:5">
      <c r="A256" s="9" t="str">
        <f t="shared" si="14"/>
        <v xml:space="preserve"> </v>
      </c>
      <c r="B256" s="11" t="str">
        <f>IF(AND(D256&gt;0,NOT(D256=" "),NOT(D255&gt;0)),1+(COUNTIF($B$235:B255,"&gt;0"))," ")</f>
        <v xml:space="preserve"> </v>
      </c>
    </row>
    <row r="257" spans="1:5" ht="82.8">
      <c r="A257" s="9" t="str">
        <f t="shared" si="14"/>
        <v>6.</v>
      </c>
      <c r="B257" s="11">
        <f>IF(AND(D257&gt;0,NOT(D257=" "),NOT(D256&gt;0)),1+(COUNTIF($B$235:B256,"&gt;0"))," ")</f>
        <v>8</v>
      </c>
      <c r="C257" s="1" t="s">
        <v>337</v>
      </c>
      <c r="D257" s="2" t="s">
        <v>338</v>
      </c>
    </row>
    <row r="258" spans="1:5">
      <c r="A258" s="9" t="str">
        <f t="shared" si="14"/>
        <v xml:space="preserve"> </v>
      </c>
      <c r="B258" s="11" t="str">
        <f>IF(AND(D258&gt;0,NOT(D258=" "),NOT(D257&gt;0)),1+(COUNTIF($B$235:B257,"&gt;0"))," ")</f>
        <v xml:space="preserve"> </v>
      </c>
      <c r="E258" s="3" t="s">
        <v>196</v>
      </c>
    </row>
    <row r="259" spans="1:5">
      <c r="A259" s="9" t="str">
        <f t="shared" si="14"/>
        <v xml:space="preserve"> </v>
      </c>
      <c r="B259" s="11" t="str">
        <f>IF(AND(D259&gt;0,NOT(D259=" "),NOT(D258&gt;0)),1+(COUNTIF($B$235:B258,"&gt;0"))," ")</f>
        <v xml:space="preserve"> </v>
      </c>
    </row>
    <row r="260" spans="1:5" ht="82.8">
      <c r="A260" s="9" t="str">
        <f t="shared" si="14"/>
        <v>6.</v>
      </c>
      <c r="B260" s="11">
        <f>IF(AND(D260&gt;0,NOT(D260=" "),NOT(D259&gt;0)),1+(COUNTIF($B$235:B259,"&gt;0"))," ")</f>
        <v>9</v>
      </c>
      <c r="C260" s="1" t="s">
        <v>339</v>
      </c>
      <c r="D260" s="2" t="s">
        <v>340</v>
      </c>
    </row>
    <row r="261" spans="1:5">
      <c r="A261" s="9" t="str">
        <f t="shared" si="14"/>
        <v xml:space="preserve"> </v>
      </c>
      <c r="B261" s="11" t="str">
        <f>IF(AND(D261&gt;0,NOT(D261=" "),NOT(D260&gt;0)),1+(COUNTIF($B$235:B260,"&gt;0"))," ")</f>
        <v xml:space="preserve"> </v>
      </c>
      <c r="E261" s="3" t="s">
        <v>196</v>
      </c>
    </row>
    <row r="262" spans="1:5">
      <c r="A262" s="9" t="str">
        <f t="shared" si="14"/>
        <v xml:space="preserve"> </v>
      </c>
      <c r="B262" s="11" t="str">
        <f>IF(AND(D262&gt;0,NOT(D262=" "),NOT(D261&gt;0)),1+(COUNTIF($B$235:B261,"&gt;0"))," ")</f>
        <v xml:space="preserve"> </v>
      </c>
    </row>
    <row r="263" spans="1:5" ht="82.8">
      <c r="A263" s="9" t="str">
        <f t="shared" si="14"/>
        <v>6.</v>
      </c>
      <c r="B263" s="11">
        <f>IF(AND(D263&gt;0,NOT(D263=" "),NOT(D262&gt;0)),1+(COUNTIF($B$235:B262,"&gt;0"))," ")</f>
        <v>10</v>
      </c>
      <c r="C263" s="1" t="s">
        <v>341</v>
      </c>
      <c r="D263" s="2" t="s">
        <v>41</v>
      </c>
    </row>
    <row r="264" spans="1:5">
      <c r="A264" s="9" t="str">
        <f t="shared" si="14"/>
        <v xml:space="preserve"> </v>
      </c>
      <c r="B264" s="11" t="str">
        <f>IF(AND(D264&gt;0,NOT(D264=" "),NOT(D263&gt;0)),1+(COUNTIF($B$235:B263,"&gt;0"))," ")</f>
        <v xml:space="preserve"> </v>
      </c>
      <c r="E264" s="3" t="s">
        <v>196</v>
      </c>
    </row>
    <row r="265" spans="1:5">
      <c r="A265" s="9" t="str">
        <f t="shared" si="14"/>
        <v xml:space="preserve"> </v>
      </c>
      <c r="B265" s="11" t="str">
        <f>IF(AND(D265&gt;0,NOT(D265=" "),NOT(D264&gt;0)),1+(COUNTIF($B$235:B264,"&gt;0"))," ")</f>
        <v xml:space="preserve"> </v>
      </c>
    </row>
    <row r="266" spans="1:5" ht="82.8">
      <c r="A266" s="9" t="str">
        <f t="shared" si="14"/>
        <v>6.</v>
      </c>
      <c r="B266" s="11">
        <f>IF(AND(D266&gt;0,NOT(D266=" "),NOT(D265&gt;0)),1+(COUNTIF($B$235:B265,"&gt;0"))," ")</f>
        <v>11</v>
      </c>
      <c r="C266" s="1" t="s">
        <v>42</v>
      </c>
      <c r="D266" s="2" t="s">
        <v>74</v>
      </c>
    </row>
    <row r="267" spans="1:5">
      <c r="A267" s="9" t="str">
        <f t="shared" si="14"/>
        <v xml:space="preserve"> </v>
      </c>
      <c r="B267" s="11" t="str">
        <f>IF(AND(D267&gt;0,NOT(D267=" "),NOT(D266&gt;0)),1+(COUNTIF($B$235:B266,"&gt;0"))," ")</f>
        <v xml:space="preserve"> </v>
      </c>
      <c r="E267" s="3" t="s">
        <v>196</v>
      </c>
    </row>
    <row r="268" spans="1:5">
      <c r="A268" s="9" t="str">
        <f t="shared" si="14"/>
        <v xml:space="preserve"> </v>
      </c>
      <c r="B268" s="11" t="str">
        <f>IF(AND(D268&gt;0,NOT(D268=" "),NOT(D267&gt;0)),1+(COUNTIF($B$235:B267,"&gt;0"))," ")</f>
        <v xml:space="preserve"> </v>
      </c>
    </row>
    <row r="269" spans="1:5" ht="55.2">
      <c r="A269" s="9" t="str">
        <f t="shared" si="14"/>
        <v>6.</v>
      </c>
      <c r="B269" s="11">
        <f>IF(AND(D269&gt;0,NOT(D269=" "),NOT(D268&gt;0)),1+(COUNTIF($B$235:B268,"&gt;0"))," ")</f>
        <v>12</v>
      </c>
      <c r="C269" s="1" t="s">
        <v>75</v>
      </c>
      <c r="D269" s="2" t="s">
        <v>76</v>
      </c>
    </row>
    <row r="270" spans="1:5">
      <c r="A270" s="9" t="str">
        <f t="shared" ref="A270:A285" si="15">IF(OR(B270="",B270= " ")," ",$A$235)</f>
        <v xml:space="preserve"> </v>
      </c>
      <c r="B270" s="11" t="str">
        <f>IF(AND(D270&gt;0,NOT(D270=" "),NOT(D269&gt;0)),1+(COUNTIF($B$235:B269,"&gt;0"))," ")</f>
        <v xml:space="preserve"> </v>
      </c>
      <c r="E270" s="3" t="s">
        <v>196</v>
      </c>
    </row>
    <row r="271" spans="1:5">
      <c r="A271" s="9" t="str">
        <f t="shared" si="15"/>
        <v xml:space="preserve"> </v>
      </c>
      <c r="B271" s="11" t="str">
        <f>IF(AND(D271&gt;0,NOT(D271=" "),NOT(D270&gt;0)),1+(COUNTIF($B$235:B270,"&gt;0"))," ")</f>
        <v xml:space="preserve"> </v>
      </c>
    </row>
    <row r="272" spans="1:5" ht="55.2">
      <c r="A272" s="9" t="str">
        <f t="shared" si="15"/>
        <v>6.</v>
      </c>
      <c r="B272" s="11">
        <f>IF(AND(D272&gt;0,NOT(D272=" "),NOT(D271&gt;0)),1+(COUNTIF($B$235:B271,"&gt;0"))," ")</f>
        <v>13</v>
      </c>
      <c r="C272" s="1" t="s">
        <v>77</v>
      </c>
      <c r="D272" s="2" t="s">
        <v>78</v>
      </c>
    </row>
    <row r="273" spans="1:5">
      <c r="A273" s="9" t="str">
        <f t="shared" si="15"/>
        <v xml:space="preserve"> </v>
      </c>
      <c r="B273" s="11" t="str">
        <f>IF(AND(D273&gt;0,NOT(D273=" "),NOT(D272&gt;0)),1+(COUNTIF($B$235:B272,"&gt;0"))," ")</f>
        <v xml:space="preserve"> </v>
      </c>
      <c r="E273" s="3" t="s">
        <v>196</v>
      </c>
    </row>
    <row r="274" spans="1:5">
      <c r="A274" s="9" t="str">
        <f t="shared" si="15"/>
        <v xml:space="preserve"> </v>
      </c>
      <c r="B274" s="11" t="str">
        <f>IF(AND(D274&gt;0,NOT(D274=" "),NOT(D273&gt;0)),1+(COUNTIF($B$235:B273,"&gt;0"))," ")</f>
        <v xml:space="preserve"> </v>
      </c>
    </row>
    <row r="275" spans="1:5" ht="41.4">
      <c r="A275" s="9" t="str">
        <f t="shared" si="15"/>
        <v>6.</v>
      </c>
      <c r="B275" s="11">
        <f>IF(AND(D275&gt;0,NOT(D275=" "),NOT(D274&gt;0)),1+(COUNTIF($B$235:B274,"&gt;0"))," ")</f>
        <v>14</v>
      </c>
      <c r="C275" s="1" t="s">
        <v>79</v>
      </c>
      <c r="D275" s="2" t="s">
        <v>80</v>
      </c>
    </row>
    <row r="276" spans="1:5">
      <c r="A276" s="9" t="str">
        <f t="shared" si="15"/>
        <v xml:space="preserve"> </v>
      </c>
      <c r="B276" s="11" t="str">
        <f>IF(AND(D276&gt;0,NOT(D276=" "),NOT(D275&gt;0)),1+(COUNTIF($B$235:B275,"&gt;0"))," ")</f>
        <v xml:space="preserve"> </v>
      </c>
      <c r="E276" s="3" t="s">
        <v>196</v>
      </c>
    </row>
    <row r="277" spans="1:5">
      <c r="A277" s="9" t="str">
        <f t="shared" si="15"/>
        <v xml:space="preserve"> </v>
      </c>
      <c r="B277" s="11" t="str">
        <f>IF(AND(D277&gt;0,NOT(D277=" "),NOT(D276&gt;0)),1+(COUNTIF($B$235:B276,"&gt;0"))," ")</f>
        <v xml:space="preserve"> </v>
      </c>
    </row>
    <row r="278" spans="1:5" ht="82.8">
      <c r="A278" s="9" t="str">
        <f t="shared" si="15"/>
        <v>6.</v>
      </c>
      <c r="B278" s="11">
        <f>IF(AND(D278&gt;0,NOT(D278=" "),NOT(D277&gt;0)),1+(COUNTIF($B$235:B277,"&gt;0"))," ")</f>
        <v>15</v>
      </c>
      <c r="C278" s="1" t="s">
        <v>81</v>
      </c>
      <c r="D278" s="2" t="s">
        <v>82</v>
      </c>
    </row>
    <row r="279" spans="1:5">
      <c r="A279" s="9" t="str">
        <f t="shared" si="15"/>
        <v xml:space="preserve"> </v>
      </c>
      <c r="B279" s="11" t="str">
        <f>IF(AND(D279&gt;0,NOT(D279=" "),NOT(D278&gt;0)),1+(COUNTIF($B$235:B278,"&gt;0"))," ")</f>
        <v xml:space="preserve"> </v>
      </c>
      <c r="E279" s="3" t="s">
        <v>415</v>
      </c>
    </row>
    <row r="280" spans="1:5">
      <c r="A280" s="9" t="str">
        <f t="shared" si="15"/>
        <v xml:space="preserve"> </v>
      </c>
      <c r="B280" s="11" t="str">
        <f>IF(AND(D280&gt;0,NOT(D280=" "),NOT(D279&gt;0)),1+(COUNTIF($B$235:B279,"&gt;0"))," ")</f>
        <v xml:space="preserve"> </v>
      </c>
    </row>
    <row r="281" spans="1:5" ht="27.6">
      <c r="A281" s="9" t="str">
        <f t="shared" si="15"/>
        <v>6.</v>
      </c>
      <c r="B281" s="11">
        <f>IF(AND(D281&gt;0,NOT(D281=" "),NOT(D280&gt;0)),1+(COUNTIF($B$235:B280,"&gt;0"))," ")</f>
        <v>16</v>
      </c>
      <c r="C281" s="1" t="s">
        <v>83</v>
      </c>
      <c r="D281" s="2" t="s">
        <v>84</v>
      </c>
    </row>
    <row r="282" spans="1:5">
      <c r="A282" s="9" t="str">
        <f t="shared" si="15"/>
        <v xml:space="preserve"> </v>
      </c>
      <c r="B282" s="11" t="str">
        <f>IF(AND(D282&gt;0,NOT(D282=" "),NOT(D281&gt;0)),1+(COUNTIF($B$235:B281,"&gt;0"))," ")</f>
        <v xml:space="preserve"> </v>
      </c>
      <c r="E282" s="3" t="s">
        <v>415</v>
      </c>
    </row>
    <row r="283" spans="1:5">
      <c r="A283" s="9" t="str">
        <f t="shared" si="15"/>
        <v xml:space="preserve"> </v>
      </c>
      <c r="B283" s="11" t="str">
        <f>IF(AND(D283&gt;0,NOT(D283=" "),NOT(D282&gt;0)),1+(COUNTIF($B$235:B282,"&gt;0"))," ")</f>
        <v xml:space="preserve"> </v>
      </c>
    </row>
    <row r="284" spans="1:5" ht="82.8">
      <c r="A284" s="9" t="str">
        <f t="shared" si="15"/>
        <v>6.</v>
      </c>
      <c r="B284" s="11">
        <f>IF(AND(D284&gt;0,NOT(D284=" "),NOT(D283&gt;0)),1+(COUNTIF($B$235:B283,"&gt;0"))," ")</f>
        <v>17</v>
      </c>
      <c r="C284" s="1" t="s">
        <v>85</v>
      </c>
      <c r="D284" s="2" t="s">
        <v>86</v>
      </c>
    </row>
    <row r="285" spans="1:5">
      <c r="A285" s="9" t="str">
        <f t="shared" si="15"/>
        <v xml:space="preserve"> </v>
      </c>
      <c r="B285" s="11" t="str">
        <f>IF(AND(D285&gt;0,NOT(D285=" "),NOT(D284&gt;0)),1+(COUNTIF($B$235:B284,"&gt;0"))," ")</f>
        <v xml:space="preserve"> </v>
      </c>
      <c r="E285" s="3" t="s">
        <v>196</v>
      </c>
    </row>
    <row r="286" spans="1:5">
      <c r="A286" s="9" t="str">
        <f t="shared" ref="A286:A300" si="16">IF(OR(B286="",B286= " ")," ",$A$235)</f>
        <v xml:space="preserve"> </v>
      </c>
      <c r="B286" s="11" t="str">
        <f>IF(AND(D286&gt;0,NOT(D286=" "),NOT(D285&gt;0)),1+(COUNTIF($B$235:B285,"&gt;0"))," ")</f>
        <v xml:space="preserve"> </v>
      </c>
    </row>
    <row r="287" spans="1:5">
      <c r="A287" s="9" t="str">
        <f t="shared" si="16"/>
        <v>6.</v>
      </c>
      <c r="B287" s="11">
        <f>IF(AND(D287&gt;0,NOT(D287=" "),NOT(D286&gt;0)),1+(COUNTIF($B$235:B286,"&gt;0"))," ")</f>
        <v>18</v>
      </c>
      <c r="C287" s="1" t="s">
        <v>285</v>
      </c>
      <c r="D287" s="2" t="s">
        <v>460</v>
      </c>
    </row>
    <row r="288" spans="1:5">
      <c r="A288" s="9" t="str">
        <f t="shared" si="16"/>
        <v xml:space="preserve"> </v>
      </c>
      <c r="B288" s="11" t="str">
        <f>IF(AND(D288&gt;0,NOT(D288=" "),NOT(D287&gt;0)),1+(COUNTIF($B$235:B287,"&gt;0"))," ")</f>
        <v xml:space="preserve"> </v>
      </c>
    </row>
    <row r="289" spans="1:5">
      <c r="A289" s="9" t="str">
        <f t="shared" si="16"/>
        <v xml:space="preserve"> </v>
      </c>
      <c r="B289" s="11" t="str">
        <f>IF(AND(D289&gt;0,NOT(D289=" "),NOT(D288&gt;0)),1+(COUNTIF($B$235:B288,"&gt;0"))," ")</f>
        <v xml:space="preserve"> </v>
      </c>
    </row>
    <row r="290" spans="1:5">
      <c r="A290" s="9" t="s">
        <v>461</v>
      </c>
      <c r="B290" s="11"/>
      <c r="C290" s="1" t="s">
        <v>462</v>
      </c>
      <c r="D290" s="2" t="s">
        <v>463</v>
      </c>
    </row>
    <row r="291" spans="1:5">
      <c r="A291" s="9" t="str">
        <f t="shared" si="16"/>
        <v xml:space="preserve"> </v>
      </c>
      <c r="B291" s="11" t="str">
        <f>IF(AND(D291&gt;0,NOT(D291=" "),NOT(D290&gt;0)),1+(COUNTIF($B$235:B290,"&gt;0"))," ")</f>
        <v xml:space="preserve"> </v>
      </c>
    </row>
    <row r="292" spans="1:5" ht="82.8">
      <c r="A292" s="9" t="str">
        <f>IF(OR(B292="",B292= " ")," ",$A$290)</f>
        <v>7.</v>
      </c>
      <c r="B292" s="11">
        <f>IF(AND(D292&gt;0,NOT(D292=" "),NOT(D291&gt;0)),1+(COUNTIF($B$290:B291,"&gt;0"))," ")</f>
        <v>1</v>
      </c>
      <c r="C292" s="1" t="s">
        <v>464</v>
      </c>
      <c r="D292" s="2" t="s">
        <v>465</v>
      </c>
    </row>
    <row r="293" spans="1:5">
      <c r="A293" s="9" t="str">
        <f>IF(OR(B293="",B293= " ")," ",$A$290)</f>
        <v xml:space="preserve"> </v>
      </c>
      <c r="B293" s="11" t="str">
        <f>IF(AND(D293&gt;0,NOT(D293=" "),NOT(D292&gt;0)),1+(COUNTIF($B$290:B292,"&gt;0"))," ")</f>
        <v xml:space="preserve"> </v>
      </c>
      <c r="E293" s="3" t="s">
        <v>196</v>
      </c>
    </row>
    <row r="294" spans="1:5">
      <c r="A294" s="9" t="str">
        <f>IF(OR(B294="",B294= " ")," ",$A$290)</f>
        <v xml:space="preserve"> </v>
      </c>
      <c r="B294" s="11" t="str">
        <f>IF(AND(D294&gt;0,NOT(D294=" "),NOT(D293&gt;0)),1+(COUNTIF($B$290:B293,"&gt;0"))," ")</f>
        <v xml:space="preserve"> </v>
      </c>
    </row>
    <row r="295" spans="1:5" ht="82.8">
      <c r="A295" s="9" t="str">
        <f>IF(OR(B295="",B295= " ")," ",$A$290)</f>
        <v>7.</v>
      </c>
      <c r="B295" s="11">
        <f>IF(AND(D295&gt;0,NOT(D295=" "),NOT(D294&gt;0)),1+(COUNTIF($B$290:B294,"&gt;0"))," ")</f>
        <v>2</v>
      </c>
      <c r="C295" s="1" t="s">
        <v>466</v>
      </c>
      <c r="D295" s="2" t="s">
        <v>2</v>
      </c>
    </row>
    <row r="296" spans="1:5">
      <c r="A296" s="9" t="str">
        <f t="shared" si="16"/>
        <v xml:space="preserve"> </v>
      </c>
      <c r="B296" s="11" t="str">
        <f>IF(AND(D296&gt;0,NOT(D296=" "),NOT(D295&gt;0)),1+(COUNTIF($B$235:B295,"&gt;0"))," ")</f>
        <v xml:space="preserve"> </v>
      </c>
      <c r="E296" s="3" t="s">
        <v>196</v>
      </c>
    </row>
    <row r="297" spans="1:5">
      <c r="A297" s="9" t="str">
        <f t="shared" si="16"/>
        <v xml:space="preserve"> </v>
      </c>
      <c r="B297" s="11" t="str">
        <f>IF(AND(D297&gt;0,NOT(D297=" "),NOT(D296&gt;0)),1+(COUNTIF($B$235:B296,"&gt;0"))," ")</f>
        <v xml:space="preserve"> </v>
      </c>
    </row>
    <row r="298" spans="1:5">
      <c r="A298" s="9" t="str">
        <f>$A$290</f>
        <v>7.</v>
      </c>
      <c r="B298" s="11"/>
      <c r="C298" s="1" t="s">
        <v>462</v>
      </c>
      <c r="D298" s="2" t="s">
        <v>3</v>
      </c>
    </row>
    <row r="299" spans="1:5">
      <c r="A299" s="9" t="str">
        <f t="shared" si="16"/>
        <v xml:space="preserve"> </v>
      </c>
      <c r="B299" s="11" t="str">
        <f>IF(AND(D299&gt;0,NOT(D299=" "),NOT(D298&gt;0)),1+(COUNTIF($B$235:B298,"&gt;0"))," ")</f>
        <v xml:space="preserve"> </v>
      </c>
    </row>
    <row r="300" spans="1:5">
      <c r="A300" s="9" t="str">
        <f t="shared" si="16"/>
        <v xml:space="preserve"> </v>
      </c>
      <c r="B300" s="11" t="str">
        <f>IF(AND(D300&gt;0,NOT(D300=" "),NOT(D299&gt;0)),1+(COUNTIF($B$235:B299,"&gt;0"))," ")</f>
        <v xml:space="preserve"> </v>
      </c>
    </row>
    <row r="301" spans="1:5">
      <c r="A301" s="9" t="s">
        <v>4</v>
      </c>
      <c r="B301" s="11"/>
      <c r="C301" s="1" t="s">
        <v>5</v>
      </c>
      <c r="D301" s="2" t="s">
        <v>6</v>
      </c>
    </row>
    <row r="302" spans="1:5">
      <c r="A302" s="9" t="str">
        <f>IF(OR(B302="",B302= " ")," ",$A$235)</f>
        <v xml:space="preserve"> </v>
      </c>
      <c r="B302" s="11" t="str">
        <f>IF(AND(D302&gt;0,NOT(D302=" "),NOT(D301&gt;0)),1+(COUNTIF($B$235:B301,"&gt;0"))," ")</f>
        <v xml:space="preserve"> </v>
      </c>
    </row>
    <row r="303" spans="1:5" ht="82.8">
      <c r="A303" s="9" t="str">
        <f>IF(OR(B303="",B303= " ")," ",$A$301)</f>
        <v>8.</v>
      </c>
      <c r="B303" s="11">
        <f>IF(AND(D303&gt;0,NOT(D303=" "),NOT(D302&gt;0)),1+(COUNTIF($B$301:B302,"&gt;0"))," ")</f>
        <v>1</v>
      </c>
      <c r="C303" s="1" t="s">
        <v>7</v>
      </c>
      <c r="D303" s="2" t="s">
        <v>19</v>
      </c>
    </row>
    <row r="304" spans="1:5">
      <c r="A304" s="9" t="str">
        <f t="shared" ref="A304:A319" si="17">IF(OR(B304="",B304= " ")," ",$A$301)</f>
        <v xml:space="preserve"> </v>
      </c>
      <c r="B304" s="11" t="str">
        <f>IF(AND(D304&gt;0,NOT(D304=" "),NOT(D303&gt;0)),1+(COUNTIF($B$301:B303,"&gt;0"))," ")</f>
        <v xml:space="preserve"> </v>
      </c>
      <c r="E304" s="3" t="s">
        <v>196</v>
      </c>
    </row>
    <row r="305" spans="1:5">
      <c r="A305" s="9" t="str">
        <f t="shared" si="17"/>
        <v xml:space="preserve"> </v>
      </c>
      <c r="B305" s="11" t="str">
        <f>IF(AND(D305&gt;0,NOT(D305=" "),NOT(D304&gt;0)),1+(COUNTIF($B$301:B304,"&gt;0"))," ")</f>
        <v xml:space="preserve"> </v>
      </c>
    </row>
    <row r="306" spans="1:5" ht="82.8">
      <c r="A306" s="9" t="str">
        <f t="shared" si="17"/>
        <v>8.</v>
      </c>
      <c r="B306" s="11">
        <f>IF(AND(D306&gt;0,NOT(D306=" "),NOT(D305&gt;0)),1+(COUNTIF($B$301:B305,"&gt;0"))," ")</f>
        <v>2</v>
      </c>
      <c r="C306" s="1" t="s">
        <v>20</v>
      </c>
      <c r="D306" s="2" t="s">
        <v>345</v>
      </c>
    </row>
    <row r="307" spans="1:5">
      <c r="A307" s="9" t="str">
        <f t="shared" si="17"/>
        <v xml:space="preserve"> </v>
      </c>
      <c r="B307" s="11" t="str">
        <f>IF(AND(D307&gt;0,NOT(D307=" "),NOT(D306&gt;0)),1+(COUNTIF($B$301:B306,"&gt;0"))," ")</f>
        <v xml:space="preserve"> </v>
      </c>
      <c r="E307" s="3" t="s">
        <v>196</v>
      </c>
    </row>
    <row r="308" spans="1:5">
      <c r="A308" s="9" t="str">
        <f t="shared" si="17"/>
        <v xml:space="preserve"> </v>
      </c>
      <c r="B308" s="11" t="str">
        <f>IF(AND(D308&gt;0,NOT(D308=" "),NOT(D307&gt;0)),1+(COUNTIF($B$301:B307,"&gt;0"))," ")</f>
        <v xml:space="preserve"> </v>
      </c>
    </row>
    <row r="309" spans="1:5" ht="82.8">
      <c r="A309" s="9" t="str">
        <f t="shared" si="17"/>
        <v>8.</v>
      </c>
      <c r="B309" s="11">
        <f>IF(AND(D309&gt;0,NOT(D309=" "),NOT(D308&gt;0)),1+(COUNTIF($B$301:B308,"&gt;0"))," ")</f>
        <v>3</v>
      </c>
      <c r="C309" s="1" t="s">
        <v>346</v>
      </c>
      <c r="D309" s="2" t="s">
        <v>347</v>
      </c>
    </row>
    <row r="310" spans="1:5">
      <c r="A310" s="9" t="str">
        <f t="shared" si="17"/>
        <v xml:space="preserve"> </v>
      </c>
      <c r="B310" s="11" t="str">
        <f>IF(AND(D310&gt;0,NOT(D310=" "),NOT(D309&gt;0)),1+(COUNTIF($B$301:B309,"&gt;0"))," ")</f>
        <v xml:space="preserve"> </v>
      </c>
      <c r="E310" s="3" t="s">
        <v>196</v>
      </c>
    </row>
    <row r="311" spans="1:5">
      <c r="A311" s="9" t="str">
        <f t="shared" si="17"/>
        <v xml:space="preserve"> </v>
      </c>
      <c r="B311" s="11" t="str">
        <f>IF(AND(D311&gt;0,NOT(D311=" "),NOT(D310&gt;0)),1+(COUNTIF($B$301:B310,"&gt;0"))," ")</f>
        <v xml:space="preserve"> </v>
      </c>
    </row>
    <row r="312" spans="1:5" ht="82.8">
      <c r="A312" s="9" t="str">
        <f t="shared" si="17"/>
        <v>8.</v>
      </c>
      <c r="B312" s="11">
        <f>IF(AND(D312&gt;0,NOT(D312=" "),NOT(D311&gt;0)),1+(COUNTIF($B$301:B311,"&gt;0"))," ")</f>
        <v>4</v>
      </c>
      <c r="C312" s="1" t="s">
        <v>348</v>
      </c>
      <c r="D312" s="2" t="s">
        <v>477</v>
      </c>
    </row>
    <row r="313" spans="1:5">
      <c r="A313" s="9" t="str">
        <f t="shared" si="17"/>
        <v xml:space="preserve"> </v>
      </c>
      <c r="B313" s="11" t="str">
        <f>IF(AND(D313&gt;0,NOT(D313=" "),NOT(D312&gt;0)),1+(COUNTIF($B$301:B312,"&gt;0"))," ")</f>
        <v xml:space="preserve"> </v>
      </c>
      <c r="E313" s="3" t="s">
        <v>196</v>
      </c>
    </row>
    <row r="314" spans="1:5">
      <c r="A314" s="9" t="str">
        <f t="shared" si="17"/>
        <v xml:space="preserve"> </v>
      </c>
      <c r="B314" s="11" t="str">
        <f>IF(AND(D314&gt;0,NOT(D314=" "),NOT(D313&gt;0)),1+(COUNTIF($B$301:B313,"&gt;0"))," ")</f>
        <v xml:space="preserve"> </v>
      </c>
    </row>
    <row r="315" spans="1:5" ht="69">
      <c r="A315" s="9" t="str">
        <f t="shared" si="17"/>
        <v>8.</v>
      </c>
      <c r="B315" s="11">
        <f>IF(AND(D315&gt;0,NOT(D315=" "),NOT(D314&gt;0)),1+(COUNTIF($B$301:B314,"&gt;0"))," ")</f>
        <v>5</v>
      </c>
      <c r="C315" s="1" t="s">
        <v>478</v>
      </c>
      <c r="D315" s="2" t="s">
        <v>168</v>
      </c>
    </row>
    <row r="316" spans="1:5">
      <c r="A316" s="9" t="str">
        <f t="shared" si="17"/>
        <v xml:space="preserve"> </v>
      </c>
      <c r="B316" s="11" t="str">
        <f>IF(AND(D316&gt;0,NOT(D316=" "),NOT(D315&gt;0)),1+(COUNTIF($B$301:B315,"&gt;0"))," ")</f>
        <v xml:space="preserve"> </v>
      </c>
      <c r="E316" s="3" t="s">
        <v>196</v>
      </c>
    </row>
    <row r="317" spans="1:5">
      <c r="A317" s="9" t="str">
        <f t="shared" si="17"/>
        <v xml:space="preserve"> </v>
      </c>
      <c r="B317" s="11" t="str">
        <f>IF(AND(D317&gt;0,NOT(D317=" "),NOT(D316&gt;0)),1+(COUNTIF($B$301:B316,"&gt;0"))," ")</f>
        <v xml:space="preserve"> </v>
      </c>
    </row>
    <row r="318" spans="1:5" ht="82.8">
      <c r="A318" s="9" t="str">
        <f t="shared" si="17"/>
        <v>8.</v>
      </c>
      <c r="B318" s="11">
        <f>IF(AND(D318&gt;0,NOT(D318=" "),NOT(D317&gt;0)),1+(COUNTIF($B$301:B317,"&gt;0"))," ")</f>
        <v>6</v>
      </c>
      <c r="C318" s="1" t="s">
        <v>169</v>
      </c>
      <c r="D318" s="2" t="s">
        <v>384</v>
      </c>
    </row>
    <row r="319" spans="1:5">
      <c r="A319" s="9" t="str">
        <f t="shared" si="17"/>
        <v xml:space="preserve"> </v>
      </c>
      <c r="B319" s="11" t="str">
        <f>IF(AND(D319&gt;0,NOT(D319=" "),NOT(D318&gt;0)),1+(COUNTIF($B$301:B318,"&gt;0"))," ")</f>
        <v xml:space="preserve"> </v>
      </c>
      <c r="E319" s="3" t="s">
        <v>196</v>
      </c>
    </row>
    <row r="320" spans="1:5">
      <c r="A320" s="9" t="str">
        <f t="shared" ref="A320:A335" si="18">IF(OR(B320="",B320= " ")," ",$A$301)</f>
        <v xml:space="preserve"> </v>
      </c>
      <c r="B320" s="11" t="str">
        <f>IF(AND(D320&gt;0,NOT(D320=" "),NOT(D319&gt;0)),1+(COUNTIF($B$301:B319,"&gt;0"))," ")</f>
        <v xml:space="preserve"> </v>
      </c>
    </row>
    <row r="321" spans="1:5" ht="69">
      <c r="A321" s="9" t="str">
        <f t="shared" si="18"/>
        <v>8.</v>
      </c>
      <c r="B321" s="11">
        <f>IF(AND(D321&gt;0,NOT(D321=" "),NOT(D320&gt;0)),1+(COUNTIF($B$301:B320,"&gt;0"))," ")</f>
        <v>7</v>
      </c>
      <c r="C321" s="1" t="s">
        <v>385</v>
      </c>
      <c r="D321" s="2" t="s">
        <v>386</v>
      </c>
    </row>
    <row r="322" spans="1:5">
      <c r="A322" s="9" t="str">
        <f t="shared" si="18"/>
        <v xml:space="preserve"> </v>
      </c>
      <c r="B322" s="11" t="str">
        <f>IF(AND(D322&gt;0,NOT(D322=" "),NOT(D321&gt;0)),1+(COUNTIF($B$301:B321,"&gt;0"))," ")</f>
        <v xml:space="preserve"> </v>
      </c>
      <c r="E322" s="3" t="s">
        <v>196</v>
      </c>
    </row>
    <row r="323" spans="1:5">
      <c r="A323" s="9" t="str">
        <f t="shared" si="18"/>
        <v xml:space="preserve"> </v>
      </c>
      <c r="B323" s="11" t="str">
        <f>IF(AND(D323&gt;0,NOT(D323=" "),NOT(D322&gt;0)),1+(COUNTIF($B$301:B322,"&gt;0"))," ")</f>
        <v xml:space="preserve"> </v>
      </c>
    </row>
    <row r="324" spans="1:5" ht="82.8">
      <c r="A324" s="9" t="str">
        <f t="shared" si="18"/>
        <v>8.</v>
      </c>
      <c r="B324" s="11">
        <f>IF(AND(D324&gt;0,NOT(D324=" "),NOT(D323&gt;0)),1+(COUNTIF($B$301:B323,"&gt;0"))," ")</f>
        <v>8</v>
      </c>
      <c r="C324" s="1" t="s">
        <v>387</v>
      </c>
      <c r="D324" s="2" t="s">
        <v>388</v>
      </c>
    </row>
    <row r="325" spans="1:5">
      <c r="A325" s="9" t="str">
        <f t="shared" si="18"/>
        <v xml:space="preserve"> </v>
      </c>
      <c r="B325" s="11" t="str">
        <f>IF(AND(D325&gt;0,NOT(D325=" "),NOT(D324&gt;0)),1+(COUNTIF($B$301:B324,"&gt;0"))," ")</f>
        <v xml:space="preserve"> </v>
      </c>
      <c r="E325" s="3" t="s">
        <v>196</v>
      </c>
    </row>
    <row r="326" spans="1:5">
      <c r="A326" s="9" t="str">
        <f t="shared" si="18"/>
        <v xml:space="preserve"> </v>
      </c>
      <c r="B326" s="11" t="str">
        <f>IF(AND(D326&gt;0,NOT(D326=" "),NOT(D325&gt;0)),1+(COUNTIF($B$301:B325,"&gt;0"))," ")</f>
        <v xml:space="preserve"> </v>
      </c>
    </row>
    <row r="327" spans="1:5" ht="69">
      <c r="A327" s="9" t="str">
        <f t="shared" si="18"/>
        <v>8.</v>
      </c>
      <c r="B327" s="11">
        <f>IF(AND(D327&gt;0,NOT(D327=" "),NOT(D326&gt;0)),1+(COUNTIF($B$301:B326,"&gt;0"))," ")</f>
        <v>9</v>
      </c>
      <c r="C327" s="1" t="s">
        <v>389</v>
      </c>
      <c r="D327" s="2" t="s">
        <v>289</v>
      </c>
    </row>
    <row r="328" spans="1:5">
      <c r="A328" s="9" t="str">
        <f t="shared" si="18"/>
        <v xml:space="preserve"> </v>
      </c>
      <c r="B328" s="11" t="str">
        <f>IF(AND(D328&gt;0,NOT(D328=" "),NOT(D327&gt;0)),1+(COUNTIF($B$301:B327,"&gt;0"))," ")</f>
        <v xml:space="preserve"> </v>
      </c>
      <c r="E328" s="3" t="s">
        <v>196</v>
      </c>
    </row>
    <row r="329" spans="1:5">
      <c r="A329" s="9" t="str">
        <f t="shared" si="18"/>
        <v xml:space="preserve"> </v>
      </c>
      <c r="B329" s="11" t="str">
        <f>IF(AND(D329&gt;0,NOT(D329=" "),NOT(D328&gt;0)),1+(COUNTIF($B$301:B328,"&gt;0"))," ")</f>
        <v xml:space="preserve"> </v>
      </c>
    </row>
    <row r="330" spans="1:5" ht="82.8">
      <c r="A330" s="9" t="str">
        <f t="shared" si="18"/>
        <v>8.</v>
      </c>
      <c r="B330" s="11">
        <f>IF(AND(D330&gt;0,NOT(D330=" "),NOT(D329&gt;0)),1+(COUNTIF($B$301:B329,"&gt;0"))," ")</f>
        <v>10</v>
      </c>
      <c r="C330" s="1" t="s">
        <v>290</v>
      </c>
      <c r="D330" s="2" t="s">
        <v>291</v>
      </c>
    </row>
    <row r="331" spans="1:5">
      <c r="A331" s="9" t="str">
        <f t="shared" si="18"/>
        <v xml:space="preserve"> </v>
      </c>
      <c r="B331" s="11" t="str">
        <f>IF(AND(D331&gt;0,NOT(D331=" "),NOT(D330&gt;0)),1+(COUNTIF($B$301:B330,"&gt;0"))," ")</f>
        <v xml:space="preserve"> </v>
      </c>
      <c r="E331" s="3" t="s">
        <v>196</v>
      </c>
    </row>
    <row r="332" spans="1:5">
      <c r="A332" s="9" t="str">
        <f t="shared" si="18"/>
        <v xml:space="preserve"> </v>
      </c>
      <c r="B332" s="11" t="str">
        <f>IF(AND(D332&gt;0,NOT(D332=" "),NOT(D331&gt;0)),1+(COUNTIF($B$301:B331,"&gt;0"))," ")</f>
        <v xml:space="preserve"> </v>
      </c>
    </row>
    <row r="333" spans="1:5" ht="82.8">
      <c r="A333" s="9" t="str">
        <f t="shared" si="18"/>
        <v>8.</v>
      </c>
      <c r="B333" s="11">
        <f>IF(AND(D333&gt;0,NOT(D333=" "),NOT(D332&gt;0)),1+(COUNTIF($B$301:B332,"&gt;0"))," ")</f>
        <v>11</v>
      </c>
      <c r="C333" s="1" t="s">
        <v>292</v>
      </c>
      <c r="D333" s="2" t="s">
        <v>57</v>
      </c>
    </row>
    <row r="334" spans="1:5">
      <c r="A334" s="9" t="str">
        <f t="shared" si="18"/>
        <v xml:space="preserve"> </v>
      </c>
      <c r="B334" s="11" t="str">
        <f>IF(AND(D334&gt;0,NOT(D334=" "),NOT(D333&gt;0)),1+(COUNTIF($B$301:B333,"&gt;0"))," ")</f>
        <v xml:space="preserve"> </v>
      </c>
      <c r="E334" s="3" t="s">
        <v>196</v>
      </c>
    </row>
    <row r="335" spans="1:5">
      <c r="A335" s="9" t="str">
        <f t="shared" si="18"/>
        <v xml:space="preserve"> </v>
      </c>
      <c r="B335" s="11" t="str">
        <f>IF(AND(D335&gt;0,NOT(D335=" "),NOT(D334&gt;0)),1+(COUNTIF($B$301:B334,"&gt;0"))," ")</f>
        <v xml:space="preserve"> </v>
      </c>
    </row>
    <row r="336" spans="1:5" ht="69">
      <c r="A336" s="9" t="str">
        <f t="shared" ref="A336:A351" si="19">IF(OR(B336="",B336= " ")," ",$A$301)</f>
        <v>8.</v>
      </c>
      <c r="B336" s="11">
        <f>IF(AND(D336&gt;0,NOT(D336=" "),NOT(D335&gt;0)),1+(COUNTIF($B$301:B335,"&gt;0"))," ")</f>
        <v>12</v>
      </c>
      <c r="C336" s="1" t="s">
        <v>58</v>
      </c>
      <c r="D336" s="2" t="s">
        <v>59</v>
      </c>
    </row>
    <row r="337" spans="1:5">
      <c r="A337" s="9" t="str">
        <f t="shared" si="19"/>
        <v xml:space="preserve"> </v>
      </c>
      <c r="B337" s="11" t="str">
        <f>IF(AND(D337&gt;0,NOT(D337=" "),NOT(D336&gt;0)),1+(COUNTIF($B$301:B336,"&gt;0"))," ")</f>
        <v xml:space="preserve"> </v>
      </c>
      <c r="E337" s="3" t="s">
        <v>196</v>
      </c>
    </row>
    <row r="338" spans="1:5">
      <c r="A338" s="9" t="str">
        <f t="shared" si="19"/>
        <v xml:space="preserve"> </v>
      </c>
      <c r="B338" s="11" t="str">
        <f>IF(AND(D338&gt;0,NOT(D338=" "),NOT(D337&gt;0)),1+(COUNTIF($B$301:B337,"&gt;0"))," ")</f>
        <v xml:space="preserve"> </v>
      </c>
    </row>
    <row r="339" spans="1:5" ht="82.8">
      <c r="A339" s="9" t="str">
        <f t="shared" si="19"/>
        <v>8.</v>
      </c>
      <c r="B339" s="11">
        <f>IF(AND(D339&gt;0,NOT(D339=" "),NOT(D338&gt;0)),1+(COUNTIF($B$301:B338,"&gt;0"))," ")</f>
        <v>13</v>
      </c>
      <c r="C339" s="1" t="s">
        <v>60</v>
      </c>
      <c r="D339" s="2" t="s">
        <v>332</v>
      </c>
    </row>
    <row r="340" spans="1:5">
      <c r="A340" s="9" t="str">
        <f t="shared" si="19"/>
        <v xml:space="preserve"> </v>
      </c>
      <c r="B340" s="11" t="str">
        <f>IF(AND(D340&gt;0,NOT(D340=" "),NOT(D339&gt;0)),1+(COUNTIF($B$301:B339,"&gt;0"))," ")</f>
        <v xml:space="preserve"> </v>
      </c>
      <c r="E340" s="3" t="s">
        <v>196</v>
      </c>
    </row>
    <row r="341" spans="1:5">
      <c r="A341" s="9" t="str">
        <f t="shared" si="19"/>
        <v xml:space="preserve"> </v>
      </c>
      <c r="B341" s="11" t="str">
        <f>IF(AND(D341&gt;0,NOT(D341=" "),NOT(D340&gt;0)),1+(COUNTIF($B$301:B340,"&gt;0"))," ")</f>
        <v xml:space="preserve"> </v>
      </c>
    </row>
    <row r="342" spans="1:5" ht="82.8">
      <c r="A342" s="9" t="str">
        <f t="shared" si="19"/>
        <v>8.</v>
      </c>
      <c r="B342" s="11">
        <f>IF(AND(D342&gt;0,NOT(D342=" "),NOT(D341&gt;0)),1+(COUNTIF($B$301:B341,"&gt;0"))," ")</f>
        <v>14</v>
      </c>
      <c r="C342" s="1" t="s">
        <v>333</v>
      </c>
      <c r="D342" s="2" t="s">
        <v>334</v>
      </c>
    </row>
    <row r="343" spans="1:5">
      <c r="A343" s="9" t="str">
        <f t="shared" si="19"/>
        <v xml:space="preserve"> </v>
      </c>
      <c r="B343" s="11" t="str">
        <f>IF(AND(D343&gt;0,NOT(D343=" "),NOT(D342&gt;0)),1+(COUNTIF($B$301:B342,"&gt;0"))," ")</f>
        <v xml:space="preserve"> </v>
      </c>
      <c r="E343" s="3" t="s">
        <v>196</v>
      </c>
    </row>
    <row r="344" spans="1:5">
      <c r="A344" s="9" t="str">
        <f t="shared" si="19"/>
        <v xml:space="preserve"> </v>
      </c>
      <c r="B344" s="11" t="str">
        <f>IF(AND(D344&gt;0,NOT(D344=" "),NOT(D343&gt;0)),1+(COUNTIF($B$301:B343,"&gt;0"))," ")</f>
        <v xml:space="preserve"> </v>
      </c>
    </row>
    <row r="345" spans="1:5" ht="55.2">
      <c r="A345" s="9" t="str">
        <f t="shared" si="19"/>
        <v>8.</v>
      </c>
      <c r="B345" s="11">
        <f>IF(AND(D345&gt;0,NOT(D345=" "),NOT(D344&gt;0)),1+(COUNTIF($B$301:B344,"&gt;0"))," ")</f>
        <v>15</v>
      </c>
      <c r="C345" s="1" t="s">
        <v>335</v>
      </c>
      <c r="D345" s="2" t="s">
        <v>170</v>
      </c>
    </row>
    <row r="346" spans="1:5">
      <c r="A346" s="9" t="str">
        <f t="shared" si="19"/>
        <v xml:space="preserve"> </v>
      </c>
      <c r="B346" s="11" t="str">
        <f>IF(AND(D346&gt;0,NOT(D346=" "),NOT(D345&gt;0)),1+(COUNTIF($B$301:B345,"&gt;0"))," ")</f>
        <v xml:space="preserve"> </v>
      </c>
      <c r="E346" s="3" t="s">
        <v>196</v>
      </c>
    </row>
    <row r="347" spans="1:5">
      <c r="A347" s="9" t="str">
        <f t="shared" si="19"/>
        <v xml:space="preserve"> </v>
      </c>
      <c r="B347" s="11" t="str">
        <f>IF(AND(D347&gt;0,NOT(D347=" "),NOT(D346&gt;0)),1+(COUNTIF($B$301:B346,"&gt;0"))," ")</f>
        <v xml:space="preserve"> </v>
      </c>
    </row>
    <row r="348" spans="1:5" ht="69">
      <c r="A348" s="9" t="str">
        <f t="shared" si="19"/>
        <v>8.</v>
      </c>
      <c r="B348" s="11">
        <f>IF(AND(D348&gt;0,NOT(D348=" "),NOT(D347&gt;0)),1+(COUNTIF($B$301:B347,"&gt;0"))," ")</f>
        <v>16</v>
      </c>
      <c r="C348" s="1" t="s">
        <v>171</v>
      </c>
      <c r="D348" s="2" t="s">
        <v>172</v>
      </c>
    </row>
    <row r="349" spans="1:5">
      <c r="A349" s="9" t="str">
        <f t="shared" si="19"/>
        <v xml:space="preserve"> </v>
      </c>
      <c r="B349" s="11" t="str">
        <f>IF(AND(D349&gt;0,NOT(D349=" "),NOT(D348&gt;0)),1+(COUNTIF($B$301:B348,"&gt;0"))," ")</f>
        <v xml:space="preserve"> </v>
      </c>
      <c r="E349" s="3" t="s">
        <v>196</v>
      </c>
    </row>
    <row r="350" spans="1:5">
      <c r="A350" s="9" t="str">
        <f t="shared" si="19"/>
        <v xml:space="preserve"> </v>
      </c>
      <c r="B350" s="11" t="str">
        <f>IF(AND(D350&gt;0,NOT(D350=" "),NOT(D349&gt;0)),1+(COUNTIF($B$301:B349,"&gt;0"))," ")</f>
        <v xml:space="preserve"> </v>
      </c>
    </row>
    <row r="351" spans="1:5" ht="82.8">
      <c r="A351" s="9" t="str">
        <f t="shared" si="19"/>
        <v>8.</v>
      </c>
      <c r="B351" s="11">
        <f>IF(AND(D351&gt;0,NOT(D351=" "),NOT(D350&gt;0)),1+(COUNTIF($B$301:B350,"&gt;0"))," ")</f>
        <v>17</v>
      </c>
      <c r="C351" s="1" t="s">
        <v>173</v>
      </c>
      <c r="D351" s="2" t="s">
        <v>174</v>
      </c>
    </row>
    <row r="352" spans="1:5">
      <c r="A352" s="9" t="str">
        <f t="shared" ref="A352:A361" si="20">IF(OR(B352="",B352= " ")," ",$A$301)</f>
        <v xml:space="preserve"> </v>
      </c>
      <c r="B352" s="11" t="str">
        <f>IF(AND(D352&gt;0,NOT(D352=" "),NOT(D351&gt;0)),1+(COUNTIF($B$301:B351,"&gt;0"))," ")</f>
        <v xml:space="preserve"> </v>
      </c>
      <c r="E352" s="3" t="s">
        <v>196</v>
      </c>
    </row>
    <row r="353" spans="1:5">
      <c r="A353" s="9" t="str">
        <f t="shared" si="20"/>
        <v xml:space="preserve"> </v>
      </c>
      <c r="B353" s="11" t="str">
        <f>IF(AND(D353&gt;0,NOT(D353=" "),NOT(D352&gt;0)),1+(COUNTIF($B$301:B352,"&gt;0"))," ")</f>
        <v xml:space="preserve"> </v>
      </c>
    </row>
    <row r="354" spans="1:5" ht="82.8">
      <c r="A354" s="9" t="str">
        <f t="shared" si="20"/>
        <v>8.</v>
      </c>
      <c r="B354" s="11">
        <f>IF(AND(D354&gt;0,NOT(D354=" "),NOT(D353&gt;0)),1+(COUNTIF($B$301:B353,"&gt;0"))," ")</f>
        <v>18</v>
      </c>
      <c r="C354" s="1" t="s">
        <v>175</v>
      </c>
      <c r="D354" s="2" t="s">
        <v>176</v>
      </c>
    </row>
    <row r="355" spans="1:5">
      <c r="A355" s="9" t="str">
        <f t="shared" si="20"/>
        <v xml:space="preserve"> </v>
      </c>
      <c r="B355" s="11" t="str">
        <f>IF(AND(D355&gt;0,NOT(D355=" "),NOT(D354&gt;0)),1+(COUNTIF($B$301:B354,"&gt;0"))," ")</f>
        <v xml:space="preserve"> </v>
      </c>
      <c r="E355" s="3" t="s">
        <v>196</v>
      </c>
    </row>
    <row r="356" spans="1:5">
      <c r="A356" s="9" t="str">
        <f t="shared" si="20"/>
        <v xml:space="preserve"> </v>
      </c>
      <c r="B356" s="11" t="str">
        <f>IF(AND(D356&gt;0,NOT(D356=" "),NOT(D355&gt;0)),1+(COUNTIF($B$301:B355,"&gt;0"))," ")</f>
        <v xml:space="preserve"> </v>
      </c>
    </row>
    <row r="357" spans="1:5" ht="55.2">
      <c r="A357" s="9" t="str">
        <f t="shared" si="20"/>
        <v>8.</v>
      </c>
      <c r="B357" s="11">
        <f>IF(AND(D357&gt;0,NOT(D357=" "),NOT(D356&gt;0)),1+(COUNTIF($B$301:B356,"&gt;0"))," ")</f>
        <v>19</v>
      </c>
      <c r="C357" s="1" t="s">
        <v>177</v>
      </c>
      <c r="D357" s="2" t="s">
        <v>398</v>
      </c>
    </row>
    <row r="358" spans="1:5">
      <c r="A358" s="9" t="str">
        <f t="shared" si="20"/>
        <v xml:space="preserve"> </v>
      </c>
      <c r="B358" s="11" t="str">
        <f>IF(AND(D358&gt;0,NOT(D358=" "),NOT(D357&gt;0)),1+(COUNTIF($B$301:B357,"&gt;0"))," ")</f>
        <v xml:space="preserve"> </v>
      </c>
      <c r="E358" s="3" t="s">
        <v>196</v>
      </c>
    </row>
    <row r="359" spans="1:5">
      <c r="A359" s="9" t="str">
        <f t="shared" si="20"/>
        <v xml:space="preserve"> </v>
      </c>
      <c r="B359" s="11" t="str">
        <f>IF(AND(D359&gt;0,NOT(D359=" "),NOT(D358&gt;0)),1+(COUNTIF($B$301:B358,"&gt;0"))," ")</f>
        <v xml:space="preserve"> </v>
      </c>
    </row>
    <row r="360" spans="1:5" ht="69">
      <c r="A360" s="9" t="str">
        <f t="shared" si="20"/>
        <v>8.</v>
      </c>
      <c r="B360" s="11">
        <f>IF(AND(D360&gt;0,NOT(D360=" "),NOT(D359&gt;0)),1+(COUNTIF($B$301:B359,"&gt;0"))," ")</f>
        <v>20</v>
      </c>
      <c r="C360" s="1" t="s">
        <v>399</v>
      </c>
      <c r="D360" s="2" t="s">
        <v>400</v>
      </c>
    </row>
    <row r="361" spans="1:5">
      <c r="A361" s="9" t="str">
        <f t="shared" si="20"/>
        <v xml:space="preserve"> </v>
      </c>
      <c r="B361" s="11" t="str">
        <f>IF(AND(D361&gt;0,NOT(D361=" "),NOT(D360&gt;0)),1+(COUNTIF($B$301:B360,"&gt;0"))," ")</f>
        <v xml:space="preserve"> </v>
      </c>
    </row>
    <row r="362" spans="1:5">
      <c r="A362" s="9" t="str">
        <f>$A$301</f>
        <v>8.</v>
      </c>
      <c r="B362" s="11"/>
      <c r="C362" s="1" t="s">
        <v>5</v>
      </c>
      <c r="D362" s="2" t="s">
        <v>401</v>
      </c>
    </row>
    <row r="363" spans="1:5">
      <c r="A363" s="9"/>
    </row>
    <row r="364" spans="1:5">
      <c r="A364" s="9"/>
    </row>
    <row r="365" spans="1:5">
      <c r="A365" s="9" t="s">
        <v>402</v>
      </c>
      <c r="C365" s="1" t="s">
        <v>403</v>
      </c>
      <c r="D365" s="2" t="s">
        <v>404</v>
      </c>
    </row>
    <row r="367" spans="1:5" ht="69">
      <c r="A367" s="9" t="str">
        <f t="shared" ref="A367:A372" si="21">IF(OR(B367="",B367= " ")," ",$A$365)</f>
        <v>9.</v>
      </c>
      <c r="B367" s="11">
        <f>IF(AND(D367&gt;0,NOT(D367=" "),NOT(D366&gt;0)),1+(COUNTIF($B$365:B366,"&gt;0"))," ")</f>
        <v>1</v>
      </c>
      <c r="C367" s="1" t="s">
        <v>184</v>
      </c>
      <c r="D367" s="2" t="s">
        <v>100</v>
      </c>
    </row>
    <row r="368" spans="1:5">
      <c r="A368" s="9" t="str">
        <f t="shared" si="21"/>
        <v xml:space="preserve"> </v>
      </c>
      <c r="B368" s="11" t="str">
        <f>IF(AND(D368&gt;0,NOT(D368=" "),NOT(D367&gt;0)),1+(COUNTIF($B$365:B367,"&gt;0"))," ")</f>
        <v xml:space="preserve"> </v>
      </c>
      <c r="E368" s="3" t="s">
        <v>196</v>
      </c>
    </row>
    <row r="369" spans="1:4">
      <c r="A369" s="9" t="str">
        <f t="shared" si="21"/>
        <v xml:space="preserve"> </v>
      </c>
      <c r="B369" s="11" t="str">
        <f>IF(AND(D369&gt;0,NOT(D369=" "),NOT(D368&gt;0)),1+(COUNTIF($B$365:B368,"&gt;0"))," ")</f>
        <v xml:space="preserve"> </v>
      </c>
    </row>
    <row r="370" spans="1:4">
      <c r="A370" s="9" t="s">
        <v>402</v>
      </c>
      <c r="B370" s="11"/>
      <c r="C370" s="1" t="s">
        <v>403</v>
      </c>
      <c r="D370" s="2" t="s">
        <v>101</v>
      </c>
    </row>
    <row r="371" spans="1:4">
      <c r="A371" s="9" t="str">
        <f t="shared" si="21"/>
        <v xml:space="preserve"> </v>
      </c>
      <c r="B371" s="11" t="str">
        <f>IF(AND(D371&gt;0,NOT(D371=" "),NOT(D370&gt;0)),1+(COUNTIF($B$365:B370,"&gt;0"))," ")</f>
        <v xml:space="preserve"> </v>
      </c>
    </row>
    <row r="372" spans="1:4">
      <c r="A372" s="9" t="str">
        <f t="shared" si="21"/>
        <v xml:space="preserve"> </v>
      </c>
      <c r="B372" s="11" t="str">
        <f>IF(AND(D372&gt;0,NOT(D372=" "),NOT(D371&gt;0)),1+(COUNTIF($B$365:B371,"&gt;0"))," ")</f>
        <v xml:space="preserve"> </v>
      </c>
    </row>
    <row r="373" spans="1:4">
      <c r="A373" s="9"/>
      <c r="B373" s="11"/>
      <c r="C373" s="1" t="s">
        <v>102</v>
      </c>
      <c r="D373" s="2" t="s">
        <v>103</v>
      </c>
    </row>
    <row r="374" spans="1:4">
      <c r="A374" s="9"/>
      <c r="B374" s="11"/>
    </row>
    <row r="375" spans="1:4">
      <c r="A375" s="9"/>
      <c r="B375" s="11"/>
      <c r="C375" s="1" t="s">
        <v>129</v>
      </c>
      <c r="D375" s="2" t="s">
        <v>130</v>
      </c>
    </row>
    <row r="376" spans="1:4">
      <c r="A376" s="9"/>
      <c r="B376" s="11"/>
    </row>
    <row r="377" spans="1:4">
      <c r="A377" s="9"/>
      <c r="B377" s="11"/>
      <c r="C377" s="1" t="s">
        <v>232</v>
      </c>
      <c r="D377" s="2" t="s">
        <v>233</v>
      </c>
    </row>
    <row r="378" spans="1:4">
      <c r="A378" s="9"/>
      <c r="B378" s="11"/>
    </row>
    <row r="379" spans="1:4">
      <c r="A379" s="9"/>
      <c r="B379" s="11"/>
      <c r="C379" s="1" t="s">
        <v>94</v>
      </c>
      <c r="D379" s="2" t="s">
        <v>95</v>
      </c>
    </row>
    <row r="380" spans="1:4">
      <c r="A380" s="9"/>
      <c r="B380" s="11"/>
    </row>
    <row r="381" spans="1:4">
      <c r="A381" s="9"/>
      <c r="B381" s="11"/>
      <c r="C381" s="1" t="s">
        <v>321</v>
      </c>
      <c r="D381" s="2" t="s">
        <v>322</v>
      </c>
    </row>
    <row r="383" spans="1:4">
      <c r="C383" s="1" t="s">
        <v>327</v>
      </c>
      <c r="D383" s="2" t="s">
        <v>328</v>
      </c>
    </row>
    <row r="385" spans="3:5">
      <c r="C385" s="1" t="s">
        <v>285</v>
      </c>
      <c r="D385" s="2" t="s">
        <v>286</v>
      </c>
    </row>
    <row r="387" spans="3:5">
      <c r="C387" s="1" t="s">
        <v>462</v>
      </c>
      <c r="D387" s="2" t="s">
        <v>104</v>
      </c>
    </row>
    <row r="389" spans="3:5">
      <c r="C389" s="1" t="s">
        <v>5</v>
      </c>
      <c r="D389" s="2" t="s">
        <v>6</v>
      </c>
    </row>
    <row r="391" spans="3:5">
      <c r="C391" s="1" t="s">
        <v>102</v>
      </c>
      <c r="D391" s="2" t="s">
        <v>105</v>
      </c>
    </row>
    <row r="395" spans="3:5">
      <c r="C395" s="1" t="s">
        <v>106</v>
      </c>
      <c r="D395" s="2" t="s">
        <v>107</v>
      </c>
    </row>
    <row r="398" spans="3:5" ht="82.8">
      <c r="C398" s="1" t="s">
        <v>108</v>
      </c>
      <c r="D398" s="2" t="s">
        <v>433</v>
      </c>
    </row>
    <row r="399" spans="3:5">
      <c r="C399" s="1" t="s">
        <v>49</v>
      </c>
    </row>
    <row r="400" spans="3:5">
      <c r="E400" s="3" t="s">
        <v>196</v>
      </c>
    </row>
    <row r="402" spans="3:7" ht="69">
      <c r="C402" s="1" t="s">
        <v>50</v>
      </c>
      <c r="D402" s="2" t="s">
        <v>88</v>
      </c>
    </row>
    <row r="403" spans="3:7">
      <c r="E403" s="3" t="s">
        <v>196</v>
      </c>
    </row>
    <row r="406" spans="3:7" ht="82.8">
      <c r="C406" s="1" t="s">
        <v>89</v>
      </c>
      <c r="D406" s="2" t="s">
        <v>90</v>
      </c>
    </row>
    <row r="407" spans="3:7">
      <c r="E407" s="3" t="s">
        <v>196</v>
      </c>
    </row>
    <row r="409" spans="3:7" ht="69">
      <c r="C409" s="1" t="s">
        <v>91</v>
      </c>
      <c r="D409" s="2" t="s">
        <v>254</v>
      </c>
    </row>
    <row r="410" spans="3:7">
      <c r="E410" s="3" t="s">
        <v>196</v>
      </c>
    </row>
    <row r="413" spans="3:7" ht="69">
      <c r="C413" s="1" t="s">
        <v>255</v>
      </c>
      <c r="D413" s="2" t="s">
        <v>256</v>
      </c>
    </row>
    <row r="415" spans="3:7">
      <c r="D415" s="2" t="s">
        <v>257</v>
      </c>
      <c r="E415" s="3" t="s">
        <v>258</v>
      </c>
      <c r="G415" t="s">
        <v>259</v>
      </c>
    </row>
    <row r="416" spans="3:7">
      <c r="D416" s="2" t="s">
        <v>260</v>
      </c>
      <c r="E416" s="3" t="s">
        <v>355</v>
      </c>
    </row>
    <row r="419" spans="3:5">
      <c r="C419" s="1" t="s">
        <v>106</v>
      </c>
      <c r="D419" s="2" t="s">
        <v>261</v>
      </c>
    </row>
    <row r="422" spans="3:5">
      <c r="C422" s="1" t="s">
        <v>262</v>
      </c>
      <c r="D422" s="2" t="s">
        <v>263</v>
      </c>
    </row>
    <row r="424" spans="3:5" ht="82.8">
      <c r="C424" s="1" t="s">
        <v>245</v>
      </c>
      <c r="D424" s="2" t="s">
        <v>246</v>
      </c>
    </row>
    <row r="425" spans="3:5">
      <c r="E425" s="3" t="s">
        <v>196</v>
      </c>
    </row>
    <row r="427" spans="3:5" ht="82.8">
      <c r="C427" s="1" t="s">
        <v>247</v>
      </c>
      <c r="D427" s="2" t="s">
        <v>248</v>
      </c>
    </row>
    <row r="428" spans="3:5">
      <c r="E428" s="3" t="s">
        <v>196</v>
      </c>
    </row>
    <row r="431" spans="3:5" ht="82.8">
      <c r="C431" s="1" t="s">
        <v>249</v>
      </c>
      <c r="D431" s="2" t="s">
        <v>209</v>
      </c>
    </row>
    <row r="432" spans="3:5">
      <c r="E432" s="3" t="s">
        <v>196</v>
      </c>
    </row>
    <row r="434" spans="3:5" ht="82.8">
      <c r="C434" s="1" t="s">
        <v>210</v>
      </c>
      <c r="D434" s="2" t="s">
        <v>24</v>
      </c>
    </row>
    <row r="435" spans="3:5">
      <c r="E435" s="3" t="s">
        <v>196</v>
      </c>
    </row>
    <row r="437" spans="3:5" ht="82.8">
      <c r="C437" s="1" t="s">
        <v>25</v>
      </c>
      <c r="D437" s="2" t="s">
        <v>445</v>
      </c>
    </row>
    <row r="438" spans="3:5">
      <c r="E438" s="3" t="s">
        <v>196</v>
      </c>
    </row>
    <row r="440" spans="3:5" ht="82.8">
      <c r="C440" s="1" t="s">
        <v>446</v>
      </c>
      <c r="D440" s="2" t="s">
        <v>447</v>
      </c>
    </row>
    <row r="441" spans="3:5">
      <c r="E441" s="3" t="s">
        <v>196</v>
      </c>
    </row>
    <row r="443" spans="3:5" ht="82.8">
      <c r="C443" s="1" t="s">
        <v>446</v>
      </c>
      <c r="D443" s="2" t="s">
        <v>479</v>
      </c>
    </row>
    <row r="444" spans="3:5">
      <c r="E444" s="3" t="s">
        <v>196</v>
      </c>
    </row>
    <row r="446" spans="3:5">
      <c r="C446" s="1" t="s">
        <v>262</v>
      </c>
      <c r="D446" s="2" t="s">
        <v>480</v>
      </c>
    </row>
    <row r="449" spans="3:5">
      <c r="C449" s="1" t="s">
        <v>481</v>
      </c>
      <c r="D449" s="2" t="s">
        <v>482</v>
      </c>
    </row>
    <row r="452" spans="3:5" ht="82.8">
      <c r="C452" s="1" t="s">
        <v>483</v>
      </c>
      <c r="D452" s="2" t="s">
        <v>211</v>
      </c>
    </row>
    <row r="454" spans="3:5">
      <c r="D454" s="2" t="s">
        <v>212</v>
      </c>
      <c r="E454" s="3" t="s">
        <v>391</v>
      </c>
    </row>
    <row r="455" spans="3:5">
      <c r="D455" s="2" t="s">
        <v>213</v>
      </c>
      <c r="E455" s="3" t="s">
        <v>391</v>
      </c>
    </row>
    <row r="456" spans="3:5">
      <c r="D456" s="2" t="s">
        <v>214</v>
      </c>
      <c r="E456" s="3" t="s">
        <v>391</v>
      </c>
    </row>
    <row r="457" spans="3:5">
      <c r="D457" s="2" t="s">
        <v>215</v>
      </c>
      <c r="E457" s="3" t="s">
        <v>391</v>
      </c>
    </row>
    <row r="458" spans="3:5">
      <c r="D458" s="2" t="s">
        <v>216</v>
      </c>
      <c r="E458" s="3" t="s">
        <v>391</v>
      </c>
    </row>
    <row r="459" spans="3:5">
      <c r="D459" s="2" t="s">
        <v>217</v>
      </c>
      <c r="E459" s="3" t="s">
        <v>391</v>
      </c>
    </row>
    <row r="462" spans="3:5" ht="82.8">
      <c r="C462" s="1" t="s">
        <v>218</v>
      </c>
      <c r="D462" s="2" t="s">
        <v>219</v>
      </c>
    </row>
    <row r="464" spans="3:5">
      <c r="D464" s="2" t="s">
        <v>220</v>
      </c>
      <c r="E464" s="3" t="s">
        <v>391</v>
      </c>
    </row>
    <row r="465" spans="3:5">
      <c r="D465" s="2" t="s">
        <v>425</v>
      </c>
      <c r="E465" s="3" t="s">
        <v>391</v>
      </c>
    </row>
    <row r="466" spans="3:5">
      <c r="D466" s="2" t="s">
        <v>426</v>
      </c>
      <c r="E466" s="3" t="s">
        <v>391</v>
      </c>
    </row>
    <row r="467" spans="3:5">
      <c r="D467" s="2" t="s">
        <v>427</v>
      </c>
      <c r="E467" s="3" t="s">
        <v>391</v>
      </c>
    </row>
    <row r="471" spans="3:5" ht="82.8">
      <c r="C471" s="1" t="s">
        <v>428</v>
      </c>
      <c r="D471" s="2" t="s">
        <v>429</v>
      </c>
    </row>
    <row r="472" spans="3:5">
      <c r="D472" s="2" t="s">
        <v>430</v>
      </c>
      <c r="E472" s="3" t="s">
        <v>431</v>
      </c>
    </row>
    <row r="474" spans="3:5" ht="69">
      <c r="C474" s="1" t="s">
        <v>432</v>
      </c>
      <c r="D474" s="2" t="s">
        <v>110</v>
      </c>
    </row>
    <row r="475" spans="3:5">
      <c r="E475" s="3" t="s">
        <v>196</v>
      </c>
    </row>
    <row r="479" spans="3:5">
      <c r="C479" s="1" t="s">
        <v>481</v>
      </c>
      <c r="D479" s="2" t="s">
        <v>111</v>
      </c>
    </row>
    <row r="484" spans="3:5">
      <c r="C484" s="1" t="s">
        <v>112</v>
      </c>
      <c r="D484" s="2" t="s">
        <v>113</v>
      </c>
    </row>
    <row r="487" spans="3:5" ht="82.8">
      <c r="C487" s="1" t="s">
        <v>114</v>
      </c>
      <c r="D487" s="2" t="s">
        <v>21</v>
      </c>
    </row>
    <row r="488" spans="3:5">
      <c r="E488" s="3" t="s">
        <v>196</v>
      </c>
    </row>
    <row r="490" spans="3:5" ht="82.8">
      <c r="C490" s="1" t="s">
        <v>22</v>
      </c>
      <c r="D490" s="2" t="s">
        <v>144</v>
      </c>
    </row>
    <row r="491" spans="3:5">
      <c r="E491" s="3" t="s">
        <v>196</v>
      </c>
    </row>
    <row r="493" spans="3:5" ht="82.8">
      <c r="C493" s="1" t="s">
        <v>145</v>
      </c>
      <c r="D493" s="2" t="s">
        <v>467</v>
      </c>
    </row>
    <row r="494" spans="3:5">
      <c r="E494" s="3" t="s">
        <v>196</v>
      </c>
    </row>
    <row r="496" spans="3:5" ht="82.8">
      <c r="C496" s="1" t="s">
        <v>468</v>
      </c>
      <c r="D496" s="2" t="s">
        <v>364</v>
      </c>
    </row>
    <row r="497" spans="3:5">
      <c r="E497" s="3" t="s">
        <v>196</v>
      </c>
    </row>
    <row r="499" spans="3:5" ht="69">
      <c r="C499" s="1" t="s">
        <v>365</v>
      </c>
      <c r="D499" s="2" t="s">
        <v>149</v>
      </c>
    </row>
    <row r="500" spans="3:5">
      <c r="E500" s="3" t="s">
        <v>196</v>
      </c>
    </row>
    <row r="502" spans="3:5" ht="82.8">
      <c r="C502" s="1" t="s">
        <v>150</v>
      </c>
      <c r="D502" s="2" t="s">
        <v>151</v>
      </c>
    </row>
    <row r="503" spans="3:5">
      <c r="E503" s="3" t="s">
        <v>355</v>
      </c>
    </row>
    <row r="505" spans="3:5" ht="82.8">
      <c r="C505" s="1" t="s">
        <v>152</v>
      </c>
      <c r="D505" s="2" t="s">
        <v>153</v>
      </c>
    </row>
    <row r="506" spans="3:5">
      <c r="E506" s="3" t="s">
        <v>154</v>
      </c>
    </row>
    <row r="508" spans="3:5" ht="82.8">
      <c r="C508" s="1" t="s">
        <v>155</v>
      </c>
      <c r="D508" s="2" t="s">
        <v>376</v>
      </c>
    </row>
    <row r="509" spans="3:5">
      <c r="E509" s="3" t="s">
        <v>196</v>
      </c>
    </row>
    <row r="511" spans="3:5" ht="82.8">
      <c r="C511" s="1" t="s">
        <v>377</v>
      </c>
      <c r="D511" s="2" t="s">
        <v>378</v>
      </c>
    </row>
    <row r="512" spans="3:5">
      <c r="E512" s="3" t="s">
        <v>391</v>
      </c>
    </row>
    <row r="514" spans="3:5" ht="82.8">
      <c r="C514" s="1" t="s">
        <v>379</v>
      </c>
      <c r="D514" s="2" t="s">
        <v>186</v>
      </c>
    </row>
    <row r="515" spans="3:5">
      <c r="E515" s="3" t="s">
        <v>391</v>
      </c>
    </row>
    <row r="517" spans="3:5" ht="55.2">
      <c r="C517" s="1" t="s">
        <v>187</v>
      </c>
      <c r="D517" s="2" t="s">
        <v>188</v>
      </c>
    </row>
    <row r="518" spans="3:5">
      <c r="D518" s="2" t="s">
        <v>189</v>
      </c>
      <c r="E518" s="3" t="s">
        <v>391</v>
      </c>
    </row>
    <row r="519" spans="3:5">
      <c r="D519" s="2" t="s">
        <v>190</v>
      </c>
      <c r="E519" s="3" t="s">
        <v>391</v>
      </c>
    </row>
    <row r="521" spans="3:5" ht="55.2">
      <c r="C521" s="1" t="s">
        <v>191</v>
      </c>
      <c r="D521" s="2" t="s">
        <v>366</v>
      </c>
    </row>
    <row r="522" spans="3:5">
      <c r="D522" s="2" t="s">
        <v>417</v>
      </c>
      <c r="E522" s="3" t="s">
        <v>391</v>
      </c>
    </row>
    <row r="523" spans="3:5">
      <c r="D523" s="2" t="s">
        <v>418</v>
      </c>
      <c r="E523" s="3" t="s">
        <v>391</v>
      </c>
    </row>
    <row r="524" spans="3:5">
      <c r="D524" s="2" t="s">
        <v>419</v>
      </c>
      <c r="E524" s="3" t="s">
        <v>391</v>
      </c>
    </row>
    <row r="526" spans="3:5" ht="55.2">
      <c r="C526" s="1" t="s">
        <v>420</v>
      </c>
      <c r="D526" s="2" t="s">
        <v>121</v>
      </c>
    </row>
    <row r="527" spans="3:5">
      <c r="D527" s="2" t="s">
        <v>122</v>
      </c>
      <c r="E527" s="3" t="s">
        <v>391</v>
      </c>
    </row>
    <row r="529" spans="3:5" ht="82.8">
      <c r="C529" s="1" t="s">
        <v>222</v>
      </c>
      <c r="D529" s="2" t="s">
        <v>405</v>
      </c>
    </row>
    <row r="530" spans="3:5">
      <c r="D530" s="2" t="s">
        <v>406</v>
      </c>
      <c r="E530" s="3" t="s">
        <v>196</v>
      </c>
    </row>
    <row r="531" spans="3:5">
      <c r="D531" s="2" t="s">
        <v>407</v>
      </c>
      <c r="E531" s="3" t="s">
        <v>196</v>
      </c>
    </row>
    <row r="532" spans="3:5">
      <c r="D532" s="2" t="s">
        <v>408</v>
      </c>
      <c r="E532" s="3" t="s">
        <v>196</v>
      </c>
    </row>
    <row r="534" spans="3:5" ht="69">
      <c r="C534" s="1" t="s">
        <v>409</v>
      </c>
      <c r="D534" s="2" t="s">
        <v>410</v>
      </c>
    </row>
    <row r="535" spans="3:5">
      <c r="E535" s="3" t="s">
        <v>196</v>
      </c>
    </row>
    <row r="539" spans="3:5" ht="69">
      <c r="C539" s="1" t="s">
        <v>411</v>
      </c>
      <c r="D539" s="2" t="s">
        <v>412</v>
      </c>
    </row>
    <row r="540" spans="3:5">
      <c r="E540" s="3" t="s">
        <v>196</v>
      </c>
    </row>
    <row r="542" spans="3:5" ht="82.8">
      <c r="C542" s="1" t="s">
        <v>413</v>
      </c>
      <c r="D542" s="2" t="s">
        <v>160</v>
      </c>
    </row>
    <row r="543" spans="3:5">
      <c r="E543" s="3" t="s">
        <v>196</v>
      </c>
    </row>
    <row r="545" spans="3:5" ht="82.8">
      <c r="C545" s="1" t="s">
        <v>161</v>
      </c>
      <c r="D545" s="2" t="s">
        <v>162</v>
      </c>
    </row>
    <row r="546" spans="3:5">
      <c r="E546" s="3" t="s">
        <v>196</v>
      </c>
    </row>
    <row r="549" spans="3:5">
      <c r="C549" s="1" t="s">
        <v>112</v>
      </c>
      <c r="D549" s="2" t="s">
        <v>163</v>
      </c>
    </row>
    <row r="552" spans="3:5">
      <c r="C552" s="1" t="s">
        <v>164</v>
      </c>
      <c r="D552" s="2" t="s">
        <v>165</v>
      </c>
    </row>
    <row r="555" spans="3:5" ht="82.8">
      <c r="C555" s="1" t="s">
        <v>148</v>
      </c>
      <c r="D555" s="2" t="s">
        <v>33</v>
      </c>
    </row>
    <row r="557" spans="3:5">
      <c r="D557" s="2" t="s">
        <v>417</v>
      </c>
      <c r="E557" s="3" t="s">
        <v>391</v>
      </c>
    </row>
    <row r="559" spans="3:5" ht="69">
      <c r="C559" s="1" t="s">
        <v>34</v>
      </c>
      <c r="D559" s="2" t="s">
        <v>61</v>
      </c>
    </row>
    <row r="560" spans="3:5">
      <c r="D560" s="2" t="s">
        <v>62</v>
      </c>
      <c r="E560" s="3" t="s">
        <v>391</v>
      </c>
    </row>
    <row r="561" spans="3:5">
      <c r="D561" s="2" t="s">
        <v>63</v>
      </c>
      <c r="E561" s="3" t="s">
        <v>391</v>
      </c>
    </row>
    <row r="563" spans="3:5" ht="82.8">
      <c r="C563" s="1" t="s">
        <v>64</v>
      </c>
      <c r="D563" s="2" t="s">
        <v>65</v>
      </c>
    </row>
    <row r="564" spans="3:5">
      <c r="D564" s="2" t="s">
        <v>66</v>
      </c>
      <c r="E564" s="3" t="s">
        <v>391</v>
      </c>
    </row>
    <row r="566" spans="3:5" ht="69">
      <c r="C566" s="1" t="s">
        <v>67</v>
      </c>
      <c r="D566" s="2" t="s">
        <v>68</v>
      </c>
    </row>
    <row r="567" spans="3:5">
      <c r="D567" s="2" t="s">
        <v>69</v>
      </c>
      <c r="E567" s="3" t="s">
        <v>391</v>
      </c>
    </row>
    <row r="569" spans="3:5" ht="69">
      <c r="C569" s="1" t="s">
        <v>70</v>
      </c>
      <c r="D569" s="2" t="s">
        <v>71</v>
      </c>
    </row>
    <row r="570" spans="3:5">
      <c r="D570" s="2" t="s">
        <v>8</v>
      </c>
      <c r="E570" s="3" t="s">
        <v>391</v>
      </c>
    </row>
    <row r="573" spans="3:5">
      <c r="C573" s="1" t="s">
        <v>164</v>
      </c>
      <c r="D573" s="2" t="s">
        <v>9</v>
      </c>
    </row>
    <row r="576" spans="3:5">
      <c r="C576" s="1" t="s">
        <v>10</v>
      </c>
      <c r="D576" s="2" t="s">
        <v>11</v>
      </c>
    </row>
    <row r="579" spans="3:5" ht="82.8">
      <c r="C579" s="1" t="s">
        <v>12</v>
      </c>
      <c r="D579" s="2" t="s">
        <v>13</v>
      </c>
    </row>
    <row r="580" spans="3:5">
      <c r="E580" s="3" t="s">
        <v>196</v>
      </c>
    </row>
    <row r="582" spans="3:5" ht="82.8">
      <c r="C582" s="1" t="s">
        <v>14</v>
      </c>
      <c r="D582" s="2" t="s">
        <v>15</v>
      </c>
    </row>
    <row r="583" spans="3:5">
      <c r="E583" s="3" t="s">
        <v>196</v>
      </c>
    </row>
    <row r="585" spans="3:5" ht="82.8">
      <c r="C585" s="1" t="s">
        <v>16</v>
      </c>
      <c r="D585" s="2" t="s">
        <v>17</v>
      </c>
    </row>
    <row r="586" spans="3:5">
      <c r="E586" s="3" t="s">
        <v>196</v>
      </c>
    </row>
    <row r="588" spans="3:5" ht="82.8">
      <c r="C588" s="1" t="s">
        <v>18</v>
      </c>
      <c r="D588" s="2" t="s">
        <v>72</v>
      </c>
    </row>
    <row r="589" spans="3:5">
      <c r="E589" s="3" t="s">
        <v>238</v>
      </c>
    </row>
    <row r="591" spans="3:5" ht="82.8">
      <c r="C591" s="1" t="s">
        <v>73</v>
      </c>
      <c r="D591" s="2" t="s">
        <v>268</v>
      </c>
    </row>
    <row r="592" spans="3:5">
      <c r="E592" s="3" t="s">
        <v>196</v>
      </c>
    </row>
    <row r="594" spans="3:5" ht="82.8">
      <c r="C594" s="1" t="s">
        <v>269</v>
      </c>
      <c r="D594" s="2" t="s">
        <v>87</v>
      </c>
    </row>
    <row r="595" spans="3:5">
      <c r="E595" s="3" t="s">
        <v>196</v>
      </c>
    </row>
    <row r="599" spans="3:5">
      <c r="C599" s="1" t="s">
        <v>10</v>
      </c>
      <c r="D599" s="2" t="s">
        <v>264</v>
      </c>
    </row>
    <row r="602" spans="3:5">
      <c r="C602" s="1" t="s">
        <v>265</v>
      </c>
      <c r="D602" s="2" t="s">
        <v>266</v>
      </c>
    </row>
    <row r="605" spans="3:5" ht="82.8">
      <c r="C605" s="1" t="s">
        <v>267</v>
      </c>
      <c r="D605" s="2" t="s">
        <v>26</v>
      </c>
    </row>
    <row r="606" spans="3:5">
      <c r="E606" s="3" t="s">
        <v>196</v>
      </c>
    </row>
    <row r="608" spans="3:5" ht="82.8">
      <c r="C608" s="1" t="s">
        <v>27</v>
      </c>
      <c r="D608" s="2" t="s">
        <v>367</v>
      </c>
    </row>
    <row r="609" spans="3:5">
      <c r="E609" s="3" t="s">
        <v>258</v>
      </c>
    </row>
    <row r="611" spans="3:5" ht="82.8">
      <c r="C611" s="1" t="s">
        <v>368</v>
      </c>
      <c r="D611" s="2" t="s">
        <v>369</v>
      </c>
    </row>
    <row r="612" spans="3:5">
      <c r="E612" s="3" t="s">
        <v>258</v>
      </c>
    </row>
    <row r="614" spans="3:5" ht="69">
      <c r="C614" s="1" t="s">
        <v>370</v>
      </c>
      <c r="D614" s="2" t="s">
        <v>452</v>
      </c>
    </row>
    <row r="615" spans="3:5">
      <c r="E615" s="3" t="s">
        <v>355</v>
      </c>
    </row>
    <row r="617" spans="3:5" ht="69">
      <c r="C617" s="1" t="s">
        <v>453</v>
      </c>
      <c r="D617" s="2" t="s">
        <v>454</v>
      </c>
    </row>
    <row r="618" spans="3:5">
      <c r="E618" s="3" t="s">
        <v>355</v>
      </c>
    </row>
    <row r="620" spans="3:5" ht="82.8">
      <c r="C620" s="1" t="s">
        <v>455</v>
      </c>
      <c r="D620" s="2" t="s">
        <v>156</v>
      </c>
    </row>
    <row r="621" spans="3:5">
      <c r="E621" s="3" t="s">
        <v>355</v>
      </c>
    </row>
    <row r="625" spans="3:5">
      <c r="C625" s="1" t="s">
        <v>265</v>
      </c>
      <c r="D625" s="2" t="s">
        <v>157</v>
      </c>
    </row>
    <row r="630" spans="3:5">
      <c r="C630" s="1" t="s">
        <v>158</v>
      </c>
      <c r="D630" s="2" t="s">
        <v>159</v>
      </c>
    </row>
    <row r="632" spans="3:5" ht="82.8">
      <c r="C632" s="1" t="s">
        <v>500</v>
      </c>
      <c r="D632" s="2" t="s">
        <v>501</v>
      </c>
    </row>
    <row r="633" spans="3:5">
      <c r="E633" s="3" t="s">
        <v>196</v>
      </c>
    </row>
    <row r="635" spans="3:5" ht="82.8">
      <c r="C635" s="1" t="s">
        <v>502</v>
      </c>
      <c r="D635" s="2" t="s">
        <v>458</v>
      </c>
    </row>
    <row r="636" spans="3:5">
      <c r="E636" s="3" t="s">
        <v>196</v>
      </c>
    </row>
    <row r="638" spans="3:5" ht="69">
      <c r="C638" s="1" t="s">
        <v>459</v>
      </c>
      <c r="D638" s="2" t="s">
        <v>123</v>
      </c>
    </row>
    <row r="639" spans="3:5">
      <c r="E639" s="3" t="s">
        <v>355</v>
      </c>
    </row>
    <row r="641" spans="3:5">
      <c r="C641" s="1" t="s">
        <v>158</v>
      </c>
      <c r="D641" s="2" t="s">
        <v>124</v>
      </c>
    </row>
    <row r="644" spans="3:5">
      <c r="C644" s="1" t="s">
        <v>125</v>
      </c>
      <c r="D644" s="2" t="s">
        <v>126</v>
      </c>
    </row>
    <row r="647" spans="3:5" ht="82.8">
      <c r="C647" s="1" t="s">
        <v>127</v>
      </c>
      <c r="D647" s="2" t="s">
        <v>35</v>
      </c>
    </row>
    <row r="648" spans="3:5">
      <c r="E648" s="3" t="s">
        <v>196</v>
      </c>
    </row>
    <row r="650" spans="3:5" ht="82.8">
      <c r="C650" s="1" t="s">
        <v>36</v>
      </c>
      <c r="D650" s="2" t="s">
        <v>37</v>
      </c>
    </row>
    <row r="651" spans="3:5">
      <c r="E651" s="3" t="s">
        <v>196</v>
      </c>
    </row>
    <row r="654" spans="3:5" ht="82.8">
      <c r="C654" s="1" t="s">
        <v>38</v>
      </c>
      <c r="D654" s="2" t="s">
        <v>39</v>
      </c>
    </row>
    <row r="655" spans="3:5">
      <c r="E655" s="3" t="s">
        <v>196</v>
      </c>
    </row>
    <row r="658" spans="3:5" ht="82.8">
      <c r="C658" s="1" t="s">
        <v>40</v>
      </c>
      <c r="D658" s="2" t="s">
        <v>456</v>
      </c>
    </row>
    <row r="659" spans="3:5">
      <c r="E659" s="3" t="s">
        <v>196</v>
      </c>
    </row>
    <row r="661" spans="3:5" ht="82.8">
      <c r="C661" s="1" t="s">
        <v>457</v>
      </c>
      <c r="D661" s="2" t="s">
        <v>44</v>
      </c>
    </row>
    <row r="662" spans="3:5">
      <c r="E662" s="3" t="s">
        <v>355</v>
      </c>
    </row>
    <row r="664" spans="3:5" ht="69">
      <c r="C664" s="1" t="s">
        <v>293</v>
      </c>
      <c r="D664" s="2" t="s">
        <v>294</v>
      </c>
    </row>
    <row r="665" spans="3:5">
      <c r="E665" s="3" t="s">
        <v>355</v>
      </c>
    </row>
    <row r="670" spans="3:5">
      <c r="C670" s="1" t="s">
        <v>125</v>
      </c>
      <c r="D670" s="2" t="s">
        <v>295</v>
      </c>
    </row>
    <row r="673" spans="3:5">
      <c r="C673" s="1" t="s">
        <v>296</v>
      </c>
      <c r="D673" s="2" t="s">
        <v>297</v>
      </c>
    </row>
    <row r="676" spans="3:5" ht="82.8">
      <c r="C676" s="1" t="s">
        <v>298</v>
      </c>
      <c r="D676" s="2" t="s">
        <v>299</v>
      </c>
    </row>
    <row r="677" spans="3:5">
      <c r="E677" s="3" t="s">
        <v>196</v>
      </c>
    </row>
    <row r="680" spans="3:5" ht="69">
      <c r="C680" s="1" t="s">
        <v>300</v>
      </c>
      <c r="D680" s="2" t="s">
        <v>301</v>
      </c>
    </row>
    <row r="681" spans="3:5">
      <c r="E681" s="3" t="s">
        <v>258</v>
      </c>
    </row>
    <row r="683" spans="3:5" ht="82.8">
      <c r="C683" s="1" t="s">
        <v>302</v>
      </c>
      <c r="D683" s="2" t="s">
        <v>303</v>
      </c>
    </row>
    <row r="684" spans="3:5">
      <c r="E684" s="3" t="s">
        <v>196</v>
      </c>
    </row>
    <row r="686" spans="3:5" ht="69">
      <c r="C686" s="1" t="s">
        <v>304</v>
      </c>
      <c r="D686" s="2" t="s">
        <v>30</v>
      </c>
    </row>
    <row r="687" spans="3:5">
      <c r="E687" s="3" t="s">
        <v>196</v>
      </c>
    </row>
    <row r="689" spans="3:5" ht="82.8">
      <c r="C689" s="1" t="s">
        <v>31</v>
      </c>
      <c r="D689" s="2" t="s">
        <v>32</v>
      </c>
    </row>
    <row r="690" spans="3:5">
      <c r="E690" s="3" t="s">
        <v>196</v>
      </c>
    </row>
    <row r="694" spans="3:5">
      <c r="C694" s="1" t="s">
        <v>296</v>
      </c>
      <c r="D694" s="2" t="s">
        <v>359</v>
      </c>
    </row>
    <row r="697" spans="3:5">
      <c r="D697" s="7" t="s">
        <v>360</v>
      </c>
    </row>
    <row r="701" spans="3:5">
      <c r="C701" s="1" t="s">
        <v>361</v>
      </c>
      <c r="D701" s="2" t="s">
        <v>362</v>
      </c>
    </row>
    <row r="704" spans="3:5" ht="82.8">
      <c r="C704" s="1" t="s">
        <v>363</v>
      </c>
      <c r="D704" s="2" t="s">
        <v>393</v>
      </c>
    </row>
    <row r="705" spans="3:5">
      <c r="E705" s="3" t="s">
        <v>196</v>
      </c>
    </row>
    <row r="707" spans="3:5" ht="82.8">
      <c r="C707" s="1" t="s">
        <v>394</v>
      </c>
      <c r="D707" s="2" t="s">
        <v>395</v>
      </c>
    </row>
    <row r="708" spans="3:5">
      <c r="E708" s="3" t="s">
        <v>196</v>
      </c>
    </row>
    <row r="711" spans="3:5" ht="82.8">
      <c r="C711" s="1" t="s">
        <v>396</v>
      </c>
      <c r="D711" s="2" t="s">
        <v>307</v>
      </c>
    </row>
    <row r="712" spans="3:5">
      <c r="E712" s="3" t="s">
        <v>196</v>
      </c>
    </row>
    <row r="714" spans="3:5" ht="82.8">
      <c r="C714" s="1" t="s">
        <v>308</v>
      </c>
      <c r="D714" s="2" t="s">
        <v>342</v>
      </c>
    </row>
    <row r="715" spans="3:5">
      <c r="E715" s="3" t="s">
        <v>258</v>
      </c>
    </row>
    <row r="717" spans="3:5" ht="82.8">
      <c r="C717" s="1" t="s">
        <v>343</v>
      </c>
      <c r="D717" s="2" t="s">
        <v>115</v>
      </c>
    </row>
    <row r="718" spans="3:5">
      <c r="E718" s="3" t="s">
        <v>355</v>
      </c>
    </row>
    <row r="721" spans="3:5">
      <c r="C721" s="1" t="s">
        <v>361</v>
      </c>
      <c r="D721" s="2" t="s">
        <v>116</v>
      </c>
    </row>
    <row r="724" spans="3:5">
      <c r="C724" s="1" t="s">
        <v>361</v>
      </c>
      <c r="D724" s="2" t="s">
        <v>117</v>
      </c>
    </row>
    <row r="727" spans="3:5" ht="82.8">
      <c r="C727" s="1" t="s">
        <v>118</v>
      </c>
      <c r="D727" s="2" t="s">
        <v>309</v>
      </c>
    </row>
    <row r="728" spans="3:5">
      <c r="E728" s="3" t="s">
        <v>196</v>
      </c>
    </row>
    <row r="731" spans="3:5">
      <c r="C731" s="1" t="s">
        <v>361</v>
      </c>
      <c r="D731" s="2" t="s">
        <v>310</v>
      </c>
    </row>
    <row r="741" spans="3:4">
      <c r="C741" s="1" t="s">
        <v>311</v>
      </c>
      <c r="D741" s="2" t="s">
        <v>312</v>
      </c>
    </row>
    <row r="744" spans="3:4">
      <c r="C744" s="1" t="s">
        <v>106</v>
      </c>
      <c r="D744" s="2" t="s">
        <v>107</v>
      </c>
    </row>
    <row r="746" spans="3:4">
      <c r="C746" s="1" t="s">
        <v>262</v>
      </c>
      <c r="D746" s="2" t="s">
        <v>263</v>
      </c>
    </row>
    <row r="748" spans="3:4">
      <c r="C748" s="1" t="s">
        <v>481</v>
      </c>
      <c r="D748" s="2" t="s">
        <v>482</v>
      </c>
    </row>
    <row r="750" spans="3:4">
      <c r="C750" s="1" t="s">
        <v>112</v>
      </c>
      <c r="D750" s="2" t="s">
        <v>113</v>
      </c>
    </row>
    <row r="752" spans="3:4">
      <c r="C752" s="1" t="s">
        <v>164</v>
      </c>
      <c r="D752" s="2" t="s">
        <v>165</v>
      </c>
    </row>
    <row r="754" spans="3:4">
      <c r="C754" s="1" t="s">
        <v>10</v>
      </c>
      <c r="D754" s="2" t="s">
        <v>11</v>
      </c>
    </row>
    <row r="756" spans="3:4">
      <c r="C756" s="1" t="s">
        <v>265</v>
      </c>
      <c r="D756" s="2" t="s">
        <v>266</v>
      </c>
    </row>
    <row r="758" spans="3:4">
      <c r="C758" s="1" t="s">
        <v>158</v>
      </c>
      <c r="D758" s="2" t="s">
        <v>159</v>
      </c>
    </row>
    <row r="760" spans="3:4">
      <c r="C760" s="1" t="s">
        <v>125</v>
      </c>
      <c r="D760" s="2" t="s">
        <v>126</v>
      </c>
    </row>
    <row r="762" spans="3:4">
      <c r="C762" s="1" t="s">
        <v>296</v>
      </c>
      <c r="D762" s="2" t="s">
        <v>297</v>
      </c>
    </row>
    <row r="764" spans="3:4">
      <c r="C764" s="1" t="s">
        <v>361</v>
      </c>
      <c r="D764" s="2" t="s">
        <v>362</v>
      </c>
    </row>
    <row r="766" spans="3:4">
      <c r="C766" s="1" t="s">
        <v>361</v>
      </c>
      <c r="D766" s="2" t="s">
        <v>117</v>
      </c>
    </row>
    <row r="770" spans="3:4">
      <c r="C770" s="1" t="s">
        <v>311</v>
      </c>
      <c r="D770" s="2" t="s">
        <v>313</v>
      </c>
    </row>
  </sheetData>
  <phoneticPr fontId="21" type="noConversion"/>
  <pageMargins left="0.74803149606299213" right="0.74803149606299213" top="0.98425196850393704" bottom="0.98425196850393704" header="0.51181102362204722" footer="0.51181102362204722"/>
  <pageSetup paperSize="9" orientation="portrait" horizontalDpi="4294967292" verticalDpi="360" r:id="rId1"/>
  <headerFooter alignWithMargins="0">
    <oddHeader>&amp;L&amp;16ATRIKO&amp;12
&amp;8PODUZEÆE ZA INENJERING, ZAGREB, DAVORINA BAZIJANCA 5&amp;RSTAMBENA GRAÐEVINA
GORJANSKA UL. 24, ZAGREB</oddHeader>
    <oddFooter>&amp;L&amp;8&amp;A RADOVI&amp;RStr.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7:H73"/>
  <sheetViews>
    <sheetView tabSelected="1" topLeftCell="A7" zoomScaleNormal="100" zoomScaleSheetLayoutView="120" workbookViewId="0">
      <selection activeCell="D20" sqref="D20"/>
    </sheetView>
  </sheetViews>
  <sheetFormatPr defaultColWidth="8.81640625" defaultRowHeight="13.2"/>
  <cols>
    <col min="1" max="1" width="3.36328125" style="15" customWidth="1"/>
    <col min="2" max="2" width="2.36328125" style="13" customWidth="1"/>
    <col min="3" max="3" width="2" style="13" customWidth="1"/>
    <col min="4" max="4" width="33.54296875" style="13" customWidth="1"/>
    <col min="5" max="5" width="4.90625" style="13" customWidth="1"/>
    <col min="6" max="6" width="7" style="13" customWidth="1"/>
    <col min="7" max="7" width="7.1796875" style="18" customWidth="1"/>
    <col min="8" max="8" width="12.6328125" style="13" customWidth="1"/>
    <col min="9" max="16384" width="8.81640625" style="13"/>
  </cols>
  <sheetData>
    <row r="7" spans="4:8" ht="15" customHeight="1">
      <c r="D7" s="31" t="s">
        <v>592</v>
      </c>
      <c r="G7" s="13"/>
      <c r="H7" s="18"/>
    </row>
    <row r="8" spans="4:8" ht="15" customHeight="1">
      <c r="D8" s="32" t="s">
        <v>593</v>
      </c>
      <c r="G8" s="13"/>
      <c r="H8" s="18"/>
    </row>
    <row r="9" spans="4:8" ht="15" customHeight="1">
      <c r="D9" s="32" t="s">
        <v>594</v>
      </c>
      <c r="G9" s="13"/>
      <c r="H9" s="18"/>
    </row>
    <row r="10" spans="4:8" ht="15" customHeight="1">
      <c r="D10" s="32" t="s">
        <v>595</v>
      </c>
      <c r="G10" s="13"/>
      <c r="H10" s="18"/>
    </row>
    <row r="11" spans="4:8">
      <c r="G11" s="13"/>
      <c r="H11" s="18"/>
    </row>
    <row r="12" spans="4:8" ht="15" customHeight="1">
      <c r="D12" s="31" t="s">
        <v>596</v>
      </c>
      <c r="G12" s="13"/>
      <c r="H12" s="18"/>
    </row>
    <row r="13" spans="4:8" ht="26.4">
      <c r="D13" s="19" t="s">
        <v>908</v>
      </c>
      <c r="G13" s="13"/>
      <c r="H13" s="18"/>
    </row>
    <row r="14" spans="4:8" ht="15" customHeight="1">
      <c r="D14" s="13" t="s">
        <v>909</v>
      </c>
      <c r="G14" s="13"/>
      <c r="H14" s="18"/>
    </row>
    <row r="15" spans="4:8">
      <c r="G15" s="13"/>
      <c r="H15" s="18"/>
    </row>
    <row r="16" spans="4:8" ht="15" customHeight="1">
      <c r="D16" s="31" t="s">
        <v>597</v>
      </c>
      <c r="G16" s="13"/>
      <c r="H16" s="18"/>
    </row>
    <row r="17" spans="4:8" ht="15" customHeight="1">
      <c r="D17" s="19" t="s">
        <v>910</v>
      </c>
      <c r="G17" s="13"/>
      <c r="H17" s="18"/>
    </row>
    <row r="18" spans="4:8">
      <c r="G18" s="13"/>
      <c r="H18" s="18"/>
    </row>
    <row r="19" spans="4:8" ht="15" customHeight="1">
      <c r="D19" s="31" t="s">
        <v>598</v>
      </c>
      <c r="G19" s="13"/>
      <c r="H19" s="18"/>
    </row>
    <row r="20" spans="4:8" ht="15" customHeight="1">
      <c r="D20" s="13" t="s">
        <v>1036</v>
      </c>
      <c r="G20" s="13"/>
      <c r="H20" s="18"/>
    </row>
    <row r="21" spans="4:8">
      <c r="D21" s="13" t="s">
        <v>1037</v>
      </c>
      <c r="G21" s="13"/>
      <c r="H21" s="18"/>
    </row>
    <row r="22" spans="4:8">
      <c r="G22" s="13"/>
      <c r="H22" s="18"/>
    </row>
    <row r="23" spans="4:8" ht="15" customHeight="1">
      <c r="D23" s="13" t="s">
        <v>1038</v>
      </c>
      <c r="G23" s="13"/>
      <c r="H23" s="18"/>
    </row>
    <row r="24" spans="4:8" ht="15" customHeight="1">
      <c r="D24" s="13" t="s">
        <v>1039</v>
      </c>
      <c r="G24" s="13"/>
      <c r="H24" s="18"/>
    </row>
    <row r="25" spans="4:8" ht="15" customHeight="1">
      <c r="D25" s="13" t="s">
        <v>1040</v>
      </c>
      <c r="G25" s="13"/>
      <c r="H25" s="18"/>
    </row>
    <row r="26" spans="4:8">
      <c r="G26" s="13"/>
      <c r="H26" s="18"/>
    </row>
    <row r="27" spans="4:8">
      <c r="G27" s="13"/>
      <c r="H27" s="18"/>
    </row>
    <row r="28" spans="4:8">
      <c r="G28" s="13"/>
      <c r="H28" s="18"/>
    </row>
    <row r="29" spans="4:8">
      <c r="G29" s="13"/>
      <c r="H29" s="18"/>
    </row>
    <row r="30" spans="4:8">
      <c r="G30" s="13"/>
      <c r="H30" s="18"/>
    </row>
    <row r="31" spans="4:8">
      <c r="G31" s="13"/>
      <c r="H31" s="18"/>
    </row>
    <row r="32" spans="4:8">
      <c r="G32" s="13"/>
      <c r="H32" s="18"/>
    </row>
    <row r="33" spans="4:8" s="38" customFormat="1" ht="43.5" customHeight="1">
      <c r="D33" s="1138" t="s">
        <v>972</v>
      </c>
      <c r="E33" s="1139"/>
      <c r="F33" s="1139"/>
      <c r="G33" s="1139"/>
      <c r="H33" s="1139"/>
    </row>
    <row r="34" spans="4:8">
      <c r="G34" s="13"/>
      <c r="H34" s="18"/>
    </row>
    <row r="35" spans="4:8">
      <c r="G35" s="13"/>
      <c r="H35" s="18"/>
    </row>
    <row r="36" spans="4:8">
      <c r="G36" s="13"/>
      <c r="H36" s="18"/>
    </row>
    <row r="37" spans="4:8">
      <c r="G37" s="13"/>
      <c r="H37" s="18"/>
    </row>
    <row r="38" spans="4:8">
      <c r="G38" s="13"/>
      <c r="H38" s="18"/>
    </row>
    <row r="39" spans="4:8">
      <c r="G39" s="13"/>
      <c r="H39" s="18"/>
    </row>
    <row r="40" spans="4:8">
      <c r="G40" s="13"/>
      <c r="H40" s="18"/>
    </row>
    <row r="41" spans="4:8" ht="15" customHeight="1">
      <c r="D41" s="31" t="s">
        <v>599</v>
      </c>
      <c r="G41" s="13"/>
      <c r="H41" s="18"/>
    </row>
    <row r="42" spans="4:8" ht="15" customHeight="1">
      <c r="D42" s="33" t="s">
        <v>600</v>
      </c>
      <c r="G42" s="13"/>
      <c r="H42" s="18"/>
    </row>
    <row r="43" spans="4:8">
      <c r="D43" s="33"/>
      <c r="G43" s="13"/>
      <c r="H43" s="18"/>
    </row>
    <row r="44" spans="4:8" ht="15.75" customHeight="1">
      <c r="D44" s="34"/>
      <c r="G44" s="13"/>
      <c r="H44" s="18"/>
    </row>
    <row r="45" spans="4:8">
      <c r="G45" s="13"/>
      <c r="H45" s="18"/>
    </row>
    <row r="46" spans="4:8" ht="15" customHeight="1">
      <c r="D46" s="31" t="s">
        <v>603</v>
      </c>
      <c r="G46" s="13"/>
      <c r="H46" s="18"/>
    </row>
    <row r="47" spans="4:8" ht="15" customHeight="1">
      <c r="D47" s="33" t="s">
        <v>600</v>
      </c>
      <c r="G47" s="13"/>
      <c r="H47" s="18"/>
    </row>
    <row r="48" spans="4:8">
      <c r="G48" s="13"/>
      <c r="H48" s="18"/>
    </row>
    <row r="49" spans="1:8">
      <c r="G49" s="13"/>
      <c r="H49" s="18"/>
    </row>
    <row r="50" spans="1:8">
      <c r="G50" s="13"/>
      <c r="H50" s="18"/>
    </row>
    <row r="52" spans="1:8" ht="13.8" thickBot="1">
      <c r="A52" s="24"/>
      <c r="B52" s="67"/>
      <c r="C52" s="20"/>
      <c r="D52" s="20"/>
      <c r="E52" s="20"/>
      <c r="F52" s="68"/>
      <c r="G52" s="69"/>
      <c r="H52" s="69"/>
    </row>
    <row r="53" spans="1:8" ht="13.8" thickBot="1">
      <c r="A53" s="69"/>
      <c r="B53" s="20"/>
      <c r="C53" s="20"/>
      <c r="D53" s="70" t="s">
        <v>984</v>
      </c>
      <c r="E53" s="20"/>
      <c r="F53" s="68"/>
      <c r="G53" s="69"/>
      <c r="H53" s="69"/>
    </row>
    <row r="54" spans="1:8" ht="12" customHeight="1">
      <c r="A54" s="71"/>
      <c r="D54" s="36"/>
      <c r="F54" s="72"/>
      <c r="G54" s="13"/>
    </row>
    <row r="55" spans="1:8">
      <c r="A55" s="35"/>
      <c r="B55" s="23"/>
      <c r="D55" s="17"/>
      <c r="F55" s="72"/>
      <c r="G55" s="13"/>
    </row>
    <row r="56" spans="1:8">
      <c r="A56" s="35" t="s">
        <v>980</v>
      </c>
      <c r="B56" s="23"/>
      <c r="D56" s="21" t="s">
        <v>973</v>
      </c>
      <c r="F56" s="73"/>
      <c r="G56" s="13"/>
      <c r="H56" s="73">
        <f>SUM('GRAĐ_OBRT_NASL_REKAP_OPĆI U'!H96)</f>
        <v>1918738</v>
      </c>
    </row>
    <row r="57" spans="1:8">
      <c r="A57" s="35"/>
      <c r="B57" s="23"/>
      <c r="D57" s="21"/>
      <c r="F57" s="74"/>
      <c r="G57" s="13"/>
      <c r="H57" s="74"/>
    </row>
    <row r="58" spans="1:8">
      <c r="A58" s="39" t="s">
        <v>981</v>
      </c>
      <c r="B58" s="23"/>
      <c r="D58" s="21" t="s">
        <v>974</v>
      </c>
      <c r="F58" s="75"/>
      <c r="G58" s="13"/>
      <c r="H58" s="75">
        <f>ViK!G251</f>
        <v>196957</v>
      </c>
    </row>
    <row r="59" spans="1:8">
      <c r="A59" s="35"/>
      <c r="B59" s="23"/>
      <c r="F59" s="72"/>
      <c r="G59" s="13"/>
      <c r="H59" s="72"/>
    </row>
    <row r="60" spans="1:8">
      <c r="A60" s="39" t="s">
        <v>982</v>
      </c>
      <c r="B60" s="23"/>
      <c r="D60" s="21" t="s">
        <v>975</v>
      </c>
      <c r="F60" s="76"/>
      <c r="G60" s="14"/>
      <c r="H60" s="76">
        <f>REKAPITULACIJA!F26</f>
        <v>221548.05</v>
      </c>
    </row>
    <row r="61" spans="1:8">
      <c r="A61" s="39"/>
      <c r="B61" s="23"/>
      <c r="D61" s="21"/>
      <c r="F61" s="72"/>
      <c r="G61" s="14"/>
      <c r="H61" s="72"/>
    </row>
    <row r="62" spans="1:8">
      <c r="A62" s="39" t="s">
        <v>983</v>
      </c>
      <c r="B62" s="23"/>
      <c r="D62" s="21" t="s">
        <v>976</v>
      </c>
      <c r="F62" s="76"/>
      <c r="G62" s="14"/>
      <c r="H62" s="76">
        <f>'STROJARSKE INSTALACIJE'!F425</f>
        <v>329190</v>
      </c>
    </row>
    <row r="63" spans="1:8" ht="13.8" thickBot="1">
      <c r="A63" s="20"/>
      <c r="B63" s="20"/>
      <c r="C63" s="20"/>
      <c r="D63" s="20"/>
      <c r="E63" s="20"/>
      <c r="F63" s="24"/>
      <c r="G63" s="20"/>
      <c r="H63" s="24"/>
    </row>
    <row r="64" spans="1:8">
      <c r="B64" s="23"/>
      <c r="D64" s="36" t="s">
        <v>977</v>
      </c>
      <c r="F64" s="72"/>
      <c r="G64" s="14"/>
      <c r="H64" s="72">
        <f>SUM(H56,H58,H60,H62)</f>
        <v>2666433.0499999998</v>
      </c>
    </row>
    <row r="65" spans="1:8">
      <c r="B65" s="23"/>
      <c r="D65" s="38"/>
      <c r="F65" s="77"/>
      <c r="G65" s="14"/>
      <c r="H65" s="77"/>
    </row>
    <row r="66" spans="1:8">
      <c r="B66" s="23"/>
      <c r="D66" s="36" t="s">
        <v>978</v>
      </c>
      <c r="F66" s="72"/>
      <c r="G66" s="14"/>
      <c r="H66" s="72">
        <f>PRODUCT(H64,0.25)</f>
        <v>666608.26249999995</v>
      </c>
    </row>
    <row r="67" spans="1:8" ht="13.8" thickBot="1">
      <c r="A67" s="20"/>
      <c r="B67" s="20"/>
      <c r="C67" s="20"/>
      <c r="D67" s="20"/>
      <c r="E67" s="20"/>
      <c r="F67" s="24"/>
      <c r="G67" s="22"/>
      <c r="H67" s="24"/>
    </row>
    <row r="68" spans="1:8">
      <c r="B68" s="23"/>
      <c r="D68" s="36" t="s">
        <v>979</v>
      </c>
      <c r="F68" s="72"/>
      <c r="G68" s="13"/>
      <c r="H68" s="72">
        <f>SUM(H64,H66)</f>
        <v>3333041.3125</v>
      </c>
    </row>
    <row r="69" spans="1:8">
      <c r="A69" s="25"/>
      <c r="B69" s="38"/>
      <c r="H69" s="26"/>
    </row>
    <row r="70" spans="1:8">
      <c r="A70" s="25"/>
      <c r="B70" s="38"/>
      <c r="D70" s="38"/>
      <c r="F70" s="16"/>
      <c r="H70" s="26"/>
    </row>
    <row r="71" spans="1:8">
      <c r="A71" s="25"/>
      <c r="B71" s="38"/>
      <c r="H71" s="26"/>
    </row>
    <row r="72" spans="1:8">
      <c r="A72" s="25"/>
      <c r="B72" s="38"/>
      <c r="D72" s="38"/>
      <c r="F72" s="14"/>
      <c r="H72" s="26"/>
    </row>
    <row r="73" spans="1:8">
      <c r="A73" s="25"/>
      <c r="B73" s="38"/>
      <c r="H73" s="26"/>
    </row>
  </sheetData>
  <mergeCells count="1">
    <mergeCell ref="D33:H33"/>
  </mergeCells>
  <pageMargins left="0.74803149606299213" right="0.55118110236220474" top="1.0236220472440944" bottom="0.78740157480314965" header="0.43307086614173229" footer="0.51181102362204722"/>
  <pageSetup paperSize="9" scale="96" orientation="portrait" horizontalDpi="4294967292" verticalDpi="4294967292"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headerFooter>
  <rowBreaks count="1" manualBreakCount="1">
    <brk id="50"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7:IU582"/>
  <sheetViews>
    <sheetView topLeftCell="B44" zoomScaleNormal="100" zoomScaleSheetLayoutView="90" workbookViewId="0">
      <selection activeCell="H55" sqref="H55:H93"/>
    </sheetView>
  </sheetViews>
  <sheetFormatPr defaultColWidth="8.81640625" defaultRowHeight="13.2"/>
  <cols>
    <col min="1" max="1" width="3.36328125" style="15" customWidth="1"/>
    <col min="2" max="2" width="2.36328125" style="13" customWidth="1"/>
    <col min="3" max="3" width="2" style="13" customWidth="1"/>
    <col min="4" max="4" width="33.54296875" style="13" customWidth="1"/>
    <col min="5" max="5" width="4.90625" style="13" customWidth="1"/>
    <col min="6" max="6" width="7" style="13" customWidth="1"/>
    <col min="7" max="7" width="7.1796875" style="18" customWidth="1"/>
    <col min="8" max="8" width="12.6328125" style="13" customWidth="1"/>
    <col min="9" max="16384" width="8.81640625" style="13"/>
  </cols>
  <sheetData>
    <row r="7" spans="4:8" ht="15" customHeight="1">
      <c r="D7" s="31" t="s">
        <v>592</v>
      </c>
      <c r="G7" s="13"/>
      <c r="H7" s="18"/>
    </row>
    <row r="8" spans="4:8" ht="15" customHeight="1">
      <c r="D8" s="32" t="s">
        <v>593</v>
      </c>
      <c r="G8" s="13"/>
      <c r="H8" s="18"/>
    </row>
    <row r="9" spans="4:8" ht="15" customHeight="1">
      <c r="D9" s="32" t="s">
        <v>594</v>
      </c>
      <c r="G9" s="13"/>
      <c r="H9" s="18"/>
    </row>
    <row r="10" spans="4:8" ht="15" customHeight="1">
      <c r="D10" s="32" t="s">
        <v>595</v>
      </c>
      <c r="G10" s="13"/>
      <c r="H10" s="18"/>
    </row>
    <row r="11" spans="4:8">
      <c r="G11" s="13"/>
      <c r="H11" s="18"/>
    </row>
    <row r="12" spans="4:8" ht="15" customHeight="1">
      <c r="D12" s="31" t="s">
        <v>596</v>
      </c>
      <c r="G12" s="13"/>
      <c r="H12" s="18"/>
    </row>
    <row r="13" spans="4:8" ht="26.4">
      <c r="D13" s="19" t="s">
        <v>908</v>
      </c>
      <c r="G13" s="13"/>
      <c r="H13" s="18"/>
    </row>
    <row r="14" spans="4:8" ht="15" customHeight="1">
      <c r="D14" s="13" t="s">
        <v>909</v>
      </c>
      <c r="G14" s="13"/>
      <c r="H14" s="18"/>
    </row>
    <row r="15" spans="4:8">
      <c r="G15" s="13"/>
      <c r="H15" s="18"/>
    </row>
    <row r="16" spans="4:8" ht="15" customHeight="1">
      <c r="D16" s="31" t="s">
        <v>597</v>
      </c>
      <c r="G16" s="13"/>
      <c r="H16" s="18"/>
    </row>
    <row r="17" spans="4:8" ht="15" customHeight="1">
      <c r="D17" s="19" t="s">
        <v>910</v>
      </c>
      <c r="G17" s="13"/>
      <c r="H17" s="18"/>
    </row>
    <row r="18" spans="4:8">
      <c r="G18" s="13"/>
      <c r="H18" s="18"/>
    </row>
    <row r="19" spans="4:8">
      <c r="D19" s="31" t="s">
        <v>598</v>
      </c>
      <c r="G19" s="13"/>
      <c r="H19" s="18"/>
    </row>
    <row r="20" spans="4:8" ht="15" customHeight="1">
      <c r="D20" s="13" t="s">
        <v>1036</v>
      </c>
      <c r="G20" s="13"/>
      <c r="H20" s="18"/>
    </row>
    <row r="21" spans="4:8" ht="15" customHeight="1">
      <c r="D21" s="13" t="s">
        <v>1037</v>
      </c>
      <c r="G21" s="13"/>
      <c r="H21" s="18"/>
    </row>
    <row r="22" spans="4:8">
      <c r="G22" s="13"/>
      <c r="H22" s="18"/>
    </row>
    <row r="23" spans="4:8" ht="15" customHeight="1">
      <c r="D23" s="13" t="s">
        <v>1038</v>
      </c>
      <c r="G23" s="13"/>
      <c r="H23" s="18"/>
    </row>
    <row r="24" spans="4:8" ht="15" customHeight="1">
      <c r="D24" s="13" t="s">
        <v>1039</v>
      </c>
      <c r="G24" s="13"/>
      <c r="H24" s="18"/>
    </row>
    <row r="25" spans="4:8" ht="15" customHeight="1">
      <c r="D25" s="13" t="s">
        <v>1040</v>
      </c>
      <c r="G25" s="13"/>
      <c r="H25" s="18"/>
    </row>
    <row r="26" spans="4:8">
      <c r="G26" s="13"/>
      <c r="H26" s="18"/>
    </row>
    <row r="27" spans="4:8">
      <c r="G27" s="13"/>
      <c r="H27" s="18"/>
    </row>
    <row r="28" spans="4:8">
      <c r="G28" s="13"/>
      <c r="H28" s="18"/>
    </row>
    <row r="29" spans="4:8">
      <c r="G29" s="13"/>
      <c r="H29" s="18"/>
    </row>
    <row r="30" spans="4:8">
      <c r="G30" s="13"/>
      <c r="H30" s="18"/>
    </row>
    <row r="31" spans="4:8">
      <c r="G31" s="13"/>
      <c r="H31" s="18"/>
    </row>
    <row r="32" spans="4:8">
      <c r="G32" s="13"/>
      <c r="H32" s="18"/>
    </row>
    <row r="33" spans="4:8" ht="18" customHeight="1">
      <c r="D33" s="1149" t="s">
        <v>862</v>
      </c>
      <c r="E33" s="1149"/>
      <c r="F33" s="1149"/>
      <c r="G33" s="1149"/>
      <c r="H33" s="1149"/>
    </row>
    <row r="34" spans="4:8">
      <c r="G34" s="13"/>
      <c r="H34" s="18"/>
    </row>
    <row r="35" spans="4:8">
      <c r="G35" s="13"/>
      <c r="H35" s="18"/>
    </row>
    <row r="36" spans="4:8">
      <c r="G36" s="13"/>
      <c r="H36" s="18"/>
    </row>
    <row r="37" spans="4:8">
      <c r="G37" s="13"/>
      <c r="H37" s="18"/>
    </row>
    <row r="38" spans="4:8">
      <c r="G38" s="13"/>
      <c r="H38" s="18"/>
    </row>
    <row r="39" spans="4:8" ht="15" customHeight="1">
      <c r="D39" s="31" t="s">
        <v>599</v>
      </c>
      <c r="G39" s="13"/>
      <c r="H39" s="18"/>
    </row>
    <row r="40" spans="4:8" ht="15" customHeight="1">
      <c r="D40" s="33" t="s">
        <v>600</v>
      </c>
      <c r="G40" s="13"/>
      <c r="H40" s="18"/>
    </row>
    <row r="41" spans="4:8">
      <c r="D41" s="33"/>
      <c r="G41" s="13"/>
      <c r="H41" s="18"/>
    </row>
    <row r="42" spans="4:8">
      <c r="G42" s="13"/>
      <c r="H42" s="18"/>
    </row>
    <row r="43" spans="4:8" ht="15" customHeight="1">
      <c r="D43" s="31" t="s">
        <v>601</v>
      </c>
      <c r="G43" s="13"/>
      <c r="H43" s="18"/>
    </row>
    <row r="44" spans="4:8" ht="15.75" customHeight="1">
      <c r="D44" s="34" t="s">
        <v>602</v>
      </c>
      <c r="G44" s="13"/>
      <c r="H44" s="18"/>
    </row>
    <row r="45" spans="4:8" ht="15.75" customHeight="1">
      <c r="D45" s="34"/>
      <c r="G45" s="13"/>
      <c r="H45" s="18"/>
    </row>
    <row r="46" spans="4:8">
      <c r="G46" s="13"/>
      <c r="H46" s="18"/>
    </row>
    <row r="47" spans="4:8" ht="15" customHeight="1">
      <c r="D47" s="31" t="s">
        <v>603</v>
      </c>
      <c r="G47" s="13"/>
      <c r="H47" s="18"/>
    </row>
    <row r="48" spans="4:8" ht="15" customHeight="1">
      <c r="D48" s="33" t="s">
        <v>600</v>
      </c>
      <c r="G48" s="13"/>
      <c r="H48" s="18"/>
    </row>
    <row r="49" spans="1:255">
      <c r="G49" s="13"/>
      <c r="H49" s="18"/>
    </row>
    <row r="50" spans="1:255">
      <c r="G50" s="13"/>
      <c r="H50" s="18"/>
    </row>
    <row r="51" spans="1:255">
      <c r="G51" s="13"/>
      <c r="H51" s="18"/>
    </row>
    <row r="53" spans="1:255" ht="15.75" customHeight="1" thickBot="1">
      <c r="A53" s="137"/>
      <c r="B53" s="138"/>
      <c r="C53" s="139"/>
      <c r="D53" s="140" t="s">
        <v>571</v>
      </c>
      <c r="E53" s="139"/>
      <c r="F53" s="139"/>
      <c r="G53" s="141"/>
      <c r="H53" s="139"/>
    </row>
    <row r="54" spans="1:255">
      <c r="A54" s="25"/>
      <c r="B54" s="38"/>
    </row>
    <row r="55" spans="1:255">
      <c r="A55" s="25" t="s">
        <v>102</v>
      </c>
      <c r="B55" s="38"/>
      <c r="D55" s="13" t="s">
        <v>523</v>
      </c>
      <c r="F55" s="14"/>
      <c r="H55" s="26">
        <f>'1.ZEM.'!H76</f>
        <v>77911.5</v>
      </c>
    </row>
    <row r="56" spans="1:255">
      <c r="A56" s="25"/>
      <c r="B56" s="38"/>
      <c r="H56" s="26"/>
    </row>
    <row r="57" spans="1:255">
      <c r="A57" s="25" t="s">
        <v>311</v>
      </c>
      <c r="B57" s="38"/>
      <c r="D57" s="38" t="s">
        <v>535</v>
      </c>
      <c r="F57" s="16"/>
      <c r="H57" s="26">
        <f>'2. BET. I AB'!H64</f>
        <v>693852.5</v>
      </c>
    </row>
    <row r="58" spans="1:255">
      <c r="A58" s="25"/>
      <c r="B58" s="38"/>
      <c r="H58" s="26"/>
    </row>
    <row r="59" spans="1:255">
      <c r="A59" s="25" t="s">
        <v>243</v>
      </c>
      <c r="B59" s="38"/>
      <c r="D59" s="38" t="s">
        <v>328</v>
      </c>
      <c r="F59" s="14"/>
      <c r="H59" s="26">
        <f>'3. ZID.'!H65</f>
        <v>136944</v>
      </c>
    </row>
    <row r="60" spans="1:255">
      <c r="A60" s="25"/>
      <c r="B60" s="38"/>
      <c r="H60" s="26"/>
    </row>
    <row r="61" spans="1:255">
      <c r="A61" s="25" t="s">
        <v>582</v>
      </c>
      <c r="B61" s="38"/>
      <c r="D61" s="38" t="s">
        <v>526</v>
      </c>
      <c r="F61" s="14"/>
      <c r="H61" s="26">
        <f>'4.SKELE'!H15</f>
        <v>21840</v>
      </c>
    </row>
    <row r="62" spans="1:255">
      <c r="A62" s="25"/>
      <c r="B62" s="38"/>
      <c r="H62" s="26"/>
    </row>
    <row r="63" spans="1:255">
      <c r="A63" s="25" t="s">
        <v>331</v>
      </c>
      <c r="B63" s="38"/>
      <c r="D63" s="38" t="s">
        <v>6</v>
      </c>
      <c r="F63" s="14"/>
      <c r="H63" s="26">
        <f>'5.IZOL.'!H102</f>
        <v>112460</v>
      </c>
      <c r="K63" s="38"/>
      <c r="M63" s="14"/>
      <c r="N63" s="14"/>
      <c r="O63" s="18"/>
      <c r="P63" s="15"/>
      <c r="S63" s="38"/>
      <c r="U63" s="14"/>
      <c r="V63" s="14"/>
      <c r="W63" s="18"/>
      <c r="X63" s="15"/>
      <c r="AA63" s="38"/>
      <c r="AC63" s="14"/>
      <c r="AD63" s="14"/>
      <c r="AE63" s="18"/>
      <c r="AF63" s="15"/>
      <c r="AI63" s="38"/>
      <c r="AK63" s="14"/>
      <c r="AL63" s="14"/>
      <c r="AM63" s="18"/>
      <c r="AN63" s="15"/>
      <c r="AQ63" s="38"/>
      <c r="AS63" s="14"/>
      <c r="AT63" s="14"/>
      <c r="AU63" s="18"/>
      <c r="AV63" s="15"/>
      <c r="AY63" s="38"/>
      <c r="BA63" s="14"/>
      <c r="BB63" s="14"/>
      <c r="BC63" s="18"/>
      <c r="BD63" s="15"/>
      <c r="BG63" s="38"/>
      <c r="BI63" s="14"/>
      <c r="BJ63" s="14"/>
      <c r="BK63" s="18"/>
      <c r="BL63" s="15"/>
      <c r="BO63" s="38"/>
      <c r="BQ63" s="14"/>
      <c r="BR63" s="14"/>
      <c r="BS63" s="18"/>
      <c r="BT63" s="15"/>
      <c r="BW63" s="38"/>
      <c r="BY63" s="14"/>
      <c r="BZ63" s="14"/>
      <c r="CA63" s="18"/>
      <c r="CB63" s="15"/>
      <c r="CE63" s="38"/>
      <c r="CG63" s="14"/>
      <c r="CH63" s="14"/>
      <c r="CI63" s="18"/>
      <c r="CJ63" s="15"/>
      <c r="CM63" s="38"/>
      <c r="CO63" s="14"/>
      <c r="CP63" s="14"/>
      <c r="CQ63" s="18"/>
      <c r="CR63" s="15"/>
      <c r="CU63" s="38"/>
      <c r="CW63" s="14"/>
      <c r="CX63" s="14"/>
      <c r="CY63" s="18"/>
      <c r="CZ63" s="15"/>
      <c r="DC63" s="38"/>
      <c r="DE63" s="14"/>
      <c r="DF63" s="14"/>
      <c r="DG63" s="18"/>
      <c r="DH63" s="15"/>
      <c r="DK63" s="38"/>
      <c r="DM63" s="14"/>
      <c r="DN63" s="14"/>
      <c r="DO63" s="18"/>
      <c r="DP63" s="15"/>
      <c r="DS63" s="38"/>
      <c r="DU63" s="14"/>
      <c r="DV63" s="14"/>
      <c r="DW63" s="18"/>
      <c r="DX63" s="15"/>
      <c r="EA63" s="38"/>
      <c r="EC63" s="14"/>
      <c r="ED63" s="14"/>
      <c r="EE63" s="18"/>
      <c r="EF63" s="15"/>
      <c r="EI63" s="38"/>
      <c r="EK63" s="14"/>
      <c r="EL63" s="14"/>
      <c r="EM63" s="18"/>
      <c r="EN63" s="15"/>
      <c r="EQ63" s="38"/>
      <c r="ES63" s="14"/>
      <c r="ET63" s="14"/>
      <c r="EU63" s="18"/>
      <c r="EV63" s="15"/>
      <c r="EY63" s="38"/>
      <c r="FA63" s="14"/>
      <c r="FB63" s="14"/>
      <c r="FC63" s="18"/>
      <c r="FD63" s="15"/>
      <c r="FG63" s="38"/>
      <c r="FI63" s="14"/>
      <c r="FJ63" s="14"/>
      <c r="FK63" s="18"/>
      <c r="FL63" s="15"/>
      <c r="FO63" s="38"/>
      <c r="FQ63" s="14"/>
      <c r="FR63" s="14"/>
      <c r="FS63" s="18"/>
      <c r="FT63" s="15"/>
      <c r="FW63" s="38"/>
      <c r="FY63" s="14"/>
      <c r="FZ63" s="14"/>
      <c r="GA63" s="18"/>
      <c r="GB63" s="15"/>
      <c r="GE63" s="38"/>
      <c r="GG63" s="14"/>
      <c r="GH63" s="14"/>
      <c r="GI63" s="18"/>
      <c r="GJ63" s="15"/>
      <c r="GM63" s="38"/>
      <c r="GO63" s="14"/>
      <c r="GP63" s="14"/>
      <c r="GQ63" s="18"/>
      <c r="GR63" s="15"/>
      <c r="GU63" s="38"/>
      <c r="GW63" s="14"/>
      <c r="GX63" s="14"/>
      <c r="GY63" s="18"/>
      <c r="GZ63" s="15"/>
      <c r="HC63" s="38"/>
      <c r="HE63" s="14"/>
      <c r="HF63" s="14"/>
      <c r="HG63" s="18"/>
      <c r="HH63" s="15"/>
      <c r="HK63" s="38"/>
      <c r="HM63" s="14"/>
      <c r="HN63" s="14"/>
      <c r="HO63" s="18"/>
      <c r="HP63" s="15"/>
      <c r="HS63" s="38"/>
      <c r="HU63" s="14"/>
      <c r="HV63" s="14"/>
      <c r="HW63" s="18"/>
      <c r="HX63" s="15"/>
      <c r="IA63" s="38"/>
      <c r="IC63" s="14"/>
      <c r="ID63" s="14"/>
      <c r="IE63" s="18"/>
      <c r="IF63" s="15"/>
      <c r="II63" s="38"/>
      <c r="IK63" s="14"/>
      <c r="IL63" s="14"/>
      <c r="IM63" s="18"/>
      <c r="IN63" s="15"/>
      <c r="IQ63" s="38"/>
      <c r="IS63" s="14"/>
      <c r="IT63" s="14"/>
      <c r="IU63" s="18"/>
    </row>
    <row r="64" spans="1:255">
      <c r="A64" s="25"/>
      <c r="B64" s="38"/>
      <c r="H64" s="26"/>
      <c r="O64" s="18"/>
      <c r="P64" s="15"/>
      <c r="W64" s="18"/>
      <c r="X64" s="15"/>
      <c r="AE64" s="18"/>
      <c r="AF64" s="15"/>
      <c r="AM64" s="18"/>
      <c r="AN64" s="15"/>
      <c r="AU64" s="18"/>
      <c r="AV64" s="15"/>
      <c r="BC64" s="18"/>
      <c r="BD64" s="15"/>
      <c r="BK64" s="18"/>
      <c r="BL64" s="15"/>
      <c r="BS64" s="18"/>
      <c r="BT64" s="15"/>
      <c r="CA64" s="18"/>
      <c r="CB64" s="15"/>
      <c r="CI64" s="18"/>
      <c r="CJ64" s="15"/>
      <c r="CQ64" s="18"/>
      <c r="CR64" s="15"/>
      <c r="CY64" s="18"/>
      <c r="CZ64" s="15"/>
      <c r="DG64" s="18"/>
      <c r="DH64" s="15"/>
      <c r="DO64" s="18"/>
      <c r="DP64" s="15"/>
      <c r="DW64" s="18"/>
      <c r="DX64" s="15"/>
      <c r="EE64" s="18"/>
      <c r="EF64" s="15"/>
      <c r="EM64" s="18"/>
      <c r="EN64" s="15"/>
      <c r="EU64" s="18"/>
      <c r="EV64" s="15"/>
      <c r="FC64" s="18"/>
      <c r="FD64" s="15"/>
      <c r="FK64" s="18"/>
      <c r="FL64" s="15"/>
      <c r="FS64" s="18"/>
      <c r="FT64" s="15"/>
      <c r="GA64" s="18"/>
      <c r="GB64" s="15"/>
      <c r="GI64" s="18"/>
      <c r="GJ64" s="15"/>
      <c r="GQ64" s="18"/>
      <c r="GR64" s="15"/>
      <c r="GY64" s="18"/>
      <c r="GZ64" s="15"/>
      <c r="HG64" s="18"/>
      <c r="HH64" s="15"/>
      <c r="HO64" s="18"/>
      <c r="HP64" s="15"/>
      <c r="HW64" s="18"/>
      <c r="HX64" s="15"/>
      <c r="IE64" s="18"/>
      <c r="IF64" s="15"/>
      <c r="IM64" s="18"/>
      <c r="IN64" s="15"/>
      <c r="IU64" s="18"/>
    </row>
    <row r="65" spans="1:8">
      <c r="A65" s="25" t="s">
        <v>469</v>
      </c>
      <c r="B65" s="38"/>
      <c r="D65" s="13" t="s">
        <v>266</v>
      </c>
      <c r="F65" s="14"/>
      <c r="H65" s="26">
        <f>'6.LIM'!H98</f>
        <v>152291</v>
      </c>
    </row>
    <row r="66" spans="1:8">
      <c r="A66" s="25"/>
      <c r="B66" s="38"/>
      <c r="H66" s="26"/>
    </row>
    <row r="67" spans="1:8">
      <c r="A67" s="25" t="s">
        <v>192</v>
      </c>
      <c r="B67" s="38"/>
      <c r="D67" s="38" t="s">
        <v>286</v>
      </c>
      <c r="H67" s="26">
        <f>'7.TES.'!H38</f>
        <v>81505</v>
      </c>
    </row>
    <row r="68" spans="1:8">
      <c r="A68" s="25"/>
      <c r="B68" s="38"/>
      <c r="H68" s="26"/>
    </row>
    <row r="69" spans="1:8">
      <c r="A69" s="25" t="s">
        <v>146</v>
      </c>
      <c r="B69" s="38"/>
      <c r="D69" s="38" t="s">
        <v>536</v>
      </c>
      <c r="F69" s="14"/>
      <c r="H69" s="26">
        <f>'8.GIPS.'!H27</f>
        <v>21215</v>
      </c>
    </row>
    <row r="70" spans="1:8">
      <c r="A70" s="25"/>
      <c r="B70" s="38"/>
      <c r="H70" s="26"/>
    </row>
    <row r="71" spans="1:8">
      <c r="A71" s="25" t="s">
        <v>147</v>
      </c>
      <c r="B71" s="38"/>
      <c r="D71" s="38" t="s">
        <v>165</v>
      </c>
      <c r="F71" s="14"/>
      <c r="H71" s="26">
        <f>'9. STOL. '!H92</f>
        <v>49630</v>
      </c>
    </row>
    <row r="72" spans="1:8">
      <c r="A72" s="25"/>
      <c r="B72" s="38"/>
      <c r="H72" s="26"/>
    </row>
    <row r="73" spans="1:8">
      <c r="A73" s="25" t="s">
        <v>43</v>
      </c>
      <c r="B73" s="38" t="s">
        <v>128</v>
      </c>
      <c r="D73" s="13" t="s">
        <v>1022</v>
      </c>
      <c r="F73" s="14"/>
      <c r="H73" s="26">
        <f>'10.1.BRAV.ALU VANJ.'!H125</f>
        <v>106880</v>
      </c>
    </row>
    <row r="74" spans="1:8">
      <c r="A74" s="25"/>
      <c r="B74" s="38"/>
      <c r="H74" s="26"/>
    </row>
    <row r="75" spans="1:8">
      <c r="A75" s="25" t="s">
        <v>43</v>
      </c>
      <c r="B75" s="38" t="s">
        <v>231</v>
      </c>
      <c r="D75" s="13" t="s">
        <v>547</v>
      </c>
      <c r="H75" s="26">
        <f>'10.2.BRAV.PP'!H64</f>
        <v>42800</v>
      </c>
    </row>
    <row r="76" spans="1:8">
      <c r="A76" s="25"/>
      <c r="B76" s="38"/>
      <c r="G76" s="13"/>
      <c r="H76" s="26"/>
    </row>
    <row r="77" spans="1:8">
      <c r="A77" s="25" t="s">
        <v>43</v>
      </c>
      <c r="B77" s="38">
        <v>3</v>
      </c>
      <c r="D77" s="13" t="s">
        <v>548</v>
      </c>
      <c r="H77" s="26">
        <f>'10.3. ČN BRAVARIJA'!H59</f>
        <v>26551</v>
      </c>
    </row>
    <row r="78" spans="1:8">
      <c r="A78" s="25"/>
      <c r="B78" s="38"/>
      <c r="G78" s="13"/>
      <c r="H78" s="26"/>
    </row>
    <row r="79" spans="1:8">
      <c r="A79" s="25" t="s">
        <v>185</v>
      </c>
      <c r="B79" s="38"/>
      <c r="D79" s="13" t="s">
        <v>534</v>
      </c>
      <c r="H79" s="26">
        <f>'11.FASAD.'!H29</f>
        <v>117775</v>
      </c>
    </row>
    <row r="80" spans="1:8">
      <c r="A80" s="25"/>
      <c r="B80" s="38"/>
      <c r="G80" s="13"/>
      <c r="H80" s="26"/>
    </row>
    <row r="81" spans="1:8">
      <c r="A81" s="25" t="s">
        <v>397</v>
      </c>
      <c r="B81" s="38"/>
      <c r="D81" s="38" t="s">
        <v>537</v>
      </c>
      <c r="H81" s="26">
        <f>'12. LIČIL.'!H29</f>
        <v>72285</v>
      </c>
    </row>
    <row r="82" spans="1:8">
      <c r="A82" s="25"/>
      <c r="B82" s="38"/>
      <c r="H82" s="26"/>
    </row>
    <row r="83" spans="1:8">
      <c r="A83" s="25" t="s">
        <v>109</v>
      </c>
      <c r="B83" s="38"/>
      <c r="D83" s="38" t="s">
        <v>159</v>
      </c>
      <c r="F83" s="14"/>
      <c r="H83" s="26">
        <f>'13. PARKETARSKI'!H16</f>
        <v>52060</v>
      </c>
    </row>
    <row r="84" spans="1:8">
      <c r="A84" s="25"/>
      <c r="B84" s="38"/>
      <c r="D84" s="38"/>
      <c r="H84" s="26"/>
    </row>
    <row r="85" spans="1:8">
      <c r="A85" s="25" t="s">
        <v>511</v>
      </c>
      <c r="B85" s="38"/>
      <c r="D85" s="38" t="s">
        <v>126</v>
      </c>
      <c r="F85" s="14"/>
      <c r="H85" s="26">
        <f>'14.KER. '!H36</f>
        <v>73384</v>
      </c>
    </row>
    <row r="86" spans="1:8">
      <c r="A86" s="25"/>
      <c r="B86" s="38"/>
      <c r="F86" s="14"/>
      <c r="H86" s="26"/>
    </row>
    <row r="87" spans="1:8">
      <c r="A87" s="25" t="s">
        <v>512</v>
      </c>
      <c r="B87" s="38"/>
      <c r="D87" s="38" t="s">
        <v>517</v>
      </c>
      <c r="F87" s="14"/>
      <c r="H87" s="26">
        <f>'15.PODOPOL. '!H22</f>
        <v>15100</v>
      </c>
    </row>
    <row r="88" spans="1:8">
      <c r="A88" s="25"/>
      <c r="B88" s="38"/>
      <c r="H88" s="26"/>
    </row>
    <row r="89" spans="1:8">
      <c r="A89" s="25" t="s">
        <v>513</v>
      </c>
      <c r="B89" s="38"/>
      <c r="D89" s="38" t="s">
        <v>939</v>
      </c>
      <c r="F89" s="14"/>
      <c r="H89" s="26">
        <f>'16. OPREMA'!H29</f>
        <v>3770</v>
      </c>
    </row>
    <row r="90" spans="1:8">
      <c r="A90" s="25"/>
      <c r="B90" s="38"/>
      <c r="H90" s="26"/>
    </row>
    <row r="91" spans="1:8">
      <c r="A91" s="25" t="s">
        <v>514</v>
      </c>
      <c r="B91" s="38"/>
      <c r="D91" s="38" t="s">
        <v>934</v>
      </c>
      <c r="F91" s="14"/>
      <c r="H91" s="26">
        <f>'17. OKOLIŠ'!H54</f>
        <v>53484</v>
      </c>
    </row>
    <row r="92" spans="1:8">
      <c r="A92" s="25"/>
      <c r="B92" s="38"/>
      <c r="D92" s="38"/>
      <c r="F92" s="14"/>
      <c r="H92" s="26"/>
    </row>
    <row r="93" spans="1:8">
      <c r="A93" s="25" t="s">
        <v>515</v>
      </c>
      <c r="B93" s="38"/>
      <c r="D93" s="38" t="s">
        <v>1238</v>
      </c>
      <c r="F93" s="14"/>
      <c r="H93" s="26">
        <f>'18. OSTALO'!H24</f>
        <v>7000</v>
      </c>
    </row>
    <row r="94" spans="1:8" ht="13.8" thickBot="1">
      <c r="A94" s="25"/>
      <c r="B94" s="38"/>
      <c r="D94" s="20"/>
      <c r="E94" s="20"/>
      <c r="F94" s="20"/>
      <c r="G94" s="142"/>
      <c r="H94" s="20"/>
    </row>
    <row r="95" spans="1:8">
      <c r="A95" s="25"/>
      <c r="B95" s="38"/>
      <c r="H95" s="14"/>
    </row>
    <row r="96" spans="1:8">
      <c r="A96" s="25"/>
      <c r="B96" s="38"/>
      <c r="D96" s="36" t="s">
        <v>538</v>
      </c>
      <c r="F96" s="14"/>
      <c r="H96" s="58">
        <f>SUM(H55:H93)</f>
        <v>1918738</v>
      </c>
    </row>
    <row r="97" spans="1:8">
      <c r="A97" s="25"/>
      <c r="B97" s="38"/>
      <c r="G97" s="13"/>
    </row>
    <row r="98" spans="1:8">
      <c r="A98" s="13"/>
      <c r="D98" s="143"/>
      <c r="G98" s="13"/>
    </row>
    <row r="99" spans="1:8" ht="15" customHeight="1">
      <c r="A99" s="13"/>
      <c r="B99" s="1148" t="s">
        <v>604</v>
      </c>
      <c r="C99" s="1148"/>
      <c r="D99" s="1148"/>
      <c r="E99" s="1148"/>
      <c r="F99" s="1148"/>
      <c r="G99" s="1148"/>
      <c r="H99" s="1148"/>
    </row>
    <row r="100" spans="1:8">
      <c r="A100" s="13"/>
      <c r="B100" s="1150"/>
      <c r="C100" s="1150"/>
      <c r="D100" s="1150"/>
      <c r="E100" s="1150"/>
      <c r="F100" s="1150"/>
      <c r="G100" s="1150"/>
      <c r="H100" s="1150"/>
    </row>
    <row r="101" spans="1:8" ht="43.5" customHeight="1">
      <c r="A101" s="13"/>
      <c r="B101" s="1150" t="s">
        <v>2264</v>
      </c>
      <c r="C101" s="1150"/>
      <c r="D101" s="1150"/>
      <c r="E101" s="1150"/>
      <c r="F101" s="1150"/>
      <c r="G101" s="1150"/>
      <c r="H101" s="1150"/>
    </row>
    <row r="102" spans="1:8" ht="128.25" customHeight="1">
      <c r="A102" s="13"/>
      <c r="B102" s="1140" t="s">
        <v>605</v>
      </c>
      <c r="C102" s="1140"/>
      <c r="D102" s="1140"/>
      <c r="E102" s="1140"/>
      <c r="F102" s="1140"/>
      <c r="G102" s="1140"/>
      <c r="H102" s="1140"/>
    </row>
    <row r="103" spans="1:8" ht="224.25" customHeight="1">
      <c r="A103" s="13"/>
      <c r="B103" s="1140" t="s">
        <v>606</v>
      </c>
      <c r="C103" s="1140"/>
      <c r="D103" s="1140"/>
      <c r="E103" s="1140"/>
      <c r="F103" s="1140"/>
      <c r="G103" s="1140"/>
      <c r="H103" s="1140"/>
    </row>
    <row r="104" spans="1:8" ht="90.75" customHeight="1">
      <c r="A104" s="13"/>
      <c r="B104" s="1140" t="s">
        <v>607</v>
      </c>
      <c r="C104" s="1140"/>
      <c r="D104" s="1140"/>
      <c r="E104" s="1140"/>
      <c r="F104" s="1140"/>
      <c r="G104" s="1140"/>
      <c r="H104" s="1140"/>
    </row>
    <row r="105" spans="1:8" ht="104.25" customHeight="1">
      <c r="A105" s="13"/>
      <c r="B105" s="1140" t="s">
        <v>608</v>
      </c>
      <c r="C105" s="1140"/>
      <c r="D105" s="1140"/>
      <c r="E105" s="1140"/>
      <c r="F105" s="1140"/>
      <c r="G105" s="1140"/>
      <c r="H105" s="1140"/>
    </row>
    <row r="106" spans="1:8" ht="115.5" customHeight="1">
      <c r="A106" s="13"/>
      <c r="B106" s="1140" t="s">
        <v>609</v>
      </c>
      <c r="C106" s="1140"/>
      <c r="D106" s="1140"/>
      <c r="E106" s="1140"/>
      <c r="F106" s="1140"/>
      <c r="G106" s="1140"/>
      <c r="H106" s="1140"/>
    </row>
    <row r="107" spans="1:8" ht="99.75" customHeight="1">
      <c r="A107" s="13"/>
      <c r="B107" s="1140" t="s">
        <v>610</v>
      </c>
      <c r="C107" s="1140"/>
      <c r="D107" s="1140"/>
      <c r="E107" s="1140"/>
      <c r="F107" s="1140"/>
      <c r="G107" s="1140"/>
      <c r="H107" s="1140"/>
    </row>
    <row r="108" spans="1:8" ht="51" customHeight="1">
      <c r="A108" s="13"/>
      <c r="B108" s="1140" t="s">
        <v>611</v>
      </c>
      <c r="C108" s="1140"/>
      <c r="D108" s="1140"/>
      <c r="E108" s="1140"/>
      <c r="F108" s="1140"/>
      <c r="G108" s="1140"/>
      <c r="H108" s="1140"/>
    </row>
    <row r="109" spans="1:8" ht="78" customHeight="1">
      <c r="A109" s="13"/>
      <c r="B109" s="1140" t="s">
        <v>612</v>
      </c>
      <c r="C109" s="1140"/>
      <c r="D109" s="1140"/>
      <c r="E109" s="1140"/>
      <c r="F109" s="1140"/>
      <c r="G109" s="1140"/>
      <c r="H109" s="1140"/>
    </row>
    <row r="110" spans="1:8" ht="40.5" customHeight="1">
      <c r="A110" s="13"/>
      <c r="B110" s="1140" t="s">
        <v>613</v>
      </c>
      <c r="C110" s="1140"/>
      <c r="D110" s="1140"/>
      <c r="E110" s="1140"/>
      <c r="F110" s="1140"/>
      <c r="G110" s="1140"/>
      <c r="H110" s="1140"/>
    </row>
    <row r="111" spans="1:8">
      <c r="A111" s="13"/>
      <c r="B111" s="1140"/>
      <c r="C111" s="1140"/>
      <c r="D111" s="1140"/>
      <c r="E111" s="1140"/>
      <c r="F111" s="1140"/>
      <c r="G111" s="1140"/>
      <c r="H111" s="1140"/>
    </row>
    <row r="112" spans="1:8" ht="90.75" customHeight="1">
      <c r="B112" s="1140" t="s">
        <v>614</v>
      </c>
      <c r="C112" s="1140"/>
      <c r="D112" s="1140"/>
      <c r="E112" s="1140"/>
      <c r="F112" s="1140"/>
      <c r="G112" s="1140"/>
      <c r="H112" s="1140"/>
    </row>
    <row r="113" spans="1:8" ht="79.5" customHeight="1">
      <c r="A113" s="144"/>
      <c r="B113" s="1140" t="s">
        <v>615</v>
      </c>
      <c r="C113" s="1140"/>
      <c r="D113" s="1140"/>
      <c r="E113" s="1140"/>
      <c r="F113" s="1140"/>
      <c r="G113" s="1140"/>
      <c r="H113" s="1140"/>
    </row>
    <row r="114" spans="1:8" ht="13.5" customHeight="1">
      <c r="A114" s="35"/>
      <c r="B114" s="1140" t="s">
        <v>616</v>
      </c>
      <c r="C114" s="1140"/>
      <c r="D114" s="1140"/>
      <c r="E114" s="1140"/>
      <c r="F114" s="1140"/>
      <c r="G114" s="1140"/>
      <c r="H114" s="1140"/>
    </row>
    <row r="115" spans="1:8" ht="82.5" customHeight="1">
      <c r="A115" s="35"/>
      <c r="B115" s="1140" t="s">
        <v>1011</v>
      </c>
      <c r="C115" s="1140"/>
      <c r="D115" s="1140"/>
      <c r="E115" s="1140"/>
      <c r="F115" s="1140"/>
      <c r="G115" s="1140"/>
      <c r="H115" s="1140"/>
    </row>
    <row r="116" spans="1:8" ht="53.25" customHeight="1">
      <c r="A116" s="144"/>
      <c r="B116" s="1140" t="s">
        <v>1012</v>
      </c>
      <c r="C116" s="1140"/>
      <c r="D116" s="1140"/>
      <c r="E116" s="1140"/>
      <c r="F116" s="1140"/>
      <c r="G116" s="1140"/>
      <c r="H116" s="1140"/>
    </row>
    <row r="117" spans="1:8" ht="27.75" customHeight="1">
      <c r="A117" s="35"/>
      <c r="B117" s="1140" t="s">
        <v>1013</v>
      </c>
      <c r="C117" s="1140"/>
      <c r="D117" s="1140"/>
      <c r="E117" s="1140"/>
      <c r="F117" s="1140"/>
      <c r="G117" s="1140"/>
      <c r="H117" s="1140"/>
    </row>
    <row r="118" spans="1:8" ht="205.5" customHeight="1">
      <c r="A118" s="35"/>
      <c r="B118" s="1140" t="s">
        <v>1014</v>
      </c>
      <c r="C118" s="1140"/>
      <c r="D118" s="1140"/>
      <c r="E118" s="1140"/>
      <c r="F118" s="1140"/>
      <c r="G118" s="1140"/>
      <c r="H118" s="1140"/>
    </row>
    <row r="119" spans="1:8" ht="116.25" customHeight="1">
      <c r="B119" s="1140" t="s">
        <v>617</v>
      </c>
      <c r="C119" s="1140"/>
      <c r="D119" s="1140"/>
      <c r="E119" s="1140"/>
      <c r="F119" s="1140"/>
      <c r="G119" s="1140"/>
      <c r="H119" s="1140"/>
    </row>
    <row r="120" spans="1:8" ht="51.75" customHeight="1">
      <c r="B120" s="1140" t="s">
        <v>618</v>
      </c>
      <c r="C120" s="1140"/>
      <c r="D120" s="1140"/>
      <c r="E120" s="1140"/>
      <c r="F120" s="1140"/>
      <c r="G120" s="1140"/>
      <c r="H120" s="1140"/>
    </row>
    <row r="121" spans="1:8" ht="76.5" customHeight="1">
      <c r="B121" s="1140" t="s">
        <v>619</v>
      </c>
      <c r="C121" s="1140"/>
      <c r="D121" s="1140"/>
      <c r="E121" s="1140"/>
      <c r="F121" s="1140"/>
      <c r="G121" s="1140"/>
      <c r="H121" s="1140"/>
    </row>
    <row r="122" spans="1:8">
      <c r="A122" s="35"/>
      <c r="B122" s="1140"/>
      <c r="C122" s="1140"/>
      <c r="D122" s="1140"/>
      <c r="E122" s="1140"/>
      <c r="F122" s="1140"/>
      <c r="G122" s="1140"/>
      <c r="H122" s="1140"/>
    </row>
    <row r="123" spans="1:8" ht="15" customHeight="1">
      <c r="B123" s="1141" t="s">
        <v>620</v>
      </c>
      <c r="C123" s="1141"/>
      <c r="D123" s="1141"/>
      <c r="E123" s="1141"/>
      <c r="F123" s="1141"/>
      <c r="G123" s="1141"/>
      <c r="H123" s="1141"/>
    </row>
    <row r="124" spans="1:8" ht="64.5" customHeight="1">
      <c r="A124" s="35"/>
      <c r="B124" s="1141" t="s">
        <v>621</v>
      </c>
      <c r="C124" s="1141"/>
      <c r="D124" s="1141"/>
      <c r="E124" s="1141"/>
      <c r="F124" s="1141"/>
      <c r="G124" s="1141"/>
      <c r="H124" s="1141"/>
    </row>
    <row r="125" spans="1:8">
      <c r="A125" s="35"/>
      <c r="B125" s="1140"/>
      <c r="C125" s="1140"/>
      <c r="D125" s="1140"/>
      <c r="E125" s="1140"/>
      <c r="F125" s="1140"/>
      <c r="G125" s="1140"/>
      <c r="H125" s="1140"/>
    </row>
    <row r="126" spans="1:8" ht="12.75" customHeight="1">
      <c r="A126" s="35"/>
      <c r="B126" s="1146" t="s">
        <v>622</v>
      </c>
      <c r="C126" s="1146"/>
      <c r="D126" s="1146"/>
      <c r="E126" s="1146"/>
      <c r="F126" s="1146"/>
      <c r="G126" s="1146"/>
      <c r="H126" s="1146"/>
    </row>
    <row r="127" spans="1:8">
      <c r="A127" s="35"/>
      <c r="B127" s="1140"/>
      <c r="C127" s="1140"/>
      <c r="D127" s="1140"/>
      <c r="E127" s="1140"/>
      <c r="F127" s="1140"/>
      <c r="G127" s="1140"/>
      <c r="H127" s="1140"/>
    </row>
    <row r="128" spans="1:8" ht="15" customHeight="1">
      <c r="A128" s="35"/>
      <c r="B128" s="1148" t="s">
        <v>865</v>
      </c>
      <c r="C128" s="1148"/>
      <c r="D128" s="1148"/>
      <c r="E128" s="1148"/>
      <c r="F128" s="1148"/>
      <c r="G128" s="1148"/>
      <c r="H128" s="1148"/>
    </row>
    <row r="129" spans="1:8" ht="64.5" customHeight="1">
      <c r="B129" s="1140" t="s">
        <v>623</v>
      </c>
      <c r="C129" s="1140"/>
      <c r="D129" s="1140"/>
      <c r="E129" s="1140"/>
      <c r="F129" s="1140"/>
      <c r="G129" s="1140"/>
      <c r="H129" s="1140"/>
    </row>
    <row r="130" spans="1:8" ht="89.25" customHeight="1">
      <c r="B130" s="1140" t="s">
        <v>624</v>
      </c>
      <c r="C130" s="1140"/>
      <c r="D130" s="1140"/>
      <c r="E130" s="1140"/>
      <c r="F130" s="1140"/>
      <c r="G130" s="1140"/>
      <c r="H130" s="1140"/>
    </row>
    <row r="131" spans="1:8">
      <c r="B131" s="1140"/>
      <c r="C131" s="1140"/>
      <c r="D131" s="1140"/>
      <c r="E131" s="1140"/>
      <c r="F131" s="1140"/>
      <c r="G131" s="1140"/>
      <c r="H131" s="1140"/>
    </row>
    <row r="132" spans="1:8" ht="15" customHeight="1">
      <c r="A132" s="35"/>
      <c r="B132" s="1140" t="s">
        <v>625</v>
      </c>
      <c r="C132" s="1140"/>
      <c r="D132" s="1140"/>
      <c r="E132" s="1140"/>
      <c r="F132" s="1140"/>
      <c r="G132" s="1140"/>
      <c r="H132" s="1140"/>
    </row>
    <row r="133" spans="1:8" ht="26.25" customHeight="1">
      <c r="B133" s="1140" t="s">
        <v>626</v>
      </c>
      <c r="C133" s="1140"/>
      <c r="D133" s="1140"/>
      <c r="E133" s="1140"/>
      <c r="F133" s="1140"/>
      <c r="G133" s="1140"/>
      <c r="H133" s="1140"/>
    </row>
    <row r="134" spans="1:8" ht="345" customHeight="1">
      <c r="B134" s="1140" t="s">
        <v>985</v>
      </c>
      <c r="C134" s="1140"/>
      <c r="D134" s="1140"/>
      <c r="E134" s="1140"/>
      <c r="F134" s="1140"/>
      <c r="G134" s="1140"/>
      <c r="H134" s="1140"/>
    </row>
    <row r="135" spans="1:8" ht="42" customHeight="1">
      <c r="B135" s="1140" t="s">
        <v>627</v>
      </c>
      <c r="C135" s="1140"/>
      <c r="D135" s="1140"/>
      <c r="E135" s="1140"/>
      <c r="F135" s="1140"/>
      <c r="G135" s="1140"/>
      <c r="H135" s="1140"/>
    </row>
    <row r="136" spans="1:8">
      <c r="B136" s="1140"/>
      <c r="C136" s="1140"/>
      <c r="D136" s="1140"/>
      <c r="E136" s="1140"/>
      <c r="F136" s="1140"/>
      <c r="G136" s="1140"/>
      <c r="H136" s="1140"/>
    </row>
    <row r="137" spans="1:8" ht="15" customHeight="1">
      <c r="B137" s="1140" t="s">
        <v>628</v>
      </c>
      <c r="C137" s="1140"/>
      <c r="D137" s="1140"/>
      <c r="E137" s="1140"/>
      <c r="F137" s="1140"/>
      <c r="G137" s="1140"/>
      <c r="H137" s="1140"/>
    </row>
    <row r="138" spans="1:8" ht="65.25" customHeight="1">
      <c r="B138" s="1140" t="s">
        <v>629</v>
      </c>
      <c r="C138" s="1140"/>
      <c r="D138" s="1140"/>
      <c r="E138" s="1140"/>
      <c r="F138" s="1140"/>
      <c r="G138" s="1140"/>
      <c r="H138" s="1140"/>
    </row>
    <row r="139" spans="1:8">
      <c r="B139" s="1140"/>
      <c r="C139" s="1140"/>
      <c r="D139" s="1140"/>
      <c r="E139" s="1140"/>
      <c r="F139" s="1140"/>
      <c r="G139" s="1140"/>
      <c r="H139" s="1140"/>
    </row>
    <row r="140" spans="1:8" ht="15" customHeight="1">
      <c r="B140" s="1140" t="s">
        <v>630</v>
      </c>
      <c r="C140" s="1140"/>
      <c r="D140" s="1140"/>
      <c r="E140" s="1140"/>
      <c r="F140" s="1140"/>
      <c r="G140" s="1140"/>
      <c r="H140" s="1140"/>
    </row>
    <row r="141" spans="1:8" ht="39.75" customHeight="1">
      <c r="B141" s="1140" t="s">
        <v>631</v>
      </c>
      <c r="C141" s="1140"/>
      <c r="D141" s="1140"/>
      <c r="E141" s="1140"/>
      <c r="F141" s="1140"/>
      <c r="G141" s="1140"/>
      <c r="H141" s="1140"/>
    </row>
    <row r="142" spans="1:8">
      <c r="B142" s="1140"/>
      <c r="C142" s="1140"/>
      <c r="D142" s="1140"/>
      <c r="E142" s="1140"/>
      <c r="F142" s="1140"/>
      <c r="G142" s="1140"/>
      <c r="H142" s="1140"/>
    </row>
    <row r="143" spans="1:8" ht="15" customHeight="1">
      <c r="B143" s="1140" t="s">
        <v>526</v>
      </c>
      <c r="C143" s="1140"/>
      <c r="D143" s="1140"/>
      <c r="E143" s="1140"/>
      <c r="F143" s="1140"/>
      <c r="G143" s="1140"/>
      <c r="H143" s="1140"/>
    </row>
    <row r="144" spans="1:8" ht="81.75" customHeight="1">
      <c r="B144" s="1140" t="s">
        <v>632</v>
      </c>
      <c r="C144" s="1140"/>
      <c r="D144" s="1140"/>
      <c r="E144" s="1140"/>
      <c r="F144" s="1140"/>
      <c r="G144" s="1140"/>
      <c r="H144" s="1140"/>
    </row>
    <row r="145" spans="2:8">
      <c r="B145" s="1140"/>
      <c r="C145" s="1140"/>
      <c r="D145" s="1140"/>
      <c r="E145" s="1140"/>
      <c r="F145" s="1140"/>
      <c r="G145" s="1140"/>
      <c r="H145" s="1140"/>
    </row>
    <row r="146" spans="2:8" ht="15" customHeight="1">
      <c r="B146" s="1140" t="s">
        <v>633</v>
      </c>
      <c r="C146" s="1140"/>
      <c r="D146" s="1140"/>
      <c r="E146" s="1140"/>
      <c r="F146" s="1140"/>
      <c r="G146" s="1140"/>
      <c r="H146" s="1140"/>
    </row>
    <row r="147" spans="2:8" ht="153" customHeight="1">
      <c r="B147" s="1140" t="s">
        <v>634</v>
      </c>
      <c r="C147" s="1140"/>
      <c r="D147" s="1140"/>
      <c r="E147" s="1140"/>
      <c r="F147" s="1140"/>
      <c r="G147" s="1140"/>
      <c r="H147" s="1140"/>
    </row>
    <row r="148" spans="2:8" ht="15" customHeight="1">
      <c r="B148" s="1140" t="s">
        <v>635</v>
      </c>
      <c r="C148" s="1140"/>
      <c r="D148" s="1140"/>
      <c r="E148" s="1140"/>
      <c r="F148" s="1140"/>
      <c r="G148" s="1140"/>
      <c r="H148" s="1140"/>
    </row>
    <row r="149" spans="2:8" ht="104.25" customHeight="1">
      <c r="B149" s="1140" t="s">
        <v>636</v>
      </c>
      <c r="C149" s="1140"/>
      <c r="D149" s="1140"/>
      <c r="E149" s="1140"/>
      <c r="F149" s="1140"/>
      <c r="G149" s="1140"/>
      <c r="H149" s="1140"/>
    </row>
    <row r="150" spans="2:8">
      <c r="B150" s="1140"/>
      <c r="C150" s="1140"/>
      <c r="D150" s="1140"/>
      <c r="E150" s="1140"/>
      <c r="F150" s="1140"/>
      <c r="G150" s="1140"/>
      <c r="H150" s="1140"/>
    </row>
    <row r="151" spans="2:8" ht="15" customHeight="1">
      <c r="B151" s="1140" t="s">
        <v>637</v>
      </c>
      <c r="C151" s="1140"/>
      <c r="D151" s="1140"/>
      <c r="E151" s="1140"/>
      <c r="F151" s="1140"/>
      <c r="G151" s="1140"/>
      <c r="H151" s="1140"/>
    </row>
    <row r="152" spans="2:8" ht="88.5" customHeight="1">
      <c r="B152" s="1147" t="s">
        <v>638</v>
      </c>
      <c r="C152" s="1147"/>
      <c r="D152" s="1147"/>
      <c r="E152" s="1147"/>
      <c r="F152" s="1147"/>
      <c r="G152" s="1147"/>
      <c r="H152" s="1147"/>
    </row>
    <row r="153" spans="2:8">
      <c r="B153" s="1147"/>
      <c r="C153" s="1147"/>
      <c r="D153" s="1147"/>
      <c r="E153" s="1147"/>
      <c r="F153" s="1147"/>
      <c r="G153" s="1147"/>
      <c r="H153" s="1147"/>
    </row>
    <row r="154" spans="2:8" ht="15" customHeight="1">
      <c r="B154" s="1147" t="s">
        <v>639</v>
      </c>
      <c r="C154" s="1147"/>
      <c r="D154" s="1147"/>
      <c r="E154" s="1147"/>
      <c r="F154" s="1147"/>
      <c r="G154" s="1147"/>
      <c r="H154" s="1147"/>
    </row>
    <row r="155" spans="2:8" ht="39.75" customHeight="1">
      <c r="B155" s="1147" t="s">
        <v>640</v>
      </c>
      <c r="C155" s="1147"/>
      <c r="D155" s="1147"/>
      <c r="E155" s="1147"/>
      <c r="F155" s="1147"/>
      <c r="G155" s="1147"/>
      <c r="H155" s="1147"/>
    </row>
    <row r="156" spans="2:8">
      <c r="B156" s="1147"/>
      <c r="C156" s="1147"/>
      <c r="D156" s="1147"/>
      <c r="E156" s="1147"/>
      <c r="F156" s="1147"/>
      <c r="G156" s="1147"/>
      <c r="H156" s="1147"/>
    </row>
    <row r="157" spans="2:8" s="15" customFormat="1" ht="13.5" customHeight="1">
      <c r="B157" s="1147" t="s">
        <v>641</v>
      </c>
      <c r="C157" s="1147"/>
      <c r="D157" s="1147"/>
      <c r="E157" s="1147"/>
      <c r="F157" s="1147"/>
      <c r="G157" s="1147"/>
      <c r="H157" s="1147"/>
    </row>
    <row r="158" spans="2:8" ht="26.25" customHeight="1">
      <c r="B158" s="1147" t="s">
        <v>642</v>
      </c>
      <c r="C158" s="1147"/>
      <c r="D158" s="1147"/>
      <c r="E158" s="1147"/>
      <c r="F158" s="1147"/>
      <c r="G158" s="1147"/>
      <c r="H158" s="1147"/>
    </row>
    <row r="159" spans="2:8">
      <c r="B159" s="1147"/>
      <c r="C159" s="1147"/>
      <c r="D159" s="1147"/>
      <c r="E159" s="1147"/>
      <c r="F159" s="1147"/>
      <c r="G159" s="1147"/>
      <c r="H159" s="1147"/>
    </row>
    <row r="160" spans="2:8" s="15" customFormat="1" ht="13.5" customHeight="1">
      <c r="B160" s="1147" t="s">
        <v>643</v>
      </c>
      <c r="C160" s="1147"/>
      <c r="D160" s="1147"/>
      <c r="E160" s="1147"/>
      <c r="F160" s="1147"/>
      <c r="G160" s="1147"/>
      <c r="H160" s="1147"/>
    </row>
    <row r="161" spans="2:8" ht="104.25" customHeight="1">
      <c r="B161" s="1147" t="s">
        <v>644</v>
      </c>
      <c r="C161" s="1147"/>
      <c r="D161" s="1147"/>
      <c r="E161" s="1147"/>
      <c r="F161" s="1147"/>
      <c r="G161" s="1147"/>
      <c r="H161" s="1147"/>
    </row>
    <row r="162" spans="2:8">
      <c r="B162" s="1140"/>
      <c r="C162" s="1140"/>
      <c r="D162" s="1140"/>
      <c r="E162" s="1140"/>
      <c r="F162" s="1140"/>
      <c r="G162" s="1140"/>
      <c r="H162" s="1140"/>
    </row>
    <row r="163" spans="2:8" ht="15" customHeight="1">
      <c r="B163" s="1141" t="s">
        <v>864</v>
      </c>
      <c r="C163" s="1141"/>
      <c r="D163" s="1141"/>
      <c r="E163" s="1141"/>
      <c r="F163" s="1141"/>
      <c r="G163" s="1141"/>
      <c r="H163" s="1141"/>
    </row>
    <row r="164" spans="2:8" ht="15" customHeight="1">
      <c r="B164" s="1140" t="s">
        <v>645</v>
      </c>
      <c r="C164" s="1140"/>
      <c r="D164" s="1140"/>
      <c r="E164" s="1140"/>
      <c r="F164" s="1140"/>
      <c r="G164" s="1140"/>
      <c r="H164" s="1140"/>
    </row>
    <row r="165" spans="2:8" ht="51.75" customHeight="1">
      <c r="B165" s="1140" t="s">
        <v>646</v>
      </c>
      <c r="C165" s="1140"/>
      <c r="D165" s="1140"/>
      <c r="E165" s="1140"/>
      <c r="F165" s="1140"/>
      <c r="G165" s="1140"/>
      <c r="H165" s="1140"/>
    </row>
    <row r="166" spans="2:8" ht="90.75" customHeight="1">
      <c r="B166" s="1140" t="s">
        <v>647</v>
      </c>
      <c r="C166" s="1140"/>
      <c r="D166" s="1140"/>
      <c r="E166" s="1140"/>
      <c r="F166" s="1140"/>
      <c r="G166" s="1140"/>
      <c r="H166" s="1140"/>
    </row>
    <row r="167" spans="2:8" ht="132.75" customHeight="1">
      <c r="B167" s="1140" t="s">
        <v>648</v>
      </c>
      <c r="C167" s="1140"/>
      <c r="D167" s="1140"/>
      <c r="E167" s="1140"/>
      <c r="F167" s="1140"/>
      <c r="G167" s="1140"/>
      <c r="H167" s="1140"/>
    </row>
    <row r="168" spans="2:8" ht="65.25" customHeight="1">
      <c r="B168" s="1140" t="s">
        <v>649</v>
      </c>
      <c r="C168" s="1140"/>
      <c r="D168" s="1140"/>
      <c r="E168" s="1140"/>
      <c r="F168" s="1140"/>
      <c r="G168" s="1140"/>
      <c r="H168" s="1140"/>
    </row>
    <row r="169" spans="2:8" ht="40.5" customHeight="1">
      <c r="B169" s="1140" t="s">
        <v>650</v>
      </c>
      <c r="C169" s="1140"/>
      <c r="D169" s="1140"/>
      <c r="E169" s="1140"/>
      <c r="F169" s="1140"/>
      <c r="G169" s="1140"/>
      <c r="H169" s="1140"/>
    </row>
    <row r="170" spans="2:8" ht="109.5" customHeight="1">
      <c r="B170" s="1140" t="s">
        <v>651</v>
      </c>
      <c r="C170" s="1140"/>
      <c r="D170" s="1140"/>
      <c r="E170" s="1140"/>
      <c r="F170" s="1140"/>
      <c r="G170" s="1140"/>
      <c r="H170" s="1140"/>
    </row>
    <row r="171" spans="2:8" ht="90" customHeight="1">
      <c r="B171" s="1140" t="s">
        <v>652</v>
      </c>
      <c r="C171" s="1140"/>
      <c r="D171" s="1140"/>
      <c r="E171" s="1140"/>
      <c r="F171" s="1140"/>
      <c r="G171" s="1140"/>
      <c r="H171" s="1140"/>
    </row>
    <row r="172" spans="2:8" ht="90" customHeight="1">
      <c r="B172" s="1140" t="s">
        <v>653</v>
      </c>
      <c r="C172" s="1140"/>
      <c r="D172" s="1140"/>
      <c r="E172" s="1140"/>
      <c r="F172" s="1140"/>
      <c r="G172" s="1140"/>
      <c r="H172" s="1140"/>
    </row>
    <row r="173" spans="2:8" ht="14.25" customHeight="1">
      <c r="B173" s="1140" t="s">
        <v>654</v>
      </c>
      <c r="C173" s="1140"/>
      <c r="D173" s="1140"/>
      <c r="E173" s="1140"/>
      <c r="F173" s="1140"/>
      <c r="G173" s="1140"/>
      <c r="H173" s="1140"/>
    </row>
    <row r="174" spans="2:8" ht="66.75" customHeight="1">
      <c r="B174" s="1140" t="s">
        <v>655</v>
      </c>
      <c r="C174" s="1140"/>
      <c r="D174" s="1140"/>
      <c r="E174" s="1140"/>
      <c r="F174" s="1140"/>
      <c r="G174" s="1140"/>
      <c r="H174" s="1140"/>
    </row>
    <row r="175" spans="2:8" ht="69.75" customHeight="1">
      <c r="B175" s="1140" t="s">
        <v>656</v>
      </c>
      <c r="C175" s="1140"/>
      <c r="D175" s="1140"/>
      <c r="E175" s="1140"/>
      <c r="F175" s="1140"/>
      <c r="G175" s="1140"/>
      <c r="H175" s="1140"/>
    </row>
    <row r="176" spans="2:8" ht="67.5" customHeight="1">
      <c r="B176" s="1140" t="s">
        <v>657</v>
      </c>
      <c r="C176" s="1140"/>
      <c r="D176" s="1140"/>
      <c r="E176" s="1140"/>
      <c r="F176" s="1140"/>
      <c r="G176" s="1140"/>
      <c r="H176" s="1140"/>
    </row>
    <row r="177" spans="2:8" ht="26.25" customHeight="1">
      <c r="B177" s="1140" t="s">
        <v>658</v>
      </c>
      <c r="C177" s="1140"/>
      <c r="D177" s="1140"/>
      <c r="E177" s="1140"/>
      <c r="F177" s="1140"/>
      <c r="G177" s="1140"/>
      <c r="H177" s="1140"/>
    </row>
    <row r="178" spans="2:8">
      <c r="B178" s="1140"/>
      <c r="C178" s="1140"/>
      <c r="D178" s="1140"/>
      <c r="E178" s="1140"/>
      <c r="F178" s="1140"/>
      <c r="G178" s="1140"/>
      <c r="H178" s="1140"/>
    </row>
    <row r="179" spans="2:8" ht="42.75" customHeight="1">
      <c r="B179" s="1140" t="s">
        <v>659</v>
      </c>
      <c r="C179" s="1140"/>
      <c r="D179" s="1140"/>
      <c r="E179" s="1140"/>
      <c r="F179" s="1140"/>
      <c r="G179" s="1140"/>
      <c r="H179" s="1140"/>
    </row>
    <row r="180" spans="2:8" ht="64.5" customHeight="1">
      <c r="B180" s="1140" t="s">
        <v>660</v>
      </c>
      <c r="C180" s="1140"/>
      <c r="D180" s="1140"/>
      <c r="E180" s="1140"/>
      <c r="F180" s="1140"/>
      <c r="G180" s="1140"/>
      <c r="H180" s="1140"/>
    </row>
    <row r="181" spans="2:8" ht="117.75" customHeight="1">
      <c r="B181" s="1140" t="s">
        <v>661</v>
      </c>
      <c r="C181" s="1140"/>
      <c r="D181" s="1140"/>
      <c r="E181" s="1140"/>
      <c r="F181" s="1140"/>
      <c r="G181" s="1140"/>
      <c r="H181" s="1140"/>
    </row>
    <row r="182" spans="2:8">
      <c r="B182" s="1140"/>
      <c r="C182" s="1140"/>
      <c r="D182" s="1140"/>
      <c r="E182" s="1140"/>
      <c r="F182" s="1140"/>
      <c r="G182" s="1140"/>
      <c r="H182" s="1140"/>
    </row>
    <row r="183" spans="2:8" ht="42.75" customHeight="1">
      <c r="B183" s="1140" t="s">
        <v>662</v>
      </c>
      <c r="C183" s="1140"/>
      <c r="D183" s="1140"/>
      <c r="E183" s="1140"/>
      <c r="F183" s="1140"/>
      <c r="G183" s="1140"/>
      <c r="H183" s="1140"/>
    </row>
    <row r="184" spans="2:8">
      <c r="B184" s="1140"/>
      <c r="C184" s="1140"/>
      <c r="D184" s="1140"/>
      <c r="E184" s="1140"/>
      <c r="F184" s="1140"/>
      <c r="G184" s="1140"/>
      <c r="H184" s="1140"/>
    </row>
    <row r="185" spans="2:8" ht="65.25" customHeight="1">
      <c r="B185" s="1140" t="s">
        <v>663</v>
      </c>
      <c r="C185" s="1140"/>
      <c r="D185" s="1140"/>
      <c r="E185" s="1140"/>
      <c r="F185" s="1140"/>
      <c r="G185" s="1140"/>
      <c r="H185" s="1140"/>
    </row>
    <row r="186" spans="2:8">
      <c r="B186" s="1140"/>
      <c r="C186" s="1140"/>
      <c r="D186" s="1140"/>
      <c r="E186" s="1140"/>
      <c r="F186" s="1140"/>
      <c r="G186" s="1140"/>
      <c r="H186" s="1140"/>
    </row>
    <row r="187" spans="2:8" ht="15" customHeight="1">
      <c r="B187" s="1140" t="s">
        <v>664</v>
      </c>
      <c r="C187" s="1140"/>
      <c r="D187" s="1140"/>
      <c r="E187" s="1140"/>
      <c r="F187" s="1140"/>
      <c r="G187" s="1140"/>
      <c r="H187" s="1140"/>
    </row>
    <row r="188" spans="2:8" ht="15" customHeight="1">
      <c r="B188" s="1140" t="s">
        <v>665</v>
      </c>
      <c r="C188" s="1140"/>
      <c r="D188" s="1140"/>
      <c r="E188" s="1140"/>
      <c r="F188" s="1140"/>
      <c r="G188" s="1140"/>
      <c r="H188" s="1140"/>
    </row>
    <row r="189" spans="2:8" ht="15" customHeight="1">
      <c r="B189" s="1140" t="s">
        <v>666</v>
      </c>
      <c r="C189" s="1140"/>
      <c r="D189" s="1140"/>
      <c r="E189" s="1140"/>
      <c r="F189" s="1140"/>
      <c r="G189" s="1140"/>
      <c r="H189" s="1140"/>
    </row>
    <row r="190" spans="2:8" ht="15" customHeight="1">
      <c r="B190" s="1140" t="s">
        <v>667</v>
      </c>
      <c r="C190" s="1140"/>
      <c r="D190" s="1140"/>
      <c r="E190" s="1140"/>
      <c r="F190" s="1140"/>
      <c r="G190" s="1140"/>
      <c r="H190" s="1140"/>
    </row>
    <row r="191" spans="2:8" ht="15" customHeight="1">
      <c r="B191" s="1140" t="s">
        <v>668</v>
      </c>
      <c r="C191" s="1140"/>
      <c r="D191" s="1140"/>
      <c r="E191" s="1140"/>
      <c r="F191" s="1140"/>
      <c r="G191" s="1140"/>
      <c r="H191" s="1140"/>
    </row>
    <row r="192" spans="2:8" ht="15" customHeight="1">
      <c r="B192" s="1140" t="s">
        <v>669</v>
      </c>
      <c r="C192" s="1140"/>
      <c r="D192" s="1140"/>
      <c r="E192" s="1140"/>
      <c r="F192" s="1140"/>
      <c r="G192" s="1140"/>
      <c r="H192" s="1140"/>
    </row>
    <row r="193" spans="2:8" ht="15" customHeight="1">
      <c r="B193" s="1140" t="s">
        <v>670</v>
      </c>
      <c r="C193" s="1140"/>
      <c r="D193" s="1140"/>
      <c r="E193" s="1140"/>
      <c r="F193" s="1140"/>
      <c r="G193" s="1140"/>
      <c r="H193" s="1140"/>
    </row>
    <row r="194" spans="2:8" ht="15" customHeight="1">
      <c r="B194" s="1140" t="s">
        <v>671</v>
      </c>
      <c r="C194" s="1140"/>
      <c r="D194" s="1140"/>
      <c r="E194" s="1140"/>
      <c r="F194" s="1140"/>
      <c r="G194" s="1140"/>
      <c r="H194" s="1140"/>
    </row>
    <row r="195" spans="2:8" ht="15" customHeight="1">
      <c r="B195" s="1140" t="s">
        <v>672</v>
      </c>
      <c r="C195" s="1140"/>
      <c r="D195" s="1140"/>
      <c r="E195" s="1140"/>
      <c r="F195" s="1140"/>
      <c r="G195" s="1140"/>
      <c r="H195" s="1140"/>
    </row>
    <row r="196" spans="2:8" ht="14.25" customHeight="1">
      <c r="B196" s="1140" t="s">
        <v>673</v>
      </c>
      <c r="C196" s="1140"/>
      <c r="D196" s="1140"/>
      <c r="E196" s="1140"/>
      <c r="F196" s="1140"/>
      <c r="G196" s="1140"/>
      <c r="H196" s="1140"/>
    </row>
    <row r="197" spans="2:8">
      <c r="B197" s="1140"/>
      <c r="C197" s="1140"/>
      <c r="D197" s="1140"/>
      <c r="E197" s="1140"/>
      <c r="F197" s="1140"/>
      <c r="G197" s="1140"/>
      <c r="H197" s="1140"/>
    </row>
    <row r="198" spans="2:8" ht="67.5" customHeight="1">
      <c r="B198" s="1140" t="s">
        <v>986</v>
      </c>
      <c r="C198" s="1140"/>
      <c r="D198" s="1140"/>
      <c r="E198" s="1140"/>
      <c r="F198" s="1140"/>
      <c r="G198" s="1140"/>
      <c r="H198" s="1140"/>
    </row>
    <row r="199" spans="2:8">
      <c r="B199" s="1140"/>
      <c r="C199" s="1140"/>
      <c r="D199" s="1140"/>
      <c r="E199" s="1140"/>
      <c r="F199" s="1140"/>
      <c r="G199" s="1140"/>
      <c r="H199" s="1140"/>
    </row>
    <row r="200" spans="2:8" ht="15" customHeight="1">
      <c r="B200" s="1141" t="s">
        <v>863</v>
      </c>
      <c r="C200" s="1141"/>
      <c r="D200" s="1141"/>
      <c r="E200" s="1141"/>
      <c r="F200" s="1141"/>
      <c r="G200" s="1141"/>
      <c r="H200" s="1141"/>
    </row>
    <row r="201" spans="2:8" ht="15" customHeight="1">
      <c r="B201" s="1140" t="s">
        <v>674</v>
      </c>
      <c r="C201" s="1140"/>
      <c r="D201" s="1140"/>
      <c r="E201" s="1140"/>
      <c r="F201" s="1140"/>
      <c r="G201" s="1140"/>
      <c r="H201" s="1140"/>
    </row>
    <row r="202" spans="2:8" ht="78" customHeight="1">
      <c r="B202" s="1140" t="s">
        <v>675</v>
      </c>
      <c r="C202" s="1140"/>
      <c r="D202" s="1140"/>
      <c r="E202" s="1140"/>
      <c r="F202" s="1140"/>
      <c r="G202" s="1140"/>
      <c r="H202" s="1140"/>
    </row>
    <row r="203" spans="2:8">
      <c r="B203" s="1140"/>
      <c r="C203" s="1140"/>
      <c r="D203" s="1140"/>
      <c r="E203" s="1140"/>
      <c r="F203" s="1140"/>
      <c r="G203" s="1140"/>
      <c r="H203" s="1140"/>
    </row>
    <row r="204" spans="2:8" ht="134.25" customHeight="1">
      <c r="B204" s="1140" t="s">
        <v>987</v>
      </c>
      <c r="C204" s="1140"/>
      <c r="D204" s="1140"/>
      <c r="E204" s="1140"/>
      <c r="F204" s="1140"/>
      <c r="G204" s="1140"/>
      <c r="H204" s="1140"/>
    </row>
    <row r="205" spans="2:8">
      <c r="B205" s="1140"/>
      <c r="C205" s="1140"/>
      <c r="D205" s="1140"/>
      <c r="E205" s="1140"/>
      <c r="F205" s="1140"/>
      <c r="G205" s="1140"/>
      <c r="H205" s="1140"/>
    </row>
    <row r="206" spans="2:8" ht="15" customHeight="1">
      <c r="B206" s="1140" t="s">
        <v>676</v>
      </c>
      <c r="C206" s="1140"/>
      <c r="D206" s="1140"/>
      <c r="E206" s="1140"/>
      <c r="F206" s="1140"/>
      <c r="G206" s="1140"/>
      <c r="H206" s="1140"/>
    </row>
    <row r="207" spans="2:8" ht="15" customHeight="1">
      <c r="B207" s="1140" t="s">
        <v>988</v>
      </c>
      <c r="C207" s="1140"/>
      <c r="D207" s="1140"/>
      <c r="E207" s="1140"/>
      <c r="F207" s="1140"/>
      <c r="G207" s="1140"/>
      <c r="H207" s="1140"/>
    </row>
    <row r="208" spans="2:8" ht="39.75" customHeight="1">
      <c r="B208" s="1140" t="s">
        <v>677</v>
      </c>
      <c r="C208" s="1140"/>
      <c r="D208" s="1140"/>
      <c r="E208" s="1140"/>
      <c r="F208" s="1140"/>
      <c r="G208" s="1140"/>
      <c r="H208" s="1140"/>
    </row>
    <row r="209" spans="2:8">
      <c r="B209" s="1140"/>
      <c r="C209" s="1140"/>
      <c r="D209" s="1140"/>
      <c r="E209" s="1140"/>
      <c r="F209" s="1140"/>
      <c r="G209" s="1140"/>
      <c r="H209" s="1140"/>
    </row>
    <row r="210" spans="2:8" ht="15" customHeight="1">
      <c r="B210" s="1140" t="s">
        <v>678</v>
      </c>
      <c r="C210" s="1140"/>
      <c r="D210" s="1140"/>
      <c r="E210" s="1140"/>
      <c r="F210" s="1140"/>
      <c r="G210" s="1140"/>
      <c r="H210" s="1140"/>
    </row>
    <row r="211" spans="2:8" ht="27.75" customHeight="1">
      <c r="B211" s="1140" t="s">
        <v>679</v>
      </c>
      <c r="C211" s="1140"/>
      <c r="D211" s="1140"/>
      <c r="E211" s="1140"/>
      <c r="F211" s="1140"/>
      <c r="G211" s="1140"/>
      <c r="H211" s="1140"/>
    </row>
    <row r="212" spans="2:8">
      <c r="B212" s="1140"/>
      <c r="C212" s="1140"/>
      <c r="D212" s="1140"/>
      <c r="E212" s="1140"/>
      <c r="F212" s="1140"/>
      <c r="G212" s="1140"/>
      <c r="H212" s="1140"/>
    </row>
    <row r="213" spans="2:8" ht="15" customHeight="1">
      <c r="B213" s="1140" t="s">
        <v>680</v>
      </c>
      <c r="C213" s="1140"/>
      <c r="D213" s="1140"/>
      <c r="E213" s="1140"/>
      <c r="F213" s="1140"/>
      <c r="G213" s="1140"/>
      <c r="H213" s="1140"/>
    </row>
    <row r="214" spans="2:8" ht="15.75" customHeight="1">
      <c r="B214" s="1140" t="s">
        <v>681</v>
      </c>
      <c r="C214" s="1140"/>
      <c r="D214" s="1140"/>
      <c r="E214" s="1140"/>
      <c r="F214" s="1140"/>
      <c r="G214" s="1140"/>
      <c r="H214" s="1140"/>
    </row>
    <row r="215" spans="2:8" ht="16.5" customHeight="1">
      <c r="B215" s="1140" t="s">
        <v>682</v>
      </c>
      <c r="C215" s="1140"/>
      <c r="D215" s="1140"/>
      <c r="E215" s="1140"/>
      <c r="F215" s="1140"/>
      <c r="G215" s="1140"/>
      <c r="H215" s="1140"/>
    </row>
    <row r="216" spans="2:8">
      <c r="B216" s="1140"/>
      <c r="C216" s="1140"/>
      <c r="D216" s="1140"/>
      <c r="E216" s="1140"/>
      <c r="F216" s="1140"/>
      <c r="G216" s="1140"/>
      <c r="H216" s="1140"/>
    </row>
    <row r="217" spans="2:8" ht="15" customHeight="1">
      <c r="B217" s="1140" t="s">
        <v>683</v>
      </c>
      <c r="C217" s="1140"/>
      <c r="D217" s="1140"/>
      <c r="E217" s="1140"/>
      <c r="F217" s="1140"/>
      <c r="G217" s="1140"/>
      <c r="H217" s="1140"/>
    </row>
    <row r="218" spans="2:8" ht="13.5" customHeight="1">
      <c r="B218" s="1140" t="s">
        <v>684</v>
      </c>
      <c r="C218" s="1140"/>
      <c r="D218" s="1140"/>
      <c r="E218" s="1140"/>
      <c r="F218" s="1140"/>
      <c r="G218" s="1140"/>
      <c r="H218" s="1140"/>
    </row>
    <row r="219" spans="2:8" ht="15" customHeight="1">
      <c r="B219" s="1140" t="s">
        <v>685</v>
      </c>
      <c r="C219" s="1140"/>
      <c r="D219" s="1140"/>
      <c r="E219" s="1140"/>
      <c r="F219" s="1140"/>
      <c r="G219" s="1140"/>
      <c r="H219" s="1140"/>
    </row>
    <row r="220" spans="2:8">
      <c r="B220" s="1140"/>
      <c r="C220" s="1140"/>
      <c r="D220" s="1140"/>
      <c r="E220" s="1140"/>
      <c r="F220" s="1140"/>
      <c r="G220" s="1140"/>
      <c r="H220" s="1140"/>
    </row>
    <row r="221" spans="2:8" ht="15" customHeight="1">
      <c r="B221" s="1140" t="s">
        <v>686</v>
      </c>
      <c r="C221" s="1140"/>
      <c r="D221" s="1140"/>
      <c r="E221" s="1140"/>
      <c r="F221" s="1140"/>
      <c r="G221" s="1140"/>
      <c r="H221" s="1140"/>
    </row>
    <row r="222" spans="2:8" ht="25.5" customHeight="1">
      <c r="B222" s="1140" t="s">
        <v>687</v>
      </c>
      <c r="C222" s="1140"/>
      <c r="D222" s="1140"/>
      <c r="E222" s="1140"/>
      <c r="F222" s="1140"/>
      <c r="G222" s="1140"/>
      <c r="H222" s="1140"/>
    </row>
    <row r="223" spans="2:8" ht="15" customHeight="1">
      <c r="B223" s="1140" t="s">
        <v>688</v>
      </c>
      <c r="C223" s="1140"/>
      <c r="D223" s="1140"/>
      <c r="E223" s="1140"/>
      <c r="F223" s="1140"/>
      <c r="G223" s="1140"/>
      <c r="H223" s="1140"/>
    </row>
    <row r="224" spans="2:8" ht="26.25" customHeight="1">
      <c r="B224" s="1140" t="s">
        <v>689</v>
      </c>
      <c r="C224" s="1140"/>
      <c r="D224" s="1140"/>
      <c r="E224" s="1140"/>
      <c r="F224" s="1140"/>
      <c r="G224" s="1140"/>
      <c r="H224" s="1140"/>
    </row>
    <row r="225" spans="2:8">
      <c r="B225" s="1140"/>
      <c r="C225" s="1140"/>
      <c r="D225" s="1140"/>
      <c r="E225" s="1140"/>
      <c r="F225" s="1140"/>
      <c r="G225" s="1140"/>
      <c r="H225" s="1140"/>
    </row>
    <row r="226" spans="2:8" ht="42" customHeight="1">
      <c r="B226" s="1140" t="s">
        <v>690</v>
      </c>
      <c r="C226" s="1140"/>
      <c r="D226" s="1140"/>
      <c r="E226" s="1140"/>
      <c r="F226" s="1140"/>
      <c r="G226" s="1140"/>
      <c r="H226" s="1140"/>
    </row>
    <row r="227" spans="2:8" ht="76.5" customHeight="1">
      <c r="B227" s="1140" t="s">
        <v>691</v>
      </c>
      <c r="C227" s="1140"/>
      <c r="D227" s="1140"/>
      <c r="E227" s="1140"/>
      <c r="F227" s="1140"/>
      <c r="G227" s="1140"/>
      <c r="H227" s="1140"/>
    </row>
    <row r="228" spans="2:8" ht="130.5" customHeight="1">
      <c r="B228" s="1140" t="s">
        <v>692</v>
      </c>
      <c r="C228" s="1140"/>
      <c r="D228" s="1140"/>
      <c r="E228" s="1140"/>
      <c r="F228" s="1140"/>
      <c r="G228" s="1140"/>
      <c r="H228" s="1140"/>
    </row>
    <row r="229" spans="2:8" ht="103.5" customHeight="1">
      <c r="B229" s="1140" t="s">
        <v>693</v>
      </c>
      <c r="C229" s="1140"/>
      <c r="D229" s="1140"/>
      <c r="E229" s="1140"/>
      <c r="F229" s="1140"/>
      <c r="G229" s="1140"/>
      <c r="H229" s="1140"/>
    </row>
    <row r="230" spans="2:8" ht="102" customHeight="1">
      <c r="B230" s="1140" t="s">
        <v>694</v>
      </c>
      <c r="C230" s="1140"/>
      <c r="D230" s="1140"/>
      <c r="E230" s="1140"/>
      <c r="F230" s="1140"/>
      <c r="G230" s="1140"/>
      <c r="H230" s="1140"/>
    </row>
    <row r="231" spans="2:8">
      <c r="B231" s="1140"/>
      <c r="C231" s="1140"/>
      <c r="D231" s="1140"/>
      <c r="E231" s="1140"/>
      <c r="F231" s="1140"/>
      <c r="G231" s="1140"/>
      <c r="H231" s="1140"/>
    </row>
    <row r="232" spans="2:8" ht="232.5" customHeight="1">
      <c r="B232" s="1140" t="s">
        <v>989</v>
      </c>
      <c r="C232" s="1140"/>
      <c r="D232" s="1140"/>
      <c r="E232" s="1140"/>
      <c r="F232" s="1140"/>
      <c r="G232" s="1140"/>
      <c r="H232" s="1140"/>
    </row>
    <row r="233" spans="2:8" ht="30.75" customHeight="1">
      <c r="B233" s="1140" t="s">
        <v>695</v>
      </c>
      <c r="C233" s="1140"/>
      <c r="D233" s="1140"/>
      <c r="E233" s="1140"/>
      <c r="F233" s="1140"/>
      <c r="G233" s="1140"/>
      <c r="H233" s="1140"/>
    </row>
    <row r="234" spans="2:8">
      <c r="B234" s="1140"/>
      <c r="C234" s="1140"/>
      <c r="D234" s="1140"/>
      <c r="E234" s="1140"/>
      <c r="F234" s="1140"/>
      <c r="G234" s="1140"/>
      <c r="H234" s="1140"/>
    </row>
    <row r="235" spans="2:8" ht="15" customHeight="1">
      <c r="B235" s="1140" t="s">
        <v>372</v>
      </c>
      <c r="C235" s="1140"/>
      <c r="D235" s="1140"/>
      <c r="E235" s="1140"/>
      <c r="F235" s="1140"/>
      <c r="G235" s="1140"/>
      <c r="H235" s="1140"/>
    </row>
    <row r="236" spans="2:8" ht="78" customHeight="1">
      <c r="B236" s="1140" t="s">
        <v>696</v>
      </c>
      <c r="C236" s="1140"/>
      <c r="D236" s="1140"/>
      <c r="E236" s="1140"/>
      <c r="F236" s="1140"/>
      <c r="G236" s="1140"/>
      <c r="H236" s="1140"/>
    </row>
    <row r="237" spans="2:8">
      <c r="B237" s="1140"/>
      <c r="C237" s="1140"/>
      <c r="D237" s="1140"/>
      <c r="E237" s="1140"/>
      <c r="F237" s="1140"/>
      <c r="G237" s="1140"/>
      <c r="H237" s="1140"/>
    </row>
    <row r="238" spans="2:8" ht="24.75" customHeight="1">
      <c r="B238" s="1140" t="s">
        <v>697</v>
      </c>
      <c r="C238" s="1140"/>
      <c r="D238" s="1140"/>
      <c r="E238" s="1140"/>
      <c r="F238" s="1140"/>
      <c r="G238" s="1140"/>
      <c r="H238" s="1140"/>
    </row>
    <row r="239" spans="2:8" ht="13.5" customHeight="1">
      <c r="B239" s="1140"/>
      <c r="C239" s="1140"/>
      <c r="D239" s="1140"/>
      <c r="E239" s="1140"/>
      <c r="F239" s="1140"/>
      <c r="G239" s="1140"/>
      <c r="H239" s="1140"/>
    </row>
    <row r="240" spans="2:8" ht="15.75" customHeight="1">
      <c r="B240" s="1140" t="s">
        <v>698</v>
      </c>
      <c r="C240" s="1140"/>
      <c r="D240" s="1140"/>
      <c r="E240" s="1140"/>
      <c r="F240" s="1140"/>
      <c r="G240" s="1140"/>
      <c r="H240" s="1140"/>
    </row>
    <row r="241" spans="2:8" ht="52.5" customHeight="1">
      <c r="B241" s="1140" t="s">
        <v>699</v>
      </c>
      <c r="C241" s="1140"/>
      <c r="D241" s="1140"/>
      <c r="E241" s="1140"/>
      <c r="F241" s="1140"/>
      <c r="G241" s="1140"/>
      <c r="H241" s="1140"/>
    </row>
    <row r="242" spans="2:8">
      <c r="B242" s="1140"/>
      <c r="C242" s="1140"/>
      <c r="D242" s="1140"/>
      <c r="E242" s="1140"/>
      <c r="F242" s="1140"/>
      <c r="G242" s="1140"/>
      <c r="H242" s="1140"/>
    </row>
    <row r="243" spans="2:8" ht="15.75" customHeight="1">
      <c r="B243" s="1140" t="s">
        <v>700</v>
      </c>
      <c r="C243" s="1140"/>
      <c r="D243" s="1140"/>
      <c r="E243" s="1140"/>
      <c r="F243" s="1140"/>
      <c r="G243" s="1140"/>
      <c r="H243" s="1140"/>
    </row>
    <row r="244" spans="2:8" ht="15" customHeight="1">
      <c r="B244" s="1140" t="s">
        <v>683</v>
      </c>
      <c r="C244" s="1140"/>
      <c r="D244" s="1140"/>
      <c r="E244" s="1140"/>
      <c r="F244" s="1140"/>
      <c r="G244" s="1140"/>
      <c r="H244" s="1140"/>
    </row>
    <row r="245" spans="2:8" ht="14.25" customHeight="1">
      <c r="B245" s="1140" t="s">
        <v>684</v>
      </c>
      <c r="C245" s="1140"/>
      <c r="D245" s="1140"/>
      <c r="E245" s="1140"/>
      <c r="F245" s="1140"/>
      <c r="G245" s="1140"/>
      <c r="H245" s="1140"/>
    </row>
    <row r="246" spans="2:8" ht="15.75" customHeight="1">
      <c r="B246" s="1140" t="s">
        <v>685</v>
      </c>
      <c r="C246" s="1140"/>
      <c r="D246" s="1140"/>
      <c r="E246" s="1140"/>
      <c r="F246" s="1140"/>
      <c r="G246" s="1140"/>
      <c r="H246" s="1140"/>
    </row>
    <row r="247" spans="2:8">
      <c r="B247" s="1140"/>
      <c r="C247" s="1140"/>
      <c r="D247" s="1140"/>
      <c r="E247" s="1140"/>
      <c r="F247" s="1140"/>
      <c r="G247" s="1140"/>
      <c r="H247" s="1140"/>
    </row>
    <row r="248" spans="2:8" ht="105.75" customHeight="1">
      <c r="B248" s="1140" t="s">
        <v>990</v>
      </c>
      <c r="C248" s="1140"/>
      <c r="D248" s="1140"/>
      <c r="E248" s="1140"/>
      <c r="F248" s="1140"/>
      <c r="G248" s="1140"/>
      <c r="H248" s="1140"/>
    </row>
    <row r="249" spans="2:8">
      <c r="B249" s="1140"/>
      <c r="C249" s="1140"/>
      <c r="D249" s="1140"/>
      <c r="E249" s="1140"/>
      <c r="F249" s="1140"/>
      <c r="G249" s="1140"/>
      <c r="H249" s="1140"/>
    </row>
    <row r="250" spans="2:8" ht="15" customHeight="1">
      <c r="B250" s="1140" t="s">
        <v>701</v>
      </c>
      <c r="C250" s="1140"/>
      <c r="D250" s="1140"/>
      <c r="E250" s="1140"/>
      <c r="F250" s="1140"/>
      <c r="G250" s="1140"/>
      <c r="H250" s="1140"/>
    </row>
    <row r="251" spans="2:8" ht="128.25" customHeight="1">
      <c r="B251" s="1140" t="s">
        <v>702</v>
      </c>
      <c r="C251" s="1140"/>
      <c r="D251" s="1140"/>
      <c r="E251" s="1140"/>
      <c r="F251" s="1140"/>
      <c r="G251" s="1140"/>
      <c r="H251" s="1140"/>
    </row>
    <row r="252" spans="2:8">
      <c r="B252" s="1140"/>
      <c r="C252" s="1140"/>
      <c r="D252" s="1140"/>
      <c r="E252" s="1140"/>
      <c r="F252" s="1140"/>
      <c r="G252" s="1140"/>
      <c r="H252" s="1140"/>
    </row>
    <row r="253" spans="2:8" ht="57.75" customHeight="1">
      <c r="B253" s="1140" t="s">
        <v>703</v>
      </c>
      <c r="C253" s="1140"/>
      <c r="D253" s="1140"/>
      <c r="E253" s="1140"/>
      <c r="F253" s="1140"/>
      <c r="G253" s="1140"/>
      <c r="H253" s="1140"/>
    </row>
    <row r="254" spans="2:8">
      <c r="B254" s="1140"/>
      <c r="C254" s="1140"/>
      <c r="D254" s="1140"/>
      <c r="E254" s="1140"/>
      <c r="F254" s="1140"/>
      <c r="G254" s="1140"/>
      <c r="H254" s="1140"/>
    </row>
    <row r="255" spans="2:8" ht="15" customHeight="1">
      <c r="B255" s="1141" t="s">
        <v>328</v>
      </c>
      <c r="C255" s="1141"/>
      <c r="D255" s="1141"/>
      <c r="E255" s="1141"/>
      <c r="F255" s="1141"/>
      <c r="G255" s="1141"/>
      <c r="H255" s="1141"/>
    </row>
    <row r="256" spans="2:8" ht="15" customHeight="1">
      <c r="B256" s="1140" t="s">
        <v>674</v>
      </c>
      <c r="C256" s="1140"/>
      <c r="D256" s="1140"/>
      <c r="E256" s="1140"/>
      <c r="F256" s="1140"/>
      <c r="G256" s="1140"/>
      <c r="H256" s="1140"/>
    </row>
    <row r="257" spans="2:8" ht="50.25" customHeight="1">
      <c r="B257" s="1140" t="s">
        <v>991</v>
      </c>
      <c r="C257" s="1140"/>
      <c r="D257" s="1140"/>
      <c r="E257" s="1140"/>
      <c r="F257" s="1140"/>
      <c r="G257" s="1140"/>
      <c r="H257" s="1140"/>
    </row>
    <row r="258" spans="2:8" ht="75" customHeight="1">
      <c r="B258" s="1140" t="s">
        <v>704</v>
      </c>
      <c r="C258" s="1140"/>
      <c r="D258" s="1140"/>
      <c r="E258" s="1140"/>
      <c r="F258" s="1140"/>
      <c r="G258" s="1140"/>
      <c r="H258" s="1140"/>
    </row>
    <row r="259" spans="2:8" ht="66" customHeight="1">
      <c r="B259" s="1140" t="s">
        <v>705</v>
      </c>
      <c r="C259" s="1140"/>
      <c r="D259" s="1140"/>
      <c r="E259" s="1140"/>
      <c r="F259" s="1140"/>
      <c r="G259" s="1140"/>
      <c r="H259" s="1140"/>
    </row>
    <row r="260" spans="2:8">
      <c r="B260" s="1140"/>
      <c r="C260" s="1140"/>
      <c r="D260" s="1140"/>
      <c r="E260" s="1140"/>
      <c r="F260" s="1140"/>
      <c r="G260" s="1140"/>
      <c r="H260" s="1140"/>
    </row>
    <row r="261" spans="2:8" ht="15" customHeight="1">
      <c r="B261" s="1140" t="s">
        <v>706</v>
      </c>
      <c r="C261" s="1140"/>
      <c r="D261" s="1140"/>
      <c r="E261" s="1140"/>
      <c r="F261" s="1140"/>
      <c r="G261" s="1140"/>
      <c r="H261" s="1140"/>
    </row>
    <row r="262" spans="2:8" ht="25.5" customHeight="1">
      <c r="B262" s="1140" t="s">
        <v>707</v>
      </c>
      <c r="C262" s="1140"/>
      <c r="D262" s="1140"/>
      <c r="E262" s="1140"/>
      <c r="F262" s="1140"/>
      <c r="G262" s="1140"/>
      <c r="H262" s="1140"/>
    </row>
    <row r="263" spans="2:8" ht="40.5" customHeight="1">
      <c r="B263" s="1140" t="s">
        <v>708</v>
      </c>
      <c r="C263" s="1140"/>
      <c r="D263" s="1140"/>
      <c r="E263" s="1140"/>
      <c r="F263" s="1140"/>
      <c r="G263" s="1140"/>
      <c r="H263" s="1140"/>
    </row>
    <row r="264" spans="2:8" ht="13.5" customHeight="1">
      <c r="B264" s="1140" t="s">
        <v>709</v>
      </c>
      <c r="C264" s="1140"/>
      <c r="D264" s="1140"/>
      <c r="E264" s="1140"/>
      <c r="F264" s="1140"/>
      <c r="G264" s="1140"/>
      <c r="H264" s="1140"/>
    </row>
    <row r="265" spans="2:8" ht="12" customHeight="1">
      <c r="B265" s="1140" t="s">
        <v>710</v>
      </c>
      <c r="C265" s="1140"/>
      <c r="D265" s="1140"/>
      <c r="E265" s="1140"/>
      <c r="F265" s="1140"/>
      <c r="G265" s="1140"/>
      <c r="H265" s="1140"/>
    </row>
    <row r="266" spans="2:8" ht="27.75" customHeight="1">
      <c r="B266" s="1140" t="s">
        <v>711</v>
      </c>
      <c r="C266" s="1140"/>
      <c r="D266" s="1140"/>
      <c r="E266" s="1140"/>
      <c r="F266" s="1140"/>
      <c r="G266" s="1140"/>
      <c r="H266" s="1140"/>
    </row>
    <row r="267" spans="2:8" ht="14.25" customHeight="1">
      <c r="B267" s="1140" t="s">
        <v>712</v>
      </c>
      <c r="C267" s="1140"/>
      <c r="D267" s="1140"/>
      <c r="E267" s="1140"/>
      <c r="F267" s="1140"/>
      <c r="G267" s="1140"/>
      <c r="H267" s="1140"/>
    </row>
    <row r="268" spans="2:8" ht="27.75" customHeight="1">
      <c r="B268" s="1140" t="s">
        <v>713</v>
      </c>
      <c r="C268" s="1140"/>
      <c r="D268" s="1140"/>
      <c r="E268" s="1140"/>
      <c r="F268" s="1140"/>
      <c r="G268" s="1140"/>
      <c r="H268" s="1140"/>
    </row>
    <row r="269" spans="2:8" ht="15.75" customHeight="1">
      <c r="B269" s="1140" t="s">
        <v>714</v>
      </c>
      <c r="C269" s="1140"/>
      <c r="D269" s="1140"/>
      <c r="E269" s="1140"/>
      <c r="F269" s="1140"/>
      <c r="G269" s="1140"/>
      <c r="H269" s="1140"/>
    </row>
    <row r="270" spans="2:8" ht="27.75" customHeight="1">
      <c r="B270" s="1140" t="s">
        <v>715</v>
      </c>
      <c r="C270" s="1140"/>
      <c r="D270" s="1140"/>
      <c r="E270" s="1140"/>
      <c r="F270" s="1140"/>
      <c r="G270" s="1140"/>
      <c r="H270" s="1140"/>
    </row>
    <row r="271" spans="2:8">
      <c r="B271" s="1140"/>
      <c r="C271" s="1140"/>
      <c r="D271" s="1140"/>
      <c r="E271" s="1140"/>
      <c r="F271" s="1140"/>
      <c r="G271" s="1140"/>
      <c r="H271" s="1140"/>
    </row>
    <row r="272" spans="2:8" ht="64.5" customHeight="1">
      <c r="B272" s="1140" t="s">
        <v>716</v>
      </c>
      <c r="C272" s="1140"/>
      <c r="D272" s="1140"/>
      <c r="E272" s="1140"/>
      <c r="F272" s="1140"/>
      <c r="G272" s="1140"/>
      <c r="H272" s="1140"/>
    </row>
    <row r="273" spans="2:8" ht="89.25" customHeight="1">
      <c r="B273" s="1140" t="s">
        <v>1010</v>
      </c>
      <c r="C273" s="1140"/>
      <c r="D273" s="1140"/>
      <c r="E273" s="1140"/>
      <c r="F273" s="1140"/>
      <c r="G273" s="1140"/>
      <c r="H273" s="1140"/>
    </row>
    <row r="274" spans="2:8" ht="39.75" customHeight="1">
      <c r="B274" s="1140" t="s">
        <v>717</v>
      </c>
      <c r="C274" s="1140"/>
      <c r="D274" s="1140"/>
      <c r="E274" s="1140"/>
      <c r="F274" s="1140"/>
      <c r="G274" s="1140"/>
      <c r="H274" s="1140"/>
    </row>
    <row r="275" spans="2:8">
      <c r="B275" s="1140"/>
      <c r="C275" s="1140"/>
      <c r="D275" s="1140"/>
      <c r="E275" s="1140"/>
      <c r="F275" s="1140"/>
      <c r="G275" s="1140"/>
      <c r="H275" s="1140"/>
    </row>
    <row r="276" spans="2:8" ht="81" customHeight="1">
      <c r="B276" s="1140" t="s">
        <v>992</v>
      </c>
      <c r="C276" s="1140"/>
      <c r="D276" s="1140"/>
      <c r="E276" s="1140"/>
      <c r="F276" s="1140"/>
      <c r="G276" s="1140"/>
      <c r="H276" s="1140"/>
    </row>
    <row r="277" spans="2:8" ht="53.25" customHeight="1">
      <c r="B277" s="1140" t="s">
        <v>718</v>
      </c>
      <c r="C277" s="1140"/>
      <c r="D277" s="1140"/>
      <c r="E277" s="1140"/>
      <c r="F277" s="1140"/>
      <c r="G277" s="1140"/>
      <c r="H277" s="1140"/>
    </row>
    <row r="278" spans="2:8" ht="67.5" customHeight="1">
      <c r="B278" s="1140" t="s">
        <v>719</v>
      </c>
      <c r="C278" s="1140"/>
      <c r="D278" s="1140"/>
      <c r="E278" s="1140"/>
      <c r="F278" s="1140"/>
      <c r="G278" s="1140"/>
      <c r="H278" s="1140"/>
    </row>
    <row r="279" spans="2:8" ht="68.25" customHeight="1">
      <c r="B279" s="1140" t="s">
        <v>720</v>
      </c>
      <c r="C279" s="1140"/>
      <c r="D279" s="1140"/>
      <c r="E279" s="1140"/>
      <c r="F279" s="1140"/>
      <c r="G279" s="1140"/>
      <c r="H279" s="1140"/>
    </row>
    <row r="280" spans="2:8" ht="24" customHeight="1">
      <c r="B280" s="1140" t="s">
        <v>721</v>
      </c>
      <c r="C280" s="1140"/>
      <c r="D280" s="1140"/>
      <c r="E280" s="1140"/>
      <c r="F280" s="1140"/>
      <c r="G280" s="1140"/>
      <c r="H280" s="1140"/>
    </row>
    <row r="281" spans="2:8" ht="58.5" customHeight="1">
      <c r="B281" s="1140" t="s">
        <v>722</v>
      </c>
      <c r="C281" s="1140"/>
      <c r="D281" s="1140"/>
      <c r="E281" s="1140"/>
      <c r="F281" s="1140"/>
      <c r="G281" s="1140"/>
      <c r="H281" s="1140"/>
    </row>
    <row r="282" spans="2:8" ht="82.5" customHeight="1">
      <c r="B282" s="1140" t="s">
        <v>723</v>
      </c>
      <c r="C282" s="1140"/>
      <c r="D282" s="1140"/>
      <c r="E282" s="1140"/>
      <c r="F282" s="1140"/>
      <c r="G282" s="1140"/>
      <c r="H282" s="1140"/>
    </row>
    <row r="283" spans="2:8" ht="76.5" customHeight="1">
      <c r="B283" s="1140" t="s">
        <v>724</v>
      </c>
      <c r="C283" s="1140"/>
      <c r="D283" s="1140"/>
      <c r="E283" s="1140"/>
      <c r="F283" s="1140"/>
      <c r="G283" s="1140"/>
      <c r="H283" s="1140"/>
    </row>
    <row r="284" spans="2:8">
      <c r="B284" s="1140"/>
      <c r="C284" s="1140"/>
      <c r="D284" s="1140"/>
      <c r="E284" s="1140"/>
      <c r="F284" s="1140"/>
      <c r="G284" s="1140"/>
      <c r="H284" s="1140"/>
    </row>
    <row r="285" spans="2:8" ht="15" customHeight="1">
      <c r="B285" s="1140" t="s">
        <v>725</v>
      </c>
      <c r="C285" s="1140"/>
      <c r="D285" s="1140"/>
      <c r="E285" s="1140"/>
      <c r="F285" s="1140"/>
      <c r="G285" s="1140"/>
      <c r="H285" s="1140"/>
    </row>
    <row r="286" spans="2:8" ht="70.5" customHeight="1">
      <c r="B286" s="1140" t="s">
        <v>726</v>
      </c>
      <c r="C286" s="1140"/>
      <c r="D286" s="1140"/>
      <c r="E286" s="1140"/>
      <c r="F286" s="1140"/>
      <c r="G286" s="1140"/>
      <c r="H286" s="1140"/>
    </row>
    <row r="287" spans="2:8">
      <c r="B287" s="1140"/>
      <c r="C287" s="1140"/>
      <c r="D287" s="1140"/>
      <c r="E287" s="1140"/>
      <c r="F287" s="1140"/>
      <c r="G287" s="1140"/>
      <c r="H287" s="1140"/>
    </row>
    <row r="288" spans="2:8" ht="92.25" customHeight="1">
      <c r="B288" s="1140" t="s">
        <v>727</v>
      </c>
      <c r="C288" s="1140"/>
      <c r="D288" s="1140"/>
      <c r="E288" s="1140"/>
      <c r="F288" s="1140"/>
      <c r="G288" s="1140"/>
      <c r="H288" s="1140"/>
    </row>
    <row r="289" spans="2:8" ht="88.5" customHeight="1">
      <c r="B289" s="1140" t="s">
        <v>728</v>
      </c>
      <c r="C289" s="1140"/>
      <c r="D289" s="1140"/>
      <c r="E289" s="1140"/>
      <c r="F289" s="1140"/>
      <c r="G289" s="1140"/>
      <c r="H289" s="1140"/>
    </row>
    <row r="290" spans="2:8">
      <c r="B290" s="1140"/>
      <c r="C290" s="1140"/>
      <c r="D290" s="1140"/>
      <c r="E290" s="1140"/>
      <c r="F290" s="1140"/>
      <c r="G290" s="1140"/>
      <c r="H290" s="1140"/>
    </row>
    <row r="291" spans="2:8" ht="12.75" customHeight="1">
      <c r="B291" s="1146" t="s">
        <v>729</v>
      </c>
      <c r="C291" s="1146"/>
      <c r="D291" s="1146"/>
      <c r="E291" s="1146"/>
      <c r="F291" s="1146"/>
      <c r="G291" s="1146"/>
      <c r="H291" s="1146"/>
    </row>
    <row r="292" spans="2:8" ht="12.75" customHeight="1">
      <c r="B292" s="1140"/>
      <c r="C292" s="1140"/>
      <c r="D292" s="1140"/>
      <c r="E292" s="1140"/>
      <c r="F292" s="1140"/>
      <c r="G292" s="1140"/>
      <c r="H292" s="1140"/>
    </row>
    <row r="293" spans="2:8" ht="15" customHeight="1">
      <c r="B293" s="1141" t="s">
        <v>6</v>
      </c>
      <c r="C293" s="1141"/>
      <c r="D293" s="1141"/>
      <c r="E293" s="1141"/>
      <c r="F293" s="1141"/>
      <c r="G293" s="1141"/>
      <c r="H293" s="1141"/>
    </row>
    <row r="294" spans="2:8" ht="15" customHeight="1">
      <c r="B294" s="1140" t="s">
        <v>674</v>
      </c>
      <c r="C294" s="1140"/>
      <c r="D294" s="1140"/>
      <c r="E294" s="1140"/>
      <c r="F294" s="1140"/>
      <c r="G294" s="1140"/>
      <c r="H294" s="1140"/>
    </row>
    <row r="295" spans="2:8" ht="27.75" customHeight="1">
      <c r="B295" s="1140" t="s">
        <v>730</v>
      </c>
      <c r="C295" s="1140"/>
      <c r="D295" s="1140"/>
      <c r="E295" s="1140"/>
      <c r="F295" s="1140"/>
      <c r="G295" s="1140"/>
      <c r="H295" s="1140"/>
    </row>
    <row r="296" spans="2:8" ht="95.25" customHeight="1">
      <c r="B296" s="1140" t="s">
        <v>993</v>
      </c>
      <c r="C296" s="1140"/>
      <c r="D296" s="1140"/>
      <c r="E296" s="1140"/>
      <c r="F296" s="1140"/>
      <c r="G296" s="1140"/>
      <c r="H296" s="1140"/>
    </row>
    <row r="297" spans="2:8" ht="15" customHeight="1">
      <c r="B297" s="1140" t="s">
        <v>731</v>
      </c>
      <c r="C297" s="1140"/>
      <c r="D297" s="1140"/>
      <c r="E297" s="1140"/>
      <c r="F297" s="1140"/>
      <c r="G297" s="1140"/>
      <c r="H297" s="1140"/>
    </row>
    <row r="298" spans="2:8" ht="13.5" customHeight="1">
      <c r="B298" s="1140" t="s">
        <v>732</v>
      </c>
      <c r="C298" s="1140"/>
      <c r="D298" s="1140"/>
      <c r="E298" s="1140"/>
      <c r="F298" s="1140"/>
      <c r="G298" s="1140"/>
      <c r="H298" s="1140"/>
    </row>
    <row r="299" spans="2:8" ht="15" customHeight="1">
      <c r="B299" s="1140" t="s">
        <v>733</v>
      </c>
      <c r="C299" s="1140"/>
      <c r="D299" s="1140"/>
      <c r="E299" s="1140"/>
      <c r="F299" s="1140"/>
      <c r="G299" s="1140"/>
      <c r="H299" s="1140"/>
    </row>
    <row r="300" spans="2:8" ht="15" customHeight="1">
      <c r="B300" s="1140" t="s">
        <v>734</v>
      </c>
      <c r="C300" s="1140"/>
      <c r="D300" s="1140"/>
      <c r="E300" s="1140"/>
      <c r="F300" s="1140"/>
      <c r="G300" s="1140"/>
      <c r="H300" s="1140"/>
    </row>
    <row r="301" spans="2:8" ht="15" customHeight="1">
      <c r="B301" s="1140" t="s">
        <v>735</v>
      </c>
      <c r="C301" s="1140"/>
      <c r="D301" s="1140"/>
      <c r="E301" s="1140"/>
      <c r="F301" s="1140"/>
      <c r="G301" s="1140"/>
      <c r="H301" s="1140"/>
    </row>
    <row r="302" spans="2:8" ht="15" customHeight="1">
      <c r="B302" s="1140" t="s">
        <v>736</v>
      </c>
      <c r="C302" s="1140"/>
      <c r="D302" s="1140"/>
      <c r="E302" s="1140"/>
      <c r="F302" s="1140"/>
      <c r="G302" s="1140"/>
      <c r="H302" s="1140"/>
    </row>
    <row r="303" spans="2:8" ht="15" customHeight="1">
      <c r="B303" s="1140" t="s">
        <v>737</v>
      </c>
      <c r="C303" s="1140"/>
      <c r="D303" s="1140"/>
      <c r="E303" s="1140"/>
      <c r="F303" s="1140"/>
      <c r="G303" s="1140"/>
      <c r="H303" s="1140"/>
    </row>
    <row r="304" spans="2:8" ht="15" customHeight="1">
      <c r="B304" s="1140" t="s">
        <v>738</v>
      </c>
      <c r="C304" s="1140"/>
      <c r="D304" s="1140"/>
      <c r="E304" s="1140"/>
      <c r="F304" s="1140"/>
      <c r="G304" s="1140"/>
      <c r="H304" s="1140"/>
    </row>
    <row r="305" spans="2:8" ht="15" customHeight="1">
      <c r="B305" s="1140" t="s">
        <v>739</v>
      </c>
      <c r="C305" s="1140"/>
      <c r="D305" s="1140"/>
      <c r="E305" s="1140"/>
      <c r="F305" s="1140"/>
      <c r="G305" s="1140"/>
      <c r="H305" s="1140"/>
    </row>
    <row r="306" spans="2:8" ht="15" customHeight="1">
      <c r="B306" s="1140" t="s">
        <v>740</v>
      </c>
      <c r="C306" s="1140"/>
      <c r="D306" s="1140"/>
      <c r="E306" s="1140"/>
      <c r="F306" s="1140"/>
      <c r="G306" s="1140"/>
      <c r="H306" s="1140"/>
    </row>
    <row r="307" spans="2:8" ht="16.5" customHeight="1">
      <c r="B307" s="1140" t="s">
        <v>741</v>
      </c>
      <c r="C307" s="1140"/>
      <c r="D307" s="1140"/>
      <c r="E307" s="1140"/>
      <c r="F307" s="1140"/>
      <c r="G307" s="1140"/>
      <c r="H307" s="1140"/>
    </row>
    <row r="308" spans="2:8" ht="12" customHeight="1">
      <c r="B308" s="1140" t="s">
        <v>742</v>
      </c>
      <c r="C308" s="1140"/>
      <c r="D308" s="1140"/>
      <c r="E308" s="1140"/>
      <c r="F308" s="1140"/>
      <c r="G308" s="1140"/>
      <c r="H308" s="1140"/>
    </row>
    <row r="309" spans="2:8" ht="15" customHeight="1">
      <c r="B309" s="1140" t="s">
        <v>743</v>
      </c>
      <c r="C309" s="1140"/>
      <c r="D309" s="1140"/>
      <c r="E309" s="1140"/>
      <c r="F309" s="1140"/>
      <c r="G309" s="1140"/>
      <c r="H309" s="1140"/>
    </row>
    <row r="310" spans="2:8" ht="13.5" customHeight="1">
      <c r="B310" s="1140" t="s">
        <v>744</v>
      </c>
      <c r="C310" s="1140"/>
      <c r="D310" s="1140"/>
      <c r="E310" s="1140"/>
      <c r="F310" s="1140"/>
      <c r="G310" s="1140"/>
      <c r="H310" s="1140"/>
    </row>
    <row r="311" spans="2:8" ht="13.5" customHeight="1">
      <c r="B311" s="1140" t="s">
        <v>745</v>
      </c>
      <c r="C311" s="1140"/>
      <c r="D311" s="1140"/>
      <c r="E311" s="1140"/>
      <c r="F311" s="1140"/>
      <c r="G311" s="1140"/>
      <c r="H311" s="1140"/>
    </row>
    <row r="312" spans="2:8">
      <c r="B312" s="1140"/>
      <c r="C312" s="1140"/>
      <c r="D312" s="1140"/>
      <c r="E312" s="1140"/>
      <c r="F312" s="1140"/>
      <c r="G312" s="1140"/>
      <c r="H312" s="1140"/>
    </row>
    <row r="313" spans="2:8" ht="15.75" customHeight="1">
      <c r="B313" s="1140" t="s">
        <v>746</v>
      </c>
      <c r="C313" s="1140"/>
      <c r="D313" s="1140"/>
      <c r="E313" s="1140"/>
      <c r="F313" s="1140"/>
      <c r="G313" s="1140"/>
      <c r="H313" s="1140"/>
    </row>
    <row r="314" spans="2:8" ht="68.25" customHeight="1">
      <c r="B314" s="1140" t="s">
        <v>747</v>
      </c>
      <c r="C314" s="1140"/>
      <c r="D314" s="1140"/>
      <c r="E314" s="1140"/>
      <c r="F314" s="1140"/>
      <c r="G314" s="1140"/>
      <c r="H314" s="1140"/>
    </row>
    <row r="315" spans="2:8" ht="55.5" customHeight="1">
      <c r="B315" s="1140" t="s">
        <v>748</v>
      </c>
      <c r="C315" s="1140"/>
      <c r="D315" s="1140"/>
      <c r="E315" s="1140"/>
      <c r="F315" s="1140"/>
      <c r="G315" s="1140"/>
      <c r="H315" s="1140"/>
    </row>
    <row r="316" spans="2:8" ht="157.5" customHeight="1">
      <c r="B316" s="1140" t="s">
        <v>749</v>
      </c>
      <c r="C316" s="1140"/>
      <c r="D316" s="1140"/>
      <c r="E316" s="1140"/>
      <c r="F316" s="1140"/>
      <c r="G316" s="1140"/>
      <c r="H316" s="1140"/>
    </row>
    <row r="317" spans="2:8" ht="67.5" customHeight="1">
      <c r="B317" s="1140" t="s">
        <v>750</v>
      </c>
      <c r="C317" s="1140"/>
      <c r="D317" s="1140"/>
      <c r="E317" s="1140"/>
      <c r="F317" s="1140"/>
      <c r="G317" s="1140"/>
      <c r="H317" s="1140"/>
    </row>
    <row r="318" spans="2:8" ht="180.75" customHeight="1">
      <c r="B318" s="1140" t="s">
        <v>751</v>
      </c>
      <c r="C318" s="1140"/>
      <c r="D318" s="1140"/>
      <c r="E318" s="1140"/>
      <c r="F318" s="1140"/>
      <c r="G318" s="1140"/>
      <c r="H318" s="1140"/>
    </row>
    <row r="319" spans="2:8" ht="66" customHeight="1">
      <c r="B319" s="1140" t="s">
        <v>752</v>
      </c>
      <c r="C319" s="1140"/>
      <c r="D319" s="1140"/>
      <c r="E319" s="1140"/>
      <c r="F319" s="1140"/>
      <c r="G319" s="1140"/>
      <c r="H319" s="1140"/>
    </row>
    <row r="320" spans="2:8">
      <c r="B320" s="1145"/>
      <c r="C320" s="1145"/>
      <c r="D320" s="1145"/>
      <c r="E320" s="1145"/>
      <c r="F320" s="1145"/>
      <c r="G320" s="1145"/>
      <c r="H320" s="38"/>
    </row>
    <row r="321" spans="2:8" ht="89.25" customHeight="1">
      <c r="B321" s="1140" t="s">
        <v>753</v>
      </c>
      <c r="C321" s="1140"/>
      <c r="D321" s="1140"/>
      <c r="E321" s="1140"/>
      <c r="F321" s="1140"/>
      <c r="G321" s="1140"/>
      <c r="H321" s="1140"/>
    </row>
    <row r="322" spans="2:8" ht="51.75" customHeight="1">
      <c r="B322" s="1140" t="s">
        <v>754</v>
      </c>
      <c r="C322" s="1140"/>
      <c r="D322" s="1140"/>
      <c r="E322" s="1140"/>
      <c r="F322" s="1140"/>
      <c r="G322" s="1140"/>
      <c r="H322" s="1140"/>
    </row>
    <row r="323" spans="2:8">
      <c r="B323" s="1140"/>
      <c r="C323" s="1140"/>
      <c r="D323" s="1140"/>
      <c r="E323" s="1140"/>
      <c r="F323" s="1140"/>
      <c r="G323" s="1140"/>
      <c r="H323" s="1140"/>
    </row>
    <row r="324" spans="2:8" ht="91.5" customHeight="1">
      <c r="B324" s="1140" t="s">
        <v>755</v>
      </c>
      <c r="C324" s="1140"/>
      <c r="D324" s="1140"/>
      <c r="E324" s="1140"/>
      <c r="F324" s="1140"/>
      <c r="G324" s="1140"/>
      <c r="H324" s="1140"/>
    </row>
    <row r="325" spans="2:8" ht="27" customHeight="1">
      <c r="B325" s="1140" t="s">
        <v>756</v>
      </c>
      <c r="C325" s="1140"/>
      <c r="D325" s="1140"/>
      <c r="E325" s="1140"/>
      <c r="F325" s="1140"/>
      <c r="G325" s="1140"/>
      <c r="H325" s="1140"/>
    </row>
    <row r="326" spans="2:8">
      <c r="B326" s="1140"/>
      <c r="C326" s="1140"/>
      <c r="D326" s="1140"/>
      <c r="E326" s="1140"/>
      <c r="F326" s="1140"/>
      <c r="G326" s="1140"/>
      <c r="H326" s="1140"/>
    </row>
    <row r="327" spans="2:8" ht="48.75" customHeight="1">
      <c r="B327" s="1140" t="s">
        <v>757</v>
      </c>
      <c r="C327" s="1140"/>
      <c r="D327" s="1140"/>
      <c r="E327" s="1140"/>
      <c r="F327" s="1140"/>
      <c r="G327" s="1140"/>
      <c r="H327" s="1140"/>
    </row>
    <row r="328" spans="2:8">
      <c r="B328" s="1140"/>
      <c r="C328" s="1140"/>
      <c r="D328" s="1140"/>
      <c r="E328" s="1140"/>
      <c r="F328" s="1140"/>
      <c r="G328" s="1140"/>
      <c r="H328" s="1140"/>
    </row>
    <row r="329" spans="2:8" ht="15" customHeight="1">
      <c r="B329" s="1141" t="s">
        <v>866</v>
      </c>
      <c r="C329" s="1141"/>
      <c r="D329" s="1141"/>
      <c r="E329" s="1141"/>
      <c r="F329" s="1141"/>
      <c r="G329" s="1141"/>
      <c r="H329" s="1141"/>
    </row>
    <row r="330" spans="2:8" ht="15" customHeight="1">
      <c r="B330" s="1140" t="s">
        <v>674</v>
      </c>
      <c r="C330" s="1140"/>
      <c r="D330" s="1140"/>
      <c r="E330" s="1140"/>
      <c r="F330" s="1140"/>
      <c r="G330" s="1140"/>
      <c r="H330" s="1140"/>
    </row>
    <row r="331" spans="2:8" ht="30" customHeight="1">
      <c r="B331" s="1140" t="s">
        <v>758</v>
      </c>
      <c r="C331" s="1140"/>
      <c r="D331" s="1140"/>
      <c r="E331" s="1140"/>
      <c r="F331" s="1140"/>
      <c r="G331" s="1140"/>
      <c r="H331" s="1140"/>
    </row>
    <row r="332" spans="2:8" ht="66" customHeight="1">
      <c r="B332" s="1140" t="s">
        <v>759</v>
      </c>
      <c r="C332" s="1140"/>
      <c r="D332" s="1140"/>
      <c r="E332" s="1140"/>
      <c r="F332" s="1140"/>
      <c r="G332" s="1140"/>
      <c r="H332" s="1140"/>
    </row>
    <row r="333" spans="2:8" ht="14.25" customHeight="1">
      <c r="B333" s="1140" t="s">
        <v>760</v>
      </c>
      <c r="C333" s="1140"/>
      <c r="D333" s="1140"/>
      <c r="E333" s="1140"/>
      <c r="F333" s="1140"/>
      <c r="G333" s="1140"/>
      <c r="H333" s="1140"/>
    </row>
    <row r="334" spans="2:8" ht="28.5" customHeight="1">
      <c r="B334" s="1140" t="s">
        <v>761</v>
      </c>
      <c r="C334" s="1140"/>
      <c r="D334" s="1140"/>
      <c r="E334" s="1140"/>
      <c r="F334" s="1140"/>
      <c r="G334" s="1140"/>
      <c r="H334" s="1140"/>
    </row>
    <row r="335" spans="2:8" ht="15.75" customHeight="1">
      <c r="B335" s="1140" t="s">
        <v>762</v>
      </c>
      <c r="C335" s="1140"/>
      <c r="D335" s="1140"/>
      <c r="E335" s="1140"/>
      <c r="F335" s="1140"/>
      <c r="G335" s="1140"/>
      <c r="H335" s="1140"/>
    </row>
    <row r="336" spans="2:8" ht="15.75" customHeight="1">
      <c r="B336" s="1140" t="s">
        <v>763</v>
      </c>
      <c r="C336" s="1140"/>
      <c r="D336" s="1140"/>
      <c r="E336" s="1140"/>
      <c r="F336" s="1140"/>
      <c r="G336" s="1140"/>
      <c r="H336" s="1140"/>
    </row>
    <row r="337" spans="2:8">
      <c r="B337" s="1140"/>
      <c r="C337" s="1140"/>
      <c r="D337" s="1140"/>
      <c r="E337" s="1140"/>
      <c r="F337" s="1140"/>
      <c r="G337" s="1140"/>
      <c r="H337" s="1140"/>
    </row>
    <row r="338" spans="2:8" ht="15" customHeight="1">
      <c r="B338" s="1140" t="s">
        <v>764</v>
      </c>
      <c r="C338" s="1140"/>
      <c r="D338" s="1140"/>
      <c r="E338" s="1140"/>
      <c r="F338" s="1140"/>
      <c r="G338" s="1140"/>
      <c r="H338" s="1140"/>
    </row>
    <row r="339" spans="2:8" ht="15" customHeight="1">
      <c r="B339" s="1140" t="s">
        <v>765</v>
      </c>
      <c r="C339" s="1140"/>
      <c r="D339" s="1140"/>
      <c r="E339" s="1140"/>
      <c r="F339" s="1140"/>
      <c r="G339" s="1140"/>
      <c r="H339" s="1140"/>
    </row>
    <row r="340" spans="2:8" ht="15" customHeight="1">
      <c r="B340" s="1140" t="s">
        <v>766</v>
      </c>
      <c r="C340" s="1140"/>
      <c r="D340" s="1140"/>
      <c r="E340" s="1140"/>
      <c r="F340" s="1140"/>
      <c r="G340" s="1140"/>
      <c r="H340" s="1140"/>
    </row>
    <row r="341" spans="2:8" ht="15" customHeight="1">
      <c r="B341" s="1140" t="s">
        <v>767</v>
      </c>
      <c r="C341" s="1140"/>
      <c r="D341" s="1140"/>
      <c r="E341" s="1140"/>
      <c r="F341" s="1140"/>
      <c r="G341" s="1140"/>
      <c r="H341" s="1140"/>
    </row>
    <row r="342" spans="2:8" ht="15" customHeight="1">
      <c r="B342" s="1140" t="s">
        <v>768</v>
      </c>
      <c r="C342" s="1140"/>
      <c r="D342" s="1140"/>
      <c r="E342" s="1140"/>
      <c r="F342" s="1140"/>
      <c r="G342" s="1140"/>
      <c r="H342" s="1140"/>
    </row>
    <row r="343" spans="2:8" ht="15" customHeight="1">
      <c r="B343" s="1140" t="s">
        <v>769</v>
      </c>
      <c r="C343" s="1140"/>
      <c r="D343" s="1140"/>
      <c r="E343" s="1140"/>
      <c r="F343" s="1140"/>
      <c r="G343" s="1140"/>
      <c r="H343" s="1140"/>
    </row>
    <row r="344" spans="2:8" ht="14.25" customHeight="1">
      <c r="B344" s="1140" t="s">
        <v>770</v>
      </c>
      <c r="C344" s="1140"/>
      <c r="D344" s="1140"/>
      <c r="E344" s="1140"/>
      <c r="F344" s="1140"/>
      <c r="G344" s="1140"/>
      <c r="H344" s="1140"/>
    </row>
    <row r="345" spans="2:8">
      <c r="B345" s="1140"/>
      <c r="C345" s="1140"/>
      <c r="D345" s="1140"/>
      <c r="E345" s="1140"/>
      <c r="F345" s="1140"/>
      <c r="G345" s="1140"/>
      <c r="H345" s="1140"/>
    </row>
    <row r="346" spans="2:8" ht="26.25" customHeight="1">
      <c r="B346" s="1140" t="s">
        <v>771</v>
      </c>
      <c r="C346" s="1140"/>
      <c r="D346" s="1140"/>
      <c r="E346" s="1140"/>
      <c r="F346" s="1140"/>
      <c r="G346" s="1140"/>
      <c r="H346" s="1140"/>
    </row>
    <row r="347" spans="2:8" ht="131.25" customHeight="1">
      <c r="B347" s="1140" t="s">
        <v>772</v>
      </c>
      <c r="C347" s="1140"/>
      <c r="D347" s="1140"/>
      <c r="E347" s="1140"/>
      <c r="F347" s="1140"/>
      <c r="G347" s="1140"/>
      <c r="H347" s="1140"/>
    </row>
    <row r="348" spans="2:8" ht="30" customHeight="1">
      <c r="B348" s="1140" t="s">
        <v>773</v>
      </c>
      <c r="C348" s="1140"/>
      <c r="D348" s="1140"/>
      <c r="E348" s="1140"/>
      <c r="F348" s="1140"/>
      <c r="G348" s="1140"/>
      <c r="H348" s="1140"/>
    </row>
    <row r="349" spans="2:8" ht="67.5" customHeight="1">
      <c r="B349" s="1140" t="s">
        <v>774</v>
      </c>
      <c r="C349" s="1140"/>
      <c r="D349" s="1140"/>
      <c r="E349" s="1140"/>
      <c r="F349" s="1140"/>
      <c r="G349" s="1140"/>
      <c r="H349" s="1140"/>
    </row>
    <row r="350" spans="2:8" ht="42" customHeight="1">
      <c r="B350" s="1140" t="s">
        <v>775</v>
      </c>
      <c r="C350" s="1140"/>
      <c r="D350" s="1140"/>
      <c r="E350" s="1140"/>
      <c r="F350" s="1140"/>
      <c r="G350" s="1140"/>
      <c r="H350" s="1140"/>
    </row>
    <row r="351" spans="2:8" ht="153.75" customHeight="1">
      <c r="B351" s="1140" t="s">
        <v>1009</v>
      </c>
      <c r="C351" s="1140"/>
      <c r="D351" s="1140"/>
      <c r="E351" s="1140"/>
      <c r="F351" s="1140"/>
      <c r="G351" s="1140"/>
      <c r="H351" s="1140"/>
    </row>
    <row r="352" spans="2:8" ht="13.5" customHeight="1">
      <c r="B352" s="1140" t="s">
        <v>776</v>
      </c>
      <c r="C352" s="1140"/>
      <c r="D352" s="1140"/>
      <c r="E352" s="1140"/>
      <c r="F352" s="1140"/>
      <c r="G352" s="1140"/>
      <c r="H352" s="1140"/>
    </row>
    <row r="353" spans="2:8">
      <c r="B353" s="1140"/>
      <c r="C353" s="1140"/>
      <c r="D353" s="1140"/>
      <c r="E353" s="1140"/>
      <c r="F353" s="1140"/>
      <c r="G353" s="1140"/>
      <c r="H353" s="1140"/>
    </row>
    <row r="354" spans="2:8" ht="13.5" customHeight="1">
      <c r="B354" s="1141" t="s">
        <v>286</v>
      </c>
      <c r="C354" s="1141"/>
      <c r="D354" s="1141"/>
      <c r="E354" s="1141"/>
      <c r="F354" s="1141"/>
      <c r="G354" s="1141"/>
      <c r="H354" s="1141"/>
    </row>
    <row r="355" spans="2:8" ht="15" customHeight="1">
      <c r="B355" s="1140" t="s">
        <v>645</v>
      </c>
      <c r="C355" s="1140"/>
      <c r="D355" s="1140"/>
      <c r="E355" s="1140"/>
      <c r="F355" s="1140"/>
      <c r="G355" s="1140"/>
      <c r="H355" s="1140"/>
    </row>
    <row r="356" spans="2:8" ht="64.5" customHeight="1">
      <c r="B356" s="1140" t="s">
        <v>871</v>
      </c>
      <c r="C356" s="1140"/>
      <c r="D356" s="1140"/>
      <c r="E356" s="1140"/>
      <c r="F356" s="1140"/>
      <c r="G356" s="1140"/>
      <c r="H356" s="1140"/>
    </row>
    <row r="357" spans="2:8" ht="65.25" customHeight="1">
      <c r="B357" s="1140" t="s">
        <v>872</v>
      </c>
      <c r="C357" s="1140"/>
      <c r="D357" s="1140"/>
      <c r="E357" s="1140"/>
      <c r="F357" s="1140"/>
      <c r="G357" s="1140"/>
      <c r="H357" s="1140"/>
    </row>
    <row r="358" spans="2:8" ht="34.5" customHeight="1">
      <c r="B358" s="1140" t="s">
        <v>873</v>
      </c>
      <c r="C358" s="1140"/>
      <c r="D358" s="1140"/>
      <c r="E358" s="1140"/>
      <c r="F358" s="1140"/>
      <c r="G358" s="1140"/>
      <c r="H358" s="1140"/>
    </row>
    <row r="359" spans="2:8" ht="144.75" customHeight="1">
      <c r="B359" s="1140" t="s">
        <v>994</v>
      </c>
      <c r="C359" s="1140"/>
      <c r="D359" s="1140"/>
      <c r="E359" s="1140"/>
      <c r="F359" s="1140"/>
      <c r="G359" s="1140"/>
      <c r="H359" s="1140"/>
    </row>
    <row r="360" spans="2:8" ht="42" customHeight="1">
      <c r="B360" s="1140" t="s">
        <v>995</v>
      </c>
      <c r="C360" s="1140"/>
      <c r="D360" s="1140"/>
      <c r="E360" s="1140"/>
      <c r="F360" s="1140"/>
      <c r="G360" s="1140"/>
      <c r="H360" s="1140"/>
    </row>
    <row r="361" spans="2:8">
      <c r="B361" s="1140"/>
      <c r="C361" s="1140"/>
      <c r="D361" s="1140"/>
      <c r="E361" s="1140"/>
      <c r="F361" s="1140"/>
      <c r="G361" s="1140"/>
      <c r="H361" s="1140"/>
    </row>
    <row r="362" spans="2:8" ht="15" customHeight="1">
      <c r="B362" s="1141" t="s">
        <v>536</v>
      </c>
      <c r="C362" s="1141"/>
      <c r="D362" s="1141"/>
      <c r="E362" s="1141"/>
      <c r="F362" s="1141"/>
      <c r="G362" s="1141"/>
      <c r="H362" s="1141"/>
    </row>
    <row r="363" spans="2:8" ht="15" customHeight="1">
      <c r="B363" s="1140" t="s">
        <v>674</v>
      </c>
      <c r="C363" s="1140"/>
      <c r="D363" s="1140"/>
      <c r="E363" s="1140"/>
      <c r="F363" s="1140"/>
      <c r="G363" s="1140"/>
      <c r="H363" s="1140"/>
    </row>
    <row r="364" spans="2:8" ht="39.75" customHeight="1">
      <c r="B364" s="1140" t="s">
        <v>777</v>
      </c>
      <c r="C364" s="1140"/>
      <c r="D364" s="1140"/>
      <c r="E364" s="1140"/>
      <c r="F364" s="1140"/>
      <c r="G364" s="1140"/>
      <c r="H364" s="1140"/>
    </row>
    <row r="365" spans="2:8" ht="80.25" customHeight="1">
      <c r="B365" s="1140" t="s">
        <v>778</v>
      </c>
      <c r="C365" s="1140"/>
      <c r="D365" s="1140"/>
      <c r="E365" s="1140"/>
      <c r="F365" s="1140"/>
      <c r="G365" s="1140"/>
      <c r="H365" s="1140"/>
    </row>
    <row r="366" spans="2:8" ht="54.75" customHeight="1">
      <c r="B366" s="1140" t="s">
        <v>779</v>
      </c>
      <c r="C366" s="1140"/>
      <c r="D366" s="1140"/>
      <c r="E366" s="1140"/>
      <c r="F366" s="1140"/>
      <c r="G366" s="1140"/>
      <c r="H366" s="1140"/>
    </row>
    <row r="367" spans="2:8" ht="69.75" customHeight="1">
      <c r="B367" s="1140" t="s">
        <v>780</v>
      </c>
      <c r="C367" s="1140"/>
      <c r="D367" s="1140"/>
      <c r="E367" s="1140"/>
      <c r="F367" s="1140"/>
      <c r="G367" s="1140"/>
      <c r="H367" s="1140"/>
    </row>
    <row r="368" spans="2:8">
      <c r="B368" s="1140"/>
      <c r="C368" s="1140"/>
      <c r="D368" s="1140"/>
      <c r="E368" s="1140"/>
      <c r="F368" s="1140"/>
      <c r="G368" s="1140"/>
      <c r="H368" s="1140"/>
    </row>
    <row r="369" spans="2:8" ht="15" customHeight="1">
      <c r="B369" s="1140" t="s">
        <v>781</v>
      </c>
      <c r="C369" s="1140"/>
      <c r="D369" s="1140"/>
      <c r="E369" s="1140"/>
      <c r="F369" s="1140"/>
      <c r="G369" s="1140"/>
      <c r="H369" s="1140"/>
    </row>
    <row r="370" spans="2:8" ht="77.25" customHeight="1">
      <c r="B370" s="1140" t="s">
        <v>782</v>
      </c>
      <c r="C370" s="1140"/>
      <c r="D370" s="1140"/>
      <c r="E370" s="1140"/>
      <c r="F370" s="1140"/>
      <c r="G370" s="1140"/>
      <c r="H370" s="1140"/>
    </row>
    <row r="371" spans="2:8" ht="66" customHeight="1">
      <c r="B371" s="1140" t="s">
        <v>783</v>
      </c>
      <c r="C371" s="1140"/>
      <c r="D371" s="1140"/>
      <c r="E371" s="1140"/>
      <c r="F371" s="1140"/>
      <c r="G371" s="1140"/>
      <c r="H371" s="1140"/>
    </row>
    <row r="372" spans="2:8" ht="56.25" customHeight="1">
      <c r="B372" s="1140" t="s">
        <v>784</v>
      </c>
      <c r="C372" s="1140"/>
      <c r="D372" s="1140"/>
      <c r="E372" s="1140"/>
      <c r="F372" s="1140"/>
      <c r="G372" s="1140"/>
      <c r="H372" s="1140"/>
    </row>
    <row r="373" spans="2:8" ht="106.5" customHeight="1">
      <c r="B373" s="1140" t="s">
        <v>785</v>
      </c>
      <c r="C373" s="1140"/>
      <c r="D373" s="1140"/>
      <c r="E373" s="1140"/>
      <c r="F373" s="1140"/>
      <c r="G373" s="1140"/>
      <c r="H373" s="1140"/>
    </row>
    <row r="374" spans="2:8" ht="118.5" customHeight="1">
      <c r="B374" s="1140" t="s">
        <v>1006</v>
      </c>
      <c r="C374" s="1140"/>
      <c r="D374" s="1140"/>
      <c r="E374" s="1140"/>
      <c r="F374" s="1140"/>
      <c r="G374" s="1140"/>
      <c r="H374" s="1140"/>
    </row>
    <row r="375" spans="2:8">
      <c r="B375" s="1140"/>
      <c r="C375" s="1140"/>
      <c r="D375" s="1140"/>
      <c r="E375" s="1140"/>
      <c r="F375" s="1140"/>
      <c r="G375" s="1140"/>
      <c r="H375" s="1140"/>
    </row>
    <row r="376" spans="2:8" ht="15" customHeight="1">
      <c r="B376" s="1140" t="s">
        <v>314</v>
      </c>
      <c r="C376" s="1140"/>
      <c r="D376" s="1140"/>
      <c r="E376" s="1140"/>
      <c r="F376" s="1140"/>
      <c r="G376" s="1140"/>
      <c r="H376" s="1140"/>
    </row>
    <row r="377" spans="2:8" ht="51" customHeight="1">
      <c r="B377" s="1140" t="s">
        <v>786</v>
      </c>
      <c r="C377" s="1140"/>
      <c r="D377" s="1140"/>
      <c r="E377" s="1140"/>
      <c r="F377" s="1140"/>
      <c r="G377" s="1140"/>
      <c r="H377" s="1140"/>
    </row>
    <row r="378" spans="2:8">
      <c r="B378" s="1140"/>
      <c r="C378" s="1140"/>
      <c r="D378" s="1140"/>
      <c r="E378" s="1140"/>
      <c r="F378" s="1140"/>
      <c r="G378" s="1140"/>
      <c r="H378" s="1140"/>
    </row>
    <row r="379" spans="2:8" ht="15" customHeight="1">
      <c r="B379" s="1140" t="s">
        <v>787</v>
      </c>
      <c r="C379" s="1140"/>
      <c r="D379" s="1140"/>
      <c r="E379" s="1140"/>
      <c r="F379" s="1140"/>
      <c r="G379" s="1140"/>
      <c r="H379" s="1140"/>
    </row>
    <row r="380" spans="2:8" ht="15.75" customHeight="1">
      <c r="B380" s="1140" t="s">
        <v>788</v>
      </c>
      <c r="C380" s="1140"/>
      <c r="D380" s="1140"/>
      <c r="E380" s="1140"/>
      <c r="F380" s="1140"/>
      <c r="G380" s="1140"/>
      <c r="H380" s="1140"/>
    </row>
    <row r="381" spans="2:8">
      <c r="B381" s="1140"/>
      <c r="C381" s="1140"/>
      <c r="D381" s="1140"/>
      <c r="E381" s="1140"/>
      <c r="F381" s="1140"/>
      <c r="G381" s="1140"/>
      <c r="H381" s="1140"/>
    </row>
    <row r="382" spans="2:8" ht="116.25" customHeight="1">
      <c r="B382" s="1140" t="s">
        <v>996</v>
      </c>
      <c r="C382" s="1140"/>
      <c r="D382" s="1140"/>
      <c r="E382" s="1140"/>
      <c r="F382" s="1140"/>
      <c r="G382" s="1140"/>
      <c r="H382" s="1140"/>
    </row>
    <row r="383" spans="2:8">
      <c r="B383" s="1140"/>
      <c r="C383" s="1140"/>
      <c r="D383" s="1140"/>
      <c r="E383" s="1140"/>
      <c r="F383" s="1140"/>
      <c r="G383" s="1140"/>
      <c r="H383" s="1140"/>
    </row>
    <row r="384" spans="2:8" ht="15" customHeight="1">
      <c r="B384" s="1140" t="s">
        <v>789</v>
      </c>
      <c r="C384" s="1140"/>
      <c r="D384" s="1140"/>
      <c r="E384" s="1140"/>
      <c r="F384" s="1140"/>
      <c r="G384" s="1140"/>
      <c r="H384" s="1140"/>
    </row>
    <row r="385" spans="2:8" ht="103.5" customHeight="1">
      <c r="B385" s="1140" t="s">
        <v>790</v>
      </c>
      <c r="C385" s="1140"/>
      <c r="D385" s="1140"/>
      <c r="E385" s="1140"/>
      <c r="F385" s="1140"/>
      <c r="G385" s="1140"/>
      <c r="H385" s="1140"/>
    </row>
    <row r="386" spans="2:8">
      <c r="B386" s="1140"/>
      <c r="C386" s="1140"/>
      <c r="D386" s="1140"/>
      <c r="E386" s="1140"/>
      <c r="F386" s="1140"/>
      <c r="G386" s="1140"/>
      <c r="H386" s="1140"/>
    </row>
    <row r="387" spans="2:8" ht="15" customHeight="1">
      <c r="B387" s="1140" t="s">
        <v>314</v>
      </c>
      <c r="C387" s="1140"/>
      <c r="D387" s="1140"/>
      <c r="E387" s="1140"/>
      <c r="F387" s="1140"/>
      <c r="G387" s="1140"/>
      <c r="H387" s="1140"/>
    </row>
    <row r="388" spans="2:8" ht="41.25" customHeight="1">
      <c r="B388" s="1140" t="s">
        <v>786</v>
      </c>
      <c r="C388" s="1140"/>
      <c r="D388" s="1140"/>
      <c r="E388" s="1140"/>
      <c r="F388" s="1140"/>
      <c r="G388" s="1140"/>
      <c r="H388" s="1140"/>
    </row>
    <row r="389" spans="2:8">
      <c r="B389" s="1140"/>
      <c r="C389" s="1140"/>
      <c r="D389" s="1140"/>
      <c r="E389" s="1140"/>
      <c r="F389" s="1140"/>
      <c r="G389" s="1140"/>
      <c r="H389" s="1140"/>
    </row>
    <row r="390" spans="2:8" ht="15" customHeight="1">
      <c r="B390" s="1143" t="s">
        <v>867</v>
      </c>
      <c r="C390" s="1143"/>
      <c r="D390" s="1143"/>
      <c r="E390" s="1143"/>
      <c r="F390" s="1143"/>
      <c r="G390" s="1143"/>
      <c r="H390" s="1143"/>
    </row>
    <row r="391" spans="2:8" ht="15" customHeight="1">
      <c r="B391" s="1140" t="s">
        <v>674</v>
      </c>
      <c r="C391" s="1140"/>
      <c r="D391" s="1140"/>
      <c r="E391" s="1140"/>
      <c r="F391" s="1140"/>
      <c r="G391" s="1140"/>
      <c r="H391" s="1140"/>
    </row>
    <row r="392" spans="2:8" ht="39.75" customHeight="1">
      <c r="B392" s="1140" t="s">
        <v>791</v>
      </c>
      <c r="C392" s="1140"/>
      <c r="D392" s="1140"/>
      <c r="E392" s="1140"/>
      <c r="F392" s="1140"/>
      <c r="G392" s="1140"/>
      <c r="H392" s="1140"/>
    </row>
    <row r="393" spans="2:8" ht="91.5" customHeight="1">
      <c r="B393" s="1140" t="s">
        <v>792</v>
      </c>
      <c r="C393" s="1140"/>
      <c r="D393" s="1140"/>
      <c r="E393" s="1140"/>
      <c r="F393" s="1140"/>
      <c r="G393" s="1140"/>
      <c r="H393" s="1140"/>
    </row>
    <row r="394" spans="2:8" ht="249.75" customHeight="1">
      <c r="B394" s="1140" t="s">
        <v>997</v>
      </c>
      <c r="C394" s="1140"/>
      <c r="D394" s="1140"/>
      <c r="E394" s="1140"/>
      <c r="F394" s="1140"/>
      <c r="G394" s="1140"/>
      <c r="H394" s="1140"/>
    </row>
    <row r="395" spans="2:8">
      <c r="B395" s="1140"/>
      <c r="C395" s="1140"/>
      <c r="D395" s="1140"/>
      <c r="E395" s="1140"/>
      <c r="F395" s="1140"/>
      <c r="G395" s="1140"/>
      <c r="H395" s="1140"/>
    </row>
    <row r="396" spans="2:8" ht="15" customHeight="1">
      <c r="B396" s="1140" t="s">
        <v>793</v>
      </c>
      <c r="C396" s="1140"/>
      <c r="D396" s="1140"/>
      <c r="E396" s="1140"/>
      <c r="F396" s="1140"/>
      <c r="G396" s="1140"/>
      <c r="H396" s="1140"/>
    </row>
    <row r="397" spans="2:8" ht="51" customHeight="1">
      <c r="B397" s="1140" t="s">
        <v>794</v>
      </c>
      <c r="C397" s="1140"/>
      <c r="D397" s="1140"/>
      <c r="E397" s="1140"/>
      <c r="F397" s="1140"/>
      <c r="G397" s="1140"/>
      <c r="H397" s="1140"/>
    </row>
    <row r="398" spans="2:8">
      <c r="B398" s="1140"/>
      <c r="C398" s="1140"/>
      <c r="D398" s="1140"/>
      <c r="E398" s="1140"/>
      <c r="F398" s="1140"/>
      <c r="G398" s="1140"/>
      <c r="H398" s="1140"/>
    </row>
    <row r="399" spans="2:8" ht="15" customHeight="1">
      <c r="B399" s="1140" t="s">
        <v>795</v>
      </c>
      <c r="C399" s="1140"/>
      <c r="D399" s="1140"/>
      <c r="E399" s="1140"/>
      <c r="F399" s="1140"/>
      <c r="G399" s="1140"/>
      <c r="H399" s="1140"/>
    </row>
    <row r="400" spans="2:8" ht="69.75" customHeight="1">
      <c r="B400" s="1140" t="s">
        <v>796</v>
      </c>
      <c r="C400" s="1140"/>
      <c r="D400" s="1140"/>
      <c r="E400" s="1140"/>
      <c r="F400" s="1140"/>
      <c r="G400" s="1140"/>
      <c r="H400" s="1140"/>
    </row>
    <row r="401" spans="2:8" ht="67.5" customHeight="1">
      <c r="B401" s="1140" t="s">
        <v>797</v>
      </c>
      <c r="C401" s="1140"/>
      <c r="D401" s="1140"/>
      <c r="E401" s="1140"/>
      <c r="F401" s="1140"/>
      <c r="G401" s="1140"/>
      <c r="H401" s="1140"/>
    </row>
    <row r="402" spans="2:8" ht="42.75" customHeight="1">
      <c r="B402" s="1140" t="s">
        <v>798</v>
      </c>
      <c r="C402" s="1140"/>
      <c r="D402" s="1140"/>
      <c r="E402" s="1140"/>
      <c r="F402" s="1140"/>
      <c r="G402" s="1140"/>
      <c r="H402" s="1140"/>
    </row>
    <row r="403" spans="2:8" ht="64.5" customHeight="1">
      <c r="B403" s="1140" t="s">
        <v>799</v>
      </c>
      <c r="C403" s="1140"/>
      <c r="D403" s="1140"/>
      <c r="E403" s="1140"/>
      <c r="F403" s="1140"/>
      <c r="G403" s="1140"/>
      <c r="H403" s="1140"/>
    </row>
    <row r="404" spans="2:8" ht="13.5" customHeight="1">
      <c r="B404" s="1140" t="s">
        <v>800</v>
      </c>
      <c r="C404" s="1140"/>
      <c r="D404" s="1140"/>
      <c r="E404" s="1140"/>
      <c r="F404" s="1140"/>
      <c r="G404" s="1140"/>
      <c r="H404" s="1140"/>
    </row>
    <row r="405" spans="2:8" ht="43.5" customHeight="1">
      <c r="B405" s="1140" t="s">
        <v>801</v>
      </c>
      <c r="C405" s="1140"/>
      <c r="D405" s="1140"/>
      <c r="E405" s="1140"/>
      <c r="F405" s="1140"/>
      <c r="G405" s="1140"/>
      <c r="H405" s="1140"/>
    </row>
    <row r="406" spans="2:8" ht="27" customHeight="1">
      <c r="B406" s="1140" t="s">
        <v>802</v>
      </c>
      <c r="C406" s="1140"/>
      <c r="D406" s="1140"/>
      <c r="E406" s="1140"/>
      <c r="F406" s="1140"/>
      <c r="G406" s="1140"/>
      <c r="H406" s="1140"/>
    </row>
    <row r="407" spans="2:8" ht="14.25" customHeight="1">
      <c r="B407" s="1140" t="s">
        <v>803</v>
      </c>
      <c r="C407" s="1140"/>
      <c r="D407" s="1140"/>
      <c r="E407" s="1140"/>
      <c r="F407" s="1140"/>
      <c r="G407" s="1140"/>
      <c r="H407" s="1140"/>
    </row>
    <row r="408" spans="2:8" ht="27.75" customHeight="1">
      <c r="B408" s="1140" t="s">
        <v>804</v>
      </c>
      <c r="C408" s="1140"/>
      <c r="D408" s="1140"/>
      <c r="E408" s="1140"/>
      <c r="F408" s="1140"/>
      <c r="G408" s="1140"/>
      <c r="H408" s="1140"/>
    </row>
    <row r="409" spans="2:8">
      <c r="B409" s="1140"/>
      <c r="C409" s="1140"/>
      <c r="D409" s="1140"/>
      <c r="E409" s="1140"/>
      <c r="F409" s="1140"/>
      <c r="G409" s="1140"/>
      <c r="H409" s="1140"/>
    </row>
    <row r="410" spans="2:8">
      <c r="B410" s="1141" t="s">
        <v>113</v>
      </c>
      <c r="C410" s="1141"/>
      <c r="D410" s="1141"/>
      <c r="E410" s="1141"/>
      <c r="F410" s="1141"/>
      <c r="G410" s="1141"/>
      <c r="H410" s="1141"/>
    </row>
    <row r="411" spans="2:8">
      <c r="B411" s="1140" t="s">
        <v>674</v>
      </c>
      <c r="C411" s="1140"/>
      <c r="D411" s="1140"/>
      <c r="E411" s="1140"/>
      <c r="F411" s="1140"/>
      <c r="G411" s="1140"/>
      <c r="H411" s="1140"/>
    </row>
    <row r="412" spans="2:8" ht="64.5" customHeight="1">
      <c r="B412" s="1140" t="s">
        <v>874</v>
      </c>
      <c r="C412" s="1140"/>
      <c r="D412" s="1140"/>
      <c r="E412" s="1140"/>
      <c r="F412" s="1140"/>
      <c r="G412" s="1140"/>
      <c r="H412" s="1140"/>
    </row>
    <row r="413" spans="2:8" ht="114.75" customHeight="1">
      <c r="B413" s="1140" t="s">
        <v>875</v>
      </c>
      <c r="C413" s="1140"/>
      <c r="D413" s="1140"/>
      <c r="E413" s="1140"/>
      <c r="F413" s="1140"/>
      <c r="G413" s="1140"/>
      <c r="H413" s="1140"/>
    </row>
    <row r="414" spans="2:8" ht="153.75" customHeight="1">
      <c r="B414" s="1140" t="s">
        <v>1007</v>
      </c>
      <c r="C414" s="1140"/>
      <c r="D414" s="1140"/>
      <c r="E414" s="1140"/>
      <c r="F414" s="1140"/>
      <c r="G414" s="1140"/>
      <c r="H414" s="1140"/>
    </row>
    <row r="415" spans="2:8" ht="90" customHeight="1">
      <c r="B415" s="1140" t="s">
        <v>876</v>
      </c>
      <c r="C415" s="1140"/>
      <c r="D415" s="1140"/>
      <c r="E415" s="1140"/>
      <c r="F415" s="1140"/>
      <c r="G415" s="1140"/>
      <c r="H415" s="1140"/>
    </row>
    <row r="416" spans="2:8" ht="27" customHeight="1">
      <c r="B416" s="1140" t="s">
        <v>877</v>
      </c>
      <c r="C416" s="1140"/>
      <c r="D416" s="1140"/>
      <c r="E416" s="1140"/>
      <c r="F416" s="1140"/>
      <c r="G416" s="1140"/>
      <c r="H416" s="1140"/>
    </row>
    <row r="417" spans="2:8" ht="330" customHeight="1">
      <c r="B417" s="1140" t="s">
        <v>1008</v>
      </c>
      <c r="C417" s="1140"/>
      <c r="D417" s="1140"/>
      <c r="E417" s="1140"/>
      <c r="F417" s="1140"/>
      <c r="G417" s="1140"/>
      <c r="H417" s="1140"/>
    </row>
    <row r="418" spans="2:8" ht="117" customHeight="1">
      <c r="B418" s="1140" t="s">
        <v>878</v>
      </c>
      <c r="C418" s="1140"/>
      <c r="D418" s="1140"/>
      <c r="E418" s="1140"/>
      <c r="F418" s="1140"/>
      <c r="G418" s="1140"/>
      <c r="H418" s="1140"/>
    </row>
    <row r="419" spans="2:8" ht="37.5" customHeight="1">
      <c r="B419" s="1140" t="s">
        <v>879</v>
      </c>
      <c r="C419" s="1140"/>
      <c r="D419" s="1140"/>
      <c r="E419" s="1140"/>
      <c r="F419" s="1140"/>
      <c r="G419" s="1140"/>
      <c r="H419" s="1140"/>
    </row>
    <row r="420" spans="2:8" ht="39.75" customHeight="1">
      <c r="B420" s="1140" t="s">
        <v>880</v>
      </c>
      <c r="C420" s="1140"/>
      <c r="D420" s="1140"/>
      <c r="E420" s="1140"/>
      <c r="F420" s="1140"/>
      <c r="G420" s="1140"/>
      <c r="H420" s="1140"/>
    </row>
    <row r="421" spans="2:8" ht="154.5" customHeight="1">
      <c r="B421" s="1140" t="s">
        <v>881</v>
      </c>
      <c r="C421" s="1140"/>
      <c r="D421" s="1140"/>
      <c r="E421" s="1140"/>
      <c r="F421" s="1140"/>
      <c r="G421" s="1140"/>
      <c r="H421" s="1140"/>
    </row>
    <row r="422" spans="2:8" ht="54.75" customHeight="1">
      <c r="B422" s="1140" t="s">
        <v>882</v>
      </c>
      <c r="C422" s="1140"/>
      <c r="D422" s="1140"/>
      <c r="E422" s="1140"/>
      <c r="F422" s="1140"/>
      <c r="G422" s="1140"/>
      <c r="H422" s="1140"/>
    </row>
    <row r="423" spans="2:8" ht="26.25" customHeight="1">
      <c r="B423" s="1140" t="s">
        <v>883</v>
      </c>
      <c r="C423" s="1140"/>
      <c r="D423" s="1140"/>
      <c r="E423" s="1140"/>
      <c r="F423" s="1140"/>
      <c r="G423" s="1140"/>
      <c r="H423" s="1140"/>
    </row>
    <row r="424" spans="2:8">
      <c r="B424" s="1140" t="s">
        <v>884</v>
      </c>
      <c r="C424" s="1140"/>
      <c r="D424" s="1140"/>
      <c r="E424" s="1140"/>
      <c r="F424" s="1140"/>
      <c r="G424" s="1140"/>
      <c r="H424" s="1140"/>
    </row>
    <row r="425" spans="2:8" ht="104.25" customHeight="1">
      <c r="B425" s="1140" t="s">
        <v>1021</v>
      </c>
      <c r="C425" s="1140"/>
      <c r="D425" s="1140"/>
      <c r="E425" s="1140"/>
      <c r="F425" s="1140"/>
      <c r="G425" s="1140"/>
      <c r="H425" s="1140"/>
    </row>
    <row r="426" spans="2:8" ht="252" customHeight="1">
      <c r="B426" s="1140" t="s">
        <v>1020</v>
      </c>
      <c r="C426" s="1140"/>
      <c r="D426" s="1140"/>
      <c r="E426" s="1140"/>
      <c r="F426" s="1140"/>
      <c r="G426" s="1140"/>
      <c r="H426" s="1140"/>
    </row>
    <row r="427" spans="2:8" ht="99.75" customHeight="1">
      <c r="B427" s="1140" t="s">
        <v>1019</v>
      </c>
      <c r="C427" s="1140"/>
      <c r="D427" s="1140"/>
      <c r="E427" s="1140"/>
      <c r="F427" s="1140"/>
      <c r="G427" s="1140"/>
      <c r="H427" s="1140"/>
    </row>
    <row r="428" spans="2:8" ht="162.75" customHeight="1">
      <c r="B428" s="1140" t="s">
        <v>1018</v>
      </c>
      <c r="C428" s="1140"/>
      <c r="D428" s="1140"/>
      <c r="E428" s="1140"/>
      <c r="F428" s="1140"/>
      <c r="G428" s="1140"/>
      <c r="H428" s="1140"/>
    </row>
    <row r="429" spans="2:8" ht="201.75" customHeight="1">
      <c r="B429" s="1140" t="s">
        <v>1017</v>
      </c>
      <c r="C429" s="1140"/>
      <c r="D429" s="1140"/>
      <c r="E429" s="1140"/>
      <c r="F429" s="1140"/>
      <c r="G429" s="1140"/>
      <c r="H429" s="1140"/>
    </row>
    <row r="430" spans="2:8" ht="210.75" customHeight="1">
      <c r="B430" s="1140" t="s">
        <v>1016</v>
      </c>
      <c r="C430" s="1140"/>
      <c r="D430" s="1140"/>
      <c r="E430" s="1140"/>
      <c r="F430" s="1140"/>
      <c r="G430" s="1140"/>
      <c r="H430" s="1140"/>
    </row>
    <row r="431" spans="2:8" ht="155.25" customHeight="1">
      <c r="B431" s="1140" t="s">
        <v>1015</v>
      </c>
      <c r="C431" s="1140"/>
      <c r="D431" s="1140"/>
      <c r="E431" s="1140"/>
      <c r="F431" s="1140"/>
      <c r="G431" s="1140"/>
      <c r="H431" s="1140"/>
    </row>
    <row r="432" spans="2:8" s="38" customFormat="1" ht="81.75" customHeight="1">
      <c r="B432" s="1140" t="s">
        <v>885</v>
      </c>
      <c r="C432" s="1140"/>
      <c r="D432" s="1140"/>
      <c r="E432" s="1140"/>
      <c r="F432" s="1140"/>
      <c r="G432" s="1140"/>
      <c r="H432" s="1140"/>
    </row>
    <row r="433" spans="2:8" s="38" customFormat="1" ht="75" customHeight="1">
      <c r="B433" s="1140" t="s">
        <v>886</v>
      </c>
      <c r="C433" s="1140"/>
      <c r="D433" s="1140"/>
      <c r="E433" s="1140"/>
      <c r="F433" s="1140"/>
      <c r="G433" s="1140"/>
      <c r="H433" s="1140"/>
    </row>
    <row r="434" spans="2:8" s="38" customFormat="1" ht="180" customHeight="1">
      <c r="B434" s="1140" t="s">
        <v>998</v>
      </c>
      <c r="C434" s="1140"/>
      <c r="D434" s="1140"/>
      <c r="E434" s="1140"/>
      <c r="F434" s="1140"/>
      <c r="G434" s="1140"/>
      <c r="H434" s="1140"/>
    </row>
    <row r="435" spans="2:8" s="38" customFormat="1" ht="30.75" customHeight="1">
      <c r="B435" s="1140" t="s">
        <v>887</v>
      </c>
      <c r="C435" s="1140"/>
      <c r="D435" s="1140"/>
      <c r="E435" s="1140"/>
      <c r="F435" s="1140"/>
      <c r="G435" s="1140"/>
      <c r="H435" s="1140"/>
    </row>
    <row r="436" spans="2:8" s="38" customFormat="1" ht="54.75" customHeight="1">
      <c r="B436" s="1140" t="s">
        <v>888</v>
      </c>
      <c r="C436" s="1140"/>
      <c r="D436" s="1140"/>
      <c r="E436" s="1140"/>
      <c r="F436" s="1140"/>
      <c r="G436" s="1140"/>
      <c r="H436" s="1140"/>
    </row>
    <row r="437" spans="2:8" s="38" customFormat="1">
      <c r="B437" s="1140" t="s">
        <v>890</v>
      </c>
      <c r="C437" s="1140"/>
      <c r="D437" s="1140"/>
      <c r="E437" s="1140"/>
      <c r="F437" s="1140"/>
      <c r="G437" s="1140"/>
      <c r="H437" s="1140"/>
    </row>
    <row r="438" spans="2:8" s="38" customFormat="1" ht="77.25" customHeight="1">
      <c r="B438" s="1140" t="s">
        <v>999</v>
      </c>
      <c r="C438" s="1140"/>
      <c r="D438" s="1140"/>
      <c r="E438" s="1140"/>
      <c r="F438" s="1140"/>
      <c r="G438" s="1140"/>
      <c r="H438" s="1140"/>
    </row>
    <row r="439" spans="2:8" s="38" customFormat="1" ht="42.75" customHeight="1">
      <c r="B439" s="1140" t="s">
        <v>889</v>
      </c>
      <c r="C439" s="1140"/>
      <c r="D439" s="1140"/>
      <c r="E439" s="1140"/>
      <c r="F439" s="1140"/>
      <c r="G439" s="1140"/>
      <c r="H439" s="1140"/>
    </row>
    <row r="440" spans="2:8" s="38" customFormat="1" ht="392.25" customHeight="1">
      <c r="B440" s="1140" t="s">
        <v>1005</v>
      </c>
      <c r="C440" s="1140"/>
      <c r="D440" s="1140"/>
      <c r="E440" s="1140"/>
      <c r="F440" s="1140"/>
      <c r="G440" s="1140"/>
      <c r="H440" s="1140"/>
    </row>
    <row r="441" spans="2:8" ht="27.75" customHeight="1">
      <c r="B441" s="1140" t="s">
        <v>898</v>
      </c>
      <c r="C441" s="1140"/>
      <c r="D441" s="1140"/>
      <c r="E441" s="1140"/>
      <c r="F441" s="1140"/>
      <c r="G441" s="1140"/>
      <c r="H441" s="1140"/>
    </row>
    <row r="442" spans="2:8" s="38" customFormat="1">
      <c r="B442" s="1140"/>
      <c r="C442" s="1140"/>
      <c r="D442" s="1140"/>
      <c r="E442" s="1140"/>
      <c r="F442" s="1140"/>
      <c r="G442" s="1140"/>
      <c r="H442" s="1140"/>
    </row>
    <row r="443" spans="2:8" ht="15" customHeight="1">
      <c r="B443" s="1140"/>
      <c r="C443" s="1140"/>
      <c r="D443" s="1140"/>
      <c r="E443" s="1140"/>
      <c r="F443" s="1140"/>
      <c r="G443" s="1140"/>
      <c r="H443" s="1140"/>
    </row>
    <row r="444" spans="2:8" ht="15" customHeight="1">
      <c r="B444" s="1143" t="s">
        <v>547</v>
      </c>
      <c r="C444" s="1143"/>
      <c r="D444" s="1143"/>
      <c r="E444" s="1143"/>
      <c r="F444" s="1143"/>
      <c r="G444" s="1143"/>
      <c r="H444" s="1143"/>
    </row>
    <row r="445" spans="2:8" ht="138.75" customHeight="1">
      <c r="B445" s="1140" t="s">
        <v>805</v>
      </c>
      <c r="C445" s="1140"/>
      <c r="D445" s="1140"/>
      <c r="E445" s="1140"/>
      <c r="F445" s="1140"/>
      <c r="G445" s="1140"/>
      <c r="H445" s="1140"/>
    </row>
    <row r="446" spans="2:8" ht="39" customHeight="1">
      <c r="B446" s="1140" t="s">
        <v>806</v>
      </c>
      <c r="C446" s="1140"/>
      <c r="D446" s="1140"/>
      <c r="E446" s="1140"/>
      <c r="F446" s="1140"/>
      <c r="G446" s="1140"/>
      <c r="H446" s="1140"/>
    </row>
    <row r="447" spans="2:8" ht="63.75" customHeight="1">
      <c r="B447" s="1140" t="s">
        <v>807</v>
      </c>
      <c r="C447" s="1140"/>
      <c r="D447" s="1140"/>
      <c r="E447" s="1140"/>
      <c r="F447" s="1140"/>
      <c r="G447" s="1140"/>
      <c r="H447" s="1140"/>
    </row>
    <row r="448" spans="2:8" ht="42" customHeight="1">
      <c r="B448" s="1140" t="s">
        <v>808</v>
      </c>
      <c r="C448" s="1140"/>
      <c r="D448" s="1140"/>
      <c r="E448" s="1140"/>
      <c r="F448" s="1140"/>
      <c r="G448" s="1140"/>
      <c r="H448" s="1140"/>
    </row>
    <row r="449" spans="2:8">
      <c r="B449" s="1140"/>
      <c r="C449" s="1140"/>
      <c r="D449" s="1140"/>
      <c r="E449" s="1140"/>
      <c r="F449" s="1140"/>
      <c r="G449" s="1140"/>
      <c r="H449" s="1140"/>
    </row>
    <row r="450" spans="2:8" ht="15" customHeight="1">
      <c r="B450" s="1140" t="s">
        <v>809</v>
      </c>
      <c r="C450" s="1140"/>
      <c r="D450" s="1140"/>
      <c r="E450" s="1140"/>
      <c r="F450" s="1140"/>
      <c r="G450" s="1140"/>
      <c r="H450" s="1140"/>
    </row>
    <row r="451" spans="2:8" ht="15" customHeight="1">
      <c r="B451" s="1140" t="s">
        <v>810</v>
      </c>
      <c r="C451" s="1140"/>
      <c r="D451" s="1140"/>
      <c r="E451" s="1140"/>
      <c r="F451" s="1140"/>
      <c r="G451" s="1140"/>
      <c r="H451" s="1140"/>
    </row>
    <row r="452" spans="2:8" ht="15" customHeight="1">
      <c r="B452" s="1140" t="s">
        <v>811</v>
      </c>
      <c r="C452" s="1140"/>
      <c r="D452" s="1140"/>
      <c r="E452" s="1140"/>
      <c r="F452" s="1140"/>
      <c r="G452" s="1140"/>
      <c r="H452" s="1140"/>
    </row>
    <row r="453" spans="2:8" ht="15" customHeight="1">
      <c r="B453" s="1140" t="s">
        <v>812</v>
      </c>
      <c r="C453" s="1140"/>
      <c r="D453" s="1140"/>
      <c r="E453" s="1140"/>
      <c r="F453" s="1140"/>
      <c r="G453" s="1140"/>
      <c r="H453" s="1140"/>
    </row>
    <row r="454" spans="2:8" ht="15" customHeight="1">
      <c r="B454" s="1140" t="s">
        <v>813</v>
      </c>
      <c r="C454" s="1140"/>
      <c r="D454" s="1140"/>
      <c r="E454" s="1140"/>
      <c r="F454" s="1140"/>
      <c r="G454" s="1140"/>
      <c r="H454" s="1140"/>
    </row>
    <row r="455" spans="2:8" ht="15" customHeight="1">
      <c r="B455" s="1140" t="s">
        <v>814</v>
      </c>
      <c r="C455" s="1140"/>
      <c r="D455" s="1140"/>
      <c r="E455" s="1140"/>
      <c r="F455" s="1140"/>
      <c r="G455" s="1140"/>
      <c r="H455" s="1140"/>
    </row>
    <row r="456" spans="2:8" ht="15" customHeight="1">
      <c r="B456" s="1140" t="s">
        <v>815</v>
      </c>
      <c r="C456" s="1140"/>
      <c r="D456" s="1140"/>
      <c r="E456" s="1140"/>
      <c r="F456" s="1140"/>
      <c r="G456" s="1140"/>
      <c r="H456" s="1140"/>
    </row>
    <row r="457" spans="2:8" ht="15" customHeight="1">
      <c r="B457" s="1140" t="s">
        <v>816</v>
      </c>
      <c r="C457" s="1140"/>
      <c r="D457" s="1140"/>
      <c r="E457" s="1140"/>
      <c r="F457" s="1140"/>
      <c r="G457" s="1140"/>
      <c r="H457" s="1140"/>
    </row>
    <row r="458" spans="2:8" ht="15" customHeight="1">
      <c r="B458" s="1140" t="s">
        <v>817</v>
      </c>
      <c r="C458" s="1140"/>
      <c r="D458" s="1140"/>
      <c r="E458" s="1140"/>
      <c r="F458" s="1140"/>
      <c r="G458" s="1140"/>
      <c r="H458" s="1140"/>
    </row>
    <row r="459" spans="2:8" ht="15" customHeight="1">
      <c r="B459" s="1140" t="s">
        <v>818</v>
      </c>
      <c r="C459" s="1140"/>
      <c r="D459" s="1140"/>
      <c r="E459" s="1140"/>
      <c r="F459" s="1140"/>
      <c r="G459" s="1140"/>
      <c r="H459" s="1140"/>
    </row>
    <row r="460" spans="2:8" ht="40.5" customHeight="1">
      <c r="B460" s="1140" t="s">
        <v>819</v>
      </c>
      <c r="C460" s="1140"/>
      <c r="D460" s="1140"/>
      <c r="E460" s="1140"/>
      <c r="F460" s="1140"/>
      <c r="G460" s="1140"/>
      <c r="H460" s="1140"/>
    </row>
    <row r="461" spans="2:8">
      <c r="B461" s="1140"/>
      <c r="C461" s="1140"/>
      <c r="D461" s="1140"/>
      <c r="E461" s="1140"/>
      <c r="F461" s="1140"/>
      <c r="G461" s="1140"/>
      <c r="H461" s="1140"/>
    </row>
    <row r="462" spans="2:8" ht="96" customHeight="1">
      <c r="B462" s="1140" t="s">
        <v>820</v>
      </c>
      <c r="C462" s="1140"/>
      <c r="D462" s="1140"/>
      <c r="E462" s="1140"/>
      <c r="F462" s="1140"/>
      <c r="G462" s="1140"/>
      <c r="H462" s="1140"/>
    </row>
    <row r="463" spans="2:8" ht="27.75" customHeight="1">
      <c r="B463" s="1140" t="s">
        <v>898</v>
      </c>
      <c r="C463" s="1140"/>
      <c r="D463" s="1140"/>
      <c r="E463" s="1140"/>
      <c r="F463" s="1140"/>
      <c r="G463" s="1140"/>
      <c r="H463" s="1140"/>
    </row>
    <row r="464" spans="2:8" ht="27.75" customHeight="1">
      <c r="B464" s="143"/>
      <c r="C464" s="143"/>
      <c r="D464" s="143"/>
      <c r="E464" s="143"/>
      <c r="F464" s="143"/>
      <c r="G464" s="143"/>
      <c r="H464" s="143"/>
    </row>
    <row r="465" spans="1:8" s="17" customFormat="1" ht="15" customHeight="1">
      <c r="A465" s="145"/>
      <c r="B465" s="1144" t="s">
        <v>1031</v>
      </c>
      <c r="C465" s="1144"/>
      <c r="D465" s="1144"/>
      <c r="E465" s="1144"/>
      <c r="F465" s="1144"/>
      <c r="G465" s="1144"/>
      <c r="H465" s="1144"/>
    </row>
    <row r="466" spans="1:8" ht="15" customHeight="1">
      <c r="B466" s="1142" t="s">
        <v>674</v>
      </c>
      <c r="C466" s="1142"/>
      <c r="D466" s="1142"/>
      <c r="E466" s="1142"/>
      <c r="F466" s="1142"/>
      <c r="G466" s="1142"/>
      <c r="H466" s="1142"/>
    </row>
    <row r="467" spans="1:8" ht="245.25" customHeight="1">
      <c r="B467" s="1142" t="s">
        <v>1032</v>
      </c>
      <c r="C467" s="1142"/>
      <c r="D467" s="1142"/>
      <c r="E467" s="1142"/>
      <c r="F467" s="1142"/>
      <c r="G467" s="1142"/>
      <c r="H467" s="1142"/>
    </row>
    <row r="468" spans="1:8" ht="15" customHeight="1">
      <c r="B468" s="1142" t="s">
        <v>793</v>
      </c>
      <c r="C468" s="1142"/>
      <c r="D468" s="1142"/>
      <c r="E468" s="1142"/>
      <c r="F468" s="1142"/>
      <c r="G468" s="1142"/>
      <c r="H468" s="1142"/>
    </row>
    <row r="469" spans="1:8" ht="96.75" customHeight="1">
      <c r="B469" s="1142" t="s">
        <v>1033</v>
      </c>
      <c r="C469" s="1142"/>
      <c r="D469" s="1142"/>
      <c r="E469" s="1142"/>
      <c r="F469" s="1142"/>
      <c r="G469" s="1142"/>
      <c r="H469" s="1142"/>
    </row>
    <row r="470" spans="1:8" ht="15" customHeight="1">
      <c r="B470" s="1142" t="s">
        <v>1023</v>
      </c>
      <c r="C470" s="1142"/>
      <c r="D470" s="1142"/>
      <c r="E470" s="1142"/>
      <c r="F470" s="1142"/>
      <c r="G470" s="1142"/>
      <c r="H470" s="1142"/>
    </row>
    <row r="471" spans="1:8" ht="125.25" customHeight="1">
      <c r="B471" s="1142" t="s">
        <v>1034</v>
      </c>
      <c r="C471" s="1142"/>
      <c r="D471" s="1142"/>
      <c r="E471" s="1142"/>
      <c r="F471" s="1142"/>
      <c r="G471" s="1142"/>
      <c r="H471" s="1142"/>
    </row>
    <row r="472" spans="1:8" ht="13.5" customHeight="1">
      <c r="B472" s="1142" t="s">
        <v>1024</v>
      </c>
      <c r="C472" s="1142"/>
      <c r="D472" s="1142"/>
      <c r="E472" s="1142"/>
      <c r="F472" s="1142"/>
      <c r="G472" s="1142"/>
      <c r="H472" s="1142"/>
    </row>
    <row r="473" spans="1:8" ht="409.5" customHeight="1">
      <c r="B473" s="1142" t="s">
        <v>1025</v>
      </c>
      <c r="C473" s="1142"/>
      <c r="D473" s="1142"/>
      <c r="E473" s="1142"/>
      <c r="F473" s="1142"/>
      <c r="G473" s="1142"/>
      <c r="H473" s="1142"/>
    </row>
    <row r="474" spans="1:8" ht="218.25" customHeight="1">
      <c r="B474" s="1142" t="s">
        <v>1026</v>
      </c>
      <c r="C474" s="1142"/>
      <c r="D474" s="1142"/>
      <c r="E474" s="1142"/>
      <c r="F474" s="1142"/>
      <c r="G474" s="1142"/>
      <c r="H474" s="1142"/>
    </row>
    <row r="475" spans="1:8" ht="12" customHeight="1">
      <c r="B475" s="1142" t="s">
        <v>1027</v>
      </c>
      <c r="C475" s="1142"/>
      <c r="D475" s="1142"/>
      <c r="E475" s="1142"/>
      <c r="F475" s="1142"/>
      <c r="G475" s="1142"/>
      <c r="H475" s="1142"/>
    </row>
    <row r="476" spans="1:8" ht="286.5" customHeight="1">
      <c r="B476" s="1142" t="s">
        <v>1028</v>
      </c>
      <c r="C476" s="1142"/>
      <c r="D476" s="1142"/>
      <c r="E476" s="1142"/>
      <c r="F476" s="1142"/>
      <c r="G476" s="1142"/>
      <c r="H476" s="1142"/>
    </row>
    <row r="477" spans="1:8" ht="15" customHeight="1">
      <c r="B477" s="1142" t="s">
        <v>620</v>
      </c>
      <c r="C477" s="1142"/>
      <c r="D477" s="1142"/>
      <c r="E477" s="1142"/>
      <c r="F477" s="1142"/>
      <c r="G477" s="1142"/>
      <c r="H477" s="1142"/>
    </row>
    <row r="478" spans="1:8" ht="177" customHeight="1">
      <c r="B478" s="1142" t="s">
        <v>1029</v>
      </c>
      <c r="C478" s="1142"/>
      <c r="D478" s="1142"/>
      <c r="E478" s="1142"/>
      <c r="F478" s="1142"/>
      <c r="G478" s="1142"/>
      <c r="H478" s="1142"/>
    </row>
    <row r="479" spans="1:8" ht="348" customHeight="1">
      <c r="B479" s="1142" t="s">
        <v>1030</v>
      </c>
      <c r="C479" s="1142"/>
      <c r="D479" s="1142"/>
      <c r="E479" s="1142"/>
      <c r="F479" s="1142"/>
      <c r="G479" s="1142"/>
      <c r="H479" s="1142"/>
    </row>
    <row r="480" spans="1:8">
      <c r="B480" s="1140"/>
      <c r="C480" s="1140"/>
      <c r="D480" s="1140"/>
      <c r="E480" s="1140"/>
      <c r="F480" s="1140"/>
      <c r="G480" s="1140"/>
      <c r="H480" s="1140"/>
    </row>
    <row r="481" spans="2:8" ht="15" customHeight="1">
      <c r="B481" s="1143" t="s">
        <v>548</v>
      </c>
      <c r="C481" s="1143"/>
      <c r="D481" s="1143"/>
      <c r="E481" s="1143"/>
      <c r="F481" s="1143"/>
      <c r="G481" s="1143"/>
      <c r="H481" s="1143"/>
    </row>
    <row r="482" spans="2:8" ht="39.75" customHeight="1">
      <c r="B482" s="1140" t="s">
        <v>821</v>
      </c>
      <c r="C482" s="1140"/>
      <c r="D482" s="1140"/>
      <c r="E482" s="1140"/>
      <c r="F482" s="1140"/>
      <c r="G482" s="1140"/>
      <c r="H482" s="1140"/>
    </row>
    <row r="483" spans="2:8">
      <c r="B483" s="1140"/>
      <c r="C483" s="1140"/>
      <c r="D483" s="1140"/>
      <c r="E483" s="1140"/>
      <c r="F483" s="1140"/>
      <c r="G483" s="1140"/>
      <c r="H483" s="1140"/>
    </row>
    <row r="484" spans="2:8" ht="15" customHeight="1">
      <c r="B484" s="1140" t="s">
        <v>822</v>
      </c>
      <c r="C484" s="1140"/>
      <c r="D484" s="1140"/>
      <c r="E484" s="1140"/>
      <c r="F484" s="1140"/>
      <c r="G484" s="1140"/>
      <c r="H484" s="1140"/>
    </row>
    <row r="485" spans="2:8" ht="210" customHeight="1">
      <c r="B485" s="1140" t="s">
        <v>1001</v>
      </c>
      <c r="C485" s="1140"/>
      <c r="D485" s="1140"/>
      <c r="E485" s="1140"/>
      <c r="F485" s="1140"/>
      <c r="G485" s="1140"/>
      <c r="H485" s="1140"/>
    </row>
    <row r="486" spans="2:8" ht="27.75" customHeight="1">
      <c r="B486" s="1140" t="s">
        <v>898</v>
      </c>
      <c r="C486" s="1140"/>
      <c r="D486" s="1140"/>
      <c r="E486" s="1140"/>
      <c r="F486" s="1140"/>
      <c r="G486" s="1140"/>
      <c r="H486" s="1140"/>
    </row>
    <row r="487" spans="2:8">
      <c r="B487" s="1140"/>
      <c r="C487" s="1140"/>
      <c r="D487" s="1140"/>
      <c r="E487" s="1140"/>
      <c r="F487" s="1140"/>
      <c r="G487" s="1140"/>
      <c r="H487" s="1140"/>
    </row>
    <row r="488" spans="2:8">
      <c r="B488" s="1141" t="s">
        <v>534</v>
      </c>
      <c r="C488" s="1141"/>
      <c r="D488" s="1141"/>
      <c r="E488" s="1141"/>
      <c r="F488" s="1141"/>
      <c r="G488" s="1141"/>
      <c r="H488" s="1141"/>
    </row>
    <row r="489" spans="2:8">
      <c r="B489" s="1140" t="s">
        <v>674</v>
      </c>
      <c r="C489" s="1140"/>
      <c r="D489" s="1140"/>
      <c r="E489" s="1140"/>
      <c r="F489" s="1140"/>
      <c r="G489" s="1140"/>
      <c r="H489" s="1140"/>
    </row>
    <row r="490" spans="2:8" ht="53.25" customHeight="1">
      <c r="B490" s="1140" t="s">
        <v>891</v>
      </c>
      <c r="C490" s="1140"/>
      <c r="D490" s="1140"/>
      <c r="E490" s="1140"/>
      <c r="F490" s="1140"/>
      <c r="G490" s="1140"/>
      <c r="H490" s="1140"/>
    </row>
    <row r="491" spans="2:8" ht="59.25" customHeight="1">
      <c r="B491" s="1140" t="s">
        <v>892</v>
      </c>
      <c r="C491" s="1140"/>
      <c r="D491" s="1140"/>
      <c r="E491" s="1140"/>
      <c r="F491" s="1140"/>
      <c r="G491" s="1140"/>
      <c r="H491" s="1140"/>
    </row>
    <row r="492" spans="2:8" ht="78.75" customHeight="1">
      <c r="B492" s="1140" t="s">
        <v>893</v>
      </c>
      <c r="C492" s="1140"/>
      <c r="D492" s="1140"/>
      <c r="E492" s="1140"/>
      <c r="F492" s="1140"/>
      <c r="G492" s="1140"/>
      <c r="H492" s="1140"/>
    </row>
    <row r="493" spans="2:8" ht="29.25" customHeight="1">
      <c r="B493" s="1140" t="s">
        <v>894</v>
      </c>
      <c r="C493" s="1140"/>
      <c r="D493" s="1140"/>
      <c r="E493" s="1140"/>
      <c r="F493" s="1140"/>
      <c r="G493" s="1140"/>
      <c r="H493" s="1140"/>
    </row>
    <row r="494" spans="2:8">
      <c r="B494" s="1140" t="s">
        <v>896</v>
      </c>
      <c r="C494" s="1140"/>
      <c r="D494" s="1140"/>
      <c r="E494" s="1140"/>
      <c r="F494" s="1140"/>
      <c r="G494" s="1140"/>
      <c r="H494" s="1140"/>
    </row>
    <row r="495" spans="2:8" ht="72.75" customHeight="1">
      <c r="B495" s="1140" t="s">
        <v>895</v>
      </c>
      <c r="C495" s="1140"/>
      <c r="D495" s="1140"/>
      <c r="E495" s="1140"/>
      <c r="F495" s="1140"/>
      <c r="G495" s="1140"/>
      <c r="H495" s="1140"/>
    </row>
    <row r="496" spans="2:8" ht="48" customHeight="1">
      <c r="B496" s="1140" t="s">
        <v>897</v>
      </c>
      <c r="C496" s="1140"/>
      <c r="D496" s="1140"/>
      <c r="E496" s="1140"/>
      <c r="F496" s="1140"/>
      <c r="G496" s="1140"/>
      <c r="H496" s="1140"/>
    </row>
    <row r="497" spans="2:8" ht="344.25" customHeight="1">
      <c r="B497" s="1140" t="s">
        <v>1000</v>
      </c>
      <c r="C497" s="1140"/>
      <c r="D497" s="1140"/>
      <c r="E497" s="1140"/>
      <c r="F497" s="1140"/>
      <c r="G497" s="1140"/>
      <c r="H497" s="1140"/>
    </row>
    <row r="498" spans="2:8" ht="27.75" customHeight="1">
      <c r="B498" s="1140" t="s">
        <v>899</v>
      </c>
      <c r="C498" s="1140"/>
      <c r="D498" s="1140"/>
      <c r="E498" s="1140"/>
      <c r="F498" s="1140"/>
      <c r="G498" s="1140"/>
      <c r="H498" s="1140"/>
    </row>
    <row r="499" spans="2:8">
      <c r="B499" s="1140"/>
      <c r="C499" s="1140"/>
      <c r="D499" s="1140"/>
      <c r="E499" s="1140"/>
      <c r="F499" s="1140"/>
      <c r="G499" s="1140"/>
      <c r="H499" s="1140"/>
    </row>
    <row r="500" spans="2:8" ht="15" customHeight="1">
      <c r="B500" s="1141" t="s">
        <v>868</v>
      </c>
      <c r="C500" s="1141"/>
      <c r="D500" s="1141"/>
      <c r="E500" s="1141"/>
      <c r="F500" s="1141"/>
      <c r="G500" s="1141"/>
      <c r="H500" s="1141"/>
    </row>
    <row r="501" spans="2:8" ht="15" customHeight="1">
      <c r="B501" s="1140" t="s">
        <v>674</v>
      </c>
      <c r="C501" s="1140"/>
      <c r="D501" s="1140"/>
      <c r="E501" s="1140"/>
      <c r="F501" s="1140"/>
      <c r="G501" s="1140"/>
      <c r="H501" s="1140"/>
    </row>
    <row r="502" spans="2:8" ht="79.5" customHeight="1">
      <c r="B502" s="1140" t="s">
        <v>823</v>
      </c>
      <c r="C502" s="1140"/>
      <c r="D502" s="1140"/>
      <c r="E502" s="1140"/>
      <c r="F502" s="1140"/>
      <c r="G502" s="1140"/>
      <c r="H502" s="1140"/>
    </row>
    <row r="503" spans="2:8" ht="114.75" customHeight="1">
      <c r="B503" s="1140" t="s">
        <v>824</v>
      </c>
      <c r="C503" s="1140"/>
      <c r="D503" s="1140"/>
      <c r="E503" s="1140"/>
      <c r="F503" s="1140"/>
      <c r="G503" s="1140"/>
      <c r="H503" s="1140"/>
    </row>
    <row r="504" spans="2:8" ht="36.75" customHeight="1">
      <c r="B504" s="1140" t="s">
        <v>825</v>
      </c>
      <c r="C504" s="1140"/>
      <c r="D504" s="1140"/>
      <c r="E504" s="1140"/>
      <c r="F504" s="1140"/>
      <c r="G504" s="1140"/>
      <c r="H504" s="1140"/>
    </row>
    <row r="505" spans="2:8" ht="40.5" customHeight="1">
      <c r="B505" s="1140" t="s">
        <v>826</v>
      </c>
      <c r="C505" s="1140"/>
      <c r="D505" s="1140"/>
      <c r="E505" s="1140"/>
      <c r="F505" s="1140"/>
      <c r="G505" s="1140"/>
      <c r="H505" s="1140"/>
    </row>
    <row r="506" spans="2:8" ht="116.25" customHeight="1">
      <c r="B506" s="1140" t="s">
        <v>827</v>
      </c>
      <c r="C506" s="1140"/>
      <c r="D506" s="1140"/>
      <c r="E506" s="1140"/>
      <c r="F506" s="1140"/>
      <c r="G506" s="1140"/>
      <c r="H506" s="1140"/>
    </row>
    <row r="507" spans="2:8" ht="79.5" customHeight="1">
      <c r="B507" s="1140" t="s">
        <v>828</v>
      </c>
      <c r="C507" s="1140"/>
      <c r="D507" s="1140"/>
      <c r="E507" s="1140"/>
      <c r="F507" s="1140"/>
      <c r="G507" s="1140"/>
      <c r="H507" s="1140"/>
    </row>
    <row r="508" spans="2:8" ht="40.5" customHeight="1">
      <c r="B508" s="1140" t="s">
        <v>829</v>
      </c>
      <c r="C508" s="1140"/>
      <c r="D508" s="1140"/>
      <c r="E508" s="1140"/>
      <c r="F508" s="1140"/>
      <c r="G508" s="1140"/>
      <c r="H508" s="1140"/>
    </row>
    <row r="509" spans="2:8" ht="79.5" customHeight="1">
      <c r="B509" s="1140" t="s">
        <v>830</v>
      </c>
      <c r="C509" s="1140"/>
      <c r="D509" s="1140"/>
      <c r="E509" s="1140"/>
      <c r="F509" s="1140"/>
      <c r="G509" s="1140"/>
      <c r="H509" s="1140"/>
    </row>
    <row r="510" spans="2:8" ht="27" customHeight="1">
      <c r="B510" s="1140" t="s">
        <v>831</v>
      </c>
      <c r="C510" s="1140"/>
      <c r="D510" s="1140"/>
      <c r="E510" s="1140"/>
      <c r="F510" s="1140"/>
      <c r="G510" s="1140"/>
      <c r="H510" s="1140"/>
    </row>
    <row r="511" spans="2:8" ht="25.5" customHeight="1">
      <c r="B511" s="1140" t="s">
        <v>832</v>
      </c>
      <c r="C511" s="1140"/>
      <c r="D511" s="1140"/>
      <c r="E511" s="1140"/>
      <c r="F511" s="1140"/>
      <c r="G511" s="1140"/>
      <c r="H511" s="1140"/>
    </row>
    <row r="512" spans="2:8" ht="39" customHeight="1">
      <c r="B512" s="1140" t="s">
        <v>833</v>
      </c>
      <c r="C512" s="1140"/>
      <c r="D512" s="1140"/>
      <c r="E512" s="1140"/>
      <c r="F512" s="1140"/>
      <c r="G512" s="1140"/>
      <c r="H512" s="1140"/>
    </row>
    <row r="513" spans="2:8" ht="63.75" customHeight="1">
      <c r="B513" s="1140" t="s">
        <v>834</v>
      </c>
      <c r="C513" s="1140"/>
      <c r="D513" s="1140"/>
      <c r="E513" s="1140"/>
      <c r="F513" s="1140"/>
      <c r="G513" s="1140"/>
      <c r="H513" s="1140"/>
    </row>
    <row r="514" spans="2:8" ht="94.5" customHeight="1">
      <c r="B514" s="1140" t="s">
        <v>835</v>
      </c>
      <c r="C514" s="1140"/>
      <c r="D514" s="1140"/>
      <c r="E514" s="1140"/>
      <c r="F514" s="1140"/>
      <c r="G514" s="1140"/>
      <c r="H514" s="1140"/>
    </row>
    <row r="515" spans="2:8" ht="42" customHeight="1">
      <c r="B515" s="1140" t="s">
        <v>836</v>
      </c>
      <c r="C515" s="1140"/>
      <c r="D515" s="1140"/>
      <c r="E515" s="1140"/>
      <c r="F515" s="1140"/>
      <c r="G515" s="1140"/>
      <c r="H515" s="1140"/>
    </row>
    <row r="516" spans="2:8" ht="27.75" customHeight="1">
      <c r="B516" s="1140" t="s">
        <v>837</v>
      </c>
      <c r="C516" s="1140"/>
      <c r="D516" s="1140"/>
      <c r="E516" s="1140"/>
      <c r="F516" s="1140"/>
      <c r="G516" s="1140"/>
      <c r="H516" s="1140"/>
    </row>
    <row r="517" spans="2:8" ht="30.75" customHeight="1">
      <c r="B517" s="1140" t="s">
        <v>838</v>
      </c>
      <c r="C517" s="1140"/>
      <c r="D517" s="1140"/>
      <c r="E517" s="1140"/>
      <c r="F517" s="1140"/>
      <c r="G517" s="1140"/>
      <c r="H517" s="1140"/>
    </row>
    <row r="518" spans="2:8">
      <c r="B518" s="1140"/>
      <c r="C518" s="1140"/>
      <c r="D518" s="1140"/>
      <c r="E518" s="1140"/>
      <c r="F518" s="1140"/>
      <c r="G518" s="1140"/>
      <c r="H518" s="1140"/>
    </row>
    <row r="519" spans="2:8" ht="15" customHeight="1">
      <c r="B519" s="1141" t="s">
        <v>563</v>
      </c>
      <c r="C519" s="1141"/>
      <c r="D519" s="1141"/>
      <c r="E519" s="1141"/>
      <c r="F519" s="1141"/>
      <c r="G519" s="1141"/>
      <c r="H519" s="1141"/>
    </row>
    <row r="520" spans="2:8" ht="15" customHeight="1">
      <c r="B520" s="1140" t="s">
        <v>674</v>
      </c>
      <c r="C520" s="1140"/>
      <c r="D520" s="1140"/>
      <c r="E520" s="1140"/>
      <c r="F520" s="1140"/>
      <c r="G520" s="1140"/>
      <c r="H520" s="1140"/>
    </row>
    <row r="521" spans="2:8" ht="43.5" customHeight="1">
      <c r="B521" s="1140" t="s">
        <v>907</v>
      </c>
      <c r="C521" s="1140"/>
      <c r="D521" s="1140"/>
      <c r="E521" s="1140"/>
      <c r="F521" s="1140"/>
      <c r="G521" s="1140"/>
      <c r="H521" s="1140"/>
    </row>
    <row r="522" spans="2:8" ht="90.75" customHeight="1">
      <c r="B522" s="1140" t="s">
        <v>900</v>
      </c>
      <c r="C522" s="1140"/>
      <c r="D522" s="1140"/>
      <c r="E522" s="1140"/>
      <c r="F522" s="1140"/>
      <c r="G522" s="1140"/>
      <c r="H522" s="1140"/>
    </row>
    <row r="523" spans="2:8" ht="52.5" customHeight="1">
      <c r="B523" s="1140" t="s">
        <v>901</v>
      </c>
      <c r="C523" s="1140"/>
      <c r="D523" s="1140"/>
      <c r="E523" s="1140"/>
      <c r="F523" s="1140"/>
      <c r="G523" s="1140"/>
      <c r="H523" s="1140"/>
    </row>
    <row r="524" spans="2:8" ht="38.25" customHeight="1">
      <c r="B524" s="1140" t="s">
        <v>902</v>
      </c>
      <c r="C524" s="1140"/>
      <c r="D524" s="1140"/>
      <c r="E524" s="1140"/>
      <c r="F524" s="1140"/>
      <c r="G524" s="1140"/>
      <c r="H524" s="1140"/>
    </row>
    <row r="525" spans="2:8" ht="26.25" customHeight="1">
      <c r="B525" s="1140" t="s">
        <v>903</v>
      </c>
      <c r="C525" s="1140"/>
      <c r="D525" s="1140"/>
      <c r="E525" s="1140"/>
      <c r="F525" s="1140"/>
      <c r="G525" s="1140"/>
      <c r="H525" s="1140"/>
    </row>
    <row r="526" spans="2:8" ht="28.5" customHeight="1">
      <c r="B526" s="1140" t="s">
        <v>904</v>
      </c>
      <c r="C526" s="1140"/>
      <c r="D526" s="1140"/>
      <c r="E526" s="1140"/>
      <c r="F526" s="1140"/>
      <c r="G526" s="1140"/>
      <c r="H526" s="1140"/>
    </row>
    <row r="527" spans="2:8" ht="67.5" customHeight="1">
      <c r="B527" s="1140" t="s">
        <v>905</v>
      </c>
      <c r="C527" s="1140"/>
      <c r="D527" s="1140"/>
      <c r="E527" s="1140"/>
      <c r="F527" s="1140"/>
      <c r="G527" s="1140"/>
      <c r="H527" s="1140"/>
    </row>
    <row r="528" spans="2:8" ht="40.5" customHeight="1">
      <c r="B528" s="1140" t="s">
        <v>906</v>
      </c>
      <c r="C528" s="1140"/>
      <c r="D528" s="1140"/>
      <c r="E528" s="1140"/>
      <c r="F528" s="1140"/>
      <c r="G528" s="1140"/>
      <c r="H528" s="1140"/>
    </row>
    <row r="529" spans="1:8">
      <c r="B529" s="1140"/>
      <c r="C529" s="1140"/>
      <c r="D529" s="1140"/>
      <c r="E529" s="1140"/>
      <c r="F529" s="1140"/>
      <c r="G529" s="1140"/>
      <c r="H529" s="1140"/>
    </row>
    <row r="530" spans="1:8" ht="15" customHeight="1">
      <c r="A530" s="145"/>
      <c r="B530" s="1141" t="s">
        <v>869</v>
      </c>
      <c r="C530" s="1141"/>
      <c r="D530" s="1141"/>
      <c r="E530" s="1141"/>
      <c r="F530" s="1141"/>
      <c r="G530" s="1141"/>
      <c r="H530" s="1141"/>
    </row>
    <row r="531" spans="1:8" ht="15" customHeight="1">
      <c r="B531" s="1140" t="s">
        <v>674</v>
      </c>
      <c r="C531" s="1140"/>
      <c r="D531" s="1140"/>
      <c r="E531" s="1140"/>
      <c r="F531" s="1140"/>
      <c r="G531" s="1140"/>
      <c r="H531" s="1140"/>
    </row>
    <row r="532" spans="1:8" ht="15" customHeight="1">
      <c r="B532" s="1140" t="s">
        <v>839</v>
      </c>
      <c r="C532" s="1140"/>
      <c r="D532" s="1140"/>
      <c r="E532" s="1140"/>
      <c r="F532" s="1140"/>
      <c r="G532" s="1140"/>
      <c r="H532" s="1140"/>
    </row>
    <row r="533" spans="1:8" ht="15" customHeight="1">
      <c r="B533" s="1140" t="s">
        <v>840</v>
      </c>
      <c r="C533" s="1140"/>
      <c r="D533" s="1140"/>
      <c r="E533" s="1140"/>
      <c r="F533" s="1140"/>
      <c r="G533" s="1140"/>
      <c r="H533" s="1140"/>
    </row>
    <row r="534" spans="1:8" ht="15" customHeight="1">
      <c r="B534" s="1140" t="s">
        <v>841</v>
      </c>
      <c r="C534" s="1140"/>
      <c r="D534" s="1140"/>
      <c r="E534" s="1140"/>
      <c r="F534" s="1140"/>
      <c r="G534" s="1140"/>
      <c r="H534" s="1140"/>
    </row>
    <row r="535" spans="1:8" ht="15" customHeight="1">
      <c r="B535" s="1140" t="s">
        <v>842</v>
      </c>
      <c r="C535" s="1140"/>
      <c r="D535" s="1140"/>
      <c r="E535" s="1140"/>
      <c r="F535" s="1140"/>
      <c r="G535" s="1140"/>
      <c r="H535" s="1140"/>
    </row>
    <row r="536" spans="1:8" ht="14.25" customHeight="1">
      <c r="B536" s="1140" t="s">
        <v>843</v>
      </c>
      <c r="C536" s="1140"/>
      <c r="D536" s="1140"/>
      <c r="E536" s="1140"/>
      <c r="F536" s="1140"/>
      <c r="G536" s="1140"/>
      <c r="H536" s="1140"/>
    </row>
    <row r="537" spans="1:8" ht="27" customHeight="1">
      <c r="B537" s="1140" t="s">
        <v>844</v>
      </c>
      <c r="C537" s="1140"/>
      <c r="D537" s="1140"/>
      <c r="E537" s="1140"/>
      <c r="F537" s="1140"/>
      <c r="G537" s="1140"/>
      <c r="H537" s="1140"/>
    </row>
    <row r="538" spans="1:8">
      <c r="B538" s="1140"/>
      <c r="C538" s="1140"/>
      <c r="D538" s="1140"/>
      <c r="E538" s="1140"/>
      <c r="F538" s="1140"/>
      <c r="G538" s="1140"/>
      <c r="H538" s="1140"/>
    </row>
    <row r="539" spans="1:8" ht="78" customHeight="1">
      <c r="B539" s="1140" t="s">
        <v>845</v>
      </c>
      <c r="C539" s="1140"/>
      <c r="D539" s="1140"/>
      <c r="E539" s="1140"/>
      <c r="F539" s="1140"/>
      <c r="G539" s="1140"/>
      <c r="H539" s="1140"/>
    </row>
    <row r="540" spans="1:8" ht="144.75" customHeight="1">
      <c r="B540" s="1140" t="s">
        <v>846</v>
      </c>
      <c r="C540" s="1140"/>
      <c r="D540" s="1140"/>
      <c r="E540" s="1140"/>
      <c r="F540" s="1140"/>
      <c r="G540" s="1140"/>
      <c r="H540" s="1140"/>
    </row>
    <row r="541" spans="1:8" ht="66.75" customHeight="1">
      <c r="B541" s="1140" t="s">
        <v>847</v>
      </c>
      <c r="C541" s="1140"/>
      <c r="D541" s="1140"/>
      <c r="E541" s="1140"/>
      <c r="F541" s="1140"/>
      <c r="G541" s="1140"/>
      <c r="H541" s="1140"/>
    </row>
    <row r="542" spans="1:8" ht="78" customHeight="1">
      <c r="B542" s="1140" t="s">
        <v>848</v>
      </c>
      <c r="C542" s="1140"/>
      <c r="D542" s="1140"/>
      <c r="E542" s="1140"/>
      <c r="F542" s="1140"/>
      <c r="G542" s="1140"/>
      <c r="H542" s="1140"/>
    </row>
    <row r="543" spans="1:8" ht="29.25" customHeight="1">
      <c r="B543" s="1140" t="s">
        <v>849</v>
      </c>
      <c r="C543" s="1140"/>
      <c r="D543" s="1140"/>
      <c r="E543" s="1140"/>
      <c r="F543" s="1140"/>
      <c r="G543" s="1140"/>
      <c r="H543" s="1140"/>
    </row>
    <row r="544" spans="1:8" ht="51.75" customHeight="1">
      <c r="B544" s="1140" t="s">
        <v>850</v>
      </c>
      <c r="C544" s="1140"/>
      <c r="D544" s="1140"/>
      <c r="E544" s="1140"/>
      <c r="F544" s="1140"/>
      <c r="G544" s="1140"/>
      <c r="H544" s="1140"/>
    </row>
    <row r="545" spans="2:8" ht="103.5" customHeight="1">
      <c r="B545" s="1140" t="s">
        <v>851</v>
      </c>
      <c r="C545" s="1140"/>
      <c r="D545" s="1140"/>
      <c r="E545" s="1140"/>
      <c r="F545" s="1140"/>
      <c r="G545" s="1140"/>
      <c r="H545" s="1140"/>
    </row>
    <row r="546" spans="2:8" ht="168.75" customHeight="1">
      <c r="B546" s="1140" t="s">
        <v>1004</v>
      </c>
      <c r="C546" s="1140"/>
      <c r="D546" s="1140"/>
      <c r="E546" s="1140"/>
      <c r="F546" s="1140"/>
      <c r="G546" s="1140"/>
      <c r="H546" s="1140"/>
    </row>
    <row r="547" spans="2:8">
      <c r="B547" s="1140"/>
      <c r="C547" s="1140"/>
      <c r="D547" s="1140"/>
      <c r="E547" s="1140"/>
      <c r="F547" s="1140"/>
      <c r="G547" s="1140"/>
      <c r="H547" s="1140"/>
    </row>
    <row r="548" spans="2:8" ht="15" customHeight="1">
      <c r="B548" s="1141" t="s">
        <v>870</v>
      </c>
      <c r="C548" s="1141"/>
      <c r="D548" s="1141"/>
      <c r="E548" s="1141"/>
      <c r="F548" s="1141"/>
      <c r="G548" s="1141"/>
      <c r="H548" s="1141"/>
    </row>
    <row r="549" spans="2:8" ht="15" customHeight="1">
      <c r="B549" s="1140" t="s">
        <v>674</v>
      </c>
      <c r="C549" s="1140"/>
      <c r="D549" s="1140"/>
      <c r="E549" s="1140"/>
      <c r="F549" s="1140"/>
      <c r="G549" s="1140"/>
      <c r="H549" s="1140"/>
    </row>
    <row r="550" spans="2:8" ht="40.5" customHeight="1">
      <c r="B550" s="1140" t="s">
        <v>852</v>
      </c>
      <c r="C550" s="1140"/>
      <c r="D550" s="1140"/>
      <c r="E550" s="1140"/>
      <c r="F550" s="1140"/>
      <c r="G550" s="1140"/>
      <c r="H550" s="1140"/>
    </row>
    <row r="551" spans="2:8" ht="30.75" customHeight="1">
      <c r="B551" s="1140" t="s">
        <v>853</v>
      </c>
      <c r="C551" s="1140"/>
      <c r="D551" s="1140"/>
      <c r="E551" s="1140"/>
      <c r="F551" s="1140"/>
      <c r="G551" s="1140"/>
      <c r="H551" s="1140"/>
    </row>
    <row r="552" spans="2:8" ht="80.25" customHeight="1">
      <c r="B552" s="1140" t="s">
        <v>854</v>
      </c>
      <c r="C552" s="1140"/>
      <c r="D552" s="1140"/>
      <c r="E552" s="1140"/>
      <c r="F552" s="1140"/>
      <c r="G552" s="1140"/>
      <c r="H552" s="1140"/>
    </row>
    <row r="553" spans="2:8" ht="43.5" customHeight="1">
      <c r="B553" s="1140" t="s">
        <v>855</v>
      </c>
      <c r="C553" s="1140"/>
      <c r="D553" s="1140"/>
      <c r="E553" s="1140"/>
      <c r="F553" s="1140"/>
      <c r="G553" s="1140"/>
      <c r="H553" s="1140"/>
    </row>
    <row r="554" spans="2:8" ht="15" customHeight="1">
      <c r="B554" s="1140" t="s">
        <v>628</v>
      </c>
      <c r="C554" s="1140"/>
      <c r="D554" s="1140"/>
      <c r="E554" s="1140"/>
      <c r="F554" s="1140"/>
      <c r="G554" s="1140"/>
      <c r="H554" s="1140"/>
    </row>
    <row r="555" spans="2:8" ht="123" customHeight="1">
      <c r="B555" s="1140" t="s">
        <v>856</v>
      </c>
      <c r="C555" s="1140"/>
      <c r="D555" s="1140"/>
      <c r="E555" s="1140"/>
      <c r="F555" s="1140"/>
      <c r="G555" s="1140"/>
      <c r="H555" s="1140"/>
    </row>
    <row r="556" spans="2:8" ht="39" customHeight="1">
      <c r="B556" s="1140" t="s">
        <v>857</v>
      </c>
      <c r="C556" s="1140"/>
      <c r="D556" s="1140"/>
      <c r="E556" s="1140"/>
      <c r="F556" s="1140"/>
      <c r="G556" s="1140"/>
      <c r="H556" s="1140"/>
    </row>
    <row r="557" spans="2:8" ht="54.75" customHeight="1">
      <c r="B557" s="1140" t="s">
        <v>858</v>
      </c>
      <c r="C557" s="1140"/>
      <c r="D557" s="1140"/>
      <c r="E557" s="1140"/>
      <c r="F557" s="1140"/>
      <c r="G557" s="1140"/>
      <c r="H557" s="1140"/>
    </row>
    <row r="558" spans="2:8" ht="131.25" customHeight="1">
      <c r="B558" s="1140" t="s">
        <v>859</v>
      </c>
      <c r="C558" s="1140"/>
      <c r="D558" s="1140"/>
      <c r="E558" s="1140"/>
      <c r="F558" s="1140"/>
      <c r="G558" s="1140"/>
      <c r="H558" s="1140"/>
    </row>
    <row r="559" spans="2:8">
      <c r="B559" s="1140"/>
      <c r="C559" s="1140"/>
      <c r="D559" s="1140"/>
      <c r="E559" s="1140"/>
      <c r="F559" s="1140"/>
      <c r="G559" s="1140"/>
      <c r="H559" s="1140"/>
    </row>
    <row r="560" spans="2:8" ht="30.75" customHeight="1">
      <c r="B560" s="1140" t="s">
        <v>860</v>
      </c>
      <c r="C560" s="1140"/>
      <c r="D560" s="1140"/>
      <c r="E560" s="1140"/>
      <c r="F560" s="1140"/>
      <c r="G560" s="1140"/>
      <c r="H560" s="1140"/>
    </row>
    <row r="561" spans="2:8" ht="117.75" customHeight="1">
      <c r="B561" s="1140" t="s">
        <v>1003</v>
      </c>
      <c r="C561" s="1140"/>
      <c r="D561" s="1140"/>
      <c r="E561" s="1140"/>
      <c r="F561" s="1140"/>
      <c r="G561" s="1140"/>
      <c r="H561" s="1140"/>
    </row>
    <row r="562" spans="2:8" ht="71.25" customHeight="1">
      <c r="B562" s="1140" t="s">
        <v>861</v>
      </c>
      <c r="C562" s="1140"/>
      <c r="D562" s="1140"/>
      <c r="E562" s="1140"/>
      <c r="F562" s="1140"/>
      <c r="G562" s="1140"/>
      <c r="H562" s="1140"/>
    </row>
    <row r="563" spans="2:8">
      <c r="B563" s="1140"/>
      <c r="C563" s="1140"/>
      <c r="D563" s="1140"/>
      <c r="E563" s="1140"/>
      <c r="F563" s="1140"/>
      <c r="G563" s="1140"/>
      <c r="H563" s="1140"/>
    </row>
    <row r="564" spans="2:8" ht="15" customHeight="1">
      <c r="B564" s="1141" t="s">
        <v>934</v>
      </c>
      <c r="C564" s="1141"/>
      <c r="D564" s="1141"/>
      <c r="E564" s="1141"/>
      <c r="F564" s="1141"/>
      <c r="G564" s="1141"/>
      <c r="H564" s="1141"/>
    </row>
    <row r="565" spans="2:8" ht="15" customHeight="1">
      <c r="B565" s="1140" t="s">
        <v>674</v>
      </c>
      <c r="C565" s="1140"/>
      <c r="D565" s="1140"/>
      <c r="E565" s="1140"/>
      <c r="F565" s="1140"/>
      <c r="G565" s="1140"/>
      <c r="H565" s="1140"/>
    </row>
    <row r="566" spans="2:8" ht="41.25" customHeight="1">
      <c r="B566" s="1140" t="s">
        <v>966</v>
      </c>
      <c r="C566" s="1140"/>
      <c r="D566" s="1140"/>
      <c r="E566" s="1140"/>
      <c r="F566" s="1140"/>
      <c r="G566" s="1140"/>
      <c r="H566" s="1140"/>
    </row>
    <row r="567" spans="2:8" ht="58.5" customHeight="1">
      <c r="B567" s="1140" t="s">
        <v>967</v>
      </c>
      <c r="C567" s="1140"/>
      <c r="D567" s="1140"/>
      <c r="E567" s="1140"/>
      <c r="F567" s="1140"/>
      <c r="G567" s="1140"/>
      <c r="H567" s="1140"/>
    </row>
    <row r="568" spans="2:8" ht="39.75" customHeight="1">
      <c r="B568" s="1140" t="s">
        <v>968</v>
      </c>
      <c r="C568" s="1140"/>
      <c r="D568" s="1140"/>
      <c r="E568" s="1140"/>
      <c r="F568" s="1140"/>
      <c r="G568" s="1140"/>
      <c r="H568" s="1140"/>
    </row>
    <row r="569" spans="2:8" ht="71.25" customHeight="1">
      <c r="B569" s="1140" t="s">
        <v>969</v>
      </c>
      <c r="C569" s="1140"/>
      <c r="D569" s="1140"/>
      <c r="E569" s="1140"/>
      <c r="F569" s="1140"/>
      <c r="G569" s="1140"/>
      <c r="H569" s="1140"/>
    </row>
    <row r="570" spans="2:8" ht="135" customHeight="1">
      <c r="B570" s="1140" t="s">
        <v>1002</v>
      </c>
      <c r="C570" s="1140"/>
      <c r="D570" s="1140"/>
      <c r="E570" s="1140"/>
      <c r="F570" s="1140"/>
      <c r="G570" s="1140"/>
      <c r="H570" s="1140"/>
    </row>
    <row r="571" spans="2:8" ht="106.5" customHeight="1">
      <c r="B571" s="1140" t="s">
        <v>1035</v>
      </c>
      <c r="C571" s="1140"/>
      <c r="D571" s="1140"/>
      <c r="E571" s="1140"/>
      <c r="F571" s="1140"/>
      <c r="G571" s="1140"/>
      <c r="H571" s="1140"/>
    </row>
    <row r="572" spans="2:8" ht="96.75" customHeight="1">
      <c r="B572" s="1140" t="s">
        <v>970</v>
      </c>
      <c r="C572" s="1140"/>
      <c r="D572" s="1140"/>
      <c r="E572" s="1140"/>
      <c r="F572" s="1140"/>
      <c r="G572" s="1140"/>
      <c r="H572" s="1140"/>
    </row>
    <row r="573" spans="2:8" ht="117.75" customHeight="1">
      <c r="B573" s="1140" t="s">
        <v>971</v>
      </c>
      <c r="C573" s="1140"/>
      <c r="D573" s="1140"/>
      <c r="E573" s="1140"/>
      <c r="F573" s="1140"/>
      <c r="G573" s="1140"/>
      <c r="H573" s="1140"/>
    </row>
    <row r="574" spans="2:8" ht="41.25" customHeight="1">
      <c r="B574" s="1140"/>
      <c r="C574" s="1140"/>
      <c r="D574" s="1140"/>
      <c r="E574" s="1140"/>
      <c r="F574" s="1140"/>
      <c r="G574" s="1140"/>
      <c r="H574" s="1140"/>
    </row>
    <row r="575" spans="2:8" ht="41.25" customHeight="1">
      <c r="B575" s="1140"/>
      <c r="C575" s="1140"/>
      <c r="D575" s="1140"/>
      <c r="E575" s="1140"/>
      <c r="F575" s="1140"/>
      <c r="G575" s="1140"/>
      <c r="H575" s="1140"/>
    </row>
    <row r="576" spans="2:8" ht="41.25" customHeight="1">
      <c r="B576" s="1140"/>
      <c r="C576" s="1140"/>
      <c r="D576" s="1140"/>
      <c r="E576" s="1140"/>
      <c r="F576" s="1140"/>
      <c r="G576" s="1140"/>
      <c r="H576" s="1140"/>
    </row>
    <row r="577" spans="2:8" ht="41.25" customHeight="1">
      <c r="B577" s="1140"/>
      <c r="C577" s="1140"/>
      <c r="D577" s="1140"/>
      <c r="E577" s="1140"/>
      <c r="F577" s="1140"/>
      <c r="G577" s="1140"/>
      <c r="H577" s="1140"/>
    </row>
    <row r="578" spans="2:8" ht="41.25" customHeight="1">
      <c r="B578" s="1140"/>
      <c r="C578" s="1140"/>
      <c r="D578" s="1140"/>
      <c r="E578" s="1140"/>
      <c r="F578" s="1140"/>
      <c r="G578" s="1140"/>
      <c r="H578" s="1140"/>
    </row>
    <row r="579" spans="2:8" ht="41.25" customHeight="1">
      <c r="B579" s="1140"/>
      <c r="C579" s="1140"/>
      <c r="D579" s="1140"/>
      <c r="E579" s="1140"/>
      <c r="F579" s="1140"/>
      <c r="G579" s="1140"/>
      <c r="H579" s="1140"/>
    </row>
    <row r="580" spans="2:8" ht="41.25" customHeight="1">
      <c r="B580" s="1140"/>
      <c r="C580" s="1140"/>
      <c r="D580" s="1140"/>
      <c r="E580" s="1140"/>
      <c r="F580" s="1140"/>
      <c r="G580" s="1140"/>
      <c r="H580" s="1140"/>
    </row>
    <row r="581" spans="2:8" ht="41.25" customHeight="1">
      <c r="B581" s="1140"/>
      <c r="C581" s="1140"/>
      <c r="D581" s="1140"/>
      <c r="E581" s="1140"/>
      <c r="F581" s="1140"/>
      <c r="G581" s="1140"/>
      <c r="H581" s="1140"/>
    </row>
    <row r="582" spans="2:8" ht="41.25" customHeight="1">
      <c r="B582" s="1140"/>
      <c r="C582" s="1140"/>
      <c r="D582" s="1140"/>
      <c r="E582" s="1140"/>
      <c r="F582" s="1140"/>
      <c r="G582" s="1140"/>
      <c r="H582" s="1140"/>
    </row>
  </sheetData>
  <mergeCells count="484">
    <mergeCell ref="D33:H33"/>
    <mergeCell ref="B99:H99"/>
    <mergeCell ref="B100:H100"/>
    <mergeCell ref="B101:H101"/>
    <mergeCell ref="B102:H102"/>
    <mergeCell ref="B103:H103"/>
    <mergeCell ref="B113:H113"/>
    <mergeCell ref="B114:H114"/>
    <mergeCell ref="B115:H115"/>
    <mergeCell ref="B104:H104"/>
    <mergeCell ref="B105:H105"/>
    <mergeCell ref="B106:H106"/>
    <mergeCell ref="B107:H107"/>
    <mergeCell ref="B108:H108"/>
    <mergeCell ref="B109:H109"/>
    <mergeCell ref="B110:H110"/>
    <mergeCell ref="B111:H111"/>
    <mergeCell ref="B112:H112"/>
    <mergeCell ref="B116:H116"/>
    <mergeCell ref="B117:H117"/>
    <mergeCell ref="B118:H118"/>
    <mergeCell ref="B119:H119"/>
    <mergeCell ref="B120:H120"/>
    <mergeCell ref="B121:H121"/>
    <mergeCell ref="B122:H122"/>
    <mergeCell ref="B123:H123"/>
    <mergeCell ref="B124:H124"/>
    <mergeCell ref="B125:H125"/>
    <mergeCell ref="B126:H126"/>
    <mergeCell ref="B127:H127"/>
    <mergeCell ref="B128:H128"/>
    <mergeCell ref="B129:H129"/>
    <mergeCell ref="B130:H130"/>
    <mergeCell ref="B131:H131"/>
    <mergeCell ref="B132:H132"/>
    <mergeCell ref="B133:H133"/>
    <mergeCell ref="B134:H134"/>
    <mergeCell ref="B135:H135"/>
    <mergeCell ref="B136:H136"/>
    <mergeCell ref="B137:H137"/>
    <mergeCell ref="B138:H138"/>
    <mergeCell ref="B139:H139"/>
    <mergeCell ref="B140:H140"/>
    <mergeCell ref="B141:H141"/>
    <mergeCell ref="B142:H142"/>
    <mergeCell ref="B143:H143"/>
    <mergeCell ref="B144:H144"/>
    <mergeCell ref="B145:H145"/>
    <mergeCell ref="B146:H146"/>
    <mergeCell ref="B147:H147"/>
    <mergeCell ref="B148:H148"/>
    <mergeCell ref="B149:H149"/>
    <mergeCell ref="B150:H150"/>
    <mergeCell ref="B151:H151"/>
    <mergeCell ref="B152:H152"/>
    <mergeCell ref="B153:H153"/>
    <mergeCell ref="B154:H154"/>
    <mergeCell ref="B155:H155"/>
    <mergeCell ref="B156:H156"/>
    <mergeCell ref="B157:H157"/>
    <mergeCell ref="B162:H162"/>
    <mergeCell ref="B163:H163"/>
    <mergeCell ref="B164:H164"/>
    <mergeCell ref="B158:H158"/>
    <mergeCell ref="B159:H159"/>
    <mergeCell ref="B160:H160"/>
    <mergeCell ref="B161:H161"/>
    <mergeCell ref="B165:H165"/>
    <mergeCell ref="B166:H166"/>
    <mergeCell ref="B167:H167"/>
    <mergeCell ref="B168:H168"/>
    <mergeCell ref="B169:H169"/>
    <mergeCell ref="B170:H170"/>
    <mergeCell ref="B171:H171"/>
    <mergeCell ref="B172:H172"/>
    <mergeCell ref="B173:H173"/>
    <mergeCell ref="B183:H183"/>
    <mergeCell ref="B184:H184"/>
    <mergeCell ref="B185:H185"/>
    <mergeCell ref="B186:H186"/>
    <mergeCell ref="B187:H187"/>
    <mergeCell ref="B188:H188"/>
    <mergeCell ref="B195:H195"/>
    <mergeCell ref="B196:H196"/>
    <mergeCell ref="B174:H174"/>
    <mergeCell ref="B175:H175"/>
    <mergeCell ref="B176:H176"/>
    <mergeCell ref="B177:H177"/>
    <mergeCell ref="B178:H178"/>
    <mergeCell ref="B179:H179"/>
    <mergeCell ref="B180:H180"/>
    <mergeCell ref="B181:H181"/>
    <mergeCell ref="B182:H182"/>
    <mergeCell ref="B197:H197"/>
    <mergeCell ref="B198:H198"/>
    <mergeCell ref="B199:H199"/>
    <mergeCell ref="B189:H189"/>
    <mergeCell ref="B190:H190"/>
    <mergeCell ref="B191:H191"/>
    <mergeCell ref="B192:H192"/>
    <mergeCell ref="B193:H193"/>
    <mergeCell ref="B200:H200"/>
    <mergeCell ref="B194:H194"/>
    <mergeCell ref="B201:H201"/>
    <mergeCell ref="B202:H202"/>
    <mergeCell ref="B203:H203"/>
    <mergeCell ref="B204:H204"/>
    <mergeCell ref="B205:H205"/>
    <mergeCell ref="B206:H206"/>
    <mergeCell ref="B207:H207"/>
    <mergeCell ref="B208:H208"/>
    <mergeCell ref="B209:H209"/>
    <mergeCell ref="B210:H210"/>
    <mergeCell ref="B211:H211"/>
    <mergeCell ref="B212:H212"/>
    <mergeCell ref="B213:H213"/>
    <mergeCell ref="B214:H214"/>
    <mergeCell ref="B215:H215"/>
    <mergeCell ref="B216:H216"/>
    <mergeCell ref="B217:H217"/>
    <mergeCell ref="B218:H218"/>
    <mergeCell ref="B219:H219"/>
    <mergeCell ref="B220:H220"/>
    <mergeCell ref="B221:H221"/>
    <mergeCell ref="B222:H222"/>
    <mergeCell ref="B223:H223"/>
    <mergeCell ref="B224:H224"/>
    <mergeCell ref="B225:H225"/>
    <mergeCell ref="B226:H226"/>
    <mergeCell ref="B227:H227"/>
    <mergeCell ref="B228:H228"/>
    <mergeCell ref="B229:H229"/>
    <mergeCell ref="B230:H230"/>
    <mergeCell ref="B231:H231"/>
    <mergeCell ref="B232:H232"/>
    <mergeCell ref="B233:H233"/>
    <mergeCell ref="B234:H234"/>
    <mergeCell ref="B235:H235"/>
    <mergeCell ref="B236:H236"/>
    <mergeCell ref="B237:H237"/>
    <mergeCell ref="B238:H238"/>
    <mergeCell ref="B239:H239"/>
    <mergeCell ref="B240:H240"/>
    <mergeCell ref="B241:H241"/>
    <mergeCell ref="B242:H242"/>
    <mergeCell ref="B243:H243"/>
    <mergeCell ref="B244:H244"/>
    <mergeCell ref="B245:H245"/>
    <mergeCell ref="B246:H246"/>
    <mergeCell ref="B247:H247"/>
    <mergeCell ref="B248:H248"/>
    <mergeCell ref="B249:H249"/>
    <mergeCell ref="B250:H250"/>
    <mergeCell ref="B251:H251"/>
    <mergeCell ref="B252:H252"/>
    <mergeCell ref="B253:H253"/>
    <mergeCell ref="B254:H254"/>
    <mergeCell ref="B255:H255"/>
    <mergeCell ref="B256:H256"/>
    <mergeCell ref="B257:H257"/>
    <mergeCell ref="B258:H258"/>
    <mergeCell ref="B259:H259"/>
    <mergeCell ref="B260:H260"/>
    <mergeCell ref="B261:H261"/>
    <mergeCell ref="B262:H262"/>
    <mergeCell ref="B263:H263"/>
    <mergeCell ref="B264:H264"/>
    <mergeCell ref="B265:H265"/>
    <mergeCell ref="B266:H266"/>
    <mergeCell ref="B267:H267"/>
    <mergeCell ref="B268:H268"/>
    <mergeCell ref="B269:H269"/>
    <mergeCell ref="B270:H270"/>
    <mergeCell ref="B271:H271"/>
    <mergeCell ref="B272:H272"/>
    <mergeCell ref="B273:H273"/>
    <mergeCell ref="B274:H274"/>
    <mergeCell ref="B275:H275"/>
    <mergeCell ref="B276:H276"/>
    <mergeCell ref="B277:H277"/>
    <mergeCell ref="B278:H278"/>
    <mergeCell ref="B279:H279"/>
    <mergeCell ref="B280:H280"/>
    <mergeCell ref="B281:H281"/>
    <mergeCell ref="B282:H282"/>
    <mergeCell ref="B283:H283"/>
    <mergeCell ref="B284:H284"/>
    <mergeCell ref="B285:H285"/>
    <mergeCell ref="B286:H286"/>
    <mergeCell ref="B287:H287"/>
    <mergeCell ref="B288:H288"/>
    <mergeCell ref="B289:H289"/>
    <mergeCell ref="B290:H290"/>
    <mergeCell ref="B291:H291"/>
    <mergeCell ref="B292:H292"/>
    <mergeCell ref="B293:H293"/>
    <mergeCell ref="B294:H294"/>
    <mergeCell ref="B295:H295"/>
    <mergeCell ref="B296:H296"/>
    <mergeCell ref="B297:H297"/>
    <mergeCell ref="B298:H298"/>
    <mergeCell ref="B299:H299"/>
    <mergeCell ref="B300:H300"/>
    <mergeCell ref="B301:H301"/>
    <mergeCell ref="B302:H302"/>
    <mergeCell ref="B303:H303"/>
    <mergeCell ref="B304:H304"/>
    <mergeCell ref="B305:H305"/>
    <mergeCell ref="B306:H306"/>
    <mergeCell ref="B307:H307"/>
    <mergeCell ref="B308:H308"/>
    <mergeCell ref="B309:H309"/>
    <mergeCell ref="B310:H310"/>
    <mergeCell ref="B311:H311"/>
    <mergeCell ref="B312:H312"/>
    <mergeCell ref="B313:H313"/>
    <mergeCell ref="B314:H314"/>
    <mergeCell ref="B315:H315"/>
    <mergeCell ref="B316:H316"/>
    <mergeCell ref="B317:H317"/>
    <mergeCell ref="B318:H318"/>
    <mergeCell ref="B319:H319"/>
    <mergeCell ref="B320:G320"/>
    <mergeCell ref="B321:H321"/>
    <mergeCell ref="B322:H322"/>
    <mergeCell ref="B323:H323"/>
    <mergeCell ref="B324:H324"/>
    <mergeCell ref="B325:H325"/>
    <mergeCell ref="B326:H326"/>
    <mergeCell ref="B327:H327"/>
    <mergeCell ref="B328:H328"/>
    <mergeCell ref="B329:H329"/>
    <mergeCell ref="B330:H330"/>
    <mergeCell ref="B331:H331"/>
    <mergeCell ref="B332:H332"/>
    <mergeCell ref="B333:H333"/>
    <mergeCell ref="B334:H334"/>
    <mergeCell ref="B335:H335"/>
    <mergeCell ref="B336:H336"/>
    <mergeCell ref="B337:H337"/>
    <mergeCell ref="B338:H338"/>
    <mergeCell ref="B339:H339"/>
    <mergeCell ref="B340:H340"/>
    <mergeCell ref="B341:H341"/>
    <mergeCell ref="B342:H342"/>
    <mergeCell ref="B343:H343"/>
    <mergeCell ref="B344:H344"/>
    <mergeCell ref="B345:H345"/>
    <mergeCell ref="B346:H346"/>
    <mergeCell ref="B347:H347"/>
    <mergeCell ref="B348:H348"/>
    <mergeCell ref="B349:H349"/>
    <mergeCell ref="B353:H353"/>
    <mergeCell ref="B354:H354"/>
    <mergeCell ref="B355:H355"/>
    <mergeCell ref="B356:H356"/>
    <mergeCell ref="B350:H350"/>
    <mergeCell ref="B351:H351"/>
    <mergeCell ref="B352:H352"/>
    <mergeCell ref="B357:H357"/>
    <mergeCell ref="B358:H358"/>
    <mergeCell ref="B359:H359"/>
    <mergeCell ref="B360:H360"/>
    <mergeCell ref="B361:H361"/>
    <mergeCell ref="B362:H362"/>
    <mergeCell ref="B363:H363"/>
    <mergeCell ref="B364:H364"/>
    <mergeCell ref="B365:H365"/>
    <mergeCell ref="B366:H366"/>
    <mergeCell ref="B367:H367"/>
    <mergeCell ref="B368:H368"/>
    <mergeCell ref="B369:H369"/>
    <mergeCell ref="B370:H370"/>
    <mergeCell ref="B371:H371"/>
    <mergeCell ref="B372:H372"/>
    <mergeCell ref="B373:H373"/>
    <mergeCell ref="B374:H374"/>
    <mergeCell ref="B378:H378"/>
    <mergeCell ref="B379:H379"/>
    <mergeCell ref="B380:H380"/>
    <mergeCell ref="B375:H375"/>
    <mergeCell ref="B376:H376"/>
    <mergeCell ref="B377:H377"/>
    <mergeCell ref="B381:H381"/>
    <mergeCell ref="B382:H382"/>
    <mergeCell ref="B383:H383"/>
    <mergeCell ref="B384:H384"/>
    <mergeCell ref="B385:H385"/>
    <mergeCell ref="B386:H386"/>
    <mergeCell ref="B387:H387"/>
    <mergeCell ref="B388:H388"/>
    <mergeCell ref="B389:H389"/>
    <mergeCell ref="B390:H390"/>
    <mergeCell ref="B391:H391"/>
    <mergeCell ref="B392:H392"/>
    <mergeCell ref="B393:H393"/>
    <mergeCell ref="B394:H394"/>
    <mergeCell ref="B395:H395"/>
    <mergeCell ref="B396:H396"/>
    <mergeCell ref="B397:H397"/>
    <mergeCell ref="B398:H398"/>
    <mergeCell ref="B399:H399"/>
    <mergeCell ref="B400:H400"/>
    <mergeCell ref="B401:H401"/>
    <mergeCell ref="B420:H420"/>
    <mergeCell ref="B421:H421"/>
    <mergeCell ref="B422:H422"/>
    <mergeCell ref="B423:H423"/>
    <mergeCell ref="B424:H424"/>
    <mergeCell ref="B402:H402"/>
    <mergeCell ref="B403:H403"/>
    <mergeCell ref="B404:H404"/>
    <mergeCell ref="B405:H405"/>
    <mergeCell ref="B406:H406"/>
    <mergeCell ref="B407:H407"/>
    <mergeCell ref="B408:H408"/>
    <mergeCell ref="B409:H409"/>
    <mergeCell ref="B410:H410"/>
    <mergeCell ref="B411:H411"/>
    <mergeCell ref="B412:H412"/>
    <mergeCell ref="B413:H413"/>
    <mergeCell ref="B414:H414"/>
    <mergeCell ref="B415:H415"/>
    <mergeCell ref="B416:H416"/>
    <mergeCell ref="B417:H417"/>
    <mergeCell ref="B418:H418"/>
    <mergeCell ref="B419:H419"/>
    <mergeCell ref="B432:H432"/>
    <mergeCell ref="B433:H433"/>
    <mergeCell ref="B434:H434"/>
    <mergeCell ref="B435:H435"/>
    <mergeCell ref="B425:H425"/>
    <mergeCell ref="B426:H426"/>
    <mergeCell ref="B427:H427"/>
    <mergeCell ref="B428:H428"/>
    <mergeCell ref="B436:H436"/>
    <mergeCell ref="B429:H429"/>
    <mergeCell ref="B430:H430"/>
    <mergeCell ref="B431:H431"/>
    <mergeCell ref="B437:H437"/>
    <mergeCell ref="B438:H438"/>
    <mergeCell ref="B439:H439"/>
    <mergeCell ref="B440:H440"/>
    <mergeCell ref="B441:H441"/>
    <mergeCell ref="B442:H442"/>
    <mergeCell ref="B443:H443"/>
    <mergeCell ref="B444:H444"/>
    <mergeCell ref="B445:H445"/>
    <mergeCell ref="B446:H446"/>
    <mergeCell ref="B447:H447"/>
    <mergeCell ref="B448:H448"/>
    <mergeCell ref="B449:H449"/>
    <mergeCell ref="B450:H450"/>
    <mergeCell ref="B451:H451"/>
    <mergeCell ref="B452:H452"/>
    <mergeCell ref="B453:H453"/>
    <mergeCell ref="B481:H481"/>
    <mergeCell ref="B454:H454"/>
    <mergeCell ref="B455:H455"/>
    <mergeCell ref="B456:H456"/>
    <mergeCell ref="B457:H457"/>
    <mergeCell ref="B458:H458"/>
    <mergeCell ref="B459:H459"/>
    <mergeCell ref="B465:H465"/>
    <mergeCell ref="B466:H466"/>
    <mergeCell ref="B467:H467"/>
    <mergeCell ref="B468:H468"/>
    <mergeCell ref="B469:H469"/>
    <mergeCell ref="B470:H470"/>
    <mergeCell ref="B471:H471"/>
    <mergeCell ref="B472:H472"/>
    <mergeCell ref="B473:H473"/>
    <mergeCell ref="B482:H482"/>
    <mergeCell ref="B483:H483"/>
    <mergeCell ref="B484:H484"/>
    <mergeCell ref="B485:H485"/>
    <mergeCell ref="B486:H486"/>
    <mergeCell ref="B460:H460"/>
    <mergeCell ref="B461:H461"/>
    <mergeCell ref="B462:H462"/>
    <mergeCell ref="B463:H463"/>
    <mergeCell ref="B480:H480"/>
    <mergeCell ref="B474:H474"/>
    <mergeCell ref="B475:H475"/>
    <mergeCell ref="B476:H476"/>
    <mergeCell ref="B477:H477"/>
    <mergeCell ref="B478:H478"/>
    <mergeCell ref="B479:H479"/>
    <mergeCell ref="B487:H487"/>
    <mergeCell ref="B488:H488"/>
    <mergeCell ref="B489:H489"/>
    <mergeCell ref="B490:H490"/>
    <mergeCell ref="B491:H491"/>
    <mergeCell ref="B492:H492"/>
    <mergeCell ref="B493:H493"/>
    <mergeCell ref="B494:H494"/>
    <mergeCell ref="B495:H495"/>
    <mergeCell ref="B496:H496"/>
    <mergeCell ref="B497:H497"/>
    <mergeCell ref="B498:H498"/>
    <mergeCell ref="B499:H499"/>
    <mergeCell ref="B500:H500"/>
    <mergeCell ref="B501:H501"/>
    <mergeCell ref="B502:H502"/>
    <mergeCell ref="B503:H503"/>
    <mergeCell ref="B504:H504"/>
    <mergeCell ref="B505:H505"/>
    <mergeCell ref="B506:H506"/>
    <mergeCell ref="B507:H507"/>
    <mergeCell ref="B508:H508"/>
    <mergeCell ref="B509:H509"/>
    <mergeCell ref="B510:H510"/>
    <mergeCell ref="B511:H511"/>
    <mergeCell ref="B512:H512"/>
    <mergeCell ref="B513:H513"/>
    <mergeCell ref="B514:H514"/>
    <mergeCell ref="B515:H515"/>
    <mergeCell ref="B516:H516"/>
    <mergeCell ref="B517:H517"/>
    <mergeCell ref="B518:H518"/>
    <mergeCell ref="B529:H529"/>
    <mergeCell ref="B530:H530"/>
    <mergeCell ref="B531:H531"/>
    <mergeCell ref="B532:H532"/>
    <mergeCell ref="B519:H519"/>
    <mergeCell ref="B520:H520"/>
    <mergeCell ref="B527:H527"/>
    <mergeCell ref="B528:H528"/>
    <mergeCell ref="B548:H548"/>
    <mergeCell ref="B549:H549"/>
    <mergeCell ref="B550:H550"/>
    <mergeCell ref="B521:H521"/>
    <mergeCell ref="B522:H522"/>
    <mergeCell ref="B523:H523"/>
    <mergeCell ref="B524:H524"/>
    <mergeCell ref="B525:H525"/>
    <mergeCell ref="B526:H526"/>
    <mergeCell ref="B545:H545"/>
    <mergeCell ref="B533:H533"/>
    <mergeCell ref="B534:H534"/>
    <mergeCell ref="B535:H535"/>
    <mergeCell ref="B536:H536"/>
    <mergeCell ref="B537:H537"/>
    <mergeCell ref="B538:H538"/>
    <mergeCell ref="B546:H546"/>
    <mergeCell ref="B547:H547"/>
    <mergeCell ref="B539:H539"/>
    <mergeCell ref="B540:H540"/>
    <mergeCell ref="B541:H541"/>
    <mergeCell ref="B542:H542"/>
    <mergeCell ref="B543:H543"/>
    <mergeCell ref="B544:H544"/>
    <mergeCell ref="B551:H551"/>
    <mergeCell ref="B552:H552"/>
    <mergeCell ref="B553:H553"/>
    <mergeCell ref="B554:H554"/>
    <mergeCell ref="B555:H555"/>
    <mergeCell ref="B556:H556"/>
    <mergeCell ref="B562:H562"/>
    <mergeCell ref="B566:H566"/>
    <mergeCell ref="B557:H557"/>
    <mergeCell ref="B558:H558"/>
    <mergeCell ref="B559:H559"/>
    <mergeCell ref="B560:H560"/>
    <mergeCell ref="B561:H561"/>
    <mergeCell ref="B563:H563"/>
    <mergeCell ref="B564:H564"/>
    <mergeCell ref="B565:H565"/>
    <mergeCell ref="B582:H582"/>
    <mergeCell ref="B567:H567"/>
    <mergeCell ref="B568:H568"/>
    <mergeCell ref="B569:H569"/>
    <mergeCell ref="B570:H570"/>
    <mergeCell ref="B571:H571"/>
    <mergeCell ref="B572:H572"/>
    <mergeCell ref="B573:H573"/>
    <mergeCell ref="B574:H574"/>
    <mergeCell ref="B575:H575"/>
    <mergeCell ref="B576:H576"/>
    <mergeCell ref="B577:H577"/>
    <mergeCell ref="B578:H578"/>
    <mergeCell ref="B579:H579"/>
    <mergeCell ref="B580:H580"/>
    <mergeCell ref="B581:H581"/>
  </mergeCells>
  <pageMargins left="0.74803149606299213" right="0.55118110236220474" top="1.0236220472440944" bottom="0.78740157480314965" header="0.43307086614173229" footer="0.51181102362204722"/>
  <pageSetup paperSize="9" orientation="portrait" horizontalDpi="4294967292" verticalDpi="4294967292"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headerFooter>
  <rowBreaks count="13" manualBreakCount="13">
    <brk id="50" max="7" man="1"/>
    <brk id="97" max="7" man="1"/>
    <brk id="124" max="7" man="1"/>
    <brk id="136" max="7" man="1"/>
    <brk id="153" max="7" man="1"/>
    <brk id="289" max="7" man="1"/>
    <brk id="361" max="7" man="1"/>
    <brk id="383" max="7" man="1"/>
    <brk id="443" max="7" man="1"/>
    <brk id="464" max="7" man="1"/>
    <brk id="471" max="7" man="1"/>
    <brk id="474" max="7" man="1"/>
    <brk id="527" max="7" man="1"/>
  </rowBreaks>
  <ignoredErrors>
    <ignoredError xmlns:x16r3="http://schemas.microsoft.com/office/spreadsheetml/2018/08/main" sqref="H65" x16r3:misleadingForma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Q110"/>
  <sheetViews>
    <sheetView view="pageBreakPreview" topLeftCell="A24" zoomScaleNormal="100" zoomScaleSheetLayoutView="100" zoomScalePageLayoutView="80" workbookViewId="0">
      <selection activeCell="G17" sqref="G17"/>
    </sheetView>
  </sheetViews>
  <sheetFormatPr defaultColWidth="8.1796875" defaultRowHeight="13.2"/>
  <cols>
    <col min="1" max="1" width="3.6328125" style="131" customWidth="1"/>
    <col min="2" max="2" width="2.6328125" style="131" customWidth="1"/>
    <col min="3" max="3" width="2.08984375" style="16" customWidth="1"/>
    <col min="4" max="4" width="31.1796875" style="199" customWidth="1"/>
    <col min="5" max="5" width="4.54296875" style="15" customWidth="1"/>
    <col min="6" max="6" width="7.90625" style="180" customWidth="1"/>
    <col min="7" max="7" width="10.08984375" style="986" customWidth="1"/>
    <col min="8" max="8" width="11.453125" style="348" customWidth="1"/>
    <col min="9" max="10" width="8.1796875" style="16"/>
    <col min="11" max="11" width="9.08984375" style="16" bestFit="1" customWidth="1"/>
    <col min="12" max="12" width="8.1796875" style="16"/>
    <col min="13" max="17" width="8.1796875" style="349"/>
    <col min="18" max="16384" width="8.1796875" style="16"/>
  </cols>
  <sheetData>
    <row r="1" spans="1:17">
      <c r="D1" s="97"/>
    </row>
    <row r="2" spans="1:17" s="13" customFormat="1" ht="13.8" thickBot="1">
      <c r="A2" s="137" t="s">
        <v>102</v>
      </c>
      <c r="B2" s="137"/>
      <c r="C2" s="138"/>
      <c r="D2" s="148" t="s">
        <v>523</v>
      </c>
      <c r="E2" s="149"/>
      <c r="F2" s="159"/>
      <c r="G2" s="987"/>
      <c r="H2" s="160"/>
      <c r="J2" s="16"/>
      <c r="M2" s="349"/>
      <c r="N2" s="349"/>
      <c r="O2" s="349"/>
      <c r="P2" s="349"/>
      <c r="Q2" s="349"/>
    </row>
    <row r="3" spans="1:17" s="13" customFormat="1">
      <c r="A3" s="47"/>
      <c r="B3" s="47"/>
      <c r="C3" s="301"/>
      <c r="D3" s="97"/>
      <c r="E3" s="302"/>
      <c r="F3" s="303"/>
      <c r="G3" s="988"/>
      <c r="H3" s="350"/>
      <c r="J3" s="16"/>
      <c r="M3" s="349"/>
      <c r="N3" s="349"/>
      <c r="O3" s="349"/>
      <c r="P3" s="349"/>
      <c r="Q3" s="349"/>
    </row>
    <row r="4" spans="1:17" s="13" customFormat="1">
      <c r="A4" s="47"/>
      <c r="B4" s="47"/>
      <c r="C4" s="301"/>
      <c r="D4" s="97" t="s">
        <v>314</v>
      </c>
      <c r="E4" s="302"/>
      <c r="F4" s="303"/>
      <c r="G4" s="988"/>
      <c r="H4" s="350"/>
      <c r="J4" s="16"/>
      <c r="M4" s="349"/>
      <c r="N4" s="349"/>
      <c r="O4" s="349"/>
      <c r="P4" s="349"/>
      <c r="Q4" s="349"/>
    </row>
    <row r="5" spans="1:17" s="13" customFormat="1" ht="52.8">
      <c r="A5" s="47"/>
      <c r="B5" s="47"/>
      <c r="C5" s="301"/>
      <c r="D5" s="97" t="s">
        <v>518</v>
      </c>
      <c r="E5" s="302"/>
      <c r="F5" s="303"/>
      <c r="G5" s="988"/>
      <c r="H5" s="350"/>
      <c r="J5" s="16"/>
      <c r="M5" s="349"/>
      <c r="N5" s="349"/>
      <c r="O5" s="349"/>
      <c r="P5" s="349"/>
      <c r="Q5" s="349"/>
    </row>
    <row r="6" spans="1:17" s="13" customFormat="1" ht="66">
      <c r="A6" s="25"/>
      <c r="B6" s="47"/>
      <c r="D6" s="97" t="s">
        <v>1057</v>
      </c>
      <c r="E6" s="15"/>
      <c r="F6" s="14"/>
      <c r="G6" s="986"/>
      <c r="H6" s="161"/>
      <c r="J6" s="16"/>
      <c r="M6" s="349"/>
      <c r="N6" s="349"/>
      <c r="O6" s="349"/>
      <c r="P6" s="349"/>
      <c r="Q6" s="349"/>
    </row>
    <row r="7" spans="1:17" s="13" customFormat="1">
      <c r="A7" s="25"/>
      <c r="B7" s="47"/>
      <c r="D7" s="97"/>
      <c r="E7" s="15"/>
      <c r="F7" s="14"/>
      <c r="G7" s="986"/>
      <c r="H7" s="161"/>
      <c r="J7" s="16"/>
      <c r="M7" s="349"/>
      <c r="N7" s="349"/>
      <c r="O7" s="349"/>
      <c r="P7" s="349"/>
      <c r="Q7" s="349"/>
    </row>
    <row r="8" spans="1:17" s="13" customFormat="1">
      <c r="A8" s="25" t="s">
        <v>507</v>
      </c>
      <c r="B8" s="25" t="s">
        <v>508</v>
      </c>
      <c r="D8" s="97" t="s">
        <v>504</v>
      </c>
      <c r="E8" s="15" t="s">
        <v>505</v>
      </c>
      <c r="F8" s="14" t="s">
        <v>506</v>
      </c>
      <c r="G8" s="989" t="s">
        <v>509</v>
      </c>
      <c r="H8" s="161" t="s">
        <v>510</v>
      </c>
      <c r="J8" s="16"/>
      <c r="M8" s="349"/>
      <c r="N8" s="349"/>
      <c r="O8" s="349"/>
      <c r="P8" s="349"/>
      <c r="Q8" s="349"/>
    </row>
    <row r="9" spans="1:17" s="13" customFormat="1">
      <c r="A9" s="25"/>
      <c r="B9" s="25"/>
      <c r="D9" s="97"/>
      <c r="E9" s="15"/>
      <c r="F9" s="14"/>
      <c r="G9" s="986"/>
      <c r="H9" s="161"/>
      <c r="J9" s="16"/>
      <c r="M9" s="349"/>
      <c r="N9" s="349"/>
      <c r="O9" s="349"/>
      <c r="P9" s="349"/>
      <c r="Q9" s="349"/>
    </row>
    <row r="10" spans="1:17" s="100" customFormat="1" ht="105.6">
      <c r="A10" s="82" t="s">
        <v>102</v>
      </c>
      <c r="B10" s="82" t="s">
        <v>102</v>
      </c>
      <c r="C10" s="13"/>
      <c r="D10" s="97" t="s">
        <v>1041</v>
      </c>
      <c r="E10" s="15"/>
      <c r="F10" s="98"/>
      <c r="G10" s="990"/>
      <c r="H10" s="99"/>
      <c r="I10" s="13"/>
      <c r="J10" s="16"/>
      <c r="M10" s="102"/>
      <c r="N10" s="102"/>
      <c r="O10" s="102"/>
      <c r="P10" s="102"/>
      <c r="Q10" s="102"/>
    </row>
    <row r="11" spans="1:17" s="101" customFormat="1">
      <c r="A11" s="25"/>
      <c r="B11" s="25"/>
      <c r="C11" s="13"/>
      <c r="D11" s="97"/>
      <c r="E11" s="15" t="s">
        <v>503</v>
      </c>
      <c r="F11" s="14">
        <v>2325</v>
      </c>
      <c r="G11" s="989">
        <v>1</v>
      </c>
      <c r="H11" s="26">
        <f>SUM(F11*G11)</f>
        <v>2325</v>
      </c>
      <c r="I11" s="13"/>
      <c r="J11" s="16"/>
      <c r="M11" s="102"/>
      <c r="N11" s="102"/>
      <c r="O11" s="102"/>
      <c r="P11" s="102"/>
      <c r="Q11" s="102"/>
    </row>
    <row r="12" spans="1:17" s="13" customFormat="1">
      <c r="A12" s="131"/>
      <c r="B12" s="131"/>
      <c r="C12" s="16"/>
      <c r="D12" s="97"/>
      <c r="E12" s="15"/>
      <c r="F12" s="14"/>
      <c r="G12" s="986"/>
      <c r="H12" s="348"/>
      <c r="I12" s="16"/>
      <c r="J12" s="16"/>
      <c r="M12" s="349"/>
      <c r="N12" s="349"/>
      <c r="O12" s="349"/>
      <c r="P12" s="349"/>
      <c r="Q12" s="349"/>
    </row>
    <row r="13" spans="1:17" s="46" customFormat="1" ht="173.4" customHeight="1">
      <c r="A13" s="82" t="s">
        <v>102</v>
      </c>
      <c r="B13" s="78" t="s">
        <v>311</v>
      </c>
      <c r="C13" s="113"/>
      <c r="D13" s="351" t="s">
        <v>933</v>
      </c>
      <c r="E13" s="110"/>
      <c r="G13" s="991"/>
      <c r="H13" s="14"/>
    </row>
    <row r="14" spans="1:17" s="13" customFormat="1" ht="145.19999999999999">
      <c r="A14" s="82"/>
      <c r="B14" s="78"/>
      <c r="D14" s="97" t="s">
        <v>936</v>
      </c>
      <c r="E14" s="15"/>
      <c r="F14" s="14"/>
      <c r="G14" s="986"/>
      <c r="H14" s="161"/>
      <c r="J14" s="16"/>
      <c r="M14" s="349"/>
      <c r="N14" s="349"/>
      <c r="O14" s="349"/>
      <c r="P14" s="349"/>
      <c r="Q14" s="349"/>
    </row>
    <row r="15" spans="1:17" s="13" customFormat="1" ht="39.6">
      <c r="A15" s="82"/>
      <c r="B15" s="78"/>
      <c r="D15" s="97" t="s">
        <v>935</v>
      </c>
      <c r="E15" s="15"/>
      <c r="F15" s="14"/>
      <c r="G15" s="986"/>
      <c r="H15" s="161"/>
      <c r="J15" s="16"/>
      <c r="M15" s="349"/>
      <c r="N15" s="349"/>
      <c r="O15" s="349"/>
      <c r="P15" s="349"/>
      <c r="Q15" s="349"/>
    </row>
    <row r="16" spans="1:17" s="46" customFormat="1">
      <c r="A16" s="115"/>
      <c r="B16" s="116"/>
      <c r="C16" s="79"/>
      <c r="D16" s="352"/>
      <c r="E16" s="15" t="s">
        <v>540</v>
      </c>
      <c r="F16" s="14">
        <v>1</v>
      </c>
      <c r="G16" s="989">
        <v>4000</v>
      </c>
      <c r="H16" s="26">
        <f>SUM(F16*G16)</f>
        <v>4000</v>
      </c>
    </row>
    <row r="17" spans="1:17" s="101" customFormat="1">
      <c r="A17" s="25"/>
      <c r="B17" s="25"/>
      <c r="C17" s="13"/>
      <c r="D17" s="97"/>
      <c r="E17" s="15"/>
      <c r="F17" s="98"/>
      <c r="G17" s="989"/>
      <c r="H17" s="99"/>
      <c r="I17" s="13"/>
      <c r="J17" s="16"/>
      <c r="M17" s="102"/>
      <c r="N17" s="102"/>
      <c r="O17" s="102"/>
      <c r="P17" s="102"/>
      <c r="Q17" s="102"/>
    </row>
    <row r="18" spans="1:17" s="100" customFormat="1" ht="66">
      <c r="A18" s="82" t="s">
        <v>102</v>
      </c>
      <c r="B18" s="82" t="s">
        <v>243</v>
      </c>
      <c r="C18" s="83"/>
      <c r="D18" s="97" t="s">
        <v>524</v>
      </c>
      <c r="E18" s="15"/>
      <c r="F18" s="98"/>
      <c r="G18" s="989"/>
      <c r="H18" s="99"/>
      <c r="J18" s="101"/>
      <c r="M18" s="102"/>
      <c r="N18" s="102"/>
      <c r="O18" s="102"/>
      <c r="P18" s="102"/>
      <c r="Q18" s="102"/>
    </row>
    <row r="19" spans="1:17" s="100" customFormat="1">
      <c r="A19" s="82"/>
      <c r="B19" s="82"/>
      <c r="C19" s="83"/>
      <c r="D19" s="97"/>
      <c r="E19" s="15" t="s">
        <v>391</v>
      </c>
      <c r="F19" s="14">
        <v>1</v>
      </c>
      <c r="G19" s="989">
        <v>500</v>
      </c>
      <c r="H19" s="26">
        <f>SUM(F19*G19)</f>
        <v>500</v>
      </c>
      <c r="J19" s="101"/>
      <c r="M19" s="102"/>
      <c r="N19" s="102"/>
      <c r="O19" s="102"/>
      <c r="P19" s="102"/>
      <c r="Q19" s="102"/>
    </row>
    <row r="20" spans="1:17" s="100" customFormat="1">
      <c r="A20" s="131"/>
      <c r="B20" s="131"/>
      <c r="C20" s="16"/>
      <c r="D20" s="97"/>
      <c r="E20" s="15"/>
      <c r="F20" s="14"/>
      <c r="G20" s="989"/>
      <c r="H20" s="348"/>
      <c r="I20" s="16"/>
      <c r="J20" s="16"/>
      <c r="M20" s="102"/>
      <c r="N20" s="102"/>
      <c r="O20" s="102"/>
      <c r="P20" s="102"/>
      <c r="Q20" s="102"/>
    </row>
    <row r="21" spans="1:17" s="100" customFormat="1" ht="79.2">
      <c r="A21" s="82" t="s">
        <v>102</v>
      </c>
      <c r="B21" s="82" t="s">
        <v>582</v>
      </c>
      <c r="C21" s="83"/>
      <c r="D21" s="97" t="s">
        <v>1090</v>
      </c>
      <c r="E21" s="15"/>
      <c r="F21" s="98"/>
      <c r="G21" s="989"/>
      <c r="H21" s="99"/>
      <c r="J21" s="101"/>
      <c r="M21" s="102"/>
      <c r="N21" s="102"/>
      <c r="O21" s="102"/>
      <c r="P21" s="102"/>
      <c r="Q21" s="102"/>
    </row>
    <row r="22" spans="1:17" s="100" customFormat="1">
      <c r="A22" s="82" t="s">
        <v>330</v>
      </c>
      <c r="B22" s="82" t="s">
        <v>330</v>
      </c>
      <c r="C22" s="83"/>
      <c r="D22" s="97"/>
      <c r="E22" s="15" t="s">
        <v>522</v>
      </c>
      <c r="F22" s="14">
        <v>290</v>
      </c>
      <c r="G22" s="989">
        <v>15</v>
      </c>
      <c r="H22" s="26">
        <f>SUM(F22*G22)</f>
        <v>4350</v>
      </c>
      <c r="J22" s="104"/>
      <c r="K22" s="167"/>
      <c r="M22" s="102"/>
      <c r="N22" s="105"/>
      <c r="O22" s="102"/>
      <c r="P22" s="105"/>
      <c r="Q22" s="102"/>
    </row>
    <row r="23" spans="1:17" s="100" customFormat="1">
      <c r="A23" s="82"/>
      <c r="B23" s="82"/>
      <c r="C23" s="83"/>
      <c r="D23" s="97"/>
      <c r="E23" s="15"/>
      <c r="F23" s="14"/>
      <c r="G23" s="989"/>
      <c r="H23" s="26"/>
      <c r="J23" s="104"/>
      <c r="M23" s="102"/>
      <c r="N23" s="105"/>
      <c r="O23" s="102"/>
      <c r="P23" s="105"/>
      <c r="Q23" s="102"/>
    </row>
    <row r="24" spans="1:17" s="100" customFormat="1" ht="158.4">
      <c r="A24" s="82" t="s">
        <v>102</v>
      </c>
      <c r="B24" s="82" t="s">
        <v>331</v>
      </c>
      <c r="C24" s="83"/>
      <c r="D24" s="97" t="s">
        <v>1091</v>
      </c>
      <c r="E24" s="15"/>
      <c r="F24" s="98"/>
      <c r="G24" s="989"/>
      <c r="H24" s="99"/>
      <c r="J24" s="101"/>
      <c r="M24" s="102"/>
      <c r="N24" s="105"/>
      <c r="O24" s="102"/>
      <c r="P24" s="102"/>
      <c r="Q24" s="102"/>
    </row>
    <row r="25" spans="1:17" s="100" customFormat="1" ht="26.4">
      <c r="A25" s="82"/>
      <c r="B25" s="82"/>
      <c r="C25" s="83"/>
      <c r="D25" s="97" t="s">
        <v>1086</v>
      </c>
      <c r="E25" s="15"/>
      <c r="F25" s="98"/>
      <c r="G25" s="989"/>
      <c r="H25" s="99"/>
      <c r="K25" s="106"/>
      <c r="M25" s="102"/>
      <c r="N25" s="105"/>
      <c r="O25" s="102"/>
      <c r="P25" s="102"/>
      <c r="Q25" s="102"/>
    </row>
    <row r="26" spans="1:17" s="100" customFormat="1">
      <c r="A26" s="82"/>
      <c r="B26" s="82"/>
      <c r="C26" s="83"/>
      <c r="D26" s="97"/>
      <c r="E26" s="15" t="s">
        <v>522</v>
      </c>
      <c r="F26" s="14">
        <v>161</v>
      </c>
      <c r="G26" s="989">
        <v>15</v>
      </c>
      <c r="H26" s="26">
        <f>SUM(F26*G26)</f>
        <v>2415</v>
      </c>
      <c r="J26" s="104"/>
      <c r="K26" s="167"/>
      <c r="M26" s="102"/>
      <c r="N26" s="105"/>
      <c r="O26" s="102"/>
      <c r="P26" s="105"/>
      <c r="Q26" s="102"/>
    </row>
    <row r="27" spans="1:17" s="112" customFormat="1">
      <c r="A27" s="107" t="s">
        <v>330</v>
      </c>
      <c r="B27" s="107" t="s">
        <v>330</v>
      </c>
      <c r="C27" s="108"/>
      <c r="D27" s="109"/>
      <c r="E27" s="110"/>
      <c r="F27" s="98"/>
      <c r="G27" s="989"/>
      <c r="H27" s="111"/>
      <c r="M27" s="102"/>
      <c r="N27" s="105"/>
      <c r="O27" s="102"/>
      <c r="P27" s="105"/>
      <c r="Q27" s="102"/>
    </row>
    <row r="28" spans="1:17" s="100" customFormat="1" ht="105.6">
      <c r="A28" s="82" t="s">
        <v>102</v>
      </c>
      <c r="B28" s="82" t="s">
        <v>469</v>
      </c>
      <c r="C28" s="83"/>
      <c r="D28" s="97" t="s">
        <v>1087</v>
      </c>
      <c r="E28" s="15"/>
      <c r="F28" s="98"/>
      <c r="G28" s="989"/>
      <c r="H28" s="99"/>
      <c r="J28" s="101"/>
      <c r="M28" s="102"/>
      <c r="N28" s="105"/>
      <c r="O28" s="102"/>
      <c r="P28" s="102"/>
      <c r="Q28" s="102"/>
    </row>
    <row r="29" spans="1:17" s="100" customFormat="1">
      <c r="A29" s="82"/>
      <c r="B29" s="82"/>
      <c r="C29" s="83"/>
      <c r="D29" s="97" t="s">
        <v>944</v>
      </c>
      <c r="E29" s="15"/>
      <c r="F29" s="98"/>
      <c r="G29" s="989"/>
      <c r="H29" s="99"/>
      <c r="J29" s="101"/>
      <c r="K29" s="13"/>
      <c r="M29" s="102"/>
      <c r="N29" s="105"/>
      <c r="O29" s="102"/>
      <c r="P29" s="102"/>
      <c r="Q29" s="102"/>
    </row>
    <row r="30" spans="1:17" s="100" customFormat="1">
      <c r="A30" s="82"/>
      <c r="B30" s="82"/>
      <c r="C30" s="83" t="s">
        <v>240</v>
      </c>
      <c r="D30" s="97" t="s">
        <v>1088</v>
      </c>
      <c r="E30" s="15" t="s">
        <v>522</v>
      </c>
      <c r="F30" s="14">
        <v>370</v>
      </c>
      <c r="G30" s="989">
        <v>15</v>
      </c>
      <c r="H30" s="26">
        <f>SUM(F30*G30)</f>
        <v>5550</v>
      </c>
      <c r="J30" s="101"/>
      <c r="K30" s="167"/>
      <c r="M30" s="102"/>
      <c r="N30" s="105"/>
      <c r="O30" s="102"/>
      <c r="P30" s="105"/>
      <c r="Q30" s="102"/>
    </row>
    <row r="31" spans="1:17" s="100" customFormat="1">
      <c r="A31" s="82"/>
      <c r="B31" s="82"/>
      <c r="C31" s="83" t="s">
        <v>240</v>
      </c>
      <c r="D31" s="97" t="s">
        <v>945</v>
      </c>
      <c r="E31" s="15" t="s">
        <v>522</v>
      </c>
      <c r="F31" s="14">
        <v>56.3</v>
      </c>
      <c r="G31" s="989">
        <v>15</v>
      </c>
      <c r="H31" s="26">
        <f>SUM(F31*G31)</f>
        <v>844.5</v>
      </c>
      <c r="J31" s="101"/>
      <c r="K31" s="167"/>
      <c r="M31" s="102"/>
      <c r="N31" s="105"/>
      <c r="O31" s="102"/>
      <c r="P31" s="105"/>
      <c r="Q31" s="102"/>
    </row>
    <row r="32" spans="1:17" s="100" customFormat="1">
      <c r="A32" s="82"/>
      <c r="B32" s="82"/>
      <c r="C32" s="83" t="s">
        <v>240</v>
      </c>
      <c r="D32" s="97" t="s">
        <v>1089</v>
      </c>
      <c r="E32" s="15" t="s">
        <v>522</v>
      </c>
      <c r="F32" s="14">
        <v>11.8</v>
      </c>
      <c r="G32" s="989">
        <v>15</v>
      </c>
      <c r="H32" s="26">
        <f>SUM(F32*G32)</f>
        <v>177</v>
      </c>
      <c r="J32" s="101"/>
      <c r="K32" s="167"/>
      <c r="M32" s="102"/>
      <c r="N32" s="105"/>
      <c r="O32" s="102"/>
      <c r="P32" s="105"/>
      <c r="Q32" s="102"/>
    </row>
    <row r="33" spans="1:17" s="100" customFormat="1">
      <c r="A33" s="82"/>
      <c r="B33" s="82"/>
      <c r="C33" s="83"/>
      <c r="D33" s="97"/>
      <c r="E33" s="15"/>
      <c r="F33" s="14"/>
      <c r="G33" s="989"/>
      <c r="H33" s="26"/>
      <c r="J33" s="101"/>
      <c r="K33" s="13"/>
      <c r="M33" s="102"/>
      <c r="N33" s="105"/>
      <c r="O33" s="102"/>
      <c r="P33" s="105"/>
      <c r="Q33" s="102"/>
    </row>
    <row r="34" spans="1:17" s="46" customFormat="1" ht="118.8">
      <c r="A34" s="82" t="s">
        <v>102</v>
      </c>
      <c r="B34" s="82" t="s">
        <v>192</v>
      </c>
      <c r="C34" s="113"/>
      <c r="D34" s="42" t="s">
        <v>1167</v>
      </c>
      <c r="E34" s="110"/>
      <c r="F34" s="92"/>
      <c r="G34" s="989"/>
      <c r="H34" s="14"/>
    </row>
    <row r="35" spans="1:17" s="46" customFormat="1">
      <c r="A35" s="115"/>
      <c r="B35" s="116"/>
      <c r="C35" s="79"/>
      <c r="D35" s="117"/>
      <c r="E35" s="110" t="s">
        <v>522</v>
      </c>
      <c r="F35" s="92">
        <v>183</v>
      </c>
      <c r="G35" s="989">
        <v>15</v>
      </c>
      <c r="H35" s="26">
        <f>SUM(F35*G35)</f>
        <v>2745</v>
      </c>
      <c r="J35" s="101"/>
      <c r="K35" s="167"/>
    </row>
    <row r="36" spans="1:17" s="46" customFormat="1">
      <c r="A36" s="115"/>
      <c r="B36" s="116"/>
      <c r="C36" s="79"/>
      <c r="D36" s="117"/>
      <c r="E36" s="110"/>
      <c r="F36" s="92"/>
      <c r="G36" s="989"/>
      <c r="H36" s="103"/>
    </row>
    <row r="37" spans="1:17" s="46" customFormat="1" ht="105.6">
      <c r="A37" s="82" t="s">
        <v>102</v>
      </c>
      <c r="B37" s="82" t="s">
        <v>146</v>
      </c>
      <c r="C37" s="113"/>
      <c r="D37" s="42" t="s">
        <v>1168</v>
      </c>
      <c r="E37" s="110"/>
      <c r="F37" s="114"/>
      <c r="G37" s="989"/>
      <c r="H37" s="14"/>
    </row>
    <row r="38" spans="1:17" s="46" customFormat="1">
      <c r="A38" s="115"/>
      <c r="B38" s="116"/>
      <c r="C38" s="79"/>
      <c r="D38" s="117"/>
      <c r="E38" s="110" t="s">
        <v>522</v>
      </c>
      <c r="F38" s="92">
        <v>111</v>
      </c>
      <c r="G38" s="989">
        <v>15</v>
      </c>
      <c r="H38" s="26">
        <f>SUM(F38*G38)</f>
        <v>1665</v>
      </c>
      <c r="J38" s="101"/>
      <c r="K38" s="167"/>
    </row>
    <row r="39" spans="1:17" s="46" customFormat="1">
      <c r="A39" s="115"/>
      <c r="B39" s="116"/>
      <c r="C39" s="79"/>
      <c r="D39" s="118"/>
      <c r="E39" s="110"/>
      <c r="F39" s="92"/>
      <c r="G39" s="989"/>
      <c r="H39" s="14"/>
    </row>
    <row r="40" spans="1:17" s="46" customFormat="1" ht="105.6">
      <c r="A40" s="82" t="s">
        <v>102</v>
      </c>
      <c r="B40" s="82" t="s">
        <v>147</v>
      </c>
      <c r="C40" s="79"/>
      <c r="D40" s="42" t="s">
        <v>1169</v>
      </c>
      <c r="E40" s="110"/>
      <c r="F40" s="92"/>
      <c r="G40" s="989"/>
      <c r="H40" s="14"/>
    </row>
    <row r="41" spans="1:17" s="46" customFormat="1">
      <c r="A41" s="115"/>
      <c r="B41" s="116"/>
      <c r="C41" s="79"/>
      <c r="D41" s="118"/>
      <c r="E41" s="110" t="s">
        <v>522</v>
      </c>
      <c r="F41" s="92">
        <v>35</v>
      </c>
      <c r="G41" s="989">
        <v>20</v>
      </c>
      <c r="H41" s="26">
        <f>SUM(F41*G41)</f>
        <v>700</v>
      </c>
      <c r="J41" s="101"/>
      <c r="K41" s="167"/>
    </row>
    <row r="42" spans="1:17" s="46" customFormat="1">
      <c r="A42" s="115"/>
      <c r="B42" s="116"/>
      <c r="C42" s="79"/>
      <c r="D42" s="118"/>
      <c r="E42" s="110"/>
      <c r="F42" s="92"/>
      <c r="G42" s="992"/>
      <c r="H42" s="103"/>
    </row>
    <row r="43" spans="1:17" s="46" customFormat="1" ht="52.8">
      <c r="A43" s="82" t="s">
        <v>102</v>
      </c>
      <c r="B43" s="82" t="s">
        <v>43</v>
      </c>
      <c r="C43" s="79"/>
      <c r="D43" s="42" t="s">
        <v>946</v>
      </c>
      <c r="E43" s="110"/>
      <c r="F43" s="114"/>
      <c r="G43" s="986"/>
      <c r="H43" s="14"/>
    </row>
    <row r="44" spans="1:17" s="46" customFormat="1">
      <c r="A44" s="115"/>
      <c r="B44" s="116"/>
      <c r="C44" s="79"/>
      <c r="D44" s="118"/>
      <c r="E44" s="119" t="s">
        <v>503</v>
      </c>
      <c r="F44" s="92">
        <v>1267</v>
      </c>
      <c r="G44" s="989">
        <v>3</v>
      </c>
      <c r="H44" s="26">
        <f>SUM(F44*G44)</f>
        <v>3801</v>
      </c>
      <c r="J44" s="101"/>
      <c r="K44" s="167"/>
    </row>
    <row r="45" spans="1:17" s="100" customFormat="1">
      <c r="A45" s="353"/>
      <c r="B45" s="353"/>
      <c r="C45" s="354"/>
      <c r="D45" s="97"/>
      <c r="E45" s="15"/>
      <c r="F45" s="104"/>
      <c r="G45" s="989"/>
      <c r="H45" s="355"/>
      <c r="I45" s="101"/>
      <c r="J45" s="101"/>
      <c r="M45" s="102"/>
      <c r="N45" s="102"/>
      <c r="O45" s="102"/>
      <c r="P45" s="102"/>
      <c r="Q45" s="102"/>
    </row>
    <row r="46" spans="1:17" s="100" customFormat="1" ht="92.4">
      <c r="A46" s="82" t="s">
        <v>102</v>
      </c>
      <c r="B46" s="82" t="s">
        <v>185</v>
      </c>
      <c r="C46" s="83"/>
      <c r="D46" s="97" t="s">
        <v>932</v>
      </c>
      <c r="E46" s="15"/>
      <c r="F46" s="98"/>
      <c r="G46" s="989"/>
      <c r="H46" s="99"/>
      <c r="J46" s="101"/>
      <c r="M46" s="102"/>
      <c r="N46" s="102"/>
      <c r="O46" s="102"/>
      <c r="P46" s="102"/>
      <c r="Q46" s="102"/>
    </row>
    <row r="47" spans="1:17" s="100" customFormat="1">
      <c r="A47" s="356"/>
      <c r="B47" s="82"/>
      <c r="C47" s="83" t="s">
        <v>240</v>
      </c>
      <c r="D47" s="97" t="s">
        <v>938</v>
      </c>
      <c r="E47" s="15" t="s">
        <v>522</v>
      </c>
      <c r="F47" s="14">
        <v>181</v>
      </c>
      <c r="G47" s="989">
        <v>50</v>
      </c>
      <c r="H47" s="26">
        <f>SUM(F47*G47)</f>
        <v>9050</v>
      </c>
      <c r="J47" s="101"/>
      <c r="M47" s="102"/>
      <c r="N47" s="102"/>
      <c r="O47" s="102"/>
      <c r="P47" s="102"/>
      <c r="Q47" s="102"/>
    </row>
    <row r="48" spans="1:17" s="100" customFormat="1">
      <c r="A48" s="356"/>
      <c r="B48" s="82"/>
      <c r="C48" s="83" t="s">
        <v>241</v>
      </c>
      <c r="D48" s="118" t="s">
        <v>947</v>
      </c>
      <c r="E48" s="15" t="s">
        <v>522</v>
      </c>
      <c r="F48" s="14">
        <v>35</v>
      </c>
      <c r="G48" s="989">
        <v>50</v>
      </c>
      <c r="H48" s="26">
        <f>SUM(F48*G48)</f>
        <v>1750</v>
      </c>
      <c r="J48" s="101"/>
      <c r="M48" s="102"/>
      <c r="N48" s="102"/>
      <c r="O48" s="102"/>
      <c r="P48" s="102"/>
      <c r="Q48" s="102"/>
    </row>
    <row r="49" spans="1:17" s="100" customFormat="1" ht="26.4">
      <c r="A49" s="356"/>
      <c r="B49" s="82"/>
      <c r="C49" s="83" t="s">
        <v>242</v>
      </c>
      <c r="D49" s="118" t="s">
        <v>1042</v>
      </c>
      <c r="E49" s="15" t="s">
        <v>522</v>
      </c>
      <c r="F49" s="14">
        <v>97</v>
      </c>
      <c r="G49" s="989">
        <v>50</v>
      </c>
      <c r="H49" s="26">
        <f>SUM(F49*G49)</f>
        <v>4850</v>
      </c>
      <c r="J49" s="101"/>
      <c r="M49" s="102"/>
      <c r="N49" s="102"/>
      <c r="O49" s="102"/>
      <c r="P49" s="102"/>
      <c r="Q49" s="102"/>
    </row>
    <row r="50" spans="1:17" s="100" customFormat="1">
      <c r="A50" s="356"/>
      <c r="B50" s="82"/>
      <c r="C50" s="83" t="s">
        <v>242</v>
      </c>
      <c r="D50" s="118" t="s">
        <v>948</v>
      </c>
      <c r="E50" s="15" t="s">
        <v>522</v>
      </c>
      <c r="F50" s="14">
        <v>84</v>
      </c>
      <c r="G50" s="989">
        <v>50</v>
      </c>
      <c r="H50" s="26">
        <f>SUM(F50*G50)</f>
        <v>4200</v>
      </c>
      <c r="J50" s="101"/>
      <c r="M50" s="102"/>
      <c r="N50" s="102"/>
      <c r="O50" s="102"/>
      <c r="P50" s="102"/>
      <c r="Q50" s="102"/>
    </row>
    <row r="51" spans="1:17" s="100" customFormat="1">
      <c r="A51" s="356"/>
      <c r="B51" s="82"/>
      <c r="C51" s="83"/>
      <c r="D51" s="118"/>
      <c r="E51" s="15"/>
      <c r="F51" s="14"/>
      <c r="G51" s="989"/>
      <c r="H51" s="26"/>
      <c r="J51" s="101"/>
      <c r="M51" s="102"/>
      <c r="N51" s="102"/>
      <c r="O51" s="102"/>
      <c r="P51" s="102"/>
      <c r="Q51" s="102"/>
    </row>
    <row r="52" spans="1:17" s="100" customFormat="1" ht="92.4">
      <c r="A52" s="82" t="s">
        <v>102</v>
      </c>
      <c r="B52" s="82" t="s">
        <v>397</v>
      </c>
      <c r="C52" s="83"/>
      <c r="D52" s="118" t="s">
        <v>1092</v>
      </c>
      <c r="E52" s="15"/>
      <c r="F52" s="14"/>
      <c r="G52" s="989"/>
      <c r="H52" s="26"/>
      <c r="J52" s="101"/>
      <c r="M52" s="102"/>
      <c r="N52" s="102"/>
      <c r="O52" s="102"/>
      <c r="P52" s="102"/>
      <c r="Q52" s="102"/>
    </row>
    <row r="53" spans="1:17" s="100" customFormat="1">
      <c r="A53" s="356"/>
      <c r="B53" s="82"/>
      <c r="C53" s="83"/>
      <c r="D53" s="118"/>
      <c r="E53" s="15" t="s">
        <v>503</v>
      </c>
      <c r="F53" s="14">
        <v>180</v>
      </c>
      <c r="G53" s="989">
        <v>3</v>
      </c>
      <c r="H53" s="26">
        <f>SUM(F53*G53)</f>
        <v>540</v>
      </c>
      <c r="J53" s="101"/>
      <c r="M53" s="102"/>
      <c r="N53" s="102"/>
      <c r="O53" s="102"/>
      <c r="P53" s="102"/>
      <c r="Q53" s="102"/>
    </row>
    <row r="54" spans="1:17" s="100" customFormat="1">
      <c r="A54" s="356"/>
      <c r="B54" s="82"/>
      <c r="C54" s="83"/>
      <c r="D54" s="118"/>
      <c r="E54" s="15"/>
      <c r="F54" s="14"/>
      <c r="G54" s="989"/>
      <c r="H54" s="26"/>
      <c r="J54" s="101"/>
      <c r="M54" s="102"/>
      <c r="N54" s="102"/>
      <c r="O54" s="102"/>
      <c r="P54" s="102"/>
      <c r="Q54" s="102"/>
    </row>
    <row r="55" spans="1:17" s="100" customFormat="1" ht="79.2">
      <c r="A55" s="82" t="s">
        <v>102</v>
      </c>
      <c r="B55" s="82" t="s">
        <v>109</v>
      </c>
      <c r="C55" s="83"/>
      <c r="D55" s="97" t="s">
        <v>1170</v>
      </c>
      <c r="E55" s="15"/>
      <c r="F55" s="98"/>
      <c r="G55" s="989"/>
      <c r="H55" s="99"/>
      <c r="J55" s="101"/>
      <c r="M55" s="102"/>
      <c r="N55" s="102"/>
      <c r="O55" s="102"/>
      <c r="P55" s="102"/>
      <c r="Q55" s="102"/>
    </row>
    <row r="56" spans="1:17" s="100" customFormat="1">
      <c r="A56" s="356"/>
      <c r="B56" s="82"/>
      <c r="C56" s="83"/>
      <c r="D56" s="97"/>
      <c r="E56" s="15" t="s">
        <v>522</v>
      </c>
      <c r="F56" s="14">
        <v>173</v>
      </c>
      <c r="G56" s="989">
        <v>5</v>
      </c>
      <c r="H56" s="26">
        <f>SUM(F56*G56)</f>
        <v>865</v>
      </c>
      <c r="J56" s="101"/>
      <c r="M56" s="102"/>
      <c r="N56" s="102"/>
      <c r="O56" s="102"/>
      <c r="P56" s="102"/>
      <c r="Q56" s="102"/>
    </row>
    <row r="57" spans="1:17" s="100" customFormat="1">
      <c r="A57" s="356"/>
      <c r="B57" s="82"/>
      <c r="C57" s="83"/>
      <c r="D57" s="118"/>
      <c r="E57" s="15"/>
      <c r="F57" s="14"/>
      <c r="G57" s="989"/>
      <c r="H57" s="26"/>
      <c r="J57" s="101"/>
      <c r="M57" s="102"/>
      <c r="N57" s="102"/>
      <c r="O57" s="102"/>
      <c r="P57" s="102"/>
      <c r="Q57" s="102"/>
    </row>
    <row r="58" spans="1:17" s="100" customFormat="1" ht="198">
      <c r="A58" s="82" t="s">
        <v>102</v>
      </c>
      <c r="B58" s="82" t="s">
        <v>511</v>
      </c>
      <c r="C58" s="83"/>
      <c r="D58" s="118" t="s">
        <v>1043</v>
      </c>
      <c r="E58" s="15"/>
      <c r="F58" s="98"/>
      <c r="G58" s="989"/>
      <c r="H58" s="99"/>
      <c r="J58" s="101"/>
      <c r="M58" s="102"/>
      <c r="N58" s="102"/>
      <c r="O58" s="102"/>
      <c r="P58" s="102"/>
      <c r="Q58" s="102"/>
    </row>
    <row r="59" spans="1:17" s="100" customFormat="1">
      <c r="A59" s="356"/>
      <c r="B59" s="82"/>
      <c r="C59" s="83" t="s">
        <v>240</v>
      </c>
      <c r="D59" s="118" t="s">
        <v>588</v>
      </c>
      <c r="E59" s="15" t="s">
        <v>344</v>
      </c>
      <c r="F59" s="14">
        <v>94</v>
      </c>
      <c r="G59" s="989">
        <v>20</v>
      </c>
      <c r="H59" s="26">
        <f>SUM(F59*G59)</f>
        <v>1880</v>
      </c>
      <c r="J59" s="101"/>
      <c r="M59" s="102"/>
      <c r="N59" s="102"/>
      <c r="O59" s="102"/>
      <c r="P59" s="102"/>
      <c r="Q59" s="102"/>
    </row>
    <row r="60" spans="1:17" s="100" customFormat="1">
      <c r="A60" s="356"/>
      <c r="B60" s="82"/>
      <c r="C60" s="83" t="s">
        <v>241</v>
      </c>
      <c r="D60" s="118" t="s">
        <v>589</v>
      </c>
      <c r="E60" s="15" t="s">
        <v>522</v>
      </c>
      <c r="F60" s="14">
        <v>25</v>
      </c>
      <c r="G60" s="989">
        <v>60</v>
      </c>
      <c r="H60" s="26">
        <f>SUM(F60*G60)</f>
        <v>1500</v>
      </c>
      <c r="J60" s="101"/>
      <c r="M60" s="102"/>
      <c r="N60" s="102"/>
      <c r="O60" s="102"/>
      <c r="P60" s="102"/>
      <c r="Q60" s="102"/>
    </row>
    <row r="61" spans="1:17" s="100" customFormat="1">
      <c r="A61" s="356"/>
      <c r="B61" s="82"/>
      <c r="C61" s="83" t="s">
        <v>242</v>
      </c>
      <c r="D61" s="118" t="s">
        <v>590</v>
      </c>
      <c r="E61" s="15" t="s">
        <v>503</v>
      </c>
      <c r="F61" s="14">
        <v>190</v>
      </c>
      <c r="G61" s="989">
        <v>5</v>
      </c>
      <c r="H61" s="26">
        <f>SUM(F61*G61)</f>
        <v>950</v>
      </c>
      <c r="J61" s="101"/>
      <c r="M61" s="102"/>
      <c r="N61" s="102"/>
      <c r="O61" s="102"/>
      <c r="P61" s="102"/>
      <c r="Q61" s="102"/>
    </row>
    <row r="62" spans="1:17" s="100" customFormat="1">
      <c r="A62" s="356"/>
      <c r="B62" s="82"/>
      <c r="C62" s="83"/>
      <c r="D62" s="118"/>
      <c r="E62" s="15"/>
      <c r="F62" s="98"/>
      <c r="G62" s="989"/>
      <c r="H62" s="99"/>
      <c r="J62" s="101"/>
      <c r="M62" s="102"/>
      <c r="N62" s="102"/>
      <c r="O62" s="102"/>
      <c r="P62" s="102"/>
      <c r="Q62" s="102"/>
    </row>
    <row r="63" spans="1:17" s="100" customFormat="1" ht="66">
      <c r="A63" s="82" t="s">
        <v>102</v>
      </c>
      <c r="B63" s="1" t="s">
        <v>512</v>
      </c>
      <c r="C63" s="83"/>
      <c r="D63" s="97" t="s">
        <v>587</v>
      </c>
      <c r="E63" s="15"/>
      <c r="F63" s="98"/>
      <c r="G63" s="989"/>
      <c r="H63" s="99"/>
      <c r="J63" s="101"/>
      <c r="M63" s="102"/>
      <c r="N63" s="102"/>
      <c r="O63" s="102"/>
      <c r="P63" s="102"/>
      <c r="Q63" s="102"/>
    </row>
    <row r="64" spans="1:17" s="100" customFormat="1" ht="26.4">
      <c r="A64" s="82"/>
      <c r="B64" s="82"/>
      <c r="C64" s="83"/>
      <c r="D64" s="97" t="s">
        <v>1093</v>
      </c>
      <c r="E64" s="15"/>
      <c r="F64" s="14"/>
      <c r="G64" s="989"/>
      <c r="H64" s="26"/>
      <c r="J64" s="104"/>
      <c r="M64" s="102"/>
      <c r="N64" s="102"/>
      <c r="O64" s="102"/>
      <c r="P64" s="102"/>
      <c r="Q64" s="102"/>
    </row>
    <row r="65" spans="1:17" s="100" customFormat="1">
      <c r="A65" s="82"/>
      <c r="B65" s="82"/>
      <c r="C65" s="83"/>
      <c r="D65" s="97"/>
      <c r="E65" s="15" t="s">
        <v>522</v>
      </c>
      <c r="F65" s="14">
        <v>114</v>
      </c>
      <c r="G65" s="989">
        <v>40</v>
      </c>
      <c r="H65" s="26">
        <f>SUM(F65*G65)</f>
        <v>4560</v>
      </c>
      <c r="J65" s="104"/>
      <c r="M65" s="102"/>
      <c r="N65" s="102"/>
      <c r="O65" s="102"/>
      <c r="P65" s="102"/>
      <c r="Q65" s="102"/>
    </row>
    <row r="66" spans="1:17" s="100" customFormat="1">
      <c r="A66" s="82"/>
      <c r="B66" s="82"/>
      <c r="C66" s="83"/>
      <c r="D66" s="97"/>
      <c r="E66" s="15"/>
      <c r="F66" s="98"/>
      <c r="G66" s="989"/>
      <c r="H66" s="99"/>
      <c r="J66" s="104"/>
      <c r="K66" s="118"/>
      <c r="L66" s="15"/>
      <c r="M66" s="105"/>
      <c r="N66" s="105"/>
      <c r="O66" s="357"/>
      <c r="P66" s="102"/>
      <c r="Q66" s="105"/>
    </row>
    <row r="67" spans="1:17" s="100" customFormat="1" ht="52.8">
      <c r="A67" s="82" t="s">
        <v>102</v>
      </c>
      <c r="B67" s="82" t="s">
        <v>513</v>
      </c>
      <c r="C67" s="83"/>
      <c r="D67" s="97" t="s">
        <v>1085</v>
      </c>
      <c r="E67" s="15"/>
      <c r="F67" s="98"/>
      <c r="G67" s="989"/>
      <c r="H67" s="99"/>
      <c r="J67" s="101"/>
      <c r="K67" s="118"/>
      <c r="L67" s="15"/>
      <c r="M67" s="105"/>
      <c r="N67" s="105"/>
      <c r="O67" s="357"/>
      <c r="P67" s="102"/>
      <c r="Q67" s="105"/>
    </row>
    <row r="68" spans="1:17" s="100" customFormat="1">
      <c r="A68" s="82"/>
      <c r="B68" s="82"/>
      <c r="C68" s="83"/>
      <c r="D68" s="97"/>
      <c r="E68" s="15" t="s">
        <v>522</v>
      </c>
      <c r="F68" s="14">
        <v>80</v>
      </c>
      <c r="G68" s="989">
        <v>40</v>
      </c>
      <c r="H68" s="26">
        <f>SUM(F68*G68)</f>
        <v>3200</v>
      </c>
      <c r="J68" s="104"/>
      <c r="K68" s="118"/>
      <c r="L68" s="15"/>
      <c r="M68" s="105"/>
      <c r="N68" s="105"/>
      <c r="O68" s="357"/>
      <c r="P68" s="102"/>
      <c r="Q68" s="105"/>
    </row>
    <row r="69" spans="1:17" s="100" customFormat="1">
      <c r="A69" s="82"/>
      <c r="B69" s="82"/>
      <c r="C69" s="83"/>
      <c r="D69" s="97"/>
      <c r="E69" s="15"/>
      <c r="F69" s="98"/>
      <c r="G69" s="990"/>
      <c r="H69" s="99"/>
      <c r="J69" s="104"/>
      <c r="K69" s="118"/>
      <c r="L69" s="15"/>
      <c r="M69" s="105"/>
      <c r="N69" s="105"/>
      <c r="O69" s="357"/>
      <c r="P69" s="102"/>
      <c r="Q69" s="105"/>
    </row>
    <row r="70" spans="1:17" s="101" customFormat="1" ht="39.6">
      <c r="A70" s="82" t="s">
        <v>102</v>
      </c>
      <c r="B70" s="82" t="s">
        <v>514</v>
      </c>
      <c r="C70" s="83"/>
      <c r="D70" s="97" t="s">
        <v>949</v>
      </c>
      <c r="E70" s="15"/>
      <c r="F70" s="98"/>
      <c r="G70" s="990"/>
      <c r="H70" s="99"/>
      <c r="I70" s="100"/>
      <c r="J70" s="104"/>
      <c r="M70" s="102"/>
      <c r="N70" s="102"/>
      <c r="O70" s="102"/>
      <c r="P70" s="102"/>
      <c r="Q70" s="102"/>
    </row>
    <row r="71" spans="1:17">
      <c r="A71" s="82"/>
      <c r="B71" s="82"/>
      <c r="C71" s="83"/>
      <c r="D71" s="97"/>
      <c r="E71" s="15" t="s">
        <v>522</v>
      </c>
      <c r="F71" s="14">
        <v>100</v>
      </c>
      <c r="G71" s="989">
        <v>20</v>
      </c>
      <c r="H71" s="26">
        <f>SUM(F71*G71)</f>
        <v>2000</v>
      </c>
      <c r="I71" s="100"/>
      <c r="J71" s="104"/>
    </row>
    <row r="72" spans="1:17">
      <c r="A72" s="353"/>
      <c r="B72" s="353"/>
      <c r="C72" s="354"/>
      <c r="D72" s="97"/>
      <c r="F72" s="104"/>
      <c r="G72" s="989"/>
      <c r="H72" s="355"/>
      <c r="I72" s="100"/>
      <c r="J72" s="101"/>
    </row>
    <row r="73" spans="1:17" ht="118.8">
      <c r="A73" s="82" t="s">
        <v>102</v>
      </c>
      <c r="B73" s="82" t="s">
        <v>515</v>
      </c>
      <c r="C73" s="83"/>
      <c r="D73" s="97" t="s">
        <v>586</v>
      </c>
      <c r="F73" s="98"/>
      <c r="G73" s="989"/>
      <c r="H73" s="99"/>
      <c r="I73" s="100"/>
      <c r="J73" s="104"/>
    </row>
    <row r="74" spans="1:17">
      <c r="A74" s="82"/>
      <c r="B74" s="82"/>
      <c r="C74" s="83"/>
      <c r="D74" s="97"/>
      <c r="E74" s="15" t="s">
        <v>522</v>
      </c>
      <c r="F74" s="14">
        <v>1038</v>
      </c>
      <c r="G74" s="989">
        <v>13</v>
      </c>
      <c r="H74" s="26">
        <f>SUM(F74*G74)</f>
        <v>13494</v>
      </c>
      <c r="I74" s="101"/>
      <c r="J74" s="375"/>
    </row>
    <row r="75" spans="1:17" ht="13.8" thickBot="1">
      <c r="A75" s="82"/>
      <c r="B75" s="82"/>
      <c r="C75" s="83"/>
      <c r="D75" s="358"/>
      <c r="E75" s="24"/>
      <c r="F75" s="98"/>
      <c r="G75" s="990"/>
      <c r="H75" s="299"/>
      <c r="I75" s="100"/>
      <c r="J75" s="101"/>
    </row>
    <row r="76" spans="1:17" s="365" customFormat="1" ht="26.4">
      <c r="A76" s="359" t="s">
        <v>102</v>
      </c>
      <c r="B76" s="192"/>
      <c r="C76" s="360"/>
      <c r="D76" s="361" t="s">
        <v>1463</v>
      </c>
      <c r="E76" s="145"/>
      <c r="F76" s="362"/>
      <c r="G76" s="993"/>
      <c r="H76" s="26">
        <f>SUM(H10:H75)</f>
        <v>77911.5</v>
      </c>
      <c r="I76" s="363"/>
      <c r="J76" s="364"/>
      <c r="M76" s="366"/>
      <c r="N76" s="366"/>
      <c r="O76" s="366"/>
      <c r="P76" s="366"/>
      <c r="Q76" s="366"/>
    </row>
    <row r="77" spans="1:17">
      <c r="A77" s="353"/>
      <c r="B77" s="353"/>
      <c r="C77" s="354"/>
      <c r="D77" s="97"/>
      <c r="F77" s="104"/>
      <c r="G77" s="990"/>
      <c r="H77" s="355"/>
      <c r="I77" s="100"/>
      <c r="J77" s="101"/>
    </row>
    <row r="108" spans="1:17">
      <c r="A108" s="25"/>
      <c r="B108" s="25"/>
      <c r="C108" s="13"/>
      <c r="D108" s="151"/>
      <c r="F108" s="14"/>
      <c r="H108" s="161"/>
    </row>
    <row r="110" spans="1:17" s="13" customFormat="1">
      <c r="A110" s="131"/>
      <c r="B110" s="131"/>
      <c r="C110" s="16"/>
      <c r="D110" s="199"/>
      <c r="E110" s="15"/>
      <c r="F110" s="180"/>
      <c r="G110" s="986"/>
      <c r="H110" s="348"/>
      <c r="J110" s="16"/>
      <c r="M110" s="349"/>
      <c r="N110" s="349"/>
      <c r="O110" s="349"/>
      <c r="P110" s="349"/>
      <c r="Q110" s="349"/>
    </row>
  </sheetData>
  <pageMargins left="0.74803149606299213" right="0.55118110236220474" top="1.0236220472440944" bottom="0.78740157480314965" header="0.43307086614173229" footer="0.51181102362204722"/>
  <pageSetup paperSize="9" orientation="portrait" horizontalDpi="4294967293" verticalDpi="4294967293"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K65"/>
  <sheetViews>
    <sheetView view="pageBreakPreview" topLeftCell="A26" zoomScaleNormal="100" zoomScaleSheetLayoutView="100" zoomScalePageLayoutView="90" workbookViewId="0">
      <selection activeCell="G32" sqref="G32"/>
    </sheetView>
  </sheetViews>
  <sheetFormatPr defaultColWidth="8.54296875" defaultRowHeight="13.2"/>
  <cols>
    <col min="1" max="2" width="3.36328125" style="41" customWidth="1"/>
    <col min="3" max="3" width="2.36328125" style="25" customWidth="1"/>
    <col min="4" max="4" width="31.1796875" style="267" customWidth="1"/>
    <col min="5" max="5" width="4.6328125" style="15" customWidth="1"/>
    <col min="6" max="6" width="7.90625" style="98" customWidth="1"/>
    <col min="7" max="7" width="10.08984375" style="989" customWidth="1"/>
    <col min="8" max="8" width="11.453125" style="27" customWidth="1"/>
    <col min="9" max="9" width="8.54296875" style="13"/>
    <col min="10" max="10" width="8.54296875" style="54"/>
    <col min="11" max="16384" width="8.54296875" style="13"/>
  </cols>
  <sheetData>
    <row r="1" spans="1:10">
      <c r="D1" s="184"/>
    </row>
    <row r="2" spans="1:10" ht="13.8" thickBot="1">
      <c r="A2" s="137" t="s">
        <v>311</v>
      </c>
      <c r="B2" s="137"/>
      <c r="C2" s="338"/>
      <c r="D2" s="140" t="s">
        <v>542</v>
      </c>
      <c r="E2" s="149"/>
      <c r="F2" s="159"/>
      <c r="G2" s="995"/>
      <c r="H2" s="28"/>
    </row>
    <row r="3" spans="1:10" s="53" customFormat="1">
      <c r="A3" s="41"/>
      <c r="B3" s="41"/>
      <c r="C3" s="25"/>
      <c r="D3" s="184"/>
      <c r="E3" s="302"/>
      <c r="F3" s="98"/>
      <c r="G3" s="989"/>
      <c r="H3" s="27"/>
      <c r="I3" s="13"/>
      <c r="J3" s="54"/>
    </row>
    <row r="4" spans="1:10" s="53" customFormat="1">
      <c r="A4" s="41"/>
      <c r="B4" s="41"/>
      <c r="C4" s="25"/>
      <c r="D4" s="184" t="s">
        <v>372</v>
      </c>
      <c r="E4" s="302"/>
      <c r="F4" s="98"/>
      <c r="G4" s="989"/>
      <c r="H4" s="27"/>
      <c r="I4" s="13"/>
      <c r="J4" s="54"/>
    </row>
    <row r="5" spans="1:10" s="53" customFormat="1" ht="52.8">
      <c r="A5" s="41"/>
      <c r="B5" s="41"/>
      <c r="C5" s="25"/>
      <c r="D5" s="118" t="s">
        <v>518</v>
      </c>
      <c r="E5" s="302"/>
      <c r="F5" s="98"/>
      <c r="G5" s="989"/>
      <c r="H5" s="27"/>
      <c r="I5" s="13"/>
      <c r="J5" s="54"/>
    </row>
    <row r="6" spans="1:10" s="53" customFormat="1" ht="26.4">
      <c r="A6" s="41"/>
      <c r="B6" s="41"/>
      <c r="C6" s="25"/>
      <c r="D6" s="118" t="s">
        <v>543</v>
      </c>
      <c r="E6" s="15"/>
      <c r="F6" s="98"/>
      <c r="G6" s="989"/>
      <c r="H6" s="27"/>
      <c r="I6" s="13"/>
      <c r="J6" s="54"/>
    </row>
    <row r="7" spans="1:10" s="53" customFormat="1" ht="264">
      <c r="A7" s="41"/>
      <c r="B7" s="41"/>
      <c r="C7" s="25"/>
      <c r="D7" s="118" t="s">
        <v>580</v>
      </c>
      <c r="E7" s="15"/>
      <c r="F7" s="98"/>
      <c r="G7" s="989"/>
      <c r="H7" s="27"/>
      <c r="I7" s="13"/>
      <c r="J7" s="54"/>
    </row>
    <row r="8" spans="1:10" s="53" customFormat="1" ht="39.6">
      <c r="A8" s="41" t="s">
        <v>330</v>
      </c>
      <c r="B8" s="41" t="s">
        <v>330</v>
      </c>
      <c r="C8" s="25"/>
      <c r="D8" s="118" t="s">
        <v>937</v>
      </c>
      <c r="E8" s="15"/>
      <c r="F8" s="98"/>
      <c r="G8" s="989"/>
      <c r="H8" s="27"/>
      <c r="I8" s="13"/>
      <c r="J8" s="54"/>
    </row>
    <row r="9" spans="1:10">
      <c r="D9" s="184"/>
    </row>
    <row r="10" spans="1:10">
      <c r="A10" s="25" t="s">
        <v>507</v>
      </c>
      <c r="B10" s="25" t="s">
        <v>508</v>
      </c>
      <c r="C10" s="203"/>
      <c r="D10" s="184" t="s">
        <v>504</v>
      </c>
      <c r="E10" s="15" t="s">
        <v>505</v>
      </c>
      <c r="F10" s="98" t="s">
        <v>506</v>
      </c>
      <c r="G10" s="989" t="s">
        <v>509</v>
      </c>
      <c r="H10" s="29" t="s">
        <v>510</v>
      </c>
      <c r="I10" s="53"/>
    </row>
    <row r="11" spans="1:10">
      <c r="D11" s="184"/>
    </row>
    <row r="12" spans="1:10" ht="105.6">
      <c r="A12" s="41" t="s">
        <v>311</v>
      </c>
      <c r="B12" s="41" t="s">
        <v>102</v>
      </c>
      <c r="D12" s="118" t="s">
        <v>1058</v>
      </c>
    </row>
    <row r="13" spans="1:10">
      <c r="D13" s="184"/>
      <c r="E13" s="15" t="s">
        <v>544</v>
      </c>
      <c r="F13" s="14">
        <v>30</v>
      </c>
      <c r="G13" s="989">
        <v>150</v>
      </c>
      <c r="H13" s="26">
        <f>SUM(F13*G13)</f>
        <v>4500</v>
      </c>
      <c r="J13" s="104"/>
    </row>
    <row r="14" spans="1:10">
      <c r="D14" s="184"/>
    </row>
    <row r="15" spans="1:10" ht="79.2">
      <c r="A15" s="41" t="s">
        <v>311</v>
      </c>
      <c r="B15" s="41" t="s">
        <v>311</v>
      </c>
      <c r="D15" s="42" t="s">
        <v>950</v>
      </c>
    </row>
    <row r="16" spans="1:10">
      <c r="D16" s="184"/>
      <c r="E16" s="15" t="s">
        <v>544</v>
      </c>
      <c r="F16" s="14">
        <v>30</v>
      </c>
      <c r="G16" s="989">
        <v>150</v>
      </c>
      <c r="H16" s="26">
        <f>SUM(F16*G16)</f>
        <v>4500</v>
      </c>
      <c r="J16" s="104"/>
    </row>
    <row r="17" spans="1:8">
      <c r="D17" s="184"/>
      <c r="F17" s="14"/>
      <c r="H17" s="26"/>
    </row>
    <row r="18" spans="1:8" ht="171.6">
      <c r="A18" s="41" t="s">
        <v>311</v>
      </c>
      <c r="B18" s="41" t="s">
        <v>243</v>
      </c>
      <c r="D18" s="42" t="s">
        <v>1044</v>
      </c>
    </row>
    <row r="19" spans="1:8">
      <c r="C19" s="25" t="s">
        <v>240</v>
      </c>
      <c r="D19" s="339" t="s">
        <v>1045</v>
      </c>
      <c r="E19" s="15" t="s">
        <v>544</v>
      </c>
      <c r="F19" s="14">
        <v>210</v>
      </c>
      <c r="G19" s="989">
        <v>250</v>
      </c>
      <c r="H19" s="26">
        <f>SUM(F19*G19)</f>
        <v>52500</v>
      </c>
    </row>
    <row r="20" spans="1:8">
      <c r="C20" s="25" t="s">
        <v>241</v>
      </c>
      <c r="D20" s="339" t="s">
        <v>951</v>
      </c>
      <c r="E20" s="15" t="s">
        <v>544</v>
      </c>
      <c r="F20" s="14">
        <v>25.7</v>
      </c>
      <c r="G20" s="989">
        <v>550</v>
      </c>
      <c r="H20" s="26">
        <f>SUM(F20*G20)</f>
        <v>14135</v>
      </c>
    </row>
    <row r="21" spans="1:8">
      <c r="D21" s="339"/>
    </row>
    <row r="22" spans="1:8" ht="184.8">
      <c r="A22" s="41" t="s">
        <v>311</v>
      </c>
      <c r="B22" s="41" t="s">
        <v>582</v>
      </c>
      <c r="D22" s="118" t="s">
        <v>1171</v>
      </c>
    </row>
    <row r="23" spans="1:8">
      <c r="C23" s="25" t="s">
        <v>240</v>
      </c>
      <c r="D23" s="339" t="s">
        <v>916</v>
      </c>
      <c r="E23" s="15" t="s">
        <v>544</v>
      </c>
      <c r="F23" s="14">
        <v>6.85</v>
      </c>
      <c r="G23" s="989">
        <v>350</v>
      </c>
      <c r="H23" s="26">
        <f>SUM(F23*G23)</f>
        <v>2397.5</v>
      </c>
    </row>
    <row r="24" spans="1:8">
      <c r="C24" s="25" t="s">
        <v>241</v>
      </c>
      <c r="D24" s="339" t="s">
        <v>951</v>
      </c>
      <c r="E24" s="15" t="s">
        <v>544</v>
      </c>
      <c r="F24" s="14">
        <v>3.2</v>
      </c>
      <c r="G24" s="989">
        <v>550</v>
      </c>
      <c r="H24" s="26">
        <f>SUM(F24*G24)</f>
        <v>1760</v>
      </c>
    </row>
    <row r="25" spans="1:8">
      <c r="D25" s="339"/>
      <c r="F25" s="14"/>
      <c r="H25" s="26"/>
    </row>
    <row r="26" spans="1:8" ht="171.6">
      <c r="A26" s="41" t="s">
        <v>311</v>
      </c>
      <c r="B26" s="41" t="s">
        <v>331</v>
      </c>
      <c r="D26" s="118" t="s">
        <v>1048</v>
      </c>
    </row>
    <row r="27" spans="1:8" ht="17.25" customHeight="1">
      <c r="C27" s="25" t="s">
        <v>240</v>
      </c>
      <c r="D27" s="339" t="s">
        <v>1046</v>
      </c>
      <c r="E27" s="15" t="s">
        <v>544</v>
      </c>
      <c r="F27" s="14">
        <v>8.6999999999999993</v>
      </c>
      <c r="G27" s="989">
        <v>350</v>
      </c>
      <c r="H27" s="26">
        <f>SUM(F27*G27)</f>
        <v>3044.9999999999995</v>
      </c>
    </row>
    <row r="28" spans="1:8" ht="15.75" customHeight="1">
      <c r="C28" s="25" t="s">
        <v>241</v>
      </c>
      <c r="D28" s="339" t="s">
        <v>1047</v>
      </c>
      <c r="E28" s="15" t="s">
        <v>544</v>
      </c>
      <c r="F28" s="14">
        <v>4</v>
      </c>
      <c r="G28" s="989">
        <v>350</v>
      </c>
      <c r="H28" s="26">
        <f>SUM(F28*G28)</f>
        <v>1400</v>
      </c>
    </row>
    <row r="29" spans="1:8">
      <c r="D29" s="339"/>
      <c r="F29" s="14"/>
      <c r="H29" s="26"/>
    </row>
    <row r="30" spans="1:8" ht="171.6">
      <c r="A30" s="41" t="s">
        <v>311</v>
      </c>
      <c r="B30" s="41" t="s">
        <v>469</v>
      </c>
      <c r="D30" s="135" t="s">
        <v>952</v>
      </c>
    </row>
    <row r="31" spans="1:8">
      <c r="D31" s="184"/>
      <c r="E31" s="15" t="s">
        <v>544</v>
      </c>
      <c r="F31" s="14">
        <v>94</v>
      </c>
      <c r="G31" s="989">
        <v>180</v>
      </c>
      <c r="H31" s="26">
        <f>SUM(F31*G31)</f>
        <v>16920</v>
      </c>
    </row>
    <row r="32" spans="1:8">
      <c r="D32" s="184"/>
      <c r="F32" s="14"/>
      <c r="H32" s="26"/>
    </row>
    <row r="33" spans="1:8" ht="158.4">
      <c r="A33" s="41" t="s">
        <v>311</v>
      </c>
      <c r="B33" s="41" t="s">
        <v>192</v>
      </c>
      <c r="D33" s="135" t="s">
        <v>1049</v>
      </c>
    </row>
    <row r="34" spans="1:8">
      <c r="D34" s="184"/>
      <c r="E34" s="15" t="s">
        <v>544</v>
      </c>
      <c r="F34" s="14">
        <v>2.15</v>
      </c>
      <c r="G34" s="989">
        <v>220</v>
      </c>
      <c r="H34" s="26">
        <f>SUM(F34*G34)</f>
        <v>473</v>
      </c>
    </row>
    <row r="35" spans="1:8">
      <c r="D35" s="184"/>
      <c r="F35" s="14"/>
      <c r="H35" s="26"/>
    </row>
    <row r="36" spans="1:8" ht="158.4">
      <c r="A36" s="41" t="s">
        <v>311</v>
      </c>
      <c r="B36" s="41" t="s">
        <v>146</v>
      </c>
      <c r="D36" s="135" t="s">
        <v>1050</v>
      </c>
    </row>
    <row r="37" spans="1:8">
      <c r="C37" s="25" t="s">
        <v>240</v>
      </c>
      <c r="D37" s="184" t="s">
        <v>1051</v>
      </c>
      <c r="E37" s="15" t="s">
        <v>544</v>
      </c>
      <c r="F37" s="14">
        <v>1.3</v>
      </c>
      <c r="G37" s="989">
        <v>1000</v>
      </c>
      <c r="H37" s="26">
        <f>SUM(F37*G37)</f>
        <v>1300</v>
      </c>
    </row>
    <row r="38" spans="1:8">
      <c r="C38" s="25" t="s">
        <v>241</v>
      </c>
      <c r="D38" s="184" t="s">
        <v>1052</v>
      </c>
      <c r="E38" s="15" t="s">
        <v>544</v>
      </c>
      <c r="F38" s="14">
        <v>14.7</v>
      </c>
      <c r="G38" s="989">
        <v>250</v>
      </c>
      <c r="H38" s="26">
        <f>SUM(F38*G38)</f>
        <v>3675</v>
      </c>
    </row>
    <row r="39" spans="1:8">
      <c r="D39" s="184"/>
      <c r="F39" s="14"/>
      <c r="H39" s="26"/>
    </row>
    <row r="40" spans="1:8" ht="118.8">
      <c r="A40" s="41" t="s">
        <v>311</v>
      </c>
      <c r="B40" s="41" t="s">
        <v>147</v>
      </c>
      <c r="D40" s="118" t="s">
        <v>953</v>
      </c>
    </row>
    <row r="41" spans="1:8">
      <c r="C41" s="25" t="s">
        <v>240</v>
      </c>
      <c r="D41" s="340" t="s">
        <v>1053</v>
      </c>
      <c r="E41" s="15" t="s">
        <v>544</v>
      </c>
      <c r="F41" s="14">
        <v>248</v>
      </c>
      <c r="G41" s="989">
        <v>530</v>
      </c>
      <c r="H41" s="26">
        <f>SUM(F41*G41)</f>
        <v>131440</v>
      </c>
    </row>
    <row r="42" spans="1:8">
      <c r="D42" s="340"/>
      <c r="F42" s="14"/>
      <c r="H42" s="26"/>
    </row>
    <row r="43" spans="1:8" ht="118.8">
      <c r="A43" s="41" t="s">
        <v>311</v>
      </c>
      <c r="B43" s="41" t="s">
        <v>43</v>
      </c>
      <c r="D43" s="118" t="s">
        <v>917</v>
      </c>
    </row>
    <row r="44" spans="1:8">
      <c r="C44" s="25" t="s">
        <v>240</v>
      </c>
      <c r="D44" s="340" t="s">
        <v>1054</v>
      </c>
      <c r="E44" s="15" t="s">
        <v>544</v>
      </c>
      <c r="F44" s="14">
        <v>260</v>
      </c>
      <c r="G44" s="989">
        <v>530</v>
      </c>
      <c r="H44" s="26">
        <f>SUM(F44*G44)</f>
        <v>137800</v>
      </c>
    </row>
    <row r="45" spans="1:8">
      <c r="C45" s="47"/>
      <c r="D45" s="341"/>
      <c r="H45" s="30"/>
    </row>
    <row r="46" spans="1:8" ht="79.2">
      <c r="A46" s="41" t="s">
        <v>311</v>
      </c>
      <c r="B46" s="41" t="s">
        <v>185</v>
      </c>
      <c r="D46" s="118" t="s">
        <v>954</v>
      </c>
    </row>
    <row r="47" spans="1:8">
      <c r="E47" s="15" t="s">
        <v>544</v>
      </c>
      <c r="F47" s="14">
        <v>13</v>
      </c>
      <c r="G47" s="989">
        <v>1000</v>
      </c>
      <c r="H47" s="26">
        <f>SUM(F47*G47)</f>
        <v>13000</v>
      </c>
    </row>
    <row r="49" spans="1:11" ht="132">
      <c r="A49" s="41" t="s">
        <v>311</v>
      </c>
      <c r="B49" s="41" t="s">
        <v>397</v>
      </c>
      <c r="D49" s="118" t="s">
        <v>955</v>
      </c>
    </row>
    <row r="50" spans="1:11">
      <c r="C50" s="25" t="s">
        <v>240</v>
      </c>
      <c r="D50" s="267" t="s">
        <v>918</v>
      </c>
      <c r="E50" s="15" t="s">
        <v>544</v>
      </c>
      <c r="F50" s="14">
        <v>127</v>
      </c>
      <c r="G50" s="989">
        <v>350</v>
      </c>
      <c r="H50" s="26">
        <f>SUM(F50*G50)</f>
        <v>44450</v>
      </c>
    </row>
    <row r="51" spans="1:11">
      <c r="C51" s="25" t="s">
        <v>241</v>
      </c>
      <c r="D51" s="267" t="s">
        <v>919</v>
      </c>
      <c r="E51" s="15" t="s">
        <v>544</v>
      </c>
      <c r="F51" s="14">
        <v>127</v>
      </c>
      <c r="G51" s="989">
        <v>350</v>
      </c>
      <c r="H51" s="26">
        <f>SUM(F51*G51)</f>
        <v>44450</v>
      </c>
    </row>
    <row r="52" spans="1:11">
      <c r="C52" s="25" t="s">
        <v>242</v>
      </c>
      <c r="D52" s="267" t="s">
        <v>920</v>
      </c>
      <c r="E52" s="15" t="s">
        <v>544</v>
      </c>
      <c r="F52" s="14">
        <v>121</v>
      </c>
      <c r="G52" s="989">
        <v>350</v>
      </c>
      <c r="H52" s="26">
        <f>SUM(F52*G52)</f>
        <v>42350</v>
      </c>
    </row>
    <row r="54" spans="1:11" ht="118.8">
      <c r="A54" s="41" t="s">
        <v>311</v>
      </c>
      <c r="B54" s="41" t="s">
        <v>109</v>
      </c>
      <c r="D54" s="118" t="s">
        <v>1055</v>
      </c>
    </row>
    <row r="55" spans="1:11">
      <c r="E55" s="15" t="s">
        <v>522</v>
      </c>
      <c r="F55" s="14">
        <v>32.5</v>
      </c>
      <c r="G55" s="989">
        <v>550</v>
      </c>
      <c r="H55" s="26">
        <f>SUM(F55*G55)</f>
        <v>17875</v>
      </c>
    </row>
    <row r="57" spans="1:11" ht="105.6">
      <c r="A57" s="41" t="s">
        <v>311</v>
      </c>
      <c r="B57" s="41" t="s">
        <v>511</v>
      </c>
      <c r="D57" s="42" t="s">
        <v>1056</v>
      </c>
    </row>
    <row r="58" spans="1:11">
      <c r="E58" s="15" t="s">
        <v>522</v>
      </c>
      <c r="F58" s="14">
        <v>3.5</v>
      </c>
      <c r="G58" s="989">
        <v>1000</v>
      </c>
      <c r="H58" s="26">
        <f>SUM(F58*G58)</f>
        <v>3500</v>
      </c>
    </row>
    <row r="59" spans="1:11">
      <c r="D59" s="184"/>
      <c r="I59" s="17"/>
    </row>
    <row r="60" spans="1:11" ht="145.19999999999999">
      <c r="A60" s="41" t="s">
        <v>311</v>
      </c>
      <c r="B60" s="41" t="s">
        <v>512</v>
      </c>
      <c r="C60" s="94"/>
      <c r="D60" s="56" t="s">
        <v>583</v>
      </c>
      <c r="F60" s="66"/>
      <c r="I60" s="63"/>
      <c r="J60" s="53"/>
    </row>
    <row r="61" spans="1:11" s="384" customFormat="1" ht="15">
      <c r="A61" s="379"/>
      <c r="B61" s="380"/>
      <c r="C61" s="15" t="s">
        <v>240</v>
      </c>
      <c r="D61" s="56" t="s">
        <v>584</v>
      </c>
      <c r="E61" s="15" t="s">
        <v>154</v>
      </c>
      <c r="F61" s="14">
        <v>55335</v>
      </c>
      <c r="G61" s="989">
        <v>1.5</v>
      </c>
      <c r="H61" s="26">
        <f>SUM(F61*G61)</f>
        <v>83002.5</v>
      </c>
      <c r="I61" s="381"/>
      <c r="J61" s="382"/>
      <c r="K61" s="383"/>
    </row>
    <row r="62" spans="1:11" s="384" customFormat="1" ht="15">
      <c r="A62" s="379"/>
      <c r="B62" s="380"/>
      <c r="C62" s="15" t="s">
        <v>241</v>
      </c>
      <c r="D62" s="56" t="s">
        <v>585</v>
      </c>
      <c r="E62" s="15" t="s">
        <v>154</v>
      </c>
      <c r="F62" s="14">
        <v>46253</v>
      </c>
      <c r="G62" s="989">
        <v>1.5</v>
      </c>
      <c r="H62" s="26">
        <f>SUM(F62*G62)</f>
        <v>69379.5</v>
      </c>
      <c r="I62" s="381"/>
      <c r="J62" s="382"/>
      <c r="K62" s="383"/>
    </row>
    <row r="63" spans="1:11" ht="13.8" thickBot="1">
      <c r="A63" s="342"/>
      <c r="B63" s="343"/>
      <c r="C63" s="344"/>
      <c r="D63" s="345"/>
      <c r="E63" s="24"/>
      <c r="F63" s="346"/>
      <c r="G63" s="996"/>
      <c r="H63" s="162"/>
      <c r="I63" s="63"/>
      <c r="J63" s="53"/>
    </row>
    <row r="64" spans="1:11" s="17" customFormat="1" ht="26.4">
      <c r="A64" s="41" t="s">
        <v>311</v>
      </c>
      <c r="B64" s="41"/>
      <c r="C64" s="41"/>
      <c r="D64" s="347" t="s">
        <v>545</v>
      </c>
      <c r="E64" s="15"/>
      <c r="F64" s="98"/>
      <c r="G64" s="989"/>
      <c r="H64" s="26">
        <f>SUM(H12:H63)</f>
        <v>693852.5</v>
      </c>
      <c r="J64" s="173"/>
    </row>
    <row r="65" spans="1:2">
      <c r="A65" s="41" t="s">
        <v>330</v>
      </c>
      <c r="B65" s="41" t="s">
        <v>330</v>
      </c>
    </row>
  </sheetData>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Q66"/>
  <sheetViews>
    <sheetView view="pageBreakPreview" topLeftCell="B50" zoomScale="110" zoomScaleNormal="100" zoomScaleSheetLayoutView="110" zoomScalePageLayoutView="90" workbookViewId="0">
      <selection activeCell="G56" sqref="G56"/>
    </sheetView>
  </sheetViews>
  <sheetFormatPr defaultColWidth="8.1796875" defaultRowHeight="13.2"/>
  <cols>
    <col min="1" max="2" width="3.36328125" style="131" customWidth="1"/>
    <col min="3" max="3" width="2.36328125" style="336" customWidth="1"/>
    <col min="4" max="4" width="31.1796875" style="199" customWidth="1"/>
    <col min="5" max="5" width="4.6328125" style="183" customWidth="1"/>
    <col min="6" max="6" width="7.90625" style="180" customWidth="1"/>
    <col min="7" max="7" width="10.08984375" style="997" customWidth="1"/>
    <col min="8" max="8" width="11.453125" style="179" customWidth="1"/>
    <col min="9" max="9" width="8.1796875" style="16"/>
    <col min="10" max="10" width="8.1796875" style="54"/>
    <col min="11" max="13" width="8.1796875" style="16"/>
    <col min="14" max="14" width="46.1796875" style="16" customWidth="1"/>
    <col min="15" max="16384" width="8.1796875" style="16"/>
  </cols>
  <sheetData>
    <row r="1" spans="1:10" s="19" customFormat="1">
      <c r="A1" s="227"/>
      <c r="B1" s="227"/>
      <c r="C1" s="310"/>
      <c r="D1" s="61"/>
      <c r="E1" s="121"/>
      <c r="F1" s="311"/>
      <c r="G1" s="997"/>
      <c r="H1" s="312"/>
      <c r="J1" s="313"/>
    </row>
    <row r="2" spans="1:10" s="13" customFormat="1" ht="13.8" thickBot="1">
      <c r="A2" s="137" t="s">
        <v>243</v>
      </c>
      <c r="B2" s="137"/>
      <c r="C2" s="314"/>
      <c r="D2" s="148" t="s">
        <v>328</v>
      </c>
      <c r="E2" s="149"/>
      <c r="F2" s="159"/>
      <c r="G2" s="995"/>
      <c r="H2" s="150"/>
      <c r="J2" s="54"/>
    </row>
    <row r="3" spans="1:10" s="13" customFormat="1">
      <c r="A3" s="47" t="s">
        <v>330</v>
      </c>
      <c r="B3" s="47" t="s">
        <v>330</v>
      </c>
      <c r="C3" s="84"/>
      <c r="D3" s="61"/>
      <c r="E3" s="15"/>
      <c r="F3" s="64"/>
      <c r="G3" s="997"/>
      <c r="H3" s="63"/>
      <c r="J3" s="54"/>
    </row>
    <row r="4" spans="1:10" s="13" customFormat="1">
      <c r="A4" s="47"/>
      <c r="B4" s="47"/>
      <c r="C4" s="84"/>
      <c r="D4" s="56" t="s">
        <v>314</v>
      </c>
      <c r="E4" s="15"/>
      <c r="F4" s="64"/>
      <c r="G4" s="997"/>
      <c r="H4" s="63"/>
      <c r="J4" s="54"/>
    </row>
    <row r="5" spans="1:10" s="13" customFormat="1" ht="52.8">
      <c r="A5" s="47"/>
      <c r="B5" s="47"/>
      <c r="C5" s="84"/>
      <c r="D5" s="56" t="s">
        <v>518</v>
      </c>
      <c r="E5" s="15"/>
      <c r="F5" s="64"/>
      <c r="G5" s="997"/>
      <c r="H5" s="63"/>
      <c r="J5" s="54"/>
    </row>
    <row r="6" spans="1:10" s="13" customFormat="1" ht="171.6">
      <c r="A6" s="47"/>
      <c r="B6" s="47"/>
      <c r="C6" s="95"/>
      <c r="D6" s="56" t="s">
        <v>913</v>
      </c>
      <c r="E6" s="15"/>
      <c r="F6" s="64"/>
      <c r="G6" s="997"/>
      <c r="H6" s="63"/>
      <c r="J6" s="54"/>
    </row>
    <row r="7" spans="1:10" s="13" customFormat="1">
      <c r="A7" s="47"/>
      <c r="B7" s="47"/>
      <c r="C7" s="95"/>
      <c r="D7" s="315"/>
      <c r="E7" s="15"/>
      <c r="F7" s="64"/>
      <c r="G7" s="997"/>
      <c r="H7" s="63"/>
      <c r="J7" s="54"/>
    </row>
    <row r="8" spans="1:10" s="13" customFormat="1">
      <c r="A8" s="25" t="s">
        <v>507</v>
      </c>
      <c r="B8" s="25" t="s">
        <v>508</v>
      </c>
      <c r="C8" s="84"/>
      <c r="D8" s="61" t="s">
        <v>504</v>
      </c>
      <c r="E8" s="15" t="s">
        <v>505</v>
      </c>
      <c r="F8" s="64" t="s">
        <v>506</v>
      </c>
      <c r="G8" s="989" t="s">
        <v>509</v>
      </c>
      <c r="H8" s="63" t="s">
        <v>510</v>
      </c>
      <c r="J8" s="54"/>
    </row>
    <row r="9" spans="1:10" s="13" customFormat="1">
      <c r="A9" s="47"/>
      <c r="B9" s="47"/>
      <c r="C9" s="84"/>
      <c r="D9" s="61"/>
      <c r="E9" s="15"/>
      <c r="F9" s="64"/>
      <c r="G9" s="997"/>
      <c r="H9" s="63"/>
      <c r="J9" s="54"/>
    </row>
    <row r="10" spans="1:10" s="13" customFormat="1" ht="105.6">
      <c r="A10" s="47" t="s">
        <v>243</v>
      </c>
      <c r="B10" s="47" t="s">
        <v>102</v>
      </c>
      <c r="C10" s="84"/>
      <c r="D10" s="135" t="s">
        <v>956</v>
      </c>
      <c r="E10" s="15"/>
      <c r="F10" s="130"/>
      <c r="G10" s="989"/>
      <c r="H10" s="63"/>
      <c r="J10" s="54"/>
    </row>
    <row r="11" spans="1:10" s="13" customFormat="1">
      <c r="A11" s="47" t="s">
        <v>330</v>
      </c>
      <c r="B11" s="47" t="s">
        <v>330</v>
      </c>
      <c r="C11" s="84" t="s">
        <v>240</v>
      </c>
      <c r="D11" s="56" t="s">
        <v>549</v>
      </c>
      <c r="E11" s="57" t="s">
        <v>503</v>
      </c>
      <c r="F11" s="64">
        <v>2950</v>
      </c>
      <c r="G11" s="989">
        <v>3</v>
      </c>
      <c r="H11" s="26">
        <f>SUM(F11*G11)</f>
        <v>8850</v>
      </c>
      <c r="J11" s="54"/>
    </row>
    <row r="12" spans="1:10" s="13" customFormat="1" ht="26.4">
      <c r="A12" s="47"/>
      <c r="B12" s="47"/>
      <c r="C12" s="84" t="s">
        <v>241</v>
      </c>
      <c r="D12" s="56" t="s">
        <v>581</v>
      </c>
      <c r="E12" s="57" t="s">
        <v>503</v>
      </c>
      <c r="F12" s="64">
        <v>1550</v>
      </c>
      <c r="G12" s="989">
        <v>3</v>
      </c>
      <c r="H12" s="26">
        <f>SUM(F12*G12)</f>
        <v>4650</v>
      </c>
      <c r="J12" s="54"/>
    </row>
    <row r="13" spans="1:10" s="13" customFormat="1">
      <c r="A13" s="47"/>
      <c r="B13" s="47"/>
      <c r="C13" s="84"/>
      <c r="D13" s="56"/>
      <c r="E13" s="57"/>
      <c r="F13" s="64"/>
      <c r="G13" s="989"/>
      <c r="H13" s="63"/>
      <c r="J13" s="54"/>
    </row>
    <row r="14" spans="1:10" s="13" customFormat="1" ht="123" customHeight="1">
      <c r="A14" s="47" t="s">
        <v>243</v>
      </c>
      <c r="B14" s="47" t="s">
        <v>311</v>
      </c>
      <c r="C14" s="84"/>
      <c r="D14" s="56" t="s">
        <v>1059</v>
      </c>
      <c r="E14" s="15"/>
      <c r="F14" s="130"/>
      <c r="G14" s="989"/>
      <c r="H14" s="63"/>
      <c r="J14" s="54"/>
    </row>
    <row r="15" spans="1:10" s="13" customFormat="1">
      <c r="A15" s="47" t="s">
        <v>330</v>
      </c>
      <c r="B15" s="47" t="s">
        <v>330</v>
      </c>
      <c r="C15" s="84"/>
      <c r="D15" s="56"/>
      <c r="E15" s="57" t="s">
        <v>503</v>
      </c>
      <c r="F15" s="64">
        <v>10</v>
      </c>
      <c r="G15" s="989">
        <v>20</v>
      </c>
      <c r="H15" s="26">
        <f>SUM(F15*G15)</f>
        <v>200</v>
      </c>
      <c r="J15" s="54"/>
    </row>
    <row r="16" spans="1:10" s="13" customFormat="1">
      <c r="A16" s="47"/>
      <c r="B16" s="47"/>
      <c r="C16" s="84"/>
      <c r="D16" s="56"/>
      <c r="E16" s="57"/>
      <c r="F16" s="64"/>
      <c r="G16" s="989"/>
      <c r="H16" s="26"/>
      <c r="J16" s="54"/>
    </row>
    <row r="17" spans="1:11" s="13" customFormat="1" ht="237.75" customHeight="1">
      <c r="A17" s="47" t="s">
        <v>243</v>
      </c>
      <c r="B17" s="47" t="s">
        <v>243</v>
      </c>
      <c r="C17" s="84"/>
      <c r="D17" s="56" t="s">
        <v>1060</v>
      </c>
      <c r="E17" s="15"/>
      <c r="F17" s="121"/>
      <c r="G17" s="989"/>
      <c r="H17" s="63"/>
      <c r="J17" s="54"/>
      <c r="K17" s="54"/>
    </row>
    <row r="18" spans="1:11" s="13" customFormat="1" ht="15">
      <c r="A18" s="47"/>
      <c r="B18" s="47"/>
      <c r="C18" s="84" t="s">
        <v>240</v>
      </c>
      <c r="D18" s="61" t="s">
        <v>1174</v>
      </c>
      <c r="E18" s="57" t="s">
        <v>503</v>
      </c>
      <c r="F18" s="40">
        <v>164</v>
      </c>
      <c r="G18" s="989">
        <v>18</v>
      </c>
      <c r="H18" s="26">
        <f t="shared" ref="H18:H24" si="0">SUM(F18*G18)</f>
        <v>2952</v>
      </c>
      <c r="J18" s="54"/>
      <c r="K18" s="376"/>
    </row>
    <row r="19" spans="1:11" s="13" customFormat="1" ht="15">
      <c r="A19" s="47"/>
      <c r="B19" s="47"/>
      <c r="C19" s="84" t="s">
        <v>241</v>
      </c>
      <c r="D19" s="61" t="s">
        <v>1175</v>
      </c>
      <c r="E19" s="57" t="s">
        <v>503</v>
      </c>
      <c r="F19" s="40">
        <v>20</v>
      </c>
      <c r="G19" s="989">
        <v>30</v>
      </c>
      <c r="H19" s="26">
        <f t="shared" si="0"/>
        <v>600</v>
      </c>
      <c r="J19" s="54"/>
      <c r="K19" s="376"/>
    </row>
    <row r="20" spans="1:11" s="13" customFormat="1" ht="15">
      <c r="A20" s="47"/>
      <c r="B20" s="47"/>
      <c r="C20" s="84" t="s">
        <v>242</v>
      </c>
      <c r="D20" s="61" t="s">
        <v>1176</v>
      </c>
      <c r="E20" s="57" t="s">
        <v>503</v>
      </c>
      <c r="F20" s="40">
        <v>295</v>
      </c>
      <c r="G20" s="989">
        <v>18</v>
      </c>
      <c r="H20" s="26">
        <f>SUM(F20*G20)</f>
        <v>5310</v>
      </c>
      <c r="J20" s="54"/>
      <c r="K20" s="376"/>
    </row>
    <row r="21" spans="1:11" s="13" customFormat="1" ht="26.4">
      <c r="A21" s="47"/>
      <c r="B21" s="47"/>
      <c r="C21" s="84" t="s">
        <v>221</v>
      </c>
      <c r="D21" s="61" t="s">
        <v>1177</v>
      </c>
      <c r="E21" s="57" t="s">
        <v>503</v>
      </c>
      <c r="F21" s="40">
        <v>703</v>
      </c>
      <c r="G21" s="989">
        <v>18</v>
      </c>
      <c r="H21" s="26">
        <f t="shared" si="0"/>
        <v>12654</v>
      </c>
      <c r="J21" s="54"/>
      <c r="K21" s="376"/>
    </row>
    <row r="22" spans="1:11" s="13" customFormat="1" ht="26.4">
      <c r="A22" s="47"/>
      <c r="B22" s="47"/>
      <c r="C22" s="84" t="s">
        <v>525</v>
      </c>
      <c r="D22" s="61" t="s">
        <v>1178</v>
      </c>
      <c r="E22" s="57" t="s">
        <v>503</v>
      </c>
      <c r="F22" s="40">
        <v>67</v>
      </c>
      <c r="G22" s="989">
        <v>22</v>
      </c>
      <c r="H22" s="26">
        <f>SUM(F22*G22)</f>
        <v>1474</v>
      </c>
      <c r="J22" s="54"/>
      <c r="K22" s="376"/>
    </row>
    <row r="23" spans="1:11" s="13" customFormat="1" ht="15">
      <c r="A23" s="47"/>
      <c r="B23" s="47"/>
      <c r="C23" s="84" t="s">
        <v>914</v>
      </c>
      <c r="D23" s="61" t="s">
        <v>1095</v>
      </c>
      <c r="E23" s="57" t="s">
        <v>503</v>
      </c>
      <c r="F23" s="40">
        <v>121</v>
      </c>
      <c r="G23" s="989">
        <v>25</v>
      </c>
      <c r="H23" s="26">
        <f>SUM(F23*G23)</f>
        <v>3025</v>
      </c>
      <c r="J23" s="54"/>
      <c r="K23" s="376"/>
    </row>
    <row r="24" spans="1:11" s="13" customFormat="1" ht="26.4">
      <c r="A24" s="47"/>
      <c r="B24" s="47"/>
      <c r="C24" s="84" t="s">
        <v>1139</v>
      </c>
      <c r="D24" s="61" t="s">
        <v>1179</v>
      </c>
      <c r="E24" s="57" t="s">
        <v>503</v>
      </c>
      <c r="F24" s="40">
        <v>88</v>
      </c>
      <c r="G24" s="989">
        <v>18</v>
      </c>
      <c r="H24" s="26">
        <f t="shared" si="0"/>
        <v>1584</v>
      </c>
      <c r="J24" s="54"/>
      <c r="K24" s="376"/>
    </row>
    <row r="25" spans="1:11" s="13" customFormat="1">
      <c r="A25" s="47"/>
      <c r="B25" s="47"/>
      <c r="C25" s="84"/>
      <c r="D25" s="151"/>
      <c r="E25" s="15"/>
      <c r="F25" s="121"/>
      <c r="G25" s="989"/>
      <c r="H25" s="63"/>
      <c r="J25" s="54"/>
      <c r="K25" s="54"/>
    </row>
    <row r="26" spans="1:11" s="13" customFormat="1" ht="149.25" customHeight="1">
      <c r="A26" s="47" t="s">
        <v>243</v>
      </c>
      <c r="B26" s="47" t="s">
        <v>582</v>
      </c>
      <c r="C26" s="84"/>
      <c r="D26" s="56" t="s">
        <v>1061</v>
      </c>
      <c r="E26" s="15"/>
      <c r="F26" s="121"/>
      <c r="G26" s="989"/>
      <c r="H26" s="63"/>
      <c r="J26" s="54"/>
    </row>
    <row r="27" spans="1:11" s="13" customFormat="1" ht="15">
      <c r="A27" s="47"/>
      <c r="B27" s="47"/>
      <c r="C27" s="84" t="s">
        <v>240</v>
      </c>
      <c r="D27" s="61" t="s">
        <v>1062</v>
      </c>
      <c r="E27" s="57" t="s">
        <v>503</v>
      </c>
      <c r="F27" s="40">
        <v>154</v>
      </c>
      <c r="G27" s="989">
        <v>30</v>
      </c>
      <c r="H27" s="26">
        <f>SUM(F27*G27)</f>
        <v>4620</v>
      </c>
      <c r="J27" s="54"/>
      <c r="K27" s="122"/>
    </row>
    <row r="28" spans="1:11" s="13" customFormat="1" ht="15">
      <c r="A28" s="47"/>
      <c r="B28" s="47"/>
      <c r="C28" s="84" t="s">
        <v>241</v>
      </c>
      <c r="D28" s="61" t="s">
        <v>1063</v>
      </c>
      <c r="E28" s="57" t="s">
        <v>503</v>
      </c>
      <c r="F28" s="40">
        <v>100</v>
      </c>
      <c r="G28" s="989">
        <v>30</v>
      </c>
      <c r="H28" s="26">
        <f>SUM(F28*G28)</f>
        <v>3000</v>
      </c>
      <c r="J28" s="54"/>
      <c r="K28" s="122"/>
    </row>
    <row r="29" spans="1:11" s="13" customFormat="1">
      <c r="A29" s="47"/>
      <c r="B29" s="47"/>
      <c r="C29" s="84"/>
      <c r="D29" s="61"/>
      <c r="E29" s="57"/>
      <c r="F29" s="40"/>
      <c r="G29" s="989"/>
      <c r="H29" s="63"/>
      <c r="J29" s="54"/>
    </row>
    <row r="30" spans="1:11" s="13" customFormat="1" ht="118.8">
      <c r="A30" s="47" t="s">
        <v>243</v>
      </c>
      <c r="B30" s="47" t="s">
        <v>331</v>
      </c>
      <c r="C30" s="84"/>
      <c r="D30" s="157" t="s">
        <v>940</v>
      </c>
      <c r="E30" s="15"/>
      <c r="F30" s="130"/>
      <c r="G30" s="989"/>
      <c r="H30" s="63"/>
      <c r="J30" s="54"/>
    </row>
    <row r="31" spans="1:11" s="13" customFormat="1">
      <c r="A31" s="47"/>
      <c r="B31" s="47"/>
      <c r="C31" s="84"/>
      <c r="D31" s="61"/>
      <c r="E31" s="15" t="s">
        <v>344</v>
      </c>
      <c r="F31" s="40">
        <v>90</v>
      </c>
      <c r="G31" s="989">
        <v>20</v>
      </c>
      <c r="H31" s="26">
        <f>SUM(F31*G31)</f>
        <v>1800</v>
      </c>
      <c r="J31" s="54"/>
    </row>
    <row r="32" spans="1:11" s="13" customFormat="1">
      <c r="A32" s="47"/>
      <c r="B32" s="47"/>
      <c r="C32" s="84"/>
      <c r="D32" s="61"/>
      <c r="E32" s="15"/>
      <c r="F32" s="316"/>
      <c r="G32" s="989"/>
      <c r="H32" s="63"/>
      <c r="J32" s="54"/>
    </row>
    <row r="33" spans="1:17" s="13" customFormat="1" ht="66">
      <c r="A33" s="47" t="s">
        <v>243</v>
      </c>
      <c r="B33" s="47" t="s">
        <v>469</v>
      </c>
      <c r="C33" s="84"/>
      <c r="D33" s="56" t="s">
        <v>1115</v>
      </c>
      <c r="E33" s="317"/>
      <c r="F33" s="318"/>
      <c r="G33" s="989"/>
      <c r="H33" s="189"/>
      <c r="J33" s="54"/>
    </row>
    <row r="34" spans="1:17" s="13" customFormat="1">
      <c r="A34" s="47"/>
      <c r="B34" s="47"/>
      <c r="C34" s="84"/>
      <c r="D34" s="319" t="s">
        <v>1064</v>
      </c>
      <c r="E34" s="15" t="s">
        <v>522</v>
      </c>
      <c r="F34" s="40">
        <v>60</v>
      </c>
      <c r="G34" s="989">
        <v>300</v>
      </c>
      <c r="H34" s="26">
        <f>SUM(F34*G34)</f>
        <v>18000</v>
      </c>
      <c r="J34" s="54"/>
    </row>
    <row r="35" spans="1:17" s="13" customFormat="1">
      <c r="A35" s="47"/>
      <c r="B35" s="47"/>
      <c r="C35" s="84"/>
      <c r="D35" s="319"/>
      <c r="E35" s="15"/>
      <c r="F35" s="40"/>
      <c r="G35" s="989"/>
      <c r="H35" s="26"/>
      <c r="J35" s="54"/>
    </row>
    <row r="36" spans="1:17" s="13" customFormat="1" ht="79.2">
      <c r="A36" s="47" t="s">
        <v>243</v>
      </c>
      <c r="B36" s="47" t="s">
        <v>192</v>
      </c>
      <c r="C36" s="84"/>
      <c r="D36" s="56" t="s">
        <v>1116</v>
      </c>
      <c r="E36" s="317"/>
      <c r="F36" s="318"/>
      <c r="G36" s="989"/>
      <c r="H36" s="189"/>
      <c r="J36" s="54"/>
    </row>
    <row r="37" spans="1:17" s="13" customFormat="1">
      <c r="A37" s="47"/>
      <c r="B37" s="47"/>
      <c r="C37" s="84"/>
      <c r="D37" s="319"/>
      <c r="E37" s="15" t="s">
        <v>522</v>
      </c>
      <c r="F37" s="40">
        <v>109</v>
      </c>
      <c r="G37" s="989">
        <v>35</v>
      </c>
      <c r="H37" s="26">
        <f>SUM(F37*G37)</f>
        <v>3815</v>
      </c>
      <c r="J37" s="54"/>
    </row>
    <row r="38" spans="1:17" s="13" customFormat="1">
      <c r="A38" s="47"/>
      <c r="B38" s="47"/>
      <c r="C38" s="84"/>
      <c r="D38" s="319"/>
      <c r="E38" s="317"/>
      <c r="F38" s="40"/>
      <c r="G38" s="989"/>
      <c r="H38" s="26"/>
      <c r="J38" s="54"/>
    </row>
    <row r="39" spans="1:17" s="13" customFormat="1" ht="132.75" customHeight="1">
      <c r="A39" s="47" t="s">
        <v>243</v>
      </c>
      <c r="B39" s="47" t="s">
        <v>146</v>
      </c>
      <c r="C39" s="43"/>
      <c r="D39" s="56" t="s">
        <v>1337</v>
      </c>
      <c r="E39" s="57"/>
      <c r="F39" s="120"/>
      <c r="G39" s="989"/>
      <c r="H39" s="58"/>
      <c r="J39" s="54"/>
    </row>
    <row r="40" spans="1:17" s="13" customFormat="1" ht="15">
      <c r="A40" s="59"/>
      <c r="B40" s="47"/>
      <c r="C40" s="43"/>
      <c r="D40" s="60"/>
      <c r="E40" s="57" t="s">
        <v>503</v>
      </c>
      <c r="F40" s="40">
        <v>1025</v>
      </c>
      <c r="G40" s="989">
        <v>18</v>
      </c>
      <c r="H40" s="26">
        <f>SUM(F40*G40)</f>
        <v>18450</v>
      </c>
      <c r="J40" s="54"/>
      <c r="K40" s="122"/>
    </row>
    <row r="41" spans="1:17" s="13" customFormat="1">
      <c r="A41" s="59"/>
      <c r="B41" s="47"/>
      <c r="C41" s="43"/>
      <c r="D41" s="60"/>
      <c r="E41" s="57"/>
      <c r="F41" s="40"/>
      <c r="G41" s="989"/>
      <c r="H41" s="26"/>
      <c r="J41" s="54"/>
    </row>
    <row r="42" spans="1:17" s="13" customFormat="1" ht="133.80000000000001" customHeight="1">
      <c r="A42" s="47" t="s">
        <v>243</v>
      </c>
      <c r="B42" s="47" t="s">
        <v>147</v>
      </c>
      <c r="C42" s="84"/>
      <c r="D42" s="320" t="s">
        <v>1066</v>
      </c>
      <c r="E42" s="317"/>
      <c r="F42" s="318"/>
      <c r="G42" s="989"/>
      <c r="H42" s="26"/>
      <c r="J42" s="54"/>
    </row>
    <row r="43" spans="1:17" s="13" customFormat="1">
      <c r="A43" s="47"/>
      <c r="B43" s="47"/>
      <c r="C43" s="84"/>
      <c r="D43" s="320" t="s">
        <v>1067</v>
      </c>
      <c r="E43" s="317"/>
      <c r="F43" s="318"/>
      <c r="G43" s="989"/>
      <c r="H43" s="26"/>
      <c r="J43" s="54"/>
    </row>
    <row r="44" spans="1:17" s="13" customFormat="1" ht="52.8">
      <c r="A44" s="47"/>
      <c r="B44" s="47"/>
      <c r="C44" s="84"/>
      <c r="D44" s="56" t="s">
        <v>1068</v>
      </c>
      <c r="E44" s="317"/>
      <c r="F44" s="318"/>
      <c r="G44" s="989"/>
      <c r="H44" s="26"/>
      <c r="J44" s="54"/>
    </row>
    <row r="45" spans="1:17" s="13" customFormat="1" ht="39.6">
      <c r="A45" s="47"/>
      <c r="B45" s="47"/>
      <c r="C45" s="84"/>
      <c r="D45" s="56" t="s">
        <v>1069</v>
      </c>
      <c r="E45" s="317"/>
      <c r="F45" s="318"/>
      <c r="G45" s="989"/>
      <c r="H45" s="26"/>
      <c r="J45" s="54"/>
    </row>
    <row r="46" spans="1:17" s="13" customFormat="1" ht="52.8">
      <c r="A46" s="47"/>
      <c r="B46" s="47"/>
      <c r="C46" s="84" t="s">
        <v>240</v>
      </c>
      <c r="D46" s="56" t="s">
        <v>1173</v>
      </c>
      <c r="E46" s="321" t="s">
        <v>942</v>
      </c>
      <c r="F46" s="90">
        <v>4</v>
      </c>
      <c r="G46" s="989">
        <v>4400</v>
      </c>
      <c r="H46" s="91">
        <f>F46*G46</f>
        <v>17600</v>
      </c>
      <c r="J46" s="54"/>
    </row>
    <row r="47" spans="1:17" s="13" customFormat="1" ht="52.8">
      <c r="A47" s="47"/>
      <c r="B47" s="47"/>
      <c r="C47" s="84" t="s">
        <v>241</v>
      </c>
      <c r="D47" s="56" t="s">
        <v>1172</v>
      </c>
      <c r="E47" s="321" t="s">
        <v>942</v>
      </c>
      <c r="F47" s="90">
        <v>3</v>
      </c>
      <c r="G47" s="989">
        <v>3600</v>
      </c>
      <c r="H47" s="91">
        <f>F47*G47</f>
        <v>10800</v>
      </c>
      <c r="J47" s="54"/>
    </row>
    <row r="48" spans="1:17" s="13" customFormat="1">
      <c r="A48" s="323"/>
      <c r="B48" s="323"/>
      <c r="C48" s="324" t="s">
        <v>242</v>
      </c>
      <c r="D48" s="56" t="s">
        <v>943</v>
      </c>
      <c r="E48" s="321" t="s">
        <v>138</v>
      </c>
      <c r="F48" s="326">
        <v>72</v>
      </c>
      <c r="G48" s="989">
        <v>80</v>
      </c>
      <c r="H48" s="26">
        <f>SUM(F48*G48)</f>
        <v>5760</v>
      </c>
      <c r="J48" s="54"/>
      <c r="N48" s="325"/>
      <c r="O48" s="325"/>
      <c r="P48" s="327"/>
      <c r="Q48" s="325"/>
    </row>
    <row r="49" spans="1:17" s="13" customFormat="1">
      <c r="A49" s="47"/>
      <c r="B49" s="47"/>
      <c r="C49" s="84"/>
      <c r="D49" s="288"/>
      <c r="E49" s="321"/>
      <c r="F49" s="90"/>
      <c r="G49" s="989"/>
      <c r="H49" s="26"/>
      <c r="J49" s="54"/>
      <c r="N49" s="320"/>
      <c r="O49" s="89"/>
      <c r="P49" s="322"/>
      <c r="Q49" s="89"/>
    </row>
    <row r="50" spans="1:17" s="13" customFormat="1" ht="174.75" customHeight="1">
      <c r="A50" s="47" t="s">
        <v>243</v>
      </c>
      <c r="B50" s="47" t="s">
        <v>43</v>
      </c>
      <c r="C50" s="84"/>
      <c r="D50" s="56" t="s">
        <v>1180</v>
      </c>
      <c r="E50" s="57"/>
      <c r="F50" s="40"/>
      <c r="G50" s="989"/>
      <c r="H50" s="26"/>
      <c r="J50" s="53"/>
      <c r="N50" s="267"/>
      <c r="O50" s="377"/>
      <c r="P50" s="40"/>
      <c r="Q50" s="377"/>
    </row>
    <row r="51" spans="1:17" s="13" customFormat="1" ht="13.8">
      <c r="A51" s="47"/>
      <c r="B51" s="47"/>
      <c r="C51" s="84"/>
      <c r="D51" s="378"/>
      <c r="E51" s="57" t="s">
        <v>391</v>
      </c>
      <c r="F51" s="40">
        <v>90</v>
      </c>
      <c r="G51" s="989">
        <v>30</v>
      </c>
      <c r="H51" s="26">
        <f>SUM(F51*G51)</f>
        <v>2700</v>
      </c>
      <c r="J51" s="53"/>
      <c r="N51" s="267"/>
      <c r="O51" s="377"/>
      <c r="P51" s="40"/>
      <c r="Q51" s="377"/>
    </row>
    <row r="52" spans="1:17" s="13" customFormat="1" ht="13.8">
      <c r="A52" s="47"/>
      <c r="B52" s="47"/>
      <c r="C52" s="84"/>
      <c r="D52" s="378"/>
      <c r="E52" s="57"/>
      <c r="F52" s="40"/>
      <c r="G52" s="989"/>
      <c r="H52" s="26"/>
      <c r="J52" s="53"/>
      <c r="N52" s="267"/>
      <c r="O52" s="377"/>
      <c r="P52" s="40"/>
      <c r="Q52" s="377"/>
    </row>
    <row r="53" spans="1:17" s="13" customFormat="1">
      <c r="A53" s="47" t="s">
        <v>243</v>
      </c>
      <c r="B53" s="47" t="s">
        <v>185</v>
      </c>
      <c r="C53" s="84"/>
      <c r="D53" s="56" t="s">
        <v>1181</v>
      </c>
      <c r="E53" s="57"/>
      <c r="F53" s="40"/>
      <c r="G53" s="989"/>
      <c r="H53" s="26"/>
      <c r="J53" s="53"/>
      <c r="N53" s="267"/>
      <c r="O53" s="377"/>
      <c r="P53" s="40"/>
      <c r="Q53" s="377"/>
    </row>
    <row r="54" spans="1:17" s="13" customFormat="1" ht="26.4">
      <c r="A54" s="47"/>
      <c r="B54" s="47"/>
      <c r="C54" s="84"/>
      <c r="D54" s="56" t="s">
        <v>1182</v>
      </c>
      <c r="E54" s="57"/>
      <c r="F54" s="40"/>
      <c r="G54" s="989"/>
      <c r="H54" s="26"/>
      <c r="J54" s="53"/>
      <c r="N54" s="267"/>
      <c r="O54" s="377"/>
      <c r="P54" s="40"/>
      <c r="Q54" s="377"/>
    </row>
    <row r="55" spans="1:17" s="13" customFormat="1">
      <c r="A55" s="47"/>
      <c r="B55" s="47"/>
      <c r="C55" s="84"/>
      <c r="D55" s="56"/>
      <c r="E55" s="321" t="s">
        <v>138</v>
      </c>
      <c r="F55" s="326">
        <v>400</v>
      </c>
      <c r="G55" s="989">
        <v>5</v>
      </c>
      <c r="H55" s="26">
        <f>SUM(F55*G55)</f>
        <v>2000</v>
      </c>
      <c r="J55" s="53"/>
      <c r="N55" s="267"/>
      <c r="O55" s="377"/>
      <c r="P55" s="40"/>
      <c r="Q55" s="377"/>
    </row>
    <row r="56" spans="1:17" s="13" customFormat="1">
      <c r="A56" s="47"/>
      <c r="B56" s="47"/>
      <c r="C56" s="84"/>
      <c r="D56" s="56"/>
      <c r="E56" s="321"/>
      <c r="F56" s="90"/>
      <c r="G56" s="989"/>
      <c r="H56" s="26"/>
      <c r="J56" s="54"/>
      <c r="N56" s="320"/>
      <c r="O56" s="89"/>
      <c r="P56" s="322"/>
      <c r="Q56" s="89"/>
    </row>
    <row r="57" spans="1:17" ht="105.6">
      <c r="A57" s="47" t="s">
        <v>243</v>
      </c>
      <c r="B57" s="47" t="s">
        <v>397</v>
      </c>
      <c r="C57" s="84"/>
      <c r="D57" s="56" t="s">
        <v>550</v>
      </c>
      <c r="E57" s="15"/>
      <c r="F57" s="130"/>
      <c r="G57" s="989"/>
      <c r="H57" s="63"/>
      <c r="I57" s="13"/>
      <c r="N57" s="320"/>
      <c r="O57" s="328"/>
      <c r="P57" s="320"/>
      <c r="Q57" s="328"/>
    </row>
    <row r="58" spans="1:17" ht="15">
      <c r="A58" s="47" t="s">
        <v>330</v>
      </c>
      <c r="B58" s="47" t="s">
        <v>330</v>
      </c>
      <c r="C58" s="84"/>
      <c r="D58" s="56" t="s">
        <v>551</v>
      </c>
      <c r="E58" s="329" t="s">
        <v>552</v>
      </c>
      <c r="F58" s="329">
        <v>120</v>
      </c>
      <c r="G58" s="989">
        <v>10</v>
      </c>
      <c r="H58" s="26">
        <f>SUM(F58*G58)</f>
        <v>1200</v>
      </c>
      <c r="I58" s="13"/>
      <c r="N58" s="320"/>
      <c r="O58" s="89"/>
      <c r="P58"/>
      <c r="Q58" s="89"/>
    </row>
    <row r="59" spans="1:17">
      <c r="A59" s="47"/>
      <c r="B59" s="47"/>
      <c r="C59" s="84"/>
      <c r="D59" s="56" t="s">
        <v>553</v>
      </c>
      <c r="E59" s="329" t="s">
        <v>552</v>
      </c>
      <c r="F59" s="329">
        <v>120</v>
      </c>
      <c r="G59" s="989">
        <v>15</v>
      </c>
      <c r="H59" s="26">
        <f>SUM(F59*G59)</f>
        <v>1800</v>
      </c>
      <c r="I59" s="13"/>
      <c r="N59" s="320"/>
      <c r="O59" s="89"/>
      <c r="P59" s="320"/>
      <c r="Q59" s="89"/>
    </row>
    <row r="60" spans="1:17">
      <c r="A60" s="47"/>
      <c r="B60" s="47"/>
      <c r="C60" s="84"/>
      <c r="D60" s="56" t="s">
        <v>554</v>
      </c>
      <c r="E60" s="329" t="s">
        <v>552</v>
      </c>
      <c r="F60" s="329">
        <v>80</v>
      </c>
      <c r="G60" s="989">
        <v>20</v>
      </c>
      <c r="H60" s="26">
        <f>SUM(F60*G60)</f>
        <v>1600</v>
      </c>
      <c r="I60" s="13"/>
      <c r="N60" s="330"/>
      <c r="O60" s="89"/>
      <c r="P60" s="90"/>
      <c r="Q60" s="89"/>
    </row>
    <row r="61" spans="1:17">
      <c r="A61" s="47"/>
      <c r="B61" s="47"/>
      <c r="C61" s="84"/>
      <c r="D61" s="331"/>
      <c r="E61" s="85"/>
      <c r="F61" s="86"/>
      <c r="G61" s="989"/>
      <c r="H61" s="87"/>
      <c r="I61" s="13"/>
      <c r="N61" s="88"/>
      <c r="O61" s="89"/>
      <c r="P61" s="90"/>
      <c r="Q61" s="91"/>
    </row>
    <row r="62" spans="1:17" ht="135" customHeight="1">
      <c r="A62" s="47" t="s">
        <v>243</v>
      </c>
      <c r="B62" s="47" t="s">
        <v>109</v>
      </c>
      <c r="C62" s="84"/>
      <c r="D62" s="56" t="s">
        <v>555</v>
      </c>
      <c r="E62" s="85"/>
      <c r="F62" s="86"/>
      <c r="G62" s="989"/>
      <c r="H62" s="87"/>
      <c r="I62" s="13"/>
      <c r="N62" s="88"/>
      <c r="O62" s="89"/>
      <c r="P62" s="90"/>
      <c r="Q62" s="91"/>
    </row>
    <row r="63" spans="1:17" ht="15">
      <c r="A63" s="47"/>
      <c r="B63" s="47"/>
      <c r="C63" s="84"/>
      <c r="D63" s="56"/>
      <c r="E63" s="15" t="s">
        <v>572</v>
      </c>
      <c r="F63" s="92">
        <v>1</v>
      </c>
      <c r="G63" s="989">
        <v>2500</v>
      </c>
      <c r="H63" s="26">
        <f>SUM(F63*G63)</f>
        <v>2500</v>
      </c>
      <c r="I63" s="13"/>
      <c r="K63" s="122"/>
      <c r="N63" s="88"/>
      <c r="O63" s="89"/>
      <c r="P63" s="90"/>
      <c r="Q63" s="91"/>
    </row>
    <row r="64" spans="1:17" ht="13.8" thickBot="1">
      <c r="A64" s="47"/>
      <c r="B64" s="47"/>
      <c r="C64" s="84"/>
      <c r="D64" s="331"/>
      <c r="E64" s="15"/>
      <c r="F64" s="15"/>
      <c r="G64" s="989"/>
      <c r="H64" s="20"/>
      <c r="I64" s="13"/>
      <c r="N64" s="320"/>
      <c r="O64" s="89"/>
      <c r="P64" s="332"/>
      <c r="Q64" s="91"/>
    </row>
    <row r="65" spans="1:17">
      <c r="A65" s="158" t="s">
        <v>243</v>
      </c>
      <c r="B65" s="158"/>
      <c r="C65" s="333"/>
      <c r="D65" s="334" t="s">
        <v>556</v>
      </c>
      <c r="E65" s="163"/>
      <c r="F65" s="335"/>
      <c r="G65" s="998"/>
      <c r="H65" s="26">
        <f>SUM(H10:H64)</f>
        <v>136944</v>
      </c>
      <c r="I65" s="147"/>
      <c r="J65" s="173"/>
      <c r="N65" s="320"/>
      <c r="O65" s="89"/>
      <c r="P65" s="332"/>
      <c r="Q65" s="91"/>
    </row>
    <row r="66" spans="1:17">
      <c r="F66" s="337"/>
    </row>
  </sheetData>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2:K16"/>
  <sheetViews>
    <sheetView view="pageBreakPreview" topLeftCell="A11" zoomScaleNormal="100" zoomScaleSheetLayoutView="100" zoomScalePageLayoutView="90" workbookViewId="0">
      <selection activeCell="G14" sqref="G14"/>
    </sheetView>
  </sheetViews>
  <sheetFormatPr defaultColWidth="8.1796875" defaultRowHeight="13.2"/>
  <cols>
    <col min="1" max="1" width="3.6328125" style="25" customWidth="1"/>
    <col min="2" max="2" width="2.90625" style="25" customWidth="1"/>
    <col min="3" max="3" width="2.08984375" style="13" customWidth="1"/>
    <col min="4" max="4" width="31.1796875" style="80" customWidth="1"/>
    <col min="5" max="5" width="4.6328125" style="15" customWidth="1"/>
    <col min="6" max="6" width="7.90625" style="14" customWidth="1"/>
    <col min="7" max="7" width="10.08984375" style="989" customWidth="1"/>
    <col min="8" max="8" width="11.453125" style="63" customWidth="1"/>
    <col min="9" max="10" width="8.1796875" style="13"/>
    <col min="11" max="11" width="9.08984375" style="13" bestFit="1" customWidth="1"/>
    <col min="12" max="16384" width="8.1796875" style="13"/>
  </cols>
  <sheetData>
    <row r="2" spans="1:11" ht="13.8" thickBot="1">
      <c r="A2" s="137" t="s">
        <v>582</v>
      </c>
      <c r="B2" s="137"/>
      <c r="C2" s="138"/>
      <c r="D2" s="148" t="s">
        <v>526</v>
      </c>
      <c r="E2" s="149"/>
      <c r="F2" s="159"/>
      <c r="G2" s="999"/>
      <c r="H2" s="150"/>
    </row>
    <row r="3" spans="1:11">
      <c r="A3" s="47"/>
      <c r="B3" s="47"/>
      <c r="C3" s="301"/>
      <c r="E3" s="302"/>
      <c r="F3" s="303"/>
      <c r="G3" s="1000"/>
      <c r="H3" s="18"/>
    </row>
    <row r="4" spans="1:11">
      <c r="A4" s="47"/>
      <c r="B4" s="47"/>
      <c r="C4" s="301"/>
      <c r="D4" s="80" t="s">
        <v>314</v>
      </c>
      <c r="E4" s="302"/>
      <c r="F4" s="303"/>
      <c r="G4" s="1000"/>
      <c r="H4" s="18"/>
    </row>
    <row r="5" spans="1:11" ht="52.8">
      <c r="A5" s="47"/>
      <c r="B5" s="47"/>
      <c r="C5" s="301"/>
      <c r="D5" s="80" t="s">
        <v>518</v>
      </c>
      <c r="E5" s="302"/>
      <c r="F5" s="303"/>
      <c r="G5" s="1000"/>
      <c r="H5" s="18"/>
    </row>
    <row r="6" spans="1:11" ht="26.4">
      <c r="B6" s="47"/>
      <c r="D6" s="80" t="s">
        <v>912</v>
      </c>
    </row>
    <row r="8" spans="1:11">
      <c r="A8" s="25" t="s">
        <v>507</v>
      </c>
      <c r="B8" s="25" t="s">
        <v>508</v>
      </c>
      <c r="D8" s="80" t="s">
        <v>504</v>
      </c>
      <c r="E8" s="15" t="s">
        <v>505</v>
      </c>
      <c r="F8" s="14" t="s">
        <v>506</v>
      </c>
      <c r="G8" s="989" t="s">
        <v>509</v>
      </c>
      <c r="H8" s="63" t="s">
        <v>510</v>
      </c>
    </row>
    <row r="9" spans="1:11">
      <c r="A9" s="82"/>
      <c r="B9" s="78"/>
      <c r="C9" s="79"/>
      <c r="F9" s="110"/>
      <c r="G9" s="1001"/>
      <c r="H9" s="304"/>
    </row>
    <row r="10" spans="1:11" ht="290.39999999999998">
      <c r="A10" s="78" t="s">
        <v>582</v>
      </c>
      <c r="B10" s="78" t="s">
        <v>102</v>
      </c>
      <c r="C10" s="79"/>
      <c r="D10" s="80" t="s">
        <v>1071</v>
      </c>
      <c r="F10" s="23"/>
      <c r="G10" s="1002"/>
      <c r="H10" s="81"/>
    </row>
    <row r="11" spans="1:11" ht="184.8">
      <c r="D11" s="80" t="s">
        <v>911</v>
      </c>
    </row>
    <row r="12" spans="1:11" ht="118.8">
      <c r="A12" s="82"/>
      <c r="B12" s="82"/>
      <c r="D12" s="80" t="s">
        <v>1070</v>
      </c>
    </row>
    <row r="13" spans="1:11" ht="15">
      <c r="A13" s="82"/>
      <c r="B13" s="82"/>
      <c r="C13" s="83"/>
      <c r="E13" s="15" t="s">
        <v>503</v>
      </c>
      <c r="F13" s="14">
        <v>1680</v>
      </c>
      <c r="G13" s="989">
        <v>13</v>
      </c>
      <c r="H13" s="26">
        <f>SUM(F13*G13)</f>
        <v>21840</v>
      </c>
      <c r="K13" s="122"/>
    </row>
    <row r="14" spans="1:11" ht="13.8" thickBot="1">
      <c r="A14" s="305"/>
      <c r="B14" s="305"/>
      <c r="C14" s="306"/>
      <c r="D14" s="238"/>
      <c r="E14" s="24"/>
      <c r="F14" s="22"/>
      <c r="G14" s="1003"/>
      <c r="H14" s="307"/>
    </row>
    <row r="15" spans="1:11" s="17" customFormat="1">
      <c r="A15" s="82" t="s">
        <v>582</v>
      </c>
      <c r="B15" s="82"/>
      <c r="C15" s="308"/>
      <c r="D15" s="60" t="s">
        <v>557</v>
      </c>
      <c r="E15" s="145"/>
      <c r="F15" s="172"/>
      <c r="G15" s="1004"/>
      <c r="H15" s="26">
        <f>SUM(H11:H14)</f>
        <v>21840</v>
      </c>
    </row>
    <row r="16" spans="1:11" s="17" customFormat="1">
      <c r="A16" s="82"/>
      <c r="B16" s="41"/>
      <c r="D16" s="60"/>
      <c r="E16" s="145"/>
      <c r="F16" s="309"/>
      <c r="G16" s="1005"/>
      <c r="H16" s="18"/>
    </row>
  </sheetData>
  <dataConsolidate link="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O103"/>
  <sheetViews>
    <sheetView view="pageBreakPreview" topLeftCell="B94" zoomScaleNormal="100" zoomScaleSheetLayoutView="100" zoomScalePageLayoutView="130" workbookViewId="0">
      <selection activeCell="G93" sqref="G93"/>
    </sheetView>
  </sheetViews>
  <sheetFormatPr defaultColWidth="8.1796875" defaultRowHeight="13.2"/>
  <cols>
    <col min="1" max="2" width="3.36328125" style="186" customWidth="1"/>
    <col min="3" max="3" width="2.36328125" style="16" customWidth="1"/>
    <col min="4" max="4" width="31.1796875" style="300" customWidth="1"/>
    <col min="5" max="5" width="4.54296875" style="178" customWidth="1"/>
    <col min="6" max="6" width="7.90625" style="180" customWidth="1"/>
    <col min="7" max="7" width="10.08984375" style="989" customWidth="1"/>
    <col min="8" max="8" width="11.453125" style="179" customWidth="1"/>
    <col min="9" max="9" width="13.81640625" style="16" customWidth="1"/>
    <col min="10" max="10" width="9.08984375" style="16" bestFit="1" customWidth="1"/>
    <col min="11" max="14" width="8.1796875" style="16"/>
    <col min="15" max="15" width="9.453125" style="16" bestFit="1" customWidth="1"/>
    <col min="16" max="16384" width="8.1796875" style="16"/>
  </cols>
  <sheetData>
    <row r="1" spans="1:15" s="281" customFormat="1">
      <c r="A1" s="280"/>
      <c r="B1" s="280"/>
      <c r="D1" s="282"/>
      <c r="E1" s="283"/>
      <c r="F1" s="284"/>
      <c r="G1" s="989"/>
      <c r="H1" s="285"/>
    </row>
    <row r="2" spans="1:15" s="13" customFormat="1" ht="13.8" thickBot="1">
      <c r="A2" s="137" t="s">
        <v>331</v>
      </c>
      <c r="B2" s="137"/>
      <c r="C2" s="138"/>
      <c r="D2" s="286" t="s">
        <v>6</v>
      </c>
      <c r="E2" s="149"/>
      <c r="F2" s="159"/>
      <c r="G2" s="995"/>
      <c r="H2" s="150"/>
      <c r="J2" s="16"/>
      <c r="K2" s="16"/>
    </row>
    <row r="3" spans="1:15" s="13" customFormat="1">
      <c r="A3" s="41"/>
      <c r="B3" s="41"/>
      <c r="C3" s="38"/>
      <c r="D3" s="42"/>
      <c r="E3" s="43"/>
      <c r="F3" s="287"/>
      <c r="G3" s="989"/>
      <c r="H3" s="63"/>
      <c r="J3" s="16"/>
      <c r="K3" s="16"/>
    </row>
    <row r="4" spans="1:15" s="13" customFormat="1">
      <c r="A4" s="41"/>
      <c r="B4" s="41"/>
      <c r="C4" s="38"/>
      <c r="D4" s="42" t="s">
        <v>314</v>
      </c>
      <c r="E4" s="43"/>
      <c r="F4" s="287"/>
      <c r="G4" s="989"/>
      <c r="H4" s="63"/>
      <c r="J4" s="16"/>
      <c r="K4" s="16"/>
    </row>
    <row r="5" spans="1:15" s="13" customFormat="1" ht="52.8">
      <c r="A5" s="41"/>
      <c r="B5" s="41"/>
      <c r="C5" s="38"/>
      <c r="D5" s="55" t="s">
        <v>518</v>
      </c>
      <c r="E5" s="43"/>
      <c r="F5" s="287"/>
      <c r="G5" s="989"/>
      <c r="H5" s="63"/>
      <c r="J5" s="16"/>
      <c r="K5" s="16"/>
    </row>
    <row r="6" spans="1:15" s="13" customFormat="1" ht="118.8">
      <c r="A6" s="41"/>
      <c r="B6" s="41"/>
      <c r="C6" s="38"/>
      <c r="D6" s="55" t="s">
        <v>539</v>
      </c>
      <c r="E6" s="43"/>
      <c r="F6" s="287"/>
      <c r="G6" s="989"/>
      <c r="H6" s="63"/>
      <c r="J6" s="288"/>
      <c r="K6" s="16"/>
    </row>
    <row r="7" spans="1:15" ht="26.4">
      <c r="A7" s="41"/>
      <c r="B7" s="41"/>
      <c r="C7" s="38"/>
      <c r="D7" s="42" t="s">
        <v>541</v>
      </c>
      <c r="E7" s="43"/>
      <c r="F7" s="287"/>
      <c r="H7" s="63"/>
      <c r="I7" s="13"/>
      <c r="J7" s="288"/>
    </row>
    <row r="8" spans="1:15" s="13" customFormat="1">
      <c r="A8" s="186"/>
      <c r="B8" s="186"/>
      <c r="C8" s="182"/>
      <c r="D8" s="289"/>
      <c r="E8" s="178"/>
      <c r="F8" s="290"/>
      <c r="G8" s="989"/>
      <c r="H8" s="179"/>
      <c r="I8" s="16"/>
      <c r="J8" s="16"/>
      <c r="K8" s="16"/>
    </row>
    <row r="9" spans="1:15">
      <c r="A9" s="25" t="s">
        <v>507</v>
      </c>
      <c r="B9" s="25" t="s">
        <v>508</v>
      </c>
      <c r="C9" s="39"/>
      <c r="D9" s="42" t="s">
        <v>504</v>
      </c>
      <c r="E9" s="43" t="s">
        <v>505</v>
      </c>
      <c r="F9" s="287" t="s">
        <v>506</v>
      </c>
      <c r="G9" s="989" t="s">
        <v>509</v>
      </c>
      <c r="H9" s="63" t="s">
        <v>510</v>
      </c>
      <c r="I9" s="13"/>
    </row>
    <row r="10" spans="1:15" s="13" customFormat="1">
      <c r="A10" s="186"/>
      <c r="B10" s="186"/>
      <c r="C10" s="181"/>
      <c r="D10" s="282"/>
      <c r="E10" s="178"/>
      <c r="F10" s="290"/>
      <c r="G10" s="989"/>
      <c r="H10" s="179"/>
      <c r="I10" s="16"/>
      <c r="J10" s="16"/>
      <c r="K10" s="16"/>
    </row>
    <row r="11" spans="1:15" s="13" customFormat="1">
      <c r="A11" s="41"/>
      <c r="B11" s="41"/>
      <c r="C11" s="38"/>
      <c r="D11" s="42" t="s">
        <v>527</v>
      </c>
      <c r="E11" s="43"/>
      <c r="F11" s="291" t="str">
        <f>IF(ISNUMBER(#REF!),IF(OR(E11="m1",E11="m2",E11="m3",E11="kg"),INT(#REF!*(1+#REF!/100)+0.999),INT(#REF!+0.999)),"")</f>
        <v/>
      </c>
      <c r="G11" s="989"/>
      <c r="H11" s="63"/>
      <c r="J11" s="16"/>
      <c r="K11" s="16"/>
    </row>
    <row r="12" spans="1:15" s="13" customFormat="1" ht="162.75" customHeight="1">
      <c r="A12" s="96" t="s">
        <v>331</v>
      </c>
      <c r="B12" s="41" t="s">
        <v>102</v>
      </c>
      <c r="C12" s="38"/>
      <c r="D12" s="55" t="s">
        <v>1073</v>
      </c>
      <c r="E12" s="43"/>
      <c r="F12" s="291" t="str">
        <f>IF(ISNUMBER(#REF!),IF(OR(E12="m1",E12="m2",E12="m3",E12="kg"),INT(#REF!*(1+#REF!/100)+0.999),INT(#REF!+0.999)),"")</f>
        <v/>
      </c>
      <c r="G12" s="989"/>
      <c r="H12" s="63"/>
      <c r="J12" s="16"/>
      <c r="K12" s="16"/>
    </row>
    <row r="13" spans="1:15" s="13" customFormat="1" ht="124.5" customHeight="1">
      <c r="A13" s="41"/>
      <c r="B13" s="41"/>
      <c r="C13" s="38"/>
      <c r="D13" s="55" t="s">
        <v>1072</v>
      </c>
      <c r="E13" s="43"/>
      <c r="F13" s="291"/>
      <c r="G13" s="989"/>
      <c r="H13" s="63"/>
      <c r="J13" s="16"/>
      <c r="K13" s="16"/>
      <c r="O13" s="58"/>
    </row>
    <row r="14" spans="1:15" s="13" customFormat="1">
      <c r="A14" s="41"/>
      <c r="B14" s="41"/>
      <c r="C14" s="38"/>
      <c r="D14" s="117" t="s">
        <v>957</v>
      </c>
      <c r="E14" s="15" t="s">
        <v>520</v>
      </c>
      <c r="F14" s="14">
        <v>600</v>
      </c>
      <c r="G14" s="989">
        <v>28</v>
      </c>
      <c r="H14" s="26">
        <f>SUM(F14*G14)</f>
        <v>16800</v>
      </c>
      <c r="J14" s="54"/>
      <c r="K14" s="16"/>
      <c r="M14" s="54"/>
    </row>
    <row r="15" spans="1:15" s="13" customFormat="1">
      <c r="A15" s="41"/>
      <c r="B15" s="41"/>
      <c r="C15" s="38"/>
      <c r="D15" s="117"/>
      <c r="E15" s="15"/>
      <c r="F15" s="14"/>
      <c r="G15" s="989"/>
      <c r="H15" s="26"/>
      <c r="J15" s="54"/>
      <c r="K15" s="16"/>
      <c r="M15" s="54"/>
    </row>
    <row r="16" spans="1:15" s="13" customFormat="1" ht="92.4">
      <c r="A16" s="96" t="s">
        <v>331</v>
      </c>
      <c r="B16" s="41" t="s">
        <v>311</v>
      </c>
      <c r="C16" s="38"/>
      <c r="D16" s="55" t="s">
        <v>1075</v>
      </c>
      <c r="E16" s="15"/>
      <c r="F16" s="14"/>
      <c r="G16" s="989"/>
      <c r="H16" s="26"/>
      <c r="I16" s="17"/>
      <c r="J16" s="54"/>
      <c r="K16" s="16"/>
      <c r="M16" s="54"/>
    </row>
    <row r="17" spans="1:13" s="13" customFormat="1" ht="409.5" customHeight="1">
      <c r="A17" s="41"/>
      <c r="B17" s="41"/>
      <c r="C17" s="38"/>
      <c r="D17" s="55" t="s">
        <v>1074</v>
      </c>
      <c r="E17" s="15"/>
      <c r="F17" s="14"/>
      <c r="G17" s="989"/>
      <c r="H17" s="26"/>
      <c r="J17" s="54"/>
      <c r="K17" s="16"/>
      <c r="M17" s="54"/>
    </row>
    <row r="18" spans="1:13" s="13" customFormat="1" ht="190.5" customHeight="1">
      <c r="A18" s="41"/>
      <c r="B18" s="41"/>
      <c r="C18" s="38"/>
      <c r="D18" s="55" t="s">
        <v>1076</v>
      </c>
      <c r="E18" s="15"/>
      <c r="F18" s="14"/>
      <c r="G18" s="989"/>
      <c r="H18" s="26"/>
      <c r="J18" s="54"/>
      <c r="K18" s="16"/>
      <c r="M18" s="54"/>
    </row>
    <row r="19" spans="1:13" s="13" customFormat="1">
      <c r="A19" s="41"/>
      <c r="B19" s="41"/>
      <c r="C19" s="38"/>
      <c r="D19" s="117" t="s">
        <v>922</v>
      </c>
      <c r="E19" s="15" t="s">
        <v>520</v>
      </c>
      <c r="F19" s="14">
        <v>180</v>
      </c>
      <c r="G19" s="989">
        <v>30</v>
      </c>
      <c r="H19" s="26">
        <f>SUM(F19*G19)</f>
        <v>5400</v>
      </c>
      <c r="J19" s="54"/>
      <c r="K19" s="16"/>
      <c r="M19" s="54"/>
    </row>
    <row r="20" spans="1:13" s="13" customFormat="1">
      <c r="A20" s="41"/>
      <c r="B20" s="41"/>
      <c r="C20" s="38"/>
      <c r="D20" s="117"/>
      <c r="E20" s="15"/>
      <c r="F20" s="14"/>
      <c r="G20" s="989"/>
      <c r="H20" s="26"/>
      <c r="J20" s="54"/>
      <c r="K20" s="16"/>
      <c r="M20" s="54"/>
    </row>
    <row r="21" spans="1:13" s="13" customFormat="1" ht="211.2">
      <c r="A21" s="96" t="s">
        <v>331</v>
      </c>
      <c r="B21" s="41" t="s">
        <v>243</v>
      </c>
      <c r="C21" s="38"/>
      <c r="D21" s="55" t="s">
        <v>1077</v>
      </c>
      <c r="E21" s="15"/>
      <c r="F21" s="14"/>
      <c r="G21" s="989"/>
      <c r="H21" s="26"/>
      <c r="I21" s="17"/>
      <c r="J21" s="54"/>
      <c r="K21" s="16"/>
      <c r="M21" s="54"/>
    </row>
    <row r="22" spans="1:13" s="13" customFormat="1">
      <c r="A22" s="41"/>
      <c r="B22" s="41"/>
      <c r="C22" s="38"/>
      <c r="D22" s="117"/>
      <c r="E22" s="15" t="s">
        <v>520</v>
      </c>
      <c r="F22" s="14">
        <v>280</v>
      </c>
      <c r="G22" s="989">
        <v>20</v>
      </c>
      <c r="H22" s="26">
        <f>SUM(F22*G22)</f>
        <v>5600</v>
      </c>
      <c r="J22" s="54"/>
      <c r="K22" s="16"/>
      <c r="M22" s="54"/>
    </row>
    <row r="23" spans="1:13" s="13" customFormat="1">
      <c r="A23" s="41"/>
      <c r="B23" s="41"/>
      <c r="C23" s="38"/>
      <c r="D23" s="117"/>
      <c r="E23" s="15"/>
      <c r="F23" s="40"/>
      <c r="G23" s="989"/>
      <c r="H23" s="45"/>
      <c r="J23" s="16"/>
      <c r="K23" s="16"/>
      <c r="M23" s="54"/>
    </row>
    <row r="24" spans="1:13" s="13" customFormat="1" ht="287.25" customHeight="1">
      <c r="A24" s="96" t="s">
        <v>331</v>
      </c>
      <c r="B24" s="47" t="s">
        <v>582</v>
      </c>
      <c r="C24" s="43"/>
      <c r="D24" s="42" t="s">
        <v>1081</v>
      </c>
      <c r="E24" s="15"/>
      <c r="F24" s="66"/>
      <c r="G24" s="989"/>
      <c r="H24" s="44"/>
      <c r="I24" s="292"/>
      <c r="J24" s="16"/>
      <c r="K24" s="16"/>
    </row>
    <row r="25" spans="1:13" s="13" customFormat="1">
      <c r="A25" s="95"/>
      <c r="B25" s="47"/>
      <c r="C25" s="43"/>
      <c r="D25" s="117" t="s">
        <v>1078</v>
      </c>
      <c r="E25" s="15" t="s">
        <v>520</v>
      </c>
      <c r="F25" s="14">
        <v>90</v>
      </c>
      <c r="G25" s="989">
        <v>25</v>
      </c>
      <c r="H25" s="26">
        <f>SUM(F25*G25)</f>
        <v>2250</v>
      </c>
      <c r="I25" s="45"/>
      <c r="J25" s="16"/>
      <c r="K25" s="16"/>
    </row>
    <row r="26" spans="1:13" s="13" customFormat="1">
      <c r="A26" s="95"/>
      <c r="B26" s="47"/>
      <c r="C26" s="43"/>
      <c r="D26" s="117"/>
      <c r="E26" s="15"/>
      <c r="F26" s="14"/>
      <c r="G26" s="989"/>
      <c r="H26" s="26"/>
      <c r="I26" s="45"/>
      <c r="J26" s="16"/>
      <c r="K26" s="16"/>
    </row>
    <row r="27" spans="1:13" s="13" customFormat="1" ht="232.5" customHeight="1">
      <c r="A27" s="96" t="s">
        <v>331</v>
      </c>
      <c r="B27" s="41" t="s">
        <v>331</v>
      </c>
      <c r="C27" s="43"/>
      <c r="D27" s="367" t="s">
        <v>1110</v>
      </c>
      <c r="E27" s="15"/>
      <c r="F27" s="14"/>
      <c r="G27" s="989"/>
      <c r="H27" s="26"/>
      <c r="I27" s="97"/>
      <c r="J27" s="16"/>
      <c r="K27" s="16"/>
    </row>
    <row r="28" spans="1:13" s="13" customFormat="1" ht="92.4">
      <c r="A28" s="96"/>
      <c r="B28" s="41"/>
      <c r="C28" s="43"/>
      <c r="D28" s="367" t="s">
        <v>1111</v>
      </c>
      <c r="E28" s="15"/>
      <c r="F28" s="14"/>
      <c r="G28" s="989"/>
      <c r="H28" s="26"/>
      <c r="I28" s="97"/>
      <c r="J28" s="16"/>
      <c r="K28" s="16"/>
    </row>
    <row r="29" spans="1:13" s="13" customFormat="1" ht="52.8">
      <c r="A29" s="96"/>
      <c r="B29" s="41"/>
      <c r="C29" s="43"/>
      <c r="D29" s="61" t="s">
        <v>528</v>
      </c>
      <c r="E29" s="15"/>
      <c r="F29" s="14"/>
      <c r="G29" s="989"/>
      <c r="H29" s="26"/>
      <c r="I29" s="97"/>
      <c r="J29" s="16"/>
      <c r="K29" s="16"/>
    </row>
    <row r="30" spans="1:13" s="13" customFormat="1">
      <c r="A30" s="95"/>
      <c r="B30" s="47"/>
      <c r="C30" s="43"/>
      <c r="D30" s="117" t="s">
        <v>1456</v>
      </c>
      <c r="E30" s="15" t="s">
        <v>520</v>
      </c>
      <c r="F30" s="14">
        <v>100</v>
      </c>
      <c r="G30" s="989">
        <v>70</v>
      </c>
      <c r="H30" s="26">
        <f>SUM(F30*G30)</f>
        <v>7000</v>
      </c>
      <c r="I30" s="97"/>
      <c r="J30" s="16"/>
      <c r="K30" s="16"/>
    </row>
    <row r="31" spans="1:13" s="13" customFormat="1">
      <c r="A31" s="95"/>
      <c r="B31" s="47"/>
      <c r="C31" s="43"/>
      <c r="D31" s="117"/>
      <c r="E31" s="15"/>
      <c r="F31" s="14"/>
      <c r="G31" s="989"/>
      <c r="H31" s="26"/>
      <c r="I31" s="61"/>
      <c r="J31" s="16"/>
      <c r="K31" s="16"/>
    </row>
    <row r="32" spans="1:13" s="13" customFormat="1" ht="66">
      <c r="A32" s="96" t="s">
        <v>331</v>
      </c>
      <c r="B32" s="41" t="s">
        <v>469</v>
      </c>
      <c r="C32" s="38"/>
      <c r="D32" s="42" t="s">
        <v>1079</v>
      </c>
      <c r="E32" s="43"/>
      <c r="F32" s="291"/>
      <c r="G32" s="989"/>
      <c r="H32" s="63"/>
      <c r="I32" s="17"/>
      <c r="J32" s="16"/>
      <c r="K32" s="16"/>
    </row>
    <row r="33" spans="1:11" s="147" customFormat="1" ht="52.8">
      <c r="A33" s="41"/>
      <c r="B33" s="41"/>
      <c r="C33" s="38"/>
      <c r="D33" s="42" t="s">
        <v>530</v>
      </c>
      <c r="E33" s="43"/>
      <c r="F33" s="43"/>
      <c r="G33" s="989"/>
      <c r="H33" s="13"/>
      <c r="I33" s="13"/>
      <c r="J33" s="16"/>
      <c r="K33" s="16"/>
    </row>
    <row r="34" spans="1:11" s="147" customFormat="1">
      <c r="A34" s="41"/>
      <c r="B34" s="41"/>
      <c r="C34" s="38"/>
      <c r="D34" s="117" t="s">
        <v>921</v>
      </c>
      <c r="E34" s="43" t="s">
        <v>520</v>
      </c>
      <c r="F34" s="44">
        <v>65</v>
      </c>
      <c r="G34" s="989">
        <v>5</v>
      </c>
      <c r="H34" s="26">
        <f>SUM(F34*G34)</f>
        <v>325</v>
      </c>
      <c r="J34" s="16"/>
      <c r="K34" s="16"/>
    </row>
    <row r="35" spans="1:11" s="147" customFormat="1">
      <c r="A35" s="41"/>
      <c r="B35" s="41"/>
      <c r="C35" s="38"/>
      <c r="D35" s="117"/>
      <c r="E35" s="43"/>
      <c r="F35" s="44"/>
      <c r="G35" s="989"/>
      <c r="H35" s="63"/>
      <c r="J35" s="16"/>
      <c r="K35" s="16"/>
    </row>
    <row r="36" spans="1:11" s="13" customFormat="1">
      <c r="A36" s="95"/>
      <c r="B36" s="47"/>
      <c r="C36" s="43"/>
      <c r="D36" s="117" t="s">
        <v>591</v>
      </c>
      <c r="E36" s="15"/>
      <c r="F36" s="66"/>
      <c r="G36" s="989"/>
      <c r="H36" s="14"/>
      <c r="I36" s="63"/>
      <c r="J36" s="16"/>
      <c r="K36" s="16"/>
    </row>
    <row r="37" spans="1:11" s="13" customFormat="1" ht="159" customHeight="1">
      <c r="A37" s="96" t="s">
        <v>331</v>
      </c>
      <c r="B37" s="47" t="s">
        <v>192</v>
      </c>
      <c r="C37" s="38"/>
      <c r="D37" s="42" t="s">
        <v>931</v>
      </c>
      <c r="E37" s="15"/>
      <c r="F37" s="66"/>
      <c r="G37" s="989"/>
      <c r="H37" s="14"/>
      <c r="I37" s="63"/>
      <c r="J37" s="16"/>
      <c r="K37" s="16"/>
    </row>
    <row r="38" spans="1:11" s="13" customFormat="1" ht="15">
      <c r="A38" s="95" t="s">
        <v>330</v>
      </c>
      <c r="B38" s="47" t="s">
        <v>330</v>
      </c>
      <c r="C38" s="38"/>
      <c r="D38" s="117" t="s">
        <v>1080</v>
      </c>
      <c r="E38" s="15" t="s">
        <v>520</v>
      </c>
      <c r="F38" s="14">
        <v>555</v>
      </c>
      <c r="G38" s="989">
        <v>2</v>
      </c>
      <c r="H38" s="26">
        <f>SUM(F38*G38)</f>
        <v>1110</v>
      </c>
      <c r="I38" s="63"/>
      <c r="J38" s="16"/>
      <c r="K38" s="122"/>
    </row>
    <row r="39" spans="1:11" s="13" customFormat="1" ht="26.4">
      <c r="A39" s="95"/>
      <c r="B39" s="47"/>
      <c r="C39" s="38"/>
      <c r="D39" s="117" t="s">
        <v>1114</v>
      </c>
      <c r="E39" s="15" t="s">
        <v>520</v>
      </c>
      <c r="F39" s="14">
        <v>1050</v>
      </c>
      <c r="G39" s="989">
        <v>2</v>
      </c>
      <c r="H39" s="26">
        <f>SUM(F39*G39)</f>
        <v>2100</v>
      </c>
      <c r="I39" s="63"/>
      <c r="J39" s="16"/>
      <c r="K39" s="122"/>
    </row>
    <row r="40" spans="1:11" s="13" customFormat="1" ht="15">
      <c r="A40" s="95"/>
      <c r="B40" s="47"/>
      <c r="C40" s="38"/>
      <c r="D40" s="117" t="s">
        <v>1165</v>
      </c>
      <c r="E40" s="15" t="s">
        <v>520</v>
      </c>
      <c r="F40" s="14">
        <v>184</v>
      </c>
      <c r="G40" s="989">
        <v>2</v>
      </c>
      <c r="H40" s="26">
        <f>SUM(F40*G40)</f>
        <v>368</v>
      </c>
      <c r="I40" s="63"/>
      <c r="J40" s="16"/>
      <c r="K40" s="122"/>
    </row>
    <row r="41" spans="1:11" s="13" customFormat="1">
      <c r="A41" s="95"/>
      <c r="B41" s="47"/>
      <c r="C41" s="43"/>
      <c r="D41" s="118"/>
      <c r="E41" s="15"/>
      <c r="F41" s="66"/>
      <c r="G41" s="989"/>
      <c r="H41" s="37"/>
      <c r="I41" s="293"/>
      <c r="J41" s="16"/>
      <c r="K41" s="16"/>
    </row>
    <row r="42" spans="1:11" s="13" customFormat="1" ht="202.8" customHeight="1">
      <c r="A42" s="96" t="s">
        <v>331</v>
      </c>
      <c r="B42" s="41" t="s">
        <v>146</v>
      </c>
      <c r="C42" s="16"/>
      <c r="D42" s="42" t="s">
        <v>1083</v>
      </c>
      <c r="E42" s="178"/>
      <c r="F42" s="294"/>
      <c r="G42" s="989"/>
      <c r="H42" s="179"/>
      <c r="I42" s="17"/>
      <c r="J42" s="16"/>
      <c r="K42" s="16"/>
    </row>
    <row r="43" spans="1:11" ht="15" customHeight="1">
      <c r="A43" s="41"/>
      <c r="B43" s="41"/>
      <c r="C43" s="13"/>
      <c r="D43" s="295" t="s">
        <v>1082</v>
      </c>
      <c r="E43" s="15" t="s">
        <v>520</v>
      </c>
      <c r="F43" s="296">
        <v>645</v>
      </c>
      <c r="G43" s="989">
        <v>4</v>
      </c>
      <c r="H43" s="26">
        <f>SUM(F43*G43)</f>
        <v>2580</v>
      </c>
      <c r="I43" s="13"/>
    </row>
    <row r="44" spans="1:11">
      <c r="A44" s="41"/>
      <c r="B44" s="41"/>
      <c r="C44" s="13"/>
      <c r="D44" s="295"/>
      <c r="E44" s="15"/>
      <c r="F44" s="296"/>
      <c r="H44" s="258"/>
      <c r="I44" s="13"/>
    </row>
    <row r="45" spans="1:11" ht="66">
      <c r="A45" s="96" t="s">
        <v>331</v>
      </c>
      <c r="B45" s="41" t="s">
        <v>147</v>
      </c>
      <c r="C45" s="43"/>
      <c r="D45" s="42" t="s">
        <v>1084</v>
      </c>
      <c r="E45" s="15"/>
      <c r="F45" s="296"/>
      <c r="H45" s="258"/>
      <c r="I45" s="13"/>
    </row>
    <row r="46" spans="1:11" ht="15.6">
      <c r="A46" s="41"/>
      <c r="B46" s="41"/>
      <c r="C46" s="13"/>
      <c r="D46" s="295"/>
      <c r="E46" s="50" t="s">
        <v>923</v>
      </c>
      <c r="F46" s="98">
        <v>10</v>
      </c>
      <c r="G46" s="989">
        <v>150</v>
      </c>
      <c r="H46" s="26">
        <f>SUM(F46*G46)</f>
        <v>1500</v>
      </c>
      <c r="I46" s="13"/>
    </row>
    <row r="47" spans="1:11">
      <c r="A47" s="41"/>
      <c r="B47" s="41"/>
      <c r="C47" s="13"/>
      <c r="D47" s="295"/>
      <c r="E47" s="15"/>
      <c r="F47" s="226"/>
      <c r="H47" s="63"/>
      <c r="I47" s="13"/>
    </row>
    <row r="48" spans="1:11" ht="105.6">
      <c r="A48" s="96" t="s">
        <v>331</v>
      </c>
      <c r="B48" s="41" t="s">
        <v>43</v>
      </c>
      <c r="C48" s="38"/>
      <c r="D48" s="42" t="s">
        <v>1094</v>
      </c>
      <c r="E48" s="43"/>
      <c r="F48" s="44"/>
      <c r="H48" s="45"/>
      <c r="I48" s="17"/>
    </row>
    <row r="49" spans="1:11" s="13" customFormat="1" ht="52.8">
      <c r="A49" s="186"/>
      <c r="B49" s="186"/>
      <c r="C49" s="178"/>
      <c r="D49" s="42" t="s">
        <v>529</v>
      </c>
      <c r="E49" s="178"/>
      <c r="F49" s="212"/>
      <c r="G49" s="989"/>
      <c r="H49" s="213"/>
      <c r="I49" s="16"/>
      <c r="J49" s="16"/>
      <c r="K49" s="16"/>
    </row>
    <row r="50" spans="1:11">
      <c r="A50" s="41"/>
      <c r="B50" s="41"/>
      <c r="C50" s="38"/>
      <c r="D50" s="117" t="s">
        <v>1082</v>
      </c>
      <c r="E50" s="43" t="s">
        <v>520</v>
      </c>
      <c r="F50" s="226">
        <v>645</v>
      </c>
      <c r="G50" s="989">
        <v>16</v>
      </c>
      <c r="H50" s="26">
        <f>SUM(F50*G50)</f>
        <v>10320</v>
      </c>
      <c r="I50" s="13"/>
    </row>
    <row r="51" spans="1:11">
      <c r="A51" s="41"/>
      <c r="B51" s="41"/>
      <c r="C51" s="38"/>
      <c r="D51" s="117"/>
      <c r="E51" s="43"/>
      <c r="F51" s="44"/>
      <c r="H51" s="45"/>
      <c r="I51" s="13"/>
    </row>
    <row r="52" spans="1:11" s="13" customFormat="1">
      <c r="A52" s="95"/>
      <c r="B52" s="47"/>
      <c r="C52" s="38"/>
      <c r="D52" s="117" t="s">
        <v>531</v>
      </c>
      <c r="E52" s="15"/>
      <c r="F52" s="66"/>
      <c r="G52" s="989"/>
      <c r="H52" s="14"/>
      <c r="I52" s="63"/>
      <c r="J52" s="16"/>
      <c r="K52" s="16"/>
    </row>
    <row r="53" spans="1:11" s="13" customFormat="1" ht="52.8">
      <c r="A53" s="96" t="s">
        <v>331</v>
      </c>
      <c r="B53" s="47" t="s">
        <v>185</v>
      </c>
      <c r="C53" s="38"/>
      <c r="D53" s="42" t="s">
        <v>959</v>
      </c>
      <c r="E53" s="15"/>
      <c r="F53" s="66"/>
      <c r="G53" s="989"/>
      <c r="H53" s="14"/>
      <c r="I53" s="63"/>
      <c r="J53" s="16"/>
      <c r="K53" s="16"/>
    </row>
    <row r="54" spans="1:11" s="13" customFormat="1" ht="26.4">
      <c r="A54" s="95"/>
      <c r="B54" s="47"/>
      <c r="C54" s="38"/>
      <c r="D54" s="42" t="s">
        <v>574</v>
      </c>
      <c r="E54" s="15"/>
      <c r="F54" s="66"/>
      <c r="G54" s="989"/>
      <c r="H54" s="14"/>
      <c r="I54" s="63"/>
      <c r="J54" s="16"/>
      <c r="K54" s="16"/>
    </row>
    <row r="55" spans="1:11" s="13" customFormat="1" ht="26.4">
      <c r="A55" s="95"/>
      <c r="B55" s="47"/>
      <c r="C55" s="38"/>
      <c r="D55" s="42" t="s">
        <v>575</v>
      </c>
      <c r="E55" s="15"/>
      <c r="F55" s="66"/>
      <c r="G55" s="989"/>
      <c r="H55" s="14"/>
      <c r="I55" s="63"/>
      <c r="J55" s="16"/>
      <c r="K55" s="16"/>
    </row>
    <row r="56" spans="1:11" s="13" customFormat="1" ht="39.6">
      <c r="A56" s="95"/>
      <c r="B56" s="47"/>
      <c r="C56" s="38"/>
      <c r="D56" s="42" t="s">
        <v>576</v>
      </c>
      <c r="E56" s="15"/>
      <c r="F56" s="66"/>
      <c r="G56" s="989"/>
      <c r="H56" s="14"/>
      <c r="I56" s="63"/>
      <c r="J56" s="16"/>
      <c r="K56" s="16"/>
    </row>
    <row r="57" spans="1:11" s="13" customFormat="1" ht="52.8">
      <c r="A57" s="95"/>
      <c r="B57" s="47"/>
      <c r="C57" s="38"/>
      <c r="D57" s="42" t="s">
        <v>528</v>
      </c>
      <c r="E57" s="15"/>
      <c r="F57" s="66"/>
      <c r="G57" s="989"/>
      <c r="H57" s="14"/>
      <c r="I57" s="63"/>
      <c r="J57" s="16"/>
      <c r="K57" s="16"/>
    </row>
    <row r="58" spans="1:11" s="13" customFormat="1">
      <c r="A58" s="95"/>
      <c r="B58" s="47"/>
      <c r="C58" s="38"/>
      <c r="D58" s="117" t="s">
        <v>579</v>
      </c>
      <c r="E58" s="15" t="s">
        <v>520</v>
      </c>
      <c r="F58" s="44">
        <v>468</v>
      </c>
      <c r="G58" s="989">
        <v>25</v>
      </c>
      <c r="H58" s="26">
        <f>SUM(F58*G58)</f>
        <v>11700</v>
      </c>
      <c r="I58" s="63"/>
      <c r="J58" s="16"/>
      <c r="K58" s="16"/>
    </row>
    <row r="59" spans="1:11" s="13" customFormat="1">
      <c r="A59" s="95"/>
      <c r="B59" s="47"/>
      <c r="C59" s="38"/>
      <c r="D59" s="117"/>
      <c r="E59" s="15"/>
      <c r="F59" s="44"/>
      <c r="G59" s="989"/>
      <c r="H59" s="14"/>
      <c r="I59" s="63"/>
      <c r="J59" s="16"/>
      <c r="K59" s="16"/>
    </row>
    <row r="60" spans="1:11" s="13" customFormat="1" ht="52.8">
      <c r="A60" s="96" t="s">
        <v>331</v>
      </c>
      <c r="B60" s="47" t="s">
        <v>397</v>
      </c>
      <c r="C60" s="38"/>
      <c r="D60" s="42" t="s">
        <v>1096</v>
      </c>
      <c r="E60" s="15"/>
      <c r="F60" s="66"/>
      <c r="G60" s="989"/>
      <c r="H60" s="14"/>
      <c r="I60" s="63"/>
      <c r="J60" s="16"/>
      <c r="K60" s="16"/>
    </row>
    <row r="61" spans="1:11" s="13" customFormat="1" ht="26.4">
      <c r="A61" s="95"/>
      <c r="B61" s="47"/>
      <c r="C61" s="38"/>
      <c r="D61" s="42" t="s">
        <v>925</v>
      </c>
      <c r="E61" s="15"/>
      <c r="F61" s="66"/>
      <c r="G61" s="989"/>
      <c r="H61" s="14"/>
      <c r="I61" s="63"/>
      <c r="J61" s="16"/>
      <c r="K61" s="16"/>
    </row>
    <row r="62" spans="1:11" s="13" customFormat="1" ht="26.4">
      <c r="A62" s="95"/>
      <c r="B62" s="47"/>
      <c r="C62" s="38"/>
      <c r="D62" s="42" t="s">
        <v>924</v>
      </c>
      <c r="E62" s="15"/>
      <c r="F62" s="66"/>
      <c r="G62" s="989"/>
      <c r="H62" s="14"/>
      <c r="I62" s="63"/>
      <c r="J62" s="16"/>
      <c r="K62" s="16"/>
    </row>
    <row r="63" spans="1:11" s="13" customFormat="1" ht="52.8">
      <c r="A63" s="95"/>
      <c r="B63" s="47"/>
      <c r="C63" s="38"/>
      <c r="D63" s="42" t="s">
        <v>528</v>
      </c>
      <c r="E63" s="15"/>
      <c r="F63" s="66"/>
      <c r="G63" s="989"/>
      <c r="H63" s="14"/>
      <c r="I63" s="63"/>
      <c r="J63" s="16"/>
      <c r="K63" s="16"/>
    </row>
    <row r="64" spans="1:11" s="13" customFormat="1">
      <c r="A64" s="95"/>
      <c r="B64" s="47"/>
      <c r="C64" s="38"/>
      <c r="D64" s="117" t="s">
        <v>1097</v>
      </c>
      <c r="E64" s="15" t="s">
        <v>520</v>
      </c>
      <c r="F64" s="44">
        <v>875</v>
      </c>
      <c r="G64" s="989">
        <v>10</v>
      </c>
      <c r="H64" s="26">
        <f>SUM(F64*G64)</f>
        <v>8750</v>
      </c>
      <c r="I64" s="63"/>
      <c r="J64" s="16"/>
      <c r="K64" s="16"/>
    </row>
    <row r="65" spans="1:11" s="13" customFormat="1">
      <c r="A65" s="95"/>
      <c r="B65" s="47"/>
      <c r="C65" s="38"/>
      <c r="D65" s="117"/>
      <c r="E65" s="15"/>
      <c r="F65" s="44"/>
      <c r="G65" s="989"/>
      <c r="H65" s="14"/>
      <c r="I65" s="63"/>
      <c r="J65" s="16"/>
      <c r="K65" s="16"/>
    </row>
    <row r="66" spans="1:11" s="13" customFormat="1" ht="52.8">
      <c r="A66" s="96" t="s">
        <v>331</v>
      </c>
      <c r="B66" s="47" t="s">
        <v>109</v>
      </c>
      <c r="C66" s="38"/>
      <c r="D66" s="42" t="s">
        <v>1098</v>
      </c>
      <c r="E66" s="15"/>
      <c r="F66" s="66"/>
      <c r="G66" s="989"/>
      <c r="H66" s="14"/>
      <c r="I66" s="63"/>
      <c r="J66" s="16"/>
      <c r="K66" s="16"/>
    </row>
    <row r="67" spans="1:11" s="13" customFormat="1" ht="26.4">
      <c r="A67" s="95"/>
      <c r="B67" s="47"/>
      <c r="C67" s="38"/>
      <c r="D67" s="42" t="s">
        <v>578</v>
      </c>
      <c r="E67" s="15"/>
      <c r="F67" s="66"/>
      <c r="G67" s="989"/>
      <c r="H67" s="14"/>
      <c r="I67" s="63"/>
      <c r="J67" s="16"/>
      <c r="K67" s="16"/>
    </row>
    <row r="68" spans="1:11" s="13" customFormat="1" ht="52.8">
      <c r="A68" s="95"/>
      <c r="B68" s="47"/>
      <c r="C68" s="38"/>
      <c r="D68" s="42" t="s">
        <v>528</v>
      </c>
      <c r="E68" s="15"/>
      <c r="F68" s="66"/>
      <c r="G68" s="989"/>
      <c r="H68" s="14"/>
      <c r="I68" s="63"/>
      <c r="J68" s="16"/>
      <c r="K68" s="16"/>
    </row>
    <row r="69" spans="1:11" s="13" customFormat="1">
      <c r="A69" s="95"/>
      <c r="B69" s="47"/>
      <c r="C69" s="38"/>
      <c r="D69" s="117" t="s">
        <v>926</v>
      </c>
      <c r="E69" s="15" t="s">
        <v>520</v>
      </c>
      <c r="F69" s="44">
        <v>235</v>
      </c>
      <c r="G69" s="989">
        <v>8</v>
      </c>
      <c r="H69" s="26">
        <f>SUM(F69*G69)</f>
        <v>1880</v>
      </c>
      <c r="I69" s="63"/>
      <c r="J69" s="16"/>
      <c r="K69" s="16"/>
    </row>
    <row r="70" spans="1:11" s="13" customFormat="1">
      <c r="A70" s="95"/>
      <c r="B70" s="47"/>
      <c r="C70" s="38"/>
      <c r="D70" s="117"/>
      <c r="E70" s="15"/>
      <c r="F70" s="44"/>
      <c r="G70" s="989"/>
      <c r="H70" s="26"/>
      <c r="I70" s="63"/>
      <c r="J70" s="16"/>
      <c r="K70" s="16"/>
    </row>
    <row r="71" spans="1:11" s="13" customFormat="1">
      <c r="A71" s="95"/>
      <c r="B71" s="47"/>
      <c r="C71" s="38"/>
      <c r="D71" s="117"/>
      <c r="E71" s="15"/>
      <c r="F71" s="44"/>
      <c r="G71" s="989"/>
      <c r="H71" s="26"/>
      <c r="I71" s="63"/>
      <c r="J71" s="16"/>
      <c r="K71" s="16"/>
    </row>
    <row r="72" spans="1:11" s="13" customFormat="1" ht="132">
      <c r="A72" s="96" t="s">
        <v>331</v>
      </c>
      <c r="B72" s="41" t="s">
        <v>511</v>
      </c>
      <c r="C72" s="38"/>
      <c r="D72" s="367" t="s">
        <v>1104</v>
      </c>
      <c r="E72" s="15"/>
      <c r="F72" s="44"/>
      <c r="G72" s="989"/>
      <c r="H72" s="14"/>
      <c r="I72" s="63"/>
      <c r="J72" s="16"/>
      <c r="K72" s="16"/>
    </row>
    <row r="73" spans="1:11" s="13" customFormat="1">
      <c r="A73" s="96"/>
      <c r="B73" s="41"/>
      <c r="C73" s="38"/>
      <c r="D73" s="117" t="s">
        <v>1099</v>
      </c>
      <c r="E73" s="43" t="s">
        <v>520</v>
      </c>
      <c r="F73" s="44">
        <v>175</v>
      </c>
      <c r="G73" s="989">
        <v>40</v>
      </c>
      <c r="H73" s="26">
        <f>SUM(F73*G73)</f>
        <v>7000</v>
      </c>
      <c r="I73" s="63"/>
      <c r="J73" s="16"/>
      <c r="K73" s="16"/>
    </row>
    <row r="74" spans="1:11" s="13" customFormat="1">
      <c r="A74" s="96"/>
      <c r="B74" s="41"/>
      <c r="C74" s="38"/>
      <c r="D74" s="117"/>
      <c r="E74" s="15"/>
      <c r="F74" s="44"/>
      <c r="G74" s="989"/>
      <c r="H74" s="14"/>
      <c r="I74" s="63"/>
      <c r="J74" s="16"/>
      <c r="K74" s="16"/>
    </row>
    <row r="75" spans="1:11" ht="79.2">
      <c r="A75" s="96" t="s">
        <v>331</v>
      </c>
      <c r="B75" s="41" t="s">
        <v>512</v>
      </c>
      <c r="C75" s="182"/>
      <c r="D75" s="42" t="s">
        <v>927</v>
      </c>
      <c r="F75" s="294"/>
    </row>
    <row r="76" spans="1:11" s="13" customFormat="1">
      <c r="A76" s="41"/>
      <c r="B76" s="41"/>
      <c r="C76" s="38"/>
      <c r="D76" s="117" t="s">
        <v>928</v>
      </c>
      <c r="E76" s="43" t="s">
        <v>520</v>
      </c>
      <c r="F76" s="291">
        <v>35</v>
      </c>
      <c r="G76" s="989">
        <v>25</v>
      </c>
      <c r="H76" s="26">
        <f>SUM(F76*G76)</f>
        <v>875</v>
      </c>
      <c r="J76" s="16"/>
      <c r="K76" s="16"/>
    </row>
    <row r="77" spans="1:11" s="13" customFormat="1">
      <c r="A77" s="41"/>
      <c r="B77" s="41"/>
      <c r="C77" s="38"/>
      <c r="D77" s="117"/>
      <c r="E77" s="43"/>
      <c r="F77" s="291"/>
      <c r="G77" s="989"/>
      <c r="H77" s="26"/>
      <c r="J77" s="16"/>
      <c r="K77" s="16"/>
    </row>
    <row r="78" spans="1:11" s="13" customFormat="1" ht="121.5" customHeight="1">
      <c r="A78" s="96" t="s">
        <v>331</v>
      </c>
      <c r="B78" s="47" t="s">
        <v>513</v>
      </c>
      <c r="C78" s="38"/>
      <c r="D78" s="42" t="s">
        <v>1105</v>
      </c>
      <c r="E78" s="15"/>
      <c r="F78" s="66"/>
      <c r="G78" s="989"/>
      <c r="H78" s="14"/>
      <c r="J78" s="16"/>
      <c r="K78" s="16"/>
    </row>
    <row r="79" spans="1:11" s="13" customFormat="1">
      <c r="A79" s="95"/>
      <c r="B79" s="47"/>
      <c r="C79" s="38"/>
      <c r="D79" s="117" t="s">
        <v>1106</v>
      </c>
      <c r="E79" s="15" t="s">
        <v>520</v>
      </c>
      <c r="F79" s="44">
        <v>32</v>
      </c>
      <c r="G79" s="989">
        <v>50</v>
      </c>
      <c r="H79" s="26">
        <f>SUM(F79*G79)</f>
        <v>1600</v>
      </c>
      <c r="J79" s="16"/>
      <c r="K79" s="16"/>
    </row>
    <row r="80" spans="1:11" s="13" customFormat="1">
      <c r="A80" s="95"/>
      <c r="B80" s="47"/>
      <c r="C80" s="38"/>
      <c r="D80" s="117"/>
      <c r="E80" s="15"/>
      <c r="F80" s="44"/>
      <c r="G80" s="989"/>
      <c r="H80" s="26"/>
      <c r="J80" s="16"/>
      <c r="K80" s="16"/>
    </row>
    <row r="81" spans="1:11" ht="171" customHeight="1">
      <c r="A81" s="96" t="s">
        <v>331</v>
      </c>
      <c r="B81" s="41" t="s">
        <v>514</v>
      </c>
      <c r="C81" s="182"/>
      <c r="D81" s="42" t="s">
        <v>1103</v>
      </c>
      <c r="F81" s="294"/>
    </row>
    <row r="82" spans="1:11" s="13" customFormat="1">
      <c r="A82" s="41"/>
      <c r="B82" s="41"/>
      <c r="C82" s="38" t="s">
        <v>240</v>
      </c>
      <c r="D82" s="117" t="s">
        <v>1101</v>
      </c>
      <c r="E82" s="43" t="s">
        <v>520</v>
      </c>
      <c r="F82" s="291">
        <v>82</v>
      </c>
      <c r="G82" s="989">
        <v>22</v>
      </c>
      <c r="H82" s="26">
        <f>SUM(F82*G82)</f>
        <v>1804</v>
      </c>
      <c r="J82" s="16"/>
      <c r="K82" s="16"/>
    </row>
    <row r="83" spans="1:11" s="13" customFormat="1">
      <c r="A83" s="41"/>
      <c r="B83" s="41"/>
      <c r="C83" s="38" t="s">
        <v>241</v>
      </c>
      <c r="D83" s="117" t="s">
        <v>1102</v>
      </c>
      <c r="E83" s="43" t="s">
        <v>520</v>
      </c>
      <c r="F83" s="291">
        <v>36</v>
      </c>
      <c r="G83" s="989">
        <v>18</v>
      </c>
      <c r="H83" s="26">
        <f>SUM(F83*G83)</f>
        <v>648</v>
      </c>
      <c r="J83" s="16"/>
      <c r="K83" s="16"/>
    </row>
    <row r="84" spans="1:11" s="13" customFormat="1">
      <c r="A84" s="95"/>
      <c r="B84" s="47"/>
      <c r="C84" s="38"/>
      <c r="D84" s="42"/>
      <c r="E84" s="15"/>
      <c r="F84" s="66"/>
      <c r="G84" s="989"/>
      <c r="H84" s="14"/>
      <c r="I84" s="63"/>
      <c r="J84" s="16"/>
      <c r="K84" s="16"/>
    </row>
    <row r="85" spans="1:11" s="13" customFormat="1" ht="79.2">
      <c r="A85" s="96" t="s">
        <v>331</v>
      </c>
      <c r="B85" s="368" t="s">
        <v>515</v>
      </c>
      <c r="C85" s="182"/>
      <c r="D85" s="42" t="s">
        <v>960</v>
      </c>
      <c r="E85" s="178"/>
      <c r="F85" s="294"/>
      <c r="G85" s="989"/>
      <c r="H85" s="179"/>
      <c r="I85" s="63"/>
      <c r="J85" s="16"/>
      <c r="K85" s="16"/>
    </row>
    <row r="86" spans="1:11" s="13" customFormat="1">
      <c r="A86" s="41"/>
      <c r="B86" s="41"/>
      <c r="C86" s="38"/>
      <c r="D86" s="117" t="s">
        <v>1100</v>
      </c>
      <c r="E86" s="43" t="s">
        <v>520</v>
      </c>
      <c r="F86" s="44">
        <v>95</v>
      </c>
      <c r="G86" s="989">
        <v>10</v>
      </c>
      <c r="H86" s="26">
        <f>SUM(F86*G86)</f>
        <v>950</v>
      </c>
      <c r="I86" s="63"/>
      <c r="J86" s="16"/>
      <c r="K86" s="16"/>
    </row>
    <row r="87" spans="1:11" s="13" customFormat="1">
      <c r="A87" s="95"/>
      <c r="B87" s="47"/>
      <c r="C87" s="297"/>
      <c r="D87" s="117"/>
      <c r="E87" s="15"/>
      <c r="F87" s="66"/>
      <c r="G87" s="989"/>
      <c r="H87" s="14"/>
      <c r="I87" s="63"/>
      <c r="J87" s="16"/>
      <c r="K87" s="16"/>
    </row>
    <row r="88" spans="1:11" s="13" customFormat="1" ht="85.8" customHeight="1">
      <c r="A88" s="96" t="s">
        <v>331</v>
      </c>
      <c r="B88" s="47" t="s">
        <v>516</v>
      </c>
      <c r="C88" s="38"/>
      <c r="D88" s="42" t="s">
        <v>1108</v>
      </c>
      <c r="E88" s="15"/>
      <c r="F88" s="66"/>
      <c r="G88" s="989"/>
      <c r="H88" s="14"/>
      <c r="I88" s="63"/>
      <c r="J88" s="16"/>
      <c r="K88" s="16"/>
    </row>
    <row r="89" spans="1:11" s="13" customFormat="1">
      <c r="A89" s="95"/>
      <c r="B89" s="47"/>
      <c r="C89" s="38"/>
      <c r="D89" s="117" t="s">
        <v>1107</v>
      </c>
      <c r="E89" s="15" t="s">
        <v>520</v>
      </c>
      <c r="F89" s="44">
        <v>185</v>
      </c>
      <c r="G89" s="989">
        <v>10</v>
      </c>
      <c r="H89" s="26">
        <f>SUM(F89*G89)</f>
        <v>1850</v>
      </c>
      <c r="I89" s="63"/>
      <c r="J89" s="16"/>
      <c r="K89" s="16"/>
    </row>
    <row r="90" spans="1:11" s="13" customFormat="1">
      <c r="A90" s="95"/>
      <c r="B90" s="47"/>
      <c r="C90" s="38"/>
      <c r="D90" s="42"/>
      <c r="E90" s="15"/>
      <c r="F90" s="44"/>
      <c r="G90" s="989"/>
      <c r="H90" s="26"/>
      <c r="I90" s="63"/>
      <c r="J90" s="16"/>
      <c r="K90" s="16"/>
    </row>
    <row r="91" spans="1:11" s="13" customFormat="1" ht="225" customHeight="1">
      <c r="A91" s="96" t="s">
        <v>331</v>
      </c>
      <c r="B91" s="47" t="s">
        <v>521</v>
      </c>
      <c r="C91" s="38"/>
      <c r="D91" s="42" t="s">
        <v>1109</v>
      </c>
      <c r="E91" s="15"/>
      <c r="F91" s="66"/>
      <c r="G91" s="989"/>
      <c r="H91" s="14"/>
      <c r="I91" s="63"/>
      <c r="J91" s="16"/>
      <c r="K91" s="16"/>
    </row>
    <row r="92" spans="1:11" s="13" customFormat="1">
      <c r="A92" s="95"/>
      <c r="B92" s="47"/>
      <c r="C92" s="38"/>
      <c r="D92" s="117" t="s">
        <v>1457</v>
      </c>
      <c r="E92" s="15" t="s">
        <v>520</v>
      </c>
      <c r="F92" s="44">
        <v>258</v>
      </c>
      <c r="G92" s="989">
        <v>50</v>
      </c>
      <c r="H92" s="26">
        <f>SUM(F92*G92)</f>
        <v>12900</v>
      </c>
      <c r="I92" s="63"/>
      <c r="J92" s="16"/>
      <c r="K92" s="16"/>
    </row>
    <row r="93" spans="1:11" s="13" customFormat="1">
      <c r="A93" s="95"/>
      <c r="B93" s="47"/>
      <c r="C93" s="38"/>
      <c r="D93" s="42"/>
      <c r="E93" s="15"/>
      <c r="F93" s="66"/>
      <c r="G93" s="989"/>
      <c r="H93" s="14"/>
      <c r="I93" s="63"/>
      <c r="J93" s="16"/>
      <c r="K93" s="16"/>
    </row>
    <row r="94" spans="1:11" s="13" customFormat="1" ht="135.75" customHeight="1">
      <c r="A94" s="96" t="s">
        <v>331</v>
      </c>
      <c r="B94" s="47" t="s">
        <v>964</v>
      </c>
      <c r="C94" s="38"/>
      <c r="D94" s="42" t="s">
        <v>1112</v>
      </c>
      <c r="E94" s="15"/>
      <c r="F94" s="66"/>
      <c r="G94" s="989"/>
      <c r="H94" s="14"/>
      <c r="I94" s="298"/>
      <c r="J94" s="16"/>
      <c r="K94" s="16"/>
    </row>
    <row r="95" spans="1:11" s="13" customFormat="1" ht="52.8">
      <c r="A95" s="146"/>
      <c r="B95" s="47"/>
      <c r="C95" s="38"/>
      <c r="D95" s="42" t="s">
        <v>577</v>
      </c>
      <c r="E95" s="15"/>
      <c r="F95" s="66"/>
      <c r="G95" s="989"/>
      <c r="H95" s="14"/>
      <c r="I95" s="63"/>
      <c r="J95" s="16"/>
      <c r="K95" s="16"/>
    </row>
    <row r="96" spans="1:11" s="13" customFormat="1">
      <c r="A96" s="146"/>
      <c r="B96" s="47"/>
      <c r="C96" s="38"/>
      <c r="D96" s="117" t="s">
        <v>1113</v>
      </c>
      <c r="E96" s="15" t="s">
        <v>520</v>
      </c>
      <c r="F96" s="44">
        <v>610</v>
      </c>
      <c r="G96" s="989">
        <v>10</v>
      </c>
      <c r="H96" s="26">
        <f>SUM(F96*G96)</f>
        <v>6100</v>
      </c>
      <c r="I96" s="63"/>
      <c r="J96" s="16"/>
      <c r="K96" s="16"/>
    </row>
    <row r="97" spans="1:11" s="13" customFormat="1">
      <c r="A97" s="146"/>
      <c r="B97" s="47"/>
      <c r="C97" s="38"/>
      <c r="D97" s="117"/>
      <c r="E97" s="15"/>
      <c r="F97" s="44"/>
      <c r="G97" s="989"/>
      <c r="H97" s="26"/>
      <c r="I97" s="63"/>
      <c r="J97" s="16"/>
      <c r="K97" s="16"/>
    </row>
    <row r="98" spans="1:11" s="13" customFormat="1" ht="111.75" customHeight="1">
      <c r="A98" s="96" t="s">
        <v>331</v>
      </c>
      <c r="B98" s="47" t="s">
        <v>965</v>
      </c>
      <c r="C98" s="38"/>
      <c r="D98" s="367" t="s">
        <v>1459</v>
      </c>
      <c r="E98" s="15"/>
      <c r="F98" s="44"/>
      <c r="G98" s="989"/>
      <c r="H98" s="26"/>
      <c r="I98" s="63"/>
      <c r="J98" s="16"/>
      <c r="K98" s="16"/>
    </row>
    <row r="99" spans="1:11" s="13" customFormat="1" ht="52.8">
      <c r="A99" s="96"/>
      <c r="B99" s="47"/>
      <c r="C99" s="38"/>
      <c r="D99" s="367" t="s">
        <v>1458</v>
      </c>
      <c r="E99" s="15"/>
      <c r="F99" s="44"/>
      <c r="G99" s="989"/>
      <c r="H99" s="26"/>
      <c r="I99" s="63"/>
      <c r="J99" s="16"/>
      <c r="K99" s="16"/>
    </row>
    <row r="100" spans="1:11" s="13" customFormat="1">
      <c r="A100" s="146"/>
      <c r="B100" s="47"/>
      <c r="C100" s="38"/>
      <c r="D100" s="117"/>
      <c r="E100" s="15" t="s">
        <v>344</v>
      </c>
      <c r="F100" s="44">
        <v>35</v>
      </c>
      <c r="G100" s="989">
        <v>30</v>
      </c>
      <c r="H100" s="26">
        <f>SUM(F100*G100)</f>
        <v>1050</v>
      </c>
      <c r="I100" s="63"/>
      <c r="J100" s="16"/>
      <c r="K100" s="16"/>
    </row>
    <row r="101" spans="1:11" ht="13.8" thickBot="1">
      <c r="A101" s="275"/>
      <c r="B101" s="275"/>
      <c r="C101" s="276"/>
      <c r="D101" s="277"/>
      <c r="E101" s="153"/>
      <c r="F101" s="299"/>
      <c r="G101" s="1006"/>
      <c r="H101" s="156"/>
      <c r="I101" s="13"/>
    </row>
    <row r="102" spans="1:11">
      <c r="A102" s="41" t="s">
        <v>331</v>
      </c>
      <c r="B102" s="41"/>
      <c r="C102" s="13"/>
      <c r="D102" s="117" t="s">
        <v>532</v>
      </c>
      <c r="E102" s="43"/>
      <c r="F102" s="287"/>
      <c r="G102" s="1007"/>
      <c r="H102" s="26">
        <f>SUM(H12:H101)</f>
        <v>112460</v>
      </c>
      <c r="I102" s="13"/>
    </row>
    <row r="103" spans="1:11">
      <c r="F103" s="290"/>
    </row>
  </sheetData>
  <pageMargins left="0.74803149606299213" right="0.55118110236220474" top="1.0236220472440944" bottom="0.78740157480314965" header="0.43307086614173229" footer="0.51181102362204722"/>
  <pageSetup paperSize="9" orientation="portrait" horizontalDpi="4294967293" verticalDpi="4294967293"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rowBreaks count="1" manualBreakCount="1">
    <brk id="51"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92D050"/>
  </sheetPr>
  <dimension ref="A1:K221"/>
  <sheetViews>
    <sheetView topLeftCell="A88" zoomScaleNormal="100" zoomScaleSheetLayoutView="100" zoomScalePageLayoutView="90" workbookViewId="0">
      <selection activeCell="G24" sqref="G24"/>
    </sheetView>
  </sheetViews>
  <sheetFormatPr defaultColWidth="8.54296875" defaultRowHeight="13.2"/>
  <cols>
    <col min="1" max="1" width="3.6328125" style="47" customWidth="1"/>
    <col min="2" max="2" width="2.81640625" style="41" customWidth="1"/>
    <col min="3" max="3" width="1.90625" style="13" customWidth="1"/>
    <col min="4" max="4" width="31.1796875" style="151" customWidth="1"/>
    <col min="5" max="5" width="4.54296875" style="43" customWidth="1"/>
    <col min="6" max="6" width="7.90625" style="252" customWidth="1"/>
    <col min="7" max="7" width="10.08984375" style="1008" customWidth="1"/>
    <col min="8" max="8" width="11.453125" style="63" customWidth="1"/>
    <col min="9" max="9" width="15.6328125" style="13" customWidth="1"/>
    <col min="10" max="10" width="8.54296875" style="54"/>
    <col min="11" max="16384" width="8.54296875" style="13"/>
  </cols>
  <sheetData>
    <row r="1" spans="1:10" s="53" customFormat="1">
      <c r="A1" s="48"/>
      <c r="B1" s="48"/>
      <c r="C1" s="49"/>
      <c r="D1" s="157"/>
      <c r="E1" s="224"/>
      <c r="F1" s="225"/>
      <c r="G1" s="1008"/>
      <c r="H1" s="165"/>
      <c r="J1" s="54"/>
    </row>
    <row r="2" spans="1:10" ht="13.8" thickBot="1">
      <c r="A2" s="137" t="s">
        <v>469</v>
      </c>
      <c r="B2" s="137"/>
      <c r="C2" s="138"/>
      <c r="D2" s="148" t="s">
        <v>266</v>
      </c>
      <c r="E2" s="149"/>
      <c r="F2" s="253"/>
      <c r="G2" s="1009"/>
      <c r="H2" s="150"/>
    </row>
    <row r="3" spans="1:10" s="53" customFormat="1">
      <c r="A3" s="47"/>
      <c r="B3" s="48" t="s">
        <v>330</v>
      </c>
      <c r="C3" s="49"/>
      <c r="D3" s="60"/>
      <c r="E3" s="194"/>
      <c r="F3" s="226"/>
      <c r="G3" s="1010"/>
      <c r="H3" s="165"/>
      <c r="J3" s="54"/>
    </row>
    <row r="4" spans="1:10" s="53" customFormat="1">
      <c r="A4" s="48"/>
      <c r="B4" s="48"/>
      <c r="C4" s="49"/>
      <c r="D4" s="166" t="s">
        <v>314</v>
      </c>
      <c r="E4" s="194"/>
      <c r="F4" s="226"/>
      <c r="G4" s="1010"/>
      <c r="H4" s="165"/>
      <c r="J4" s="54"/>
    </row>
    <row r="5" spans="1:10" s="53" customFormat="1" ht="52.8">
      <c r="A5" s="48"/>
      <c r="B5" s="48"/>
      <c r="C5" s="49"/>
      <c r="D5" s="166" t="s">
        <v>518</v>
      </c>
      <c r="E5" s="194"/>
      <c r="F5" s="226"/>
      <c r="G5" s="1010"/>
      <c r="H5" s="165"/>
      <c r="J5" s="54"/>
    </row>
    <row r="6" spans="1:10" s="53" customFormat="1" ht="145.19999999999999">
      <c r="A6" s="48"/>
      <c r="B6" s="48"/>
      <c r="C6" s="49"/>
      <c r="D6" s="166" t="s">
        <v>1118</v>
      </c>
      <c r="E6" s="194"/>
      <c r="F6" s="226"/>
      <c r="G6" s="1010"/>
      <c r="H6" s="165"/>
      <c r="J6" s="54"/>
    </row>
    <row r="7" spans="1:10" s="53" customFormat="1" ht="13.8">
      <c r="A7" s="48"/>
      <c r="B7" s="48"/>
      <c r="C7" s="49"/>
      <c r="D7" s="369"/>
      <c r="E7" s="194"/>
      <c r="F7" s="233"/>
      <c r="G7" s="1010"/>
      <c r="H7" s="165"/>
      <c r="J7" s="54"/>
    </row>
    <row r="8" spans="1:10" s="53" customFormat="1">
      <c r="A8" s="254" t="s">
        <v>507</v>
      </c>
      <c r="B8" s="254" t="s">
        <v>508</v>
      </c>
      <c r="C8" s="49"/>
      <c r="D8" s="61" t="s">
        <v>504</v>
      </c>
      <c r="E8" s="194" t="s">
        <v>505</v>
      </c>
      <c r="F8" s="226" t="s">
        <v>506</v>
      </c>
      <c r="G8" s="989" t="s">
        <v>509</v>
      </c>
      <c r="H8" s="165" t="s">
        <v>510</v>
      </c>
      <c r="J8" s="54"/>
    </row>
    <row r="9" spans="1:10" s="53" customFormat="1">
      <c r="A9" s="48"/>
      <c r="B9" s="48"/>
      <c r="C9" s="49"/>
      <c r="D9" s="61"/>
      <c r="E9" s="194"/>
      <c r="F9" s="226"/>
      <c r="G9" s="1010"/>
      <c r="H9" s="165"/>
      <c r="J9" s="54"/>
    </row>
    <row r="10" spans="1:10" s="53" customFormat="1" ht="145.19999999999999">
      <c r="A10" s="48" t="s">
        <v>469</v>
      </c>
      <c r="B10" s="48" t="s">
        <v>102</v>
      </c>
      <c r="C10" s="49"/>
      <c r="D10" s="80" t="s">
        <v>1119</v>
      </c>
      <c r="E10" s="255"/>
      <c r="F10" s="51"/>
      <c r="G10" s="1011"/>
      <c r="H10" s="165"/>
      <c r="J10" s="54"/>
    </row>
    <row r="11" spans="1:10" s="53" customFormat="1" ht="198">
      <c r="A11" s="48"/>
      <c r="B11" s="48"/>
      <c r="C11" s="49"/>
      <c r="D11" s="80" t="s">
        <v>1473</v>
      </c>
      <c r="E11" s="255"/>
      <c r="F11" s="51"/>
      <c r="G11" s="1011"/>
      <c r="H11" s="165"/>
      <c r="J11" s="54"/>
    </row>
    <row r="12" spans="1:10" s="53" customFormat="1" ht="145.19999999999999">
      <c r="A12" s="48"/>
      <c r="B12" s="48"/>
      <c r="C12" s="49"/>
      <c r="D12" s="80" t="s">
        <v>1472</v>
      </c>
      <c r="E12" s="255"/>
      <c r="F12" s="51"/>
      <c r="G12" s="1011"/>
      <c r="H12" s="165"/>
      <c r="J12" s="54"/>
    </row>
    <row r="13" spans="1:10" s="53" customFormat="1" ht="184.8">
      <c r="A13" s="48"/>
      <c r="B13" s="48"/>
      <c r="C13" s="49"/>
      <c r="D13" s="80" t="s">
        <v>1120</v>
      </c>
      <c r="E13" s="255"/>
      <c r="F13" s="51"/>
      <c r="G13" s="1011"/>
      <c r="H13" s="165"/>
      <c r="J13" s="54"/>
    </row>
    <row r="14" spans="1:10" s="53" customFormat="1" ht="15.6">
      <c r="A14" s="48"/>
      <c r="B14" s="48"/>
      <c r="C14" s="49" t="s">
        <v>240</v>
      </c>
      <c r="D14" s="21" t="s">
        <v>1121</v>
      </c>
      <c r="E14" s="50" t="s">
        <v>923</v>
      </c>
      <c r="F14" s="98">
        <v>35</v>
      </c>
      <c r="G14" s="1012">
        <v>92</v>
      </c>
      <c r="H14" s="258">
        <f>F14*G14</f>
        <v>3220</v>
      </c>
      <c r="J14" s="54"/>
    </row>
    <row r="15" spans="1:10" s="53" customFormat="1" ht="15.6">
      <c r="A15" s="48"/>
      <c r="B15" s="48"/>
      <c r="C15" s="49" t="s">
        <v>241</v>
      </c>
      <c r="D15" s="21" t="s">
        <v>1122</v>
      </c>
      <c r="E15" s="50" t="s">
        <v>923</v>
      </c>
      <c r="F15" s="98">
        <v>682</v>
      </c>
      <c r="G15" s="1012">
        <v>100</v>
      </c>
      <c r="H15" s="258">
        <f>F15*G15</f>
        <v>68200</v>
      </c>
      <c r="J15" s="54"/>
    </row>
    <row r="16" spans="1:10" s="53" customFormat="1">
      <c r="A16" s="48"/>
      <c r="B16" s="48"/>
      <c r="C16" s="49"/>
      <c r="D16" s="257"/>
      <c r="E16" s="50"/>
      <c r="F16" s="51"/>
      <c r="G16" s="1013"/>
      <c r="H16" s="165"/>
      <c r="J16" s="54"/>
    </row>
    <row r="17" spans="1:10" s="53" customFormat="1" ht="224.4">
      <c r="A17" s="48" t="s">
        <v>469</v>
      </c>
      <c r="B17" s="48" t="s">
        <v>311</v>
      </c>
      <c r="C17" s="49"/>
      <c r="D17" s="80" t="s">
        <v>1123</v>
      </c>
      <c r="E17" s="260"/>
      <c r="F17" s="51"/>
      <c r="G17" s="1014"/>
      <c r="H17" s="258"/>
      <c r="J17" s="54"/>
    </row>
    <row r="18" spans="1:10" s="53" customFormat="1">
      <c r="A18" s="48"/>
      <c r="B18" s="48"/>
      <c r="C18" s="49"/>
      <c r="D18" s="261"/>
      <c r="E18" s="232" t="s">
        <v>344</v>
      </c>
      <c r="F18" s="370">
        <v>48</v>
      </c>
      <c r="G18" s="1015">
        <v>100</v>
      </c>
      <c r="H18" s="258">
        <f>F18*G18</f>
        <v>4800</v>
      </c>
      <c r="J18" s="54"/>
    </row>
    <row r="19" spans="1:10" s="53" customFormat="1">
      <c r="A19" s="41"/>
      <c r="B19" s="41"/>
      <c r="C19" s="39"/>
      <c r="D19" s="261"/>
      <c r="E19" s="232"/>
      <c r="F19" s="51"/>
      <c r="G19" s="1013"/>
      <c r="H19" s="63"/>
      <c r="J19" s="54"/>
    </row>
    <row r="20" spans="1:10" s="53" customFormat="1" ht="184.8">
      <c r="A20" s="47" t="s">
        <v>469</v>
      </c>
      <c r="B20" s="47" t="s">
        <v>243</v>
      </c>
      <c r="C20" s="49"/>
      <c r="D20" s="261" t="s">
        <v>1125</v>
      </c>
      <c r="E20" s="232"/>
      <c r="F20" s="51"/>
      <c r="G20" s="1013"/>
      <c r="H20" s="165"/>
      <c r="J20" s="54"/>
    </row>
    <row r="21" spans="1:10" s="53" customFormat="1">
      <c r="A21" s="47"/>
      <c r="B21" s="47"/>
      <c r="C21" s="49"/>
      <c r="D21" s="262"/>
      <c r="E21" s="232" t="s">
        <v>344</v>
      </c>
      <c r="F21" s="370">
        <v>75</v>
      </c>
      <c r="G21" s="1015">
        <v>100</v>
      </c>
      <c r="H21" s="258">
        <f>F21*G21</f>
        <v>7500</v>
      </c>
      <c r="J21" s="54"/>
    </row>
    <row r="22" spans="1:10" s="53" customFormat="1">
      <c r="A22" s="47"/>
      <c r="B22" s="47"/>
      <c r="C22" s="49"/>
      <c r="D22" s="261"/>
      <c r="E22" s="232"/>
      <c r="F22" s="51"/>
      <c r="G22" s="1013"/>
      <c r="H22" s="165"/>
      <c r="J22" s="54"/>
    </row>
    <row r="23" spans="1:10" s="53" customFormat="1" ht="184.8">
      <c r="A23" s="47" t="s">
        <v>469</v>
      </c>
      <c r="B23" s="48" t="s">
        <v>582</v>
      </c>
      <c r="C23" s="49"/>
      <c r="D23" s="262" t="s">
        <v>1124</v>
      </c>
      <c r="E23" s="50"/>
      <c r="F23" s="259"/>
      <c r="G23" s="1011"/>
      <c r="H23" s="175"/>
      <c r="J23" s="54"/>
    </row>
    <row r="24" spans="1:10" s="53" customFormat="1">
      <c r="A24" s="47"/>
      <c r="B24" s="48"/>
      <c r="C24" s="49"/>
      <c r="D24" s="262"/>
      <c r="E24" s="232" t="s">
        <v>344</v>
      </c>
      <c r="F24" s="370">
        <v>75</v>
      </c>
      <c r="G24" s="1016">
        <v>108</v>
      </c>
      <c r="H24" s="258">
        <f>G24*F24</f>
        <v>8100</v>
      </c>
      <c r="J24" s="54"/>
    </row>
    <row r="25" spans="1:10" s="53" customFormat="1">
      <c r="A25" s="47"/>
      <c r="B25" s="47"/>
      <c r="C25" s="49"/>
      <c r="D25" s="262"/>
      <c r="E25" s="232"/>
      <c r="F25" s="259"/>
      <c r="G25" s="1013"/>
      <c r="H25" s="165"/>
      <c r="J25" s="54"/>
    </row>
    <row r="26" spans="1:10" s="53" customFormat="1" ht="118.8">
      <c r="A26" s="47" t="s">
        <v>469</v>
      </c>
      <c r="B26" s="48" t="s">
        <v>331</v>
      </c>
      <c r="C26" s="49"/>
      <c r="D26" s="80" t="s">
        <v>1126</v>
      </c>
      <c r="E26" s="263"/>
      <c r="F26" s="264"/>
      <c r="G26" s="1014"/>
      <c r="H26" s="165"/>
      <c r="J26" s="54"/>
    </row>
    <row r="27" spans="1:10" s="53" customFormat="1">
      <c r="A27" s="47"/>
      <c r="B27" s="48"/>
      <c r="C27" s="49"/>
      <c r="D27" s="168"/>
      <c r="E27" s="263" t="s">
        <v>344</v>
      </c>
      <c r="F27" s="98">
        <v>46</v>
      </c>
      <c r="G27" s="1017">
        <v>70</v>
      </c>
      <c r="H27" s="258">
        <f>F27*G27</f>
        <v>3220</v>
      </c>
      <c r="J27" s="54"/>
    </row>
    <row r="28" spans="1:10" s="53" customFormat="1">
      <c r="A28" s="47"/>
      <c r="B28" s="47"/>
      <c r="C28" s="49"/>
      <c r="D28" s="168"/>
      <c r="E28" s="263"/>
      <c r="F28" s="265"/>
      <c r="G28" s="1014"/>
      <c r="H28" s="175"/>
      <c r="J28" s="54"/>
    </row>
    <row r="29" spans="1:10" s="53" customFormat="1" ht="92.4">
      <c r="A29" s="47" t="s">
        <v>469</v>
      </c>
      <c r="B29" s="48" t="s">
        <v>469</v>
      </c>
      <c r="C29" s="49"/>
      <c r="D29" s="80" t="s">
        <v>1474</v>
      </c>
      <c r="E29" s="263"/>
      <c r="F29" s="265"/>
      <c r="G29" s="1014"/>
      <c r="H29" s="175"/>
      <c r="J29" s="54"/>
    </row>
    <row r="30" spans="1:10" s="53" customFormat="1" ht="224.4">
      <c r="A30" s="47"/>
      <c r="B30" s="48"/>
      <c r="C30" s="49"/>
      <c r="D30" s="80" t="s">
        <v>1475</v>
      </c>
      <c r="E30" s="263"/>
      <c r="F30" s="264"/>
      <c r="G30" s="1014"/>
      <c r="H30" s="175"/>
      <c r="J30" s="54"/>
    </row>
    <row r="31" spans="1:10" s="53" customFormat="1">
      <c r="A31" s="47"/>
      <c r="B31" s="48"/>
      <c r="C31" s="49"/>
      <c r="D31" s="168"/>
      <c r="E31" s="263" t="s">
        <v>344</v>
      </c>
      <c r="F31" s="370">
        <v>65</v>
      </c>
      <c r="G31" s="1016">
        <v>125</v>
      </c>
      <c r="H31" s="258">
        <f>F31*G31</f>
        <v>8125</v>
      </c>
      <c r="J31" s="54"/>
    </row>
    <row r="32" spans="1:10" s="53" customFormat="1">
      <c r="A32" s="47"/>
      <c r="B32" s="47"/>
      <c r="C32" s="49"/>
      <c r="D32" s="168"/>
      <c r="E32" s="263"/>
      <c r="F32" s="265"/>
      <c r="G32" s="1014"/>
      <c r="H32" s="175"/>
      <c r="J32" s="54"/>
    </row>
    <row r="33" spans="1:10" s="53" customFormat="1" ht="79.2">
      <c r="A33" s="47" t="s">
        <v>469</v>
      </c>
      <c r="B33" s="48" t="s">
        <v>192</v>
      </c>
      <c r="C33" s="49"/>
      <c r="D33" s="261" t="s">
        <v>1460</v>
      </c>
      <c r="E33" s="50"/>
      <c r="F33" s="259"/>
      <c r="G33" s="1013"/>
      <c r="H33" s="175"/>
      <c r="J33" s="54"/>
    </row>
    <row r="34" spans="1:10" s="53" customFormat="1">
      <c r="A34" s="47"/>
      <c r="B34" s="48"/>
      <c r="C34" s="49"/>
      <c r="D34" s="261"/>
      <c r="E34" s="232" t="s">
        <v>344</v>
      </c>
      <c r="F34" s="370">
        <v>35</v>
      </c>
      <c r="G34" s="1018">
        <v>50</v>
      </c>
      <c r="H34" s="258">
        <f>F34*G34</f>
        <v>1750</v>
      </c>
      <c r="J34" s="54"/>
    </row>
    <row r="35" spans="1:10" s="53" customFormat="1">
      <c r="A35" s="47"/>
      <c r="B35" s="47"/>
      <c r="C35" s="49"/>
      <c r="D35" s="261"/>
      <c r="E35" s="232"/>
      <c r="F35" s="259"/>
      <c r="G35" s="1013"/>
      <c r="H35" s="165"/>
      <c r="J35" s="54"/>
    </row>
    <row r="36" spans="1:10" s="53" customFormat="1" ht="171.6">
      <c r="A36" s="47" t="s">
        <v>469</v>
      </c>
      <c r="B36" s="48" t="s">
        <v>146</v>
      </c>
      <c r="C36" s="49"/>
      <c r="D36" s="266" t="s">
        <v>1127</v>
      </c>
      <c r="E36" s="50"/>
      <c r="F36" s="259"/>
      <c r="G36" s="1013"/>
      <c r="H36" s="165"/>
      <c r="J36" s="54"/>
    </row>
    <row r="37" spans="1:10" s="53" customFormat="1">
      <c r="A37" s="47"/>
      <c r="B37" s="48"/>
      <c r="C37" s="49"/>
      <c r="D37" s="261"/>
      <c r="E37" s="232" t="s">
        <v>344</v>
      </c>
      <c r="F37" s="370">
        <v>75</v>
      </c>
      <c r="G37" s="1019">
        <v>55</v>
      </c>
      <c r="H37" s="258">
        <f>F37*G37</f>
        <v>4125</v>
      </c>
      <c r="J37" s="54"/>
    </row>
    <row r="38" spans="1:10" s="53" customFormat="1">
      <c r="A38" s="47"/>
      <c r="B38" s="47"/>
      <c r="C38" s="49"/>
      <c r="D38" s="261"/>
      <c r="E38" s="232"/>
      <c r="F38" s="259"/>
      <c r="G38" s="1013"/>
      <c r="H38" s="175"/>
      <c r="J38" s="54"/>
    </row>
    <row r="39" spans="1:10" s="53" customFormat="1" ht="105.6">
      <c r="A39" s="47" t="s">
        <v>469</v>
      </c>
      <c r="B39" s="48" t="s">
        <v>147</v>
      </c>
      <c r="C39" s="49"/>
      <c r="D39" s="266" t="s">
        <v>1128</v>
      </c>
      <c r="E39" s="15"/>
      <c r="F39" s="13"/>
      <c r="G39" s="1012"/>
      <c r="H39" s="175"/>
      <c r="I39" s="17"/>
      <c r="J39" s="54"/>
    </row>
    <row r="40" spans="1:10" s="53" customFormat="1">
      <c r="A40" s="47"/>
      <c r="B40" s="48"/>
      <c r="C40" s="49"/>
      <c r="D40" s="267"/>
      <c r="E40" s="263" t="s">
        <v>344</v>
      </c>
      <c r="F40" s="370">
        <v>65</v>
      </c>
      <c r="G40" s="1019">
        <v>40</v>
      </c>
      <c r="H40" s="258">
        <f>F40*G40</f>
        <v>2600</v>
      </c>
      <c r="J40" s="54"/>
    </row>
    <row r="41" spans="1:10" s="53" customFormat="1">
      <c r="A41" s="47"/>
      <c r="B41" s="47"/>
      <c r="C41" s="49"/>
      <c r="D41" s="267"/>
      <c r="E41" s="50"/>
      <c r="F41" s="65"/>
      <c r="G41" s="1020"/>
      <c r="H41" s="165"/>
      <c r="J41" s="54"/>
    </row>
    <row r="42" spans="1:10" s="53" customFormat="1" ht="79.2">
      <c r="A42" s="47" t="s">
        <v>469</v>
      </c>
      <c r="B42" s="48" t="s">
        <v>43</v>
      </c>
      <c r="C42" s="49"/>
      <c r="D42" s="266" t="s">
        <v>1129</v>
      </c>
      <c r="E42" s="15"/>
      <c r="F42" s="13"/>
      <c r="G42" s="1012"/>
      <c r="H42" s="165"/>
      <c r="J42" s="54"/>
    </row>
    <row r="43" spans="1:10" s="53" customFormat="1">
      <c r="A43" s="47"/>
      <c r="B43" s="48"/>
      <c r="C43" s="49"/>
      <c r="D43" s="267"/>
      <c r="E43" s="263" t="s">
        <v>391</v>
      </c>
      <c r="F43" s="371">
        <v>1</v>
      </c>
      <c r="G43" s="1021">
        <v>170</v>
      </c>
      <c r="H43" s="258">
        <f>G43*F43</f>
        <v>170</v>
      </c>
      <c r="J43" s="54"/>
    </row>
    <row r="44" spans="1:10" s="53" customFormat="1">
      <c r="A44" s="47"/>
      <c r="B44" s="47"/>
      <c r="C44" s="49"/>
      <c r="D44" s="267"/>
      <c r="E44" s="15"/>
      <c r="F44" s="13"/>
      <c r="G44" s="1012"/>
      <c r="H44" s="165"/>
      <c r="J44" s="54"/>
    </row>
    <row r="45" spans="1:10" s="53" customFormat="1" ht="158.4">
      <c r="A45" s="47" t="s">
        <v>469</v>
      </c>
      <c r="B45" s="48" t="s">
        <v>185</v>
      </c>
      <c r="C45" s="49"/>
      <c r="D45" s="262" t="s">
        <v>1130</v>
      </c>
      <c r="E45" s="268"/>
      <c r="F45" s="256"/>
      <c r="G45" s="1011"/>
      <c r="H45" s="165"/>
      <c r="J45" s="54"/>
    </row>
    <row r="46" spans="1:10" s="53" customFormat="1">
      <c r="A46" s="47"/>
      <c r="B46" s="47"/>
      <c r="C46" s="49"/>
      <c r="D46" s="269"/>
      <c r="E46" s="232" t="s">
        <v>344</v>
      </c>
      <c r="F46" s="372">
        <v>125</v>
      </c>
      <c r="G46" s="1022">
        <v>70</v>
      </c>
      <c r="H46" s="258">
        <f>G46*F46</f>
        <v>8750</v>
      </c>
      <c r="J46" s="54"/>
    </row>
    <row r="47" spans="1:10" s="53" customFormat="1">
      <c r="A47" s="47"/>
      <c r="B47" s="48"/>
      <c r="C47" s="49"/>
      <c r="D47" s="269"/>
      <c r="E47" s="270"/>
      <c r="F47" s="259"/>
      <c r="G47" s="1011"/>
      <c r="H47" s="165"/>
      <c r="J47" s="54"/>
    </row>
    <row r="48" spans="1:10" s="53" customFormat="1" ht="79.2">
      <c r="A48" s="47" t="s">
        <v>469</v>
      </c>
      <c r="B48" s="48" t="s">
        <v>397</v>
      </c>
      <c r="C48" s="49"/>
      <c r="D48" s="262" t="s">
        <v>1131</v>
      </c>
      <c r="E48" s="270"/>
      <c r="F48" s="259"/>
      <c r="G48" s="1011"/>
      <c r="H48" s="175"/>
      <c r="J48" s="54"/>
    </row>
    <row r="49" spans="1:10" s="53" customFormat="1">
      <c r="A49" s="47"/>
      <c r="B49" s="47"/>
      <c r="C49" s="49"/>
      <c r="D49" s="269"/>
      <c r="E49" s="232" t="s">
        <v>391</v>
      </c>
      <c r="F49" s="371">
        <v>7</v>
      </c>
      <c r="G49" s="1022">
        <v>150</v>
      </c>
      <c r="H49" s="258">
        <f>F49*G49</f>
        <v>1050</v>
      </c>
      <c r="J49" s="54"/>
    </row>
    <row r="50" spans="1:10" s="53" customFormat="1">
      <c r="A50" s="47"/>
      <c r="B50" s="47"/>
      <c r="C50" s="49"/>
      <c r="D50" s="269"/>
      <c r="E50" s="232"/>
      <c r="F50" s="259"/>
      <c r="G50" s="1013"/>
      <c r="H50" s="175"/>
      <c r="J50" s="54"/>
    </row>
    <row r="51" spans="1:10" s="53" customFormat="1" ht="92.4">
      <c r="A51" s="47" t="s">
        <v>469</v>
      </c>
      <c r="B51" s="48" t="s">
        <v>109</v>
      </c>
      <c r="C51" s="49"/>
      <c r="D51" s="262" t="s">
        <v>1132</v>
      </c>
      <c r="E51" s="271"/>
      <c r="F51" s="272"/>
      <c r="G51" s="1023"/>
      <c r="H51" s="165"/>
      <c r="J51" s="54"/>
    </row>
    <row r="52" spans="1:10" s="53" customFormat="1">
      <c r="A52" s="47"/>
      <c r="B52" s="48"/>
      <c r="C52" s="49" t="s">
        <v>240</v>
      </c>
      <c r="D52" s="262" t="s">
        <v>1133</v>
      </c>
      <c r="E52" s="232" t="s">
        <v>391</v>
      </c>
      <c r="F52" s="259">
        <v>1</v>
      </c>
      <c r="G52" s="1013">
        <v>165</v>
      </c>
      <c r="H52" s="258">
        <f t="shared" ref="H52:H60" si="0">F52*G52</f>
        <v>165</v>
      </c>
      <c r="J52" s="54"/>
    </row>
    <row r="53" spans="1:10" s="53" customFormat="1">
      <c r="A53" s="47"/>
      <c r="B53" s="48"/>
      <c r="C53" s="49" t="s">
        <v>241</v>
      </c>
      <c r="D53" s="262" t="s">
        <v>1134</v>
      </c>
      <c r="E53" s="232" t="s">
        <v>391</v>
      </c>
      <c r="F53" s="259">
        <v>1</v>
      </c>
      <c r="G53" s="1013">
        <v>162</v>
      </c>
      <c r="H53" s="258">
        <f t="shared" si="0"/>
        <v>162</v>
      </c>
      <c r="J53" s="54"/>
    </row>
    <row r="54" spans="1:10" s="53" customFormat="1">
      <c r="A54" s="47"/>
      <c r="B54" s="48"/>
      <c r="C54" s="49" t="s">
        <v>242</v>
      </c>
      <c r="D54" s="262" t="s">
        <v>1135</v>
      </c>
      <c r="E54" s="232" t="s">
        <v>391</v>
      </c>
      <c r="F54" s="259">
        <v>1</v>
      </c>
      <c r="G54" s="1013">
        <v>164</v>
      </c>
      <c r="H54" s="258">
        <f t="shared" si="0"/>
        <v>164</v>
      </c>
      <c r="J54" s="54"/>
    </row>
    <row r="55" spans="1:10" s="53" customFormat="1">
      <c r="A55" s="47"/>
      <c r="B55" s="48"/>
      <c r="C55" s="49" t="s">
        <v>221</v>
      </c>
      <c r="D55" s="262" t="s">
        <v>1136</v>
      </c>
      <c r="E55" s="232" t="s">
        <v>391</v>
      </c>
      <c r="F55" s="259">
        <v>1</v>
      </c>
      <c r="G55" s="1013">
        <v>164</v>
      </c>
      <c r="H55" s="258">
        <f t="shared" si="0"/>
        <v>164</v>
      </c>
      <c r="J55" s="54"/>
    </row>
    <row r="56" spans="1:10" s="53" customFormat="1">
      <c r="A56" s="47"/>
      <c r="B56" s="48"/>
      <c r="C56" s="49" t="s">
        <v>525</v>
      </c>
      <c r="D56" s="262" t="s">
        <v>1137</v>
      </c>
      <c r="E56" s="232" t="s">
        <v>391</v>
      </c>
      <c r="F56" s="259">
        <v>2</v>
      </c>
      <c r="G56" s="1013">
        <v>164</v>
      </c>
      <c r="H56" s="258">
        <f t="shared" si="0"/>
        <v>328</v>
      </c>
      <c r="J56" s="54"/>
    </row>
    <row r="57" spans="1:10" s="53" customFormat="1">
      <c r="A57" s="47"/>
      <c r="B57" s="48"/>
      <c r="C57" s="49" t="s">
        <v>914</v>
      </c>
      <c r="D57" s="262" t="s">
        <v>1138</v>
      </c>
      <c r="E57" s="232" t="s">
        <v>391</v>
      </c>
      <c r="F57" s="259">
        <v>1</v>
      </c>
      <c r="G57" s="1013">
        <v>167</v>
      </c>
      <c r="H57" s="258">
        <f t="shared" si="0"/>
        <v>167</v>
      </c>
      <c r="J57" s="54"/>
    </row>
    <row r="58" spans="1:10" s="53" customFormat="1">
      <c r="A58" s="47"/>
      <c r="B58" s="48"/>
      <c r="C58" s="49" t="s">
        <v>1139</v>
      </c>
      <c r="D58" s="262" t="s">
        <v>1140</v>
      </c>
      <c r="E58" s="232" t="s">
        <v>391</v>
      </c>
      <c r="F58" s="259">
        <v>1</v>
      </c>
      <c r="G58" s="1013">
        <v>165</v>
      </c>
      <c r="H58" s="258">
        <f t="shared" si="0"/>
        <v>165</v>
      </c>
      <c r="J58" s="54"/>
    </row>
    <row r="59" spans="1:10" s="53" customFormat="1">
      <c r="A59" s="47"/>
      <c r="B59" s="48"/>
      <c r="C59" s="49" t="s">
        <v>1142</v>
      </c>
      <c r="D59" s="262" t="s">
        <v>1141</v>
      </c>
      <c r="E59" s="232" t="s">
        <v>391</v>
      </c>
      <c r="F59" s="259">
        <v>2</v>
      </c>
      <c r="G59" s="1013">
        <v>160</v>
      </c>
      <c r="H59" s="258">
        <f t="shared" si="0"/>
        <v>320</v>
      </c>
      <c r="J59" s="54"/>
    </row>
    <row r="60" spans="1:10" s="53" customFormat="1">
      <c r="A60" s="47"/>
      <c r="B60" s="48"/>
      <c r="C60" s="49" t="s">
        <v>1144</v>
      </c>
      <c r="D60" s="262" t="s">
        <v>1143</v>
      </c>
      <c r="E60" s="232" t="s">
        <v>391</v>
      </c>
      <c r="F60" s="259">
        <v>2</v>
      </c>
      <c r="G60" s="1013">
        <v>164</v>
      </c>
      <c r="H60" s="258">
        <f t="shared" si="0"/>
        <v>328</v>
      </c>
      <c r="J60" s="54"/>
    </row>
    <row r="61" spans="1:10" s="53" customFormat="1">
      <c r="A61" s="47"/>
      <c r="B61" s="48"/>
      <c r="C61" s="49"/>
      <c r="D61" s="262"/>
      <c r="E61" s="232"/>
      <c r="F61" s="259"/>
      <c r="G61" s="1013"/>
      <c r="H61" s="165"/>
      <c r="J61" s="54"/>
    </row>
    <row r="62" spans="1:10" s="53" customFormat="1">
      <c r="A62" s="47"/>
      <c r="B62" s="48"/>
      <c r="C62" s="49"/>
      <c r="D62" s="262"/>
      <c r="E62" s="232"/>
      <c r="F62" s="259"/>
      <c r="G62" s="1013"/>
      <c r="H62" s="165"/>
      <c r="J62" s="54"/>
    </row>
    <row r="63" spans="1:10" s="53" customFormat="1">
      <c r="A63" s="47"/>
      <c r="B63" s="48"/>
      <c r="C63" s="49"/>
      <c r="D63" s="262"/>
      <c r="E63" s="232"/>
      <c r="F63" s="259"/>
      <c r="G63" s="1013"/>
      <c r="H63" s="165"/>
      <c r="J63" s="54"/>
    </row>
    <row r="64" spans="1:10" s="53" customFormat="1">
      <c r="A64" s="47"/>
      <c r="B64" s="48"/>
      <c r="C64" s="49"/>
      <c r="D64" s="262"/>
      <c r="E64" s="232"/>
      <c r="F64" s="259"/>
      <c r="G64" s="1013"/>
      <c r="H64" s="165"/>
      <c r="J64" s="54"/>
    </row>
    <row r="65" spans="1:11" s="53" customFormat="1">
      <c r="A65" s="47"/>
      <c r="B65" s="48"/>
      <c r="C65" s="49"/>
      <c r="D65" s="373" t="s">
        <v>1145</v>
      </c>
      <c r="E65" s="232"/>
      <c r="F65" s="259"/>
      <c r="G65" s="1013"/>
      <c r="H65" s="165"/>
      <c r="J65" s="54"/>
    </row>
    <row r="66" spans="1:11" s="53" customFormat="1">
      <c r="A66" s="47"/>
      <c r="B66" s="48"/>
      <c r="C66" s="49"/>
      <c r="D66" s="373"/>
      <c r="E66" s="232"/>
      <c r="F66" s="259"/>
      <c r="G66" s="1013"/>
      <c r="H66" s="165"/>
      <c r="J66" s="54"/>
    </row>
    <row r="67" spans="1:11" s="53" customFormat="1" ht="92.4">
      <c r="A67" s="47" t="s">
        <v>469</v>
      </c>
      <c r="B67" s="48" t="s">
        <v>511</v>
      </c>
      <c r="C67" s="49"/>
      <c r="D67" s="21" t="s">
        <v>1146</v>
      </c>
      <c r="E67" s="50"/>
      <c r="F67" s="51"/>
      <c r="G67" s="1013"/>
      <c r="H67" s="165"/>
      <c r="J67" s="54"/>
    </row>
    <row r="68" spans="1:11" s="53" customFormat="1">
      <c r="A68" s="47"/>
      <c r="B68" s="47"/>
      <c r="C68" s="49"/>
      <c r="D68" s="257"/>
      <c r="E68" s="155" t="s">
        <v>344</v>
      </c>
      <c r="F68" s="372">
        <v>75</v>
      </c>
      <c r="G68" s="1018">
        <v>55</v>
      </c>
      <c r="H68" s="258">
        <f>SUM(F68*G68)</f>
        <v>4125</v>
      </c>
      <c r="J68" s="54"/>
    </row>
    <row r="69" spans="1:11" s="147" customFormat="1">
      <c r="A69" s="47"/>
      <c r="B69" s="47"/>
      <c r="C69" s="241"/>
      <c r="D69" s="267"/>
      <c r="E69" s="121"/>
      <c r="F69" s="65"/>
      <c r="G69" s="1020"/>
      <c r="H69" s="18"/>
      <c r="J69" s="173"/>
    </row>
    <row r="70" spans="1:11" s="53" customFormat="1" ht="79.2">
      <c r="A70" s="47" t="s">
        <v>469</v>
      </c>
      <c r="B70" s="48" t="s">
        <v>512</v>
      </c>
      <c r="C70" s="49"/>
      <c r="D70" s="21" t="s">
        <v>1465</v>
      </c>
      <c r="E70" s="50"/>
      <c r="F70" s="51"/>
      <c r="G70" s="1024"/>
      <c r="H70" s="52"/>
      <c r="J70" s="54"/>
    </row>
    <row r="71" spans="1:11" s="53" customFormat="1">
      <c r="A71" s="47"/>
      <c r="B71" s="48"/>
      <c r="C71" s="49" t="s">
        <v>240</v>
      </c>
      <c r="D71" s="21" t="s">
        <v>1466</v>
      </c>
      <c r="E71" s="155" t="s">
        <v>391</v>
      </c>
      <c r="F71" s="40">
        <v>6</v>
      </c>
      <c r="G71" s="1018">
        <v>60</v>
      </c>
      <c r="H71" s="258">
        <f>G71*F71</f>
        <v>360</v>
      </c>
      <c r="I71" s="17"/>
      <c r="J71" s="54"/>
    </row>
    <row r="72" spans="1:11" s="16" customFormat="1">
      <c r="A72" s="47"/>
      <c r="B72" s="48"/>
      <c r="C72" s="49" t="s">
        <v>241</v>
      </c>
      <c r="D72" s="21" t="s">
        <v>1467</v>
      </c>
      <c r="E72" s="155" t="s">
        <v>391</v>
      </c>
      <c r="F72" s="40">
        <v>2</v>
      </c>
      <c r="G72" s="1018">
        <v>60</v>
      </c>
      <c r="H72" s="258">
        <f>G72*F72</f>
        <v>120</v>
      </c>
    </row>
    <row r="73" spans="1:11" s="16" customFormat="1">
      <c r="A73" s="47"/>
      <c r="B73" s="48"/>
      <c r="C73" s="49"/>
      <c r="D73" s="21"/>
      <c r="E73" s="155"/>
      <c r="F73" s="40"/>
      <c r="G73" s="1018"/>
      <c r="H73" s="258"/>
    </row>
    <row r="74" spans="1:11" ht="184.8">
      <c r="A74" s="47" t="s">
        <v>469</v>
      </c>
      <c r="B74" s="48" t="s">
        <v>513</v>
      </c>
      <c r="C74" s="49"/>
      <c r="D74" s="80" t="s">
        <v>1147</v>
      </c>
      <c r="E74" s="273"/>
      <c r="F74" s="92"/>
      <c r="G74" s="1025"/>
      <c r="H74" s="274"/>
      <c r="J74" s="13"/>
    </row>
    <row r="75" spans="1:11">
      <c r="A75" s="25"/>
      <c r="B75" s="25"/>
      <c r="C75" s="49"/>
      <c r="D75" s="80"/>
      <c r="E75" s="155" t="s">
        <v>344</v>
      </c>
      <c r="F75" s="370">
        <v>48</v>
      </c>
      <c r="G75" s="1018">
        <v>60</v>
      </c>
      <c r="H75" s="258">
        <f>G75*F75</f>
        <v>2880</v>
      </c>
      <c r="I75" s="235"/>
      <c r="J75" s="13"/>
    </row>
    <row r="76" spans="1:11" ht="15">
      <c r="A76" s="25"/>
      <c r="B76" s="25"/>
      <c r="C76" s="49"/>
      <c r="D76" s="80"/>
      <c r="E76" s="190"/>
      <c r="F76" s="130"/>
      <c r="G76" s="1020"/>
      <c r="H76" s="274"/>
      <c r="J76" s="13"/>
    </row>
    <row r="77" spans="1:11" s="16" customFormat="1" ht="79.2">
      <c r="A77" s="47" t="s">
        <v>469</v>
      </c>
      <c r="B77" s="48" t="s">
        <v>514</v>
      </c>
      <c r="C77" s="200"/>
      <c r="D77" s="80" t="s">
        <v>1148</v>
      </c>
      <c r="E77" s="129"/>
      <c r="F77" s="130"/>
      <c r="G77" s="1026"/>
      <c r="H77" s="52"/>
      <c r="J77" s="54"/>
    </row>
    <row r="78" spans="1:11" s="16" customFormat="1" ht="15">
      <c r="A78" s="131"/>
      <c r="B78" s="131"/>
      <c r="C78" s="132"/>
      <c r="D78" s="56"/>
      <c r="E78" s="133" t="s">
        <v>391</v>
      </c>
      <c r="F78" s="370">
        <v>4</v>
      </c>
      <c r="G78" s="1018">
        <v>90</v>
      </c>
      <c r="H78" s="258">
        <f>F78*G78</f>
        <v>360</v>
      </c>
      <c r="J78" s="54"/>
      <c r="K78" s="122"/>
    </row>
    <row r="79" spans="1:11" s="16" customFormat="1">
      <c r="A79" s="131"/>
      <c r="B79" s="131"/>
      <c r="C79" s="132"/>
      <c r="D79" s="56"/>
      <c r="E79" s="133"/>
      <c r="F79" s="134"/>
      <c r="G79" s="1027"/>
      <c r="H79" s="258"/>
    </row>
    <row r="80" spans="1:11" ht="79.2">
      <c r="A80" s="47" t="s">
        <v>469</v>
      </c>
      <c r="B80" s="48" t="s">
        <v>515</v>
      </c>
      <c r="C80" s="128"/>
      <c r="D80" s="56" t="s">
        <v>1149</v>
      </c>
      <c r="E80" s="133"/>
      <c r="F80" s="130"/>
      <c r="G80" s="1027"/>
      <c r="H80" s="258"/>
      <c r="J80" s="13"/>
    </row>
    <row r="81" spans="1:11">
      <c r="A81" s="25"/>
      <c r="B81" s="25"/>
      <c r="C81" s="128"/>
      <c r="D81" s="135"/>
      <c r="E81" s="133" t="s">
        <v>391</v>
      </c>
      <c r="F81" s="370">
        <v>2</v>
      </c>
      <c r="G81" s="1018">
        <v>89</v>
      </c>
      <c r="H81" s="258">
        <f>F81*G81</f>
        <v>178</v>
      </c>
      <c r="I81" s="17"/>
      <c r="J81" s="13"/>
    </row>
    <row r="82" spans="1:11">
      <c r="A82" s="25"/>
      <c r="B82" s="25"/>
      <c r="C82" s="128"/>
      <c r="D82" s="56"/>
      <c r="E82" s="133"/>
      <c r="F82" s="130"/>
      <c r="G82" s="1027"/>
      <c r="H82" s="258"/>
      <c r="J82" s="13"/>
    </row>
    <row r="83" spans="1:11" ht="92.4">
      <c r="A83" s="47" t="s">
        <v>469</v>
      </c>
      <c r="B83" s="48" t="s">
        <v>516</v>
      </c>
      <c r="C83" s="128"/>
      <c r="D83" s="56" t="s">
        <v>1150</v>
      </c>
      <c r="E83" s="133"/>
      <c r="F83" s="130"/>
      <c r="G83" s="1027"/>
      <c r="H83" s="258"/>
      <c r="J83" s="13"/>
    </row>
    <row r="84" spans="1:11">
      <c r="A84" s="25"/>
      <c r="B84" s="25"/>
      <c r="C84" s="128" t="s">
        <v>240</v>
      </c>
      <c r="D84" s="56" t="s">
        <v>1468</v>
      </c>
      <c r="E84" s="133" t="s">
        <v>344</v>
      </c>
      <c r="F84" s="374">
        <v>25</v>
      </c>
      <c r="G84" s="1028">
        <v>80</v>
      </c>
      <c r="H84" s="258">
        <f>G84*F84</f>
        <v>2000</v>
      </c>
      <c r="J84" s="13"/>
    </row>
    <row r="85" spans="1:11" ht="15">
      <c r="A85" s="25"/>
      <c r="B85" s="25"/>
      <c r="C85" s="128" t="s">
        <v>241</v>
      </c>
      <c r="D85" s="56" t="s">
        <v>1151</v>
      </c>
      <c r="E85" s="133" t="s">
        <v>344</v>
      </c>
      <c r="F85" s="374">
        <v>75</v>
      </c>
      <c r="G85" s="1028">
        <v>90</v>
      </c>
      <c r="H85" s="258">
        <f>G85*F85</f>
        <v>6750</v>
      </c>
      <c r="K85" s="122"/>
    </row>
    <row r="86" spans="1:11" ht="15">
      <c r="A86" s="25"/>
      <c r="B86" s="25"/>
      <c r="C86" s="128" t="s">
        <v>241</v>
      </c>
      <c r="D86" s="56" t="s">
        <v>1152</v>
      </c>
      <c r="E86" s="133" t="s">
        <v>344</v>
      </c>
      <c r="F86" s="374">
        <v>25</v>
      </c>
      <c r="G86" s="1028">
        <v>100</v>
      </c>
      <c r="H86" s="258">
        <f>G86*F86</f>
        <v>2500</v>
      </c>
      <c r="K86" s="122"/>
    </row>
    <row r="87" spans="1:11" s="16" customFormat="1">
      <c r="A87" s="131"/>
      <c r="B87" s="131"/>
      <c r="C87" s="132"/>
      <c r="D87" s="136"/>
      <c r="E87" s="133"/>
      <c r="F87" s="134"/>
      <c r="G87" s="1027"/>
      <c r="H87" s="258"/>
    </row>
    <row r="88" spans="1:11" ht="66">
      <c r="A88" s="47" t="s">
        <v>469</v>
      </c>
      <c r="B88" s="48" t="s">
        <v>521</v>
      </c>
      <c r="C88" s="128"/>
      <c r="D88" s="135" t="s">
        <v>1153</v>
      </c>
      <c r="E88" s="133"/>
      <c r="F88" s="130"/>
      <c r="G88" s="1027"/>
      <c r="H88" s="258"/>
      <c r="J88" s="13"/>
    </row>
    <row r="89" spans="1:11" s="16" customFormat="1">
      <c r="A89" s="131"/>
      <c r="B89" s="131"/>
      <c r="C89" s="132"/>
      <c r="D89" s="136"/>
      <c r="E89" s="133" t="s">
        <v>344</v>
      </c>
      <c r="F89" s="130">
        <v>125</v>
      </c>
      <c r="G89" s="1028">
        <v>30</v>
      </c>
      <c r="H89" s="258">
        <f>SUM(F89*G89)</f>
        <v>3750</v>
      </c>
      <c r="J89" s="130"/>
    </row>
    <row r="90" spans="1:11" s="53" customFormat="1">
      <c r="A90" s="47"/>
      <c r="B90" s="48"/>
      <c r="C90" s="49"/>
      <c r="D90" s="21"/>
      <c r="E90" s="50"/>
      <c r="F90" s="51"/>
      <c r="G90" s="1024"/>
      <c r="H90" s="52"/>
      <c r="J90" s="54"/>
    </row>
    <row r="91" spans="1:11" ht="132">
      <c r="A91" s="47" t="s">
        <v>469</v>
      </c>
      <c r="B91" s="48" t="s">
        <v>964</v>
      </c>
      <c r="C91" s="128"/>
      <c r="D91" s="56" t="s">
        <v>941</v>
      </c>
      <c r="E91" s="129"/>
      <c r="F91" s="130"/>
      <c r="G91" s="1027"/>
      <c r="J91" s="13"/>
    </row>
    <row r="92" spans="1:11" s="16" customFormat="1" ht="15">
      <c r="A92" s="131"/>
      <c r="B92" s="131"/>
      <c r="C92" s="128"/>
      <c r="D92" s="56"/>
      <c r="E92" s="133" t="s">
        <v>344</v>
      </c>
      <c r="F92" s="130">
        <v>125</v>
      </c>
      <c r="G92" s="1028">
        <v>35</v>
      </c>
      <c r="H92" s="93">
        <f>SUM(F92*G92)</f>
        <v>4375</v>
      </c>
      <c r="J92" s="54"/>
      <c r="K92" s="122"/>
    </row>
    <row r="93" spans="1:11" s="16" customFormat="1" ht="15">
      <c r="A93" s="131"/>
      <c r="B93" s="131"/>
      <c r="C93" s="128"/>
      <c r="D93" s="56"/>
      <c r="E93" s="133"/>
      <c r="F93" s="130"/>
      <c r="G93" s="1028"/>
      <c r="H93" s="93"/>
      <c r="J93" s="54"/>
      <c r="K93" s="122"/>
    </row>
    <row r="94" spans="1:11" s="16" customFormat="1" ht="52.8">
      <c r="A94" s="47" t="s">
        <v>469</v>
      </c>
      <c r="B94" s="48" t="s">
        <v>965</v>
      </c>
      <c r="C94" s="128"/>
      <c r="D94" s="61" t="s">
        <v>1469</v>
      </c>
      <c r="E94" s="133"/>
      <c r="F94" s="130"/>
      <c r="G94" s="1028"/>
      <c r="H94" s="93"/>
      <c r="J94" s="54"/>
      <c r="K94" s="122"/>
    </row>
    <row r="95" spans="1:11" s="16" customFormat="1" ht="15">
      <c r="A95" s="131"/>
      <c r="B95" s="131"/>
      <c r="C95" s="49" t="s">
        <v>240</v>
      </c>
      <c r="D95" s="61" t="s">
        <v>1470</v>
      </c>
      <c r="E95" s="191" t="s">
        <v>344</v>
      </c>
      <c r="F95" s="176">
        <v>12</v>
      </c>
      <c r="G95" s="1028">
        <v>40</v>
      </c>
      <c r="H95" s="93">
        <f>SUM(F95*G95)</f>
        <v>480</v>
      </c>
      <c r="J95" s="54"/>
      <c r="K95" s="122"/>
    </row>
    <row r="96" spans="1:11" s="16" customFormat="1" ht="15">
      <c r="A96" s="131"/>
      <c r="B96" s="131"/>
      <c r="C96" s="49" t="s">
        <v>241</v>
      </c>
      <c r="D96" s="61" t="s">
        <v>1471</v>
      </c>
      <c r="E96" s="191" t="s">
        <v>344</v>
      </c>
      <c r="F96" s="176">
        <v>12</v>
      </c>
      <c r="G96" s="1028">
        <v>70</v>
      </c>
      <c r="H96" s="93">
        <f>SUM(F96*G96)</f>
        <v>840</v>
      </c>
      <c r="J96" s="54"/>
      <c r="K96" s="122"/>
    </row>
    <row r="97" spans="1:11" s="16" customFormat="1" ht="15.6" thickBot="1">
      <c r="A97" s="277"/>
      <c r="B97" s="277"/>
      <c r="C97" s="277"/>
      <c r="D97" s="277"/>
      <c r="E97" s="277"/>
      <c r="F97" s="277"/>
      <c r="G97" s="1029"/>
      <c r="H97" s="277"/>
      <c r="J97" s="54"/>
      <c r="K97" s="122"/>
    </row>
    <row r="98" spans="1:11" s="16" customFormat="1">
      <c r="A98" s="41" t="s">
        <v>469</v>
      </c>
      <c r="B98" s="41"/>
      <c r="C98" s="13"/>
      <c r="D98" s="117" t="s">
        <v>519</v>
      </c>
      <c r="E98" s="43"/>
      <c r="F98" s="188"/>
      <c r="G98" s="1027"/>
      <c r="H98" s="278">
        <f>SUM(H10:H97)</f>
        <v>152291</v>
      </c>
      <c r="I98" s="13"/>
    </row>
    <row r="99" spans="1:11" s="16" customFormat="1">
      <c r="A99" s="186"/>
      <c r="B99" s="186"/>
      <c r="D99" s="279"/>
      <c r="E99" s="178"/>
      <c r="F99" s="187"/>
      <c r="G99" s="1012"/>
      <c r="H99" s="179"/>
    </row>
    <row r="100" spans="1:11" s="53" customFormat="1">
      <c r="A100" s="47" t="s">
        <v>330</v>
      </c>
      <c r="B100" s="47" t="s">
        <v>330</v>
      </c>
      <c r="C100" s="49"/>
      <c r="D100" s="80"/>
      <c r="E100" s="191"/>
      <c r="F100" s="176"/>
      <c r="G100" s="1020"/>
      <c r="H100" s="165"/>
      <c r="J100" s="54"/>
    </row>
    <row r="101" spans="1:11" s="53" customFormat="1">
      <c r="A101" s="47" t="s">
        <v>330</v>
      </c>
      <c r="B101" s="47" t="s">
        <v>330</v>
      </c>
      <c r="C101" s="49"/>
      <c r="D101" s="61"/>
      <c r="E101" s="191"/>
      <c r="F101" s="176"/>
      <c r="G101" s="1020"/>
      <c r="H101" s="165"/>
      <c r="J101" s="244"/>
    </row>
    <row r="102" spans="1:11" s="53" customFormat="1">
      <c r="A102" s="47" t="s">
        <v>330</v>
      </c>
      <c r="B102" s="47" t="s">
        <v>330</v>
      </c>
      <c r="C102" s="49"/>
      <c r="D102" s="174"/>
      <c r="E102" s="234"/>
      <c r="F102" s="193"/>
      <c r="G102" s="1020"/>
      <c r="H102" s="165"/>
      <c r="J102" s="54"/>
    </row>
    <row r="103" spans="1:11" s="53" customFormat="1">
      <c r="A103" s="47" t="s">
        <v>330</v>
      </c>
      <c r="B103" s="47" t="s">
        <v>330</v>
      </c>
      <c r="C103" s="49"/>
      <c r="D103" s="80"/>
      <c r="E103" s="191"/>
      <c r="F103" s="176"/>
      <c r="G103" s="1020"/>
      <c r="H103" s="175"/>
      <c r="J103" s="54"/>
    </row>
    <row r="104" spans="1:11" s="53" customFormat="1">
      <c r="A104" s="47" t="s">
        <v>330</v>
      </c>
      <c r="B104" s="47" t="s">
        <v>330</v>
      </c>
      <c r="C104" s="168"/>
      <c r="D104" s="80"/>
      <c r="E104" s="245"/>
      <c r="F104" s="176"/>
      <c r="G104" s="1020"/>
      <c r="H104" s="165"/>
      <c r="J104" s="54"/>
    </row>
    <row r="105" spans="1:11" s="53" customFormat="1">
      <c r="A105" s="47" t="s">
        <v>330</v>
      </c>
      <c r="B105" s="47" t="s">
        <v>330</v>
      </c>
      <c r="C105" s="49"/>
      <c r="D105" s="61"/>
      <c r="E105" s="191"/>
      <c r="F105" s="176"/>
      <c r="G105" s="1020"/>
      <c r="H105" s="165"/>
      <c r="J105" s="244"/>
    </row>
    <row r="106" spans="1:11" s="53" customFormat="1">
      <c r="A106" s="47" t="s">
        <v>330</v>
      </c>
      <c r="B106" s="47" t="s">
        <v>330</v>
      </c>
      <c r="C106" s="49"/>
      <c r="D106" s="61"/>
      <c r="E106" s="191"/>
      <c r="F106" s="176"/>
      <c r="G106" s="1020"/>
      <c r="H106" s="165"/>
      <c r="J106" s="244"/>
    </row>
    <row r="107" spans="1:11" s="53" customFormat="1">
      <c r="A107" s="47" t="s">
        <v>330</v>
      </c>
      <c r="B107" s="47" t="s">
        <v>330</v>
      </c>
      <c r="C107" s="49"/>
      <c r="D107" s="174"/>
      <c r="E107" s="191"/>
      <c r="F107" s="176"/>
      <c r="G107" s="1020"/>
      <c r="H107" s="165"/>
      <c r="J107" s="54"/>
    </row>
    <row r="108" spans="1:11" s="53" customFormat="1">
      <c r="A108" s="47" t="s">
        <v>330</v>
      </c>
      <c r="B108" s="47" t="s">
        <v>330</v>
      </c>
      <c r="C108" s="49"/>
      <c r="E108" s="191"/>
      <c r="F108" s="176"/>
      <c r="G108" s="1020"/>
      <c r="H108" s="175"/>
      <c r="J108" s="54"/>
    </row>
    <row r="109" spans="1:11" s="53" customFormat="1">
      <c r="A109" s="47" t="s">
        <v>330</v>
      </c>
      <c r="B109" s="47" t="s">
        <v>330</v>
      </c>
      <c r="C109" s="49"/>
      <c r="D109" s="80"/>
      <c r="E109" s="191"/>
      <c r="F109" s="176"/>
      <c r="G109" s="1020"/>
      <c r="H109" s="175"/>
      <c r="J109" s="54"/>
    </row>
    <row r="110" spans="1:11" s="53" customFormat="1">
      <c r="A110" s="47" t="s">
        <v>330</v>
      </c>
      <c r="B110" s="47" t="s">
        <v>330</v>
      </c>
      <c r="C110" s="49"/>
      <c r="D110" s="61"/>
      <c r="E110" s="191"/>
      <c r="F110" s="176"/>
      <c r="G110" s="1020"/>
      <c r="H110" s="165"/>
      <c r="J110" s="244"/>
    </row>
    <row r="111" spans="1:11" s="53" customFormat="1">
      <c r="A111" s="47" t="s">
        <v>330</v>
      </c>
      <c r="B111" s="47" t="s">
        <v>330</v>
      </c>
      <c r="C111" s="49"/>
      <c r="D111" s="61"/>
      <c r="E111" s="191"/>
      <c r="F111" s="176"/>
      <c r="G111" s="1020"/>
      <c r="H111" s="165"/>
      <c r="J111" s="244"/>
    </row>
    <row r="112" spans="1:11" s="53" customFormat="1">
      <c r="A112" s="47"/>
      <c r="B112" s="47"/>
      <c r="C112" s="49"/>
      <c r="D112" s="174"/>
      <c r="E112" s="191"/>
      <c r="F112" s="176"/>
      <c r="G112" s="1020"/>
      <c r="H112" s="165"/>
      <c r="J112" s="54"/>
    </row>
    <row r="113" spans="1:10" s="53" customFormat="1">
      <c r="A113" s="47"/>
      <c r="B113" s="47"/>
      <c r="C113" s="49"/>
      <c r="D113" s="80"/>
      <c r="E113" s="191"/>
      <c r="F113" s="176"/>
      <c r="G113" s="1020"/>
      <c r="H113" s="175"/>
      <c r="J113" s="54"/>
    </row>
    <row r="114" spans="1:10" s="53" customFormat="1">
      <c r="A114" s="47"/>
      <c r="B114" s="47"/>
      <c r="C114" s="49"/>
      <c r="D114" s="80"/>
      <c r="E114" s="191"/>
      <c r="F114" s="176"/>
      <c r="G114" s="1020"/>
      <c r="H114" s="175"/>
      <c r="J114" s="54"/>
    </row>
    <row r="115" spans="1:10" s="53" customFormat="1">
      <c r="A115" s="47"/>
      <c r="B115" s="47"/>
      <c r="C115" s="49"/>
      <c r="D115" s="61"/>
      <c r="E115" s="191"/>
      <c r="F115" s="176"/>
      <c r="G115" s="1020"/>
      <c r="H115" s="165"/>
      <c r="J115" s="244"/>
    </row>
    <row r="116" spans="1:10" s="53" customFormat="1">
      <c r="A116" s="47"/>
      <c r="B116" s="47"/>
      <c r="C116" s="49"/>
      <c r="D116" s="61"/>
      <c r="E116" s="191"/>
      <c r="F116" s="176"/>
      <c r="G116" s="1020"/>
      <c r="H116" s="165"/>
      <c r="J116" s="244"/>
    </row>
    <row r="117" spans="1:10" s="53" customFormat="1">
      <c r="A117" s="47"/>
      <c r="B117" s="47"/>
      <c r="C117" s="49"/>
      <c r="D117" s="174"/>
      <c r="E117" s="234"/>
      <c r="F117" s="193"/>
      <c r="G117" s="1020"/>
      <c r="H117" s="165"/>
      <c r="J117" s="54"/>
    </row>
    <row r="118" spans="1:10" s="53" customFormat="1">
      <c r="A118" s="47"/>
      <c r="B118" s="47"/>
      <c r="C118" s="49"/>
      <c r="D118" s="80"/>
      <c r="E118" s="191"/>
      <c r="F118" s="176"/>
      <c r="G118" s="1020"/>
      <c r="H118" s="175"/>
      <c r="J118" s="54"/>
    </row>
    <row r="119" spans="1:10" s="53" customFormat="1">
      <c r="A119" s="47"/>
      <c r="B119" s="47"/>
      <c r="C119" s="49"/>
      <c r="D119" s="80"/>
      <c r="E119" s="191"/>
      <c r="F119" s="176"/>
      <c r="G119" s="1020"/>
      <c r="H119" s="175"/>
      <c r="J119" s="54"/>
    </row>
    <row r="120" spans="1:10" s="53" customFormat="1">
      <c r="A120" s="47"/>
      <c r="B120" s="47"/>
      <c r="C120" s="49"/>
      <c r="D120" s="61"/>
      <c r="E120" s="191"/>
      <c r="F120" s="176"/>
      <c r="G120" s="1020"/>
      <c r="H120" s="175"/>
      <c r="J120" s="54"/>
    </row>
    <row r="121" spans="1:10" s="53" customFormat="1">
      <c r="A121" s="47"/>
      <c r="B121" s="47"/>
      <c r="C121" s="49"/>
      <c r="D121" s="61"/>
      <c r="E121" s="191"/>
      <c r="F121" s="176"/>
      <c r="G121" s="1020"/>
      <c r="H121" s="175"/>
      <c r="J121" s="54"/>
    </row>
    <row r="122" spans="1:10" s="53" customFormat="1">
      <c r="A122" s="47"/>
      <c r="B122" s="47"/>
      <c r="C122" s="49"/>
      <c r="D122" s="174"/>
      <c r="E122" s="191"/>
      <c r="F122" s="176"/>
      <c r="G122" s="1020"/>
      <c r="H122" s="175"/>
      <c r="J122" s="54"/>
    </row>
    <row r="123" spans="1:10" s="53" customFormat="1">
      <c r="A123" s="47"/>
      <c r="B123" s="47"/>
      <c r="C123" s="49"/>
      <c r="D123" s="80"/>
      <c r="E123" s="191"/>
      <c r="F123" s="176"/>
      <c r="G123" s="1020"/>
      <c r="H123" s="175"/>
      <c r="J123" s="54"/>
    </row>
    <row r="124" spans="1:10" s="53" customFormat="1">
      <c r="A124" s="47"/>
      <c r="B124" s="47"/>
      <c r="C124" s="49"/>
      <c r="D124" s="80"/>
      <c r="E124" s="191"/>
      <c r="F124" s="176"/>
      <c r="G124" s="1020"/>
      <c r="H124" s="175"/>
      <c r="J124" s="54"/>
    </row>
    <row r="125" spans="1:10" s="53" customFormat="1">
      <c r="A125" s="47"/>
      <c r="B125" s="47"/>
      <c r="C125" s="49"/>
      <c r="D125" s="61"/>
      <c r="E125" s="191"/>
      <c r="F125" s="176"/>
      <c r="G125" s="1020"/>
      <c r="H125" s="175"/>
      <c r="J125" s="54"/>
    </row>
    <row r="126" spans="1:10" s="53" customFormat="1">
      <c r="A126" s="47"/>
      <c r="B126" s="47"/>
      <c r="C126" s="49"/>
      <c r="D126" s="61"/>
      <c r="E126" s="191"/>
      <c r="F126" s="176"/>
      <c r="G126" s="1020"/>
      <c r="H126" s="175"/>
      <c r="J126" s="54"/>
    </row>
    <row r="127" spans="1:10" s="53" customFormat="1">
      <c r="A127" s="47"/>
      <c r="B127" s="47"/>
      <c r="C127" s="49"/>
      <c r="D127" s="174"/>
      <c r="E127" s="191"/>
      <c r="F127" s="176"/>
      <c r="G127" s="1020"/>
      <c r="H127" s="175"/>
      <c r="J127" s="54"/>
    </row>
    <row r="128" spans="1:10" s="53" customFormat="1">
      <c r="A128" s="47"/>
      <c r="B128" s="47"/>
      <c r="C128" s="49"/>
      <c r="D128" s="80"/>
      <c r="E128" s="191"/>
      <c r="F128" s="176"/>
      <c r="G128" s="1020"/>
      <c r="H128" s="175"/>
      <c r="J128" s="54"/>
    </row>
    <row r="129" spans="1:10" s="53" customFormat="1">
      <c r="A129" s="47"/>
      <c r="B129" s="47"/>
      <c r="C129" s="49"/>
      <c r="D129" s="80"/>
      <c r="E129" s="191"/>
      <c r="F129" s="176"/>
      <c r="G129" s="1020"/>
      <c r="H129" s="175"/>
      <c r="J129" s="54"/>
    </row>
    <row r="130" spans="1:10" s="53" customFormat="1">
      <c r="A130" s="47"/>
      <c r="B130" s="47"/>
      <c r="C130" s="49"/>
      <c r="D130" s="61"/>
      <c r="E130" s="191"/>
      <c r="F130" s="176"/>
      <c r="G130" s="1020"/>
      <c r="H130" s="175"/>
      <c r="J130" s="54"/>
    </row>
    <row r="131" spans="1:10" s="53" customFormat="1">
      <c r="A131" s="47"/>
      <c r="B131" s="47"/>
      <c r="C131" s="49"/>
      <c r="D131" s="61"/>
      <c r="E131" s="191"/>
      <c r="F131" s="176"/>
      <c r="G131" s="1020"/>
      <c r="H131" s="175"/>
      <c r="J131" s="54"/>
    </row>
    <row r="132" spans="1:10" s="53" customFormat="1">
      <c r="A132" s="47"/>
      <c r="B132" s="47"/>
      <c r="C132" s="49"/>
      <c r="D132" s="174"/>
      <c r="E132" s="191"/>
      <c r="F132" s="176"/>
      <c r="G132" s="1020"/>
      <c r="H132" s="175"/>
      <c r="J132" s="54"/>
    </row>
    <row r="133" spans="1:10" s="53" customFormat="1">
      <c r="A133" s="47"/>
      <c r="B133" s="47"/>
      <c r="C133" s="49"/>
      <c r="D133" s="80"/>
      <c r="E133" s="191"/>
      <c r="F133" s="176"/>
      <c r="G133" s="1020"/>
      <c r="H133" s="175"/>
      <c r="J133" s="54"/>
    </row>
    <row r="134" spans="1:10" s="53" customFormat="1">
      <c r="A134" s="47"/>
      <c r="B134" s="47"/>
      <c r="C134" s="49"/>
      <c r="D134" s="80"/>
      <c r="E134" s="191"/>
      <c r="F134" s="176"/>
      <c r="G134" s="1020"/>
      <c r="H134" s="175"/>
      <c r="J134" s="54"/>
    </row>
    <row r="135" spans="1:10" s="53" customFormat="1">
      <c r="A135" s="47"/>
      <c r="B135" s="47"/>
      <c r="C135" s="49"/>
      <c r="D135" s="61"/>
      <c r="E135" s="191"/>
      <c r="F135" s="176"/>
      <c r="G135" s="1020"/>
      <c r="H135" s="175"/>
      <c r="J135" s="54"/>
    </row>
    <row r="136" spans="1:10" s="53" customFormat="1">
      <c r="A136" s="47"/>
      <c r="B136" s="47"/>
      <c r="C136" s="49"/>
      <c r="D136" s="61"/>
      <c r="E136" s="191"/>
      <c r="F136" s="176"/>
      <c r="G136" s="1020"/>
      <c r="H136" s="175"/>
      <c r="J136" s="54"/>
    </row>
    <row r="137" spans="1:10" s="53" customFormat="1">
      <c r="A137" s="47"/>
      <c r="B137" s="47"/>
      <c r="C137" s="49"/>
      <c r="D137" s="61"/>
      <c r="E137" s="191"/>
      <c r="F137" s="176"/>
      <c r="G137" s="1020"/>
      <c r="H137" s="175"/>
      <c r="J137" s="54"/>
    </row>
    <row r="138" spans="1:10" s="53" customFormat="1">
      <c r="A138" s="47"/>
      <c r="B138" s="47"/>
      <c r="C138" s="49"/>
      <c r="D138" s="218"/>
      <c r="E138" s="191"/>
      <c r="F138" s="176"/>
      <c r="G138" s="1020"/>
      <c r="H138" s="175"/>
      <c r="J138" s="54"/>
    </row>
    <row r="139" spans="1:10" s="53" customFormat="1">
      <c r="A139" s="47"/>
      <c r="B139" s="47"/>
      <c r="C139" s="49"/>
      <c r="D139" s="174"/>
      <c r="E139" s="191"/>
      <c r="F139" s="176"/>
      <c r="G139" s="1020"/>
      <c r="H139" s="175"/>
      <c r="J139" s="54"/>
    </row>
    <row r="140" spans="1:10" s="53" customFormat="1">
      <c r="A140" s="47"/>
      <c r="B140" s="47"/>
      <c r="C140" s="49"/>
      <c r="E140" s="191"/>
      <c r="F140" s="176"/>
      <c r="G140" s="1020"/>
      <c r="H140" s="175"/>
      <c r="J140" s="54"/>
    </row>
    <row r="141" spans="1:10" s="53" customFormat="1">
      <c r="A141" s="47"/>
      <c r="B141" s="47"/>
      <c r="C141" s="49"/>
      <c r="D141" s="80"/>
      <c r="E141" s="191"/>
      <c r="F141" s="176"/>
      <c r="G141" s="1020"/>
      <c r="H141" s="175"/>
      <c r="J141" s="54"/>
    </row>
    <row r="142" spans="1:10" s="53" customFormat="1">
      <c r="A142" s="47"/>
      <c r="B142" s="47"/>
      <c r="C142" s="49"/>
      <c r="D142" s="61"/>
      <c r="E142" s="191"/>
      <c r="F142" s="176"/>
      <c r="G142" s="1020"/>
      <c r="H142" s="175"/>
      <c r="J142" s="54"/>
    </row>
    <row r="143" spans="1:10" s="53" customFormat="1">
      <c r="A143" s="47"/>
      <c r="B143" s="47"/>
      <c r="C143" s="49"/>
      <c r="D143" s="61"/>
      <c r="E143" s="191"/>
      <c r="F143" s="176"/>
      <c r="G143" s="1020"/>
      <c r="H143" s="175"/>
      <c r="J143" s="54"/>
    </row>
    <row r="144" spans="1:10" s="53" customFormat="1">
      <c r="A144" s="47"/>
      <c r="B144" s="47"/>
      <c r="C144" s="49"/>
      <c r="D144" s="61"/>
      <c r="E144" s="191"/>
      <c r="F144" s="176"/>
      <c r="G144" s="1020"/>
      <c r="H144" s="175"/>
      <c r="J144" s="54"/>
    </row>
    <row r="145" spans="1:10" s="53" customFormat="1">
      <c r="A145" s="47"/>
      <c r="B145" s="47"/>
      <c r="C145" s="49"/>
      <c r="D145" s="61"/>
      <c r="E145" s="191"/>
      <c r="F145" s="176"/>
      <c r="G145" s="1020"/>
      <c r="H145" s="175"/>
      <c r="J145" s="54"/>
    </row>
    <row r="146" spans="1:10" s="53" customFormat="1">
      <c r="A146" s="47"/>
      <c r="B146" s="47"/>
      <c r="C146" s="49"/>
      <c r="D146" s="61"/>
      <c r="E146" s="191"/>
      <c r="F146" s="176"/>
      <c r="G146" s="1020"/>
      <c r="H146" s="175"/>
      <c r="J146" s="54"/>
    </row>
    <row r="147" spans="1:10" s="53" customFormat="1">
      <c r="A147" s="47"/>
      <c r="B147" s="47"/>
      <c r="C147" s="49"/>
      <c r="D147" s="61"/>
      <c r="E147" s="191"/>
      <c r="F147" s="176"/>
      <c r="G147" s="1020"/>
      <c r="H147" s="175"/>
      <c r="J147" s="54"/>
    </row>
    <row r="148" spans="1:10" s="53" customFormat="1">
      <c r="A148" s="47"/>
      <c r="B148" s="47"/>
      <c r="C148" s="49"/>
      <c r="D148" s="61"/>
      <c r="E148" s="191"/>
      <c r="F148" s="176"/>
      <c r="G148" s="1020"/>
      <c r="H148" s="175"/>
      <c r="J148" s="54"/>
    </row>
    <row r="149" spans="1:10" s="53" customFormat="1">
      <c r="A149" s="47"/>
      <c r="B149" s="47"/>
      <c r="C149" s="49"/>
      <c r="D149" s="61"/>
      <c r="E149" s="191"/>
      <c r="F149" s="176"/>
      <c r="G149" s="1020"/>
      <c r="H149" s="175"/>
      <c r="J149" s="54"/>
    </row>
    <row r="150" spans="1:10" s="53" customFormat="1">
      <c r="A150" s="47"/>
      <c r="B150" s="47"/>
      <c r="C150" s="49"/>
      <c r="D150" s="174"/>
      <c r="E150" s="191"/>
      <c r="F150" s="176"/>
      <c r="G150" s="1020"/>
      <c r="H150" s="175"/>
      <c r="J150" s="54"/>
    </row>
    <row r="151" spans="1:10" s="53" customFormat="1">
      <c r="A151" s="47"/>
      <c r="B151" s="47"/>
      <c r="C151" s="49"/>
      <c r="D151" s="80"/>
      <c r="E151" s="191"/>
      <c r="F151" s="176"/>
      <c r="G151" s="1020"/>
      <c r="H151" s="175"/>
      <c r="J151" s="54"/>
    </row>
    <row r="152" spans="1:10" s="53" customFormat="1">
      <c r="A152" s="47"/>
      <c r="B152" s="47"/>
      <c r="C152" s="49"/>
      <c r="D152" s="80"/>
      <c r="E152" s="191"/>
      <c r="F152" s="176"/>
      <c r="G152" s="1020"/>
      <c r="H152" s="175"/>
      <c r="J152" s="54"/>
    </row>
    <row r="153" spans="1:10" s="53" customFormat="1">
      <c r="A153" s="47"/>
      <c r="B153" s="47"/>
      <c r="C153" s="49"/>
      <c r="D153" s="61"/>
      <c r="E153" s="191"/>
      <c r="F153" s="176"/>
      <c r="G153" s="1020"/>
      <c r="H153" s="175"/>
      <c r="J153" s="54"/>
    </row>
    <row r="154" spans="1:10" s="53" customFormat="1">
      <c r="A154" s="47"/>
      <c r="B154" s="47"/>
      <c r="C154" s="49"/>
      <c r="D154" s="61"/>
      <c r="E154" s="191"/>
      <c r="F154" s="176"/>
      <c r="G154" s="1020"/>
      <c r="H154" s="175"/>
      <c r="J154" s="54"/>
    </row>
    <row r="155" spans="1:10" s="53" customFormat="1">
      <c r="A155" s="47"/>
      <c r="B155" s="47"/>
      <c r="C155" s="49"/>
      <c r="D155" s="61"/>
      <c r="E155" s="191"/>
      <c r="F155" s="176"/>
      <c r="G155" s="1020"/>
      <c r="H155" s="175"/>
      <c r="J155" s="54"/>
    </row>
    <row r="156" spans="1:10" s="53" customFormat="1">
      <c r="A156" s="47"/>
      <c r="B156" s="47"/>
      <c r="C156" s="49"/>
      <c r="D156" s="61"/>
      <c r="E156" s="191"/>
      <c r="F156" s="176"/>
      <c r="G156" s="1020"/>
      <c r="H156" s="175"/>
      <c r="J156" s="54"/>
    </row>
    <row r="157" spans="1:10" s="53" customFormat="1">
      <c r="A157" s="47"/>
      <c r="B157" s="47"/>
      <c r="C157" s="49"/>
      <c r="D157" s="174"/>
      <c r="E157" s="191"/>
      <c r="F157" s="176"/>
      <c r="G157" s="1020"/>
      <c r="H157" s="175"/>
      <c r="J157" s="54"/>
    </row>
    <row r="158" spans="1:10" s="53" customFormat="1">
      <c r="A158" s="47"/>
      <c r="B158" s="47"/>
      <c r="C158" s="49"/>
      <c r="E158" s="191"/>
      <c r="F158" s="176"/>
      <c r="G158" s="1020"/>
      <c r="H158" s="175"/>
      <c r="J158" s="54"/>
    </row>
    <row r="159" spans="1:10" s="53" customFormat="1">
      <c r="A159" s="47"/>
      <c r="B159" s="47"/>
      <c r="C159" s="49"/>
      <c r="D159" s="80"/>
      <c r="E159" s="191"/>
      <c r="F159" s="176"/>
      <c r="G159" s="1020"/>
      <c r="H159" s="175"/>
      <c r="J159" s="54"/>
    </row>
    <row r="160" spans="1:10" s="53" customFormat="1">
      <c r="A160" s="47"/>
      <c r="B160" s="47"/>
      <c r="C160" s="49"/>
      <c r="D160" s="61"/>
      <c r="E160" s="191"/>
      <c r="F160" s="176"/>
      <c r="G160" s="1020"/>
      <c r="H160" s="175"/>
      <c r="J160" s="54"/>
    </row>
    <row r="161" spans="1:10" s="53" customFormat="1">
      <c r="A161" s="47"/>
      <c r="B161" s="47"/>
      <c r="C161" s="49"/>
      <c r="D161" s="61"/>
      <c r="E161" s="191"/>
      <c r="F161" s="176"/>
      <c r="G161" s="1020"/>
      <c r="H161" s="175"/>
      <c r="J161" s="54"/>
    </row>
    <row r="162" spans="1:10" s="53" customFormat="1">
      <c r="A162" s="47"/>
      <c r="B162" s="47"/>
      <c r="C162" s="49"/>
      <c r="D162" s="61"/>
      <c r="E162" s="191"/>
      <c r="F162" s="176"/>
      <c r="G162" s="1020"/>
      <c r="H162" s="175"/>
      <c r="J162" s="54"/>
    </row>
    <row r="163" spans="1:10" s="53" customFormat="1">
      <c r="A163" s="47"/>
      <c r="B163" s="47"/>
      <c r="C163" s="49"/>
      <c r="D163" s="174"/>
      <c r="E163" s="191"/>
      <c r="F163" s="176"/>
      <c r="G163" s="1020"/>
      <c r="H163" s="175"/>
      <c r="J163" s="54"/>
    </row>
    <row r="164" spans="1:10" s="53" customFormat="1">
      <c r="A164" s="47"/>
      <c r="B164" s="47"/>
      <c r="C164" s="49"/>
      <c r="E164" s="191"/>
      <c r="F164" s="176"/>
      <c r="G164" s="1020"/>
      <c r="H164" s="175"/>
      <c r="J164" s="54"/>
    </row>
    <row r="165" spans="1:10" s="53" customFormat="1">
      <c r="A165" s="47"/>
      <c r="B165" s="47"/>
      <c r="C165" s="49"/>
      <c r="D165" s="80"/>
      <c r="E165" s="191"/>
      <c r="F165" s="176"/>
      <c r="G165" s="1020"/>
      <c r="H165" s="175"/>
      <c r="J165" s="54"/>
    </row>
    <row r="166" spans="1:10" s="53" customFormat="1">
      <c r="A166" s="47"/>
      <c r="B166" s="47"/>
      <c r="C166" s="49"/>
      <c r="D166" s="61"/>
      <c r="E166" s="191"/>
      <c r="F166" s="176"/>
      <c r="G166" s="1020"/>
      <c r="H166" s="175"/>
      <c r="J166" s="54"/>
    </row>
    <row r="167" spans="1:10" s="53" customFormat="1">
      <c r="A167" s="47"/>
      <c r="B167" s="47"/>
      <c r="C167" s="49"/>
      <c r="D167" s="61"/>
      <c r="E167" s="191"/>
      <c r="F167" s="176"/>
      <c r="G167" s="1020"/>
      <c r="H167" s="175"/>
      <c r="J167" s="54"/>
    </row>
    <row r="168" spans="1:10" s="53" customFormat="1">
      <c r="A168" s="47"/>
      <c r="B168" s="47"/>
      <c r="C168" s="49"/>
      <c r="D168" s="61"/>
      <c r="E168" s="191"/>
      <c r="F168" s="176"/>
      <c r="G168" s="1020"/>
      <c r="H168" s="175"/>
      <c r="J168" s="54"/>
    </row>
    <row r="169" spans="1:10" s="53" customFormat="1">
      <c r="A169" s="47"/>
      <c r="B169" s="47"/>
      <c r="C169" s="49"/>
      <c r="D169" s="61"/>
      <c r="E169" s="191"/>
      <c r="F169" s="176"/>
      <c r="G169" s="1020"/>
      <c r="H169" s="175"/>
      <c r="J169" s="54"/>
    </row>
    <row r="170" spans="1:10" s="53" customFormat="1">
      <c r="A170" s="47"/>
      <c r="B170" s="47"/>
      <c r="C170" s="49"/>
      <c r="D170" s="218"/>
      <c r="E170" s="191"/>
      <c r="F170" s="176"/>
      <c r="G170" s="1020"/>
      <c r="H170" s="175"/>
      <c r="J170" s="54"/>
    </row>
    <row r="171" spans="1:10" s="53" customFormat="1">
      <c r="A171" s="47"/>
      <c r="B171" s="47"/>
      <c r="C171" s="49"/>
      <c r="D171" s="174"/>
      <c r="E171" s="191"/>
      <c r="F171" s="176"/>
      <c r="G171" s="1020"/>
      <c r="H171" s="175"/>
      <c r="J171" s="54"/>
    </row>
    <row r="172" spans="1:10" s="53" customFormat="1">
      <c r="A172" s="47"/>
      <c r="B172" s="47"/>
      <c r="C172" s="49"/>
      <c r="E172" s="191"/>
      <c r="F172" s="176"/>
      <c r="G172" s="1020"/>
      <c r="H172" s="175"/>
      <c r="J172" s="54"/>
    </row>
    <row r="173" spans="1:10" s="53" customFormat="1">
      <c r="A173" s="47"/>
      <c r="B173" s="47"/>
      <c r="C173" s="49"/>
      <c r="D173" s="80"/>
      <c r="E173" s="191"/>
      <c r="F173" s="176"/>
      <c r="G173" s="1020"/>
      <c r="H173" s="175"/>
      <c r="J173" s="54"/>
    </row>
    <row r="174" spans="1:10" s="53" customFormat="1">
      <c r="A174" s="47"/>
      <c r="B174" s="47"/>
      <c r="C174" s="49"/>
      <c r="D174" s="61"/>
      <c r="E174" s="191"/>
      <c r="F174" s="176"/>
      <c r="G174" s="1020"/>
      <c r="H174" s="175"/>
      <c r="J174" s="54"/>
    </row>
    <row r="175" spans="1:10" s="53" customFormat="1">
      <c r="A175" s="47"/>
      <c r="B175" s="47"/>
      <c r="C175" s="49"/>
      <c r="D175" s="61"/>
      <c r="E175" s="191"/>
      <c r="F175" s="176"/>
      <c r="G175" s="1020"/>
      <c r="H175" s="175"/>
      <c r="J175" s="54"/>
    </row>
    <row r="176" spans="1:10" s="53" customFormat="1">
      <c r="A176" s="47"/>
      <c r="B176" s="47"/>
      <c r="C176" s="49"/>
      <c r="D176" s="61"/>
      <c r="E176" s="191"/>
      <c r="F176" s="176"/>
      <c r="G176" s="1020"/>
      <c r="H176" s="175"/>
      <c r="J176" s="54"/>
    </row>
    <row r="177" spans="1:10" s="53" customFormat="1">
      <c r="A177" s="47"/>
      <c r="B177" s="47"/>
      <c r="C177" s="49"/>
      <c r="D177" s="218"/>
      <c r="E177" s="191"/>
      <c r="F177" s="176"/>
      <c r="G177" s="1020"/>
      <c r="H177" s="175"/>
      <c r="J177" s="54"/>
    </row>
    <row r="178" spans="1:10" s="53" customFormat="1">
      <c r="A178" s="47"/>
      <c r="B178" s="47"/>
      <c r="C178" s="49"/>
      <c r="D178" s="174"/>
      <c r="E178" s="191"/>
      <c r="F178" s="176"/>
      <c r="G178" s="1020"/>
      <c r="H178" s="175"/>
      <c r="J178" s="54"/>
    </row>
    <row r="179" spans="1:10" s="53" customFormat="1">
      <c r="A179" s="47"/>
      <c r="B179" s="47"/>
      <c r="C179" s="49"/>
      <c r="E179" s="191"/>
      <c r="F179" s="176"/>
      <c r="G179" s="1020"/>
      <c r="H179" s="175"/>
      <c r="J179" s="54"/>
    </row>
    <row r="180" spans="1:10" s="53" customFormat="1">
      <c r="A180" s="47"/>
      <c r="B180" s="47"/>
      <c r="C180" s="49"/>
      <c r="D180" s="80"/>
      <c r="E180" s="191"/>
      <c r="F180" s="176"/>
      <c r="G180" s="1020"/>
      <c r="H180" s="175"/>
      <c r="J180" s="54"/>
    </row>
    <row r="181" spans="1:10" s="53" customFormat="1">
      <c r="A181" s="47"/>
      <c r="B181" s="47"/>
      <c r="C181" s="49"/>
      <c r="D181" s="61"/>
      <c r="E181" s="191"/>
      <c r="F181" s="176"/>
      <c r="G181" s="1020"/>
      <c r="H181" s="175"/>
      <c r="J181" s="54"/>
    </row>
    <row r="182" spans="1:10" s="53" customFormat="1">
      <c r="A182" s="47"/>
      <c r="B182" s="47"/>
      <c r="C182" s="49"/>
      <c r="D182" s="61"/>
      <c r="E182" s="191"/>
      <c r="F182" s="176"/>
      <c r="G182" s="1020"/>
      <c r="H182" s="175"/>
      <c r="J182" s="54"/>
    </row>
    <row r="183" spans="1:10" s="53" customFormat="1">
      <c r="A183" s="47"/>
      <c r="B183" s="47"/>
      <c r="C183" s="49"/>
      <c r="D183" s="61"/>
      <c r="E183" s="191"/>
      <c r="F183" s="176"/>
      <c r="G183" s="1020"/>
      <c r="H183" s="175"/>
      <c r="J183" s="54"/>
    </row>
    <row r="184" spans="1:10" s="53" customFormat="1">
      <c r="A184" s="47"/>
      <c r="B184" s="47"/>
      <c r="C184" s="49"/>
      <c r="D184" s="218"/>
      <c r="E184" s="191"/>
      <c r="F184" s="176"/>
      <c r="G184" s="1020"/>
      <c r="H184" s="175"/>
      <c r="J184" s="54"/>
    </row>
    <row r="185" spans="1:10" s="53" customFormat="1">
      <c r="A185" s="47"/>
      <c r="B185" s="47"/>
      <c r="C185" s="49"/>
      <c r="D185" s="61"/>
      <c r="E185" s="191"/>
      <c r="F185" s="176"/>
      <c r="G185" s="1020"/>
      <c r="H185" s="175"/>
      <c r="J185" s="54"/>
    </row>
    <row r="186" spans="1:10" s="53" customFormat="1">
      <c r="A186" s="47"/>
      <c r="B186" s="47"/>
      <c r="C186" s="49"/>
      <c r="D186" s="174"/>
      <c r="E186" s="191"/>
      <c r="F186" s="176"/>
      <c r="G186" s="1020"/>
      <c r="H186" s="175"/>
      <c r="J186" s="54"/>
    </row>
    <row r="187" spans="1:10" s="53" customFormat="1">
      <c r="A187" s="47"/>
      <c r="B187" s="47"/>
      <c r="C187" s="49"/>
      <c r="D187" s="174"/>
      <c r="E187" s="191"/>
      <c r="F187" s="176"/>
      <c r="G187" s="1020"/>
      <c r="H187" s="175"/>
      <c r="J187" s="54"/>
    </row>
    <row r="188" spans="1:10" s="53" customFormat="1">
      <c r="A188" s="47"/>
      <c r="B188" s="47"/>
      <c r="C188" s="49"/>
      <c r="D188" s="80"/>
      <c r="E188" s="191"/>
      <c r="F188" s="176"/>
      <c r="G188" s="1020"/>
      <c r="H188" s="175"/>
      <c r="J188" s="54"/>
    </row>
    <row r="189" spans="1:10" s="53" customFormat="1">
      <c r="A189" s="47"/>
      <c r="B189" s="47"/>
      <c r="C189" s="49"/>
      <c r="D189" s="61"/>
      <c r="E189" s="191"/>
      <c r="F189" s="176"/>
      <c r="G189" s="1020"/>
      <c r="H189" s="175"/>
      <c r="J189" s="54"/>
    </row>
    <row r="190" spans="1:10" s="53" customFormat="1">
      <c r="A190" s="47"/>
      <c r="B190" s="47"/>
      <c r="C190" s="49"/>
      <c r="D190" s="61"/>
      <c r="E190" s="191"/>
      <c r="F190" s="176"/>
      <c r="G190" s="1020"/>
      <c r="H190" s="175"/>
      <c r="J190" s="54"/>
    </row>
    <row r="191" spans="1:10" s="53" customFormat="1">
      <c r="A191" s="47"/>
      <c r="B191" s="47"/>
      <c r="C191" s="49"/>
      <c r="D191" s="61"/>
      <c r="E191" s="191"/>
      <c r="F191" s="176"/>
      <c r="G191" s="1020"/>
      <c r="H191" s="175"/>
      <c r="J191" s="54"/>
    </row>
    <row r="192" spans="1:10" s="53" customFormat="1">
      <c r="A192" s="47"/>
      <c r="B192" s="47"/>
      <c r="C192" s="49"/>
      <c r="D192" s="174"/>
      <c r="E192" s="191"/>
      <c r="F192" s="176"/>
      <c r="G192" s="1020"/>
      <c r="H192" s="175"/>
      <c r="J192" s="54"/>
    </row>
    <row r="193" spans="1:10" s="53" customFormat="1">
      <c r="A193" s="47"/>
      <c r="B193" s="47"/>
      <c r="C193" s="49"/>
      <c r="D193" s="80"/>
      <c r="E193" s="191"/>
      <c r="F193" s="176"/>
      <c r="G193" s="1020"/>
      <c r="H193" s="175"/>
      <c r="J193" s="54"/>
    </row>
    <row r="194" spans="1:10" s="53" customFormat="1">
      <c r="A194" s="47"/>
      <c r="B194" s="47"/>
      <c r="C194" s="49"/>
      <c r="D194" s="80"/>
      <c r="E194" s="191"/>
      <c r="F194" s="176"/>
      <c r="G194" s="1020"/>
      <c r="H194" s="175"/>
      <c r="J194" s="54"/>
    </row>
    <row r="195" spans="1:10" s="53" customFormat="1">
      <c r="A195" s="47"/>
      <c r="B195" s="47"/>
      <c r="C195" s="49"/>
      <c r="D195" s="61"/>
      <c r="E195" s="191"/>
      <c r="F195" s="176"/>
      <c r="G195" s="1020"/>
      <c r="H195" s="175"/>
      <c r="J195" s="54"/>
    </row>
    <row r="196" spans="1:10" s="53" customFormat="1">
      <c r="A196" s="47"/>
      <c r="B196" s="47"/>
      <c r="C196" s="49"/>
      <c r="D196" s="61"/>
      <c r="E196" s="191"/>
      <c r="F196" s="176"/>
      <c r="G196" s="1020"/>
      <c r="H196" s="175"/>
      <c r="J196" s="54"/>
    </row>
    <row r="197" spans="1:10" s="53" customFormat="1">
      <c r="A197" s="47"/>
      <c r="B197" s="47"/>
      <c r="C197" s="49"/>
      <c r="D197" s="218"/>
      <c r="E197" s="191"/>
      <c r="F197" s="176"/>
      <c r="G197" s="1020"/>
      <c r="H197" s="175"/>
      <c r="J197" s="54"/>
    </row>
    <row r="198" spans="1:10" s="53" customFormat="1">
      <c r="A198" s="47"/>
      <c r="B198" s="47"/>
      <c r="C198" s="49"/>
      <c r="D198" s="174"/>
      <c r="E198" s="191"/>
      <c r="F198" s="176"/>
      <c r="G198" s="1020"/>
      <c r="H198" s="175"/>
      <c r="J198" s="54"/>
    </row>
    <row r="199" spans="1:10" s="53" customFormat="1">
      <c r="A199" s="47"/>
      <c r="B199" s="47"/>
      <c r="C199" s="49"/>
      <c r="D199" s="80"/>
      <c r="E199" s="191"/>
      <c r="F199" s="176"/>
      <c r="G199" s="1020"/>
      <c r="H199" s="175"/>
      <c r="J199" s="54"/>
    </row>
    <row r="200" spans="1:10" s="53" customFormat="1">
      <c r="A200" s="47"/>
      <c r="B200" s="47"/>
      <c r="C200" s="49"/>
      <c r="D200" s="80"/>
      <c r="E200" s="191"/>
      <c r="F200" s="176"/>
      <c r="G200" s="1020"/>
      <c r="H200" s="175"/>
      <c r="J200" s="54"/>
    </row>
    <row r="201" spans="1:10" s="53" customFormat="1">
      <c r="A201" s="47"/>
      <c r="B201" s="47"/>
      <c r="C201" s="49"/>
      <c r="D201" s="61"/>
      <c r="E201" s="191"/>
      <c r="F201" s="176"/>
      <c r="G201" s="1020"/>
      <c r="H201" s="175"/>
      <c r="J201" s="54"/>
    </row>
    <row r="202" spans="1:10" s="53" customFormat="1">
      <c r="A202" s="47"/>
      <c r="B202" s="47"/>
      <c r="C202" s="49"/>
      <c r="D202" s="61"/>
      <c r="E202" s="191"/>
      <c r="F202" s="176"/>
      <c r="G202" s="1020"/>
      <c r="H202" s="175"/>
      <c r="J202" s="54"/>
    </row>
    <row r="203" spans="1:10" s="53" customFormat="1">
      <c r="A203" s="47"/>
      <c r="B203" s="47"/>
      <c r="C203" s="49"/>
      <c r="D203" s="61"/>
      <c r="E203" s="191"/>
      <c r="F203" s="176"/>
      <c r="G203" s="1020"/>
      <c r="H203" s="175"/>
      <c r="J203" s="54"/>
    </row>
    <row r="204" spans="1:10" s="53" customFormat="1">
      <c r="A204" s="47"/>
      <c r="B204" s="47"/>
      <c r="C204" s="49"/>
      <c r="D204" s="218"/>
      <c r="E204" s="191"/>
      <c r="F204" s="176"/>
      <c r="G204" s="1020"/>
      <c r="H204" s="175"/>
      <c r="J204" s="54"/>
    </row>
    <row r="205" spans="1:10" s="53" customFormat="1">
      <c r="A205" s="47"/>
      <c r="B205" s="47"/>
      <c r="C205" s="49"/>
      <c r="D205" s="174"/>
      <c r="E205" s="191"/>
      <c r="F205" s="176"/>
      <c r="G205" s="1020"/>
      <c r="H205" s="175"/>
      <c r="J205" s="54"/>
    </row>
    <row r="206" spans="1:10" s="53" customFormat="1">
      <c r="A206" s="47"/>
      <c r="B206" s="47"/>
      <c r="C206" s="49"/>
      <c r="D206" s="80"/>
      <c r="E206" s="191"/>
      <c r="F206" s="176"/>
      <c r="G206" s="1020"/>
      <c r="H206" s="175"/>
      <c r="J206" s="54"/>
    </row>
    <row r="207" spans="1:10" s="53" customFormat="1">
      <c r="A207" s="47"/>
      <c r="B207" s="47"/>
      <c r="C207" s="49"/>
      <c r="D207" s="80"/>
      <c r="E207" s="191"/>
      <c r="F207" s="176"/>
      <c r="G207" s="1020"/>
      <c r="H207" s="175"/>
      <c r="J207" s="54"/>
    </row>
    <row r="208" spans="1:10" s="53" customFormat="1">
      <c r="A208" s="47"/>
      <c r="B208" s="47"/>
      <c r="C208" s="49"/>
      <c r="D208" s="61"/>
      <c r="E208" s="191"/>
      <c r="F208" s="176"/>
      <c r="G208" s="1020"/>
      <c r="H208" s="175"/>
      <c r="J208" s="54"/>
    </row>
    <row r="209" spans="1:10" s="53" customFormat="1">
      <c r="A209" s="47"/>
      <c r="B209" s="47"/>
      <c r="C209" s="49"/>
      <c r="D209" s="174"/>
      <c r="E209" s="191"/>
      <c r="F209" s="176"/>
      <c r="G209" s="1020"/>
      <c r="H209" s="175"/>
      <c r="J209" s="54"/>
    </row>
    <row r="210" spans="1:10" s="53" customFormat="1">
      <c r="A210" s="47"/>
      <c r="B210" s="47"/>
      <c r="C210" s="49"/>
      <c r="D210" s="80"/>
      <c r="E210" s="191"/>
      <c r="F210" s="176"/>
      <c r="G210" s="1020"/>
      <c r="H210" s="175"/>
      <c r="J210" s="54"/>
    </row>
    <row r="211" spans="1:10" s="53" customFormat="1">
      <c r="A211" s="47"/>
      <c r="B211" s="47"/>
      <c r="C211" s="49"/>
      <c r="D211" s="80"/>
      <c r="E211" s="191"/>
      <c r="F211" s="176"/>
      <c r="G211" s="1020"/>
      <c r="H211" s="175"/>
      <c r="J211" s="54"/>
    </row>
    <row r="212" spans="1:10" s="53" customFormat="1">
      <c r="A212" s="47"/>
      <c r="B212" s="47"/>
      <c r="C212" s="49"/>
      <c r="D212" s="61"/>
      <c r="E212" s="191"/>
      <c r="F212" s="176"/>
      <c r="G212" s="1020"/>
      <c r="H212" s="175"/>
      <c r="J212" s="54"/>
    </row>
    <row r="213" spans="1:10" s="53" customFormat="1">
      <c r="A213" s="47"/>
      <c r="B213" s="47"/>
      <c r="C213" s="202"/>
      <c r="D213" s="202"/>
      <c r="E213" s="191"/>
      <c r="F213" s="176"/>
      <c r="G213" s="1020"/>
      <c r="H213" s="175"/>
      <c r="J213" s="54"/>
    </row>
    <row r="214" spans="1:10" s="53" customFormat="1">
      <c r="A214" s="47"/>
      <c r="B214" s="47"/>
      <c r="C214" s="202"/>
      <c r="D214" s="202"/>
      <c r="E214" s="191"/>
      <c r="F214" s="176"/>
      <c r="G214" s="1020"/>
      <c r="H214" s="175"/>
      <c r="J214" s="54"/>
    </row>
    <row r="215" spans="1:10" s="53" customFormat="1">
      <c r="A215" s="47"/>
      <c r="B215" s="47"/>
      <c r="C215" s="202"/>
      <c r="D215" s="202"/>
      <c r="E215" s="191"/>
      <c r="F215" s="176"/>
      <c r="G215" s="1020"/>
      <c r="H215" s="175"/>
      <c r="J215" s="54"/>
    </row>
    <row r="216" spans="1:10" s="53" customFormat="1">
      <c r="A216" s="47"/>
      <c r="B216" s="47"/>
      <c r="C216" s="202"/>
      <c r="D216" s="202"/>
      <c r="E216" s="191"/>
      <c r="F216" s="176"/>
      <c r="G216" s="1020"/>
      <c r="H216" s="175"/>
      <c r="J216" s="54"/>
    </row>
    <row r="217" spans="1:10" s="53" customFormat="1">
      <c r="A217" s="47"/>
      <c r="B217" s="47"/>
      <c r="C217" s="202"/>
      <c r="D217" s="202"/>
      <c r="E217" s="191"/>
      <c r="F217" s="176"/>
      <c r="G217" s="1020"/>
      <c r="H217" s="175"/>
      <c r="J217" s="54"/>
    </row>
    <row r="218" spans="1:10" s="53" customFormat="1">
      <c r="A218" s="47"/>
      <c r="B218" s="47"/>
      <c r="C218" s="202"/>
      <c r="D218" s="202"/>
      <c r="E218" s="191"/>
      <c r="F218" s="176"/>
      <c r="G218" s="1020"/>
      <c r="H218" s="175"/>
      <c r="J218" s="54"/>
    </row>
    <row r="219" spans="1:10" s="53" customFormat="1">
      <c r="A219" s="246"/>
      <c r="B219" s="246"/>
      <c r="C219" s="247"/>
      <c r="D219" s="248"/>
      <c r="E219" s="249"/>
      <c r="F219" s="250"/>
      <c r="G219" s="1020"/>
      <c r="H219" s="165"/>
      <c r="J219" s="54"/>
    </row>
    <row r="220" spans="1:10" s="53" customFormat="1">
      <c r="A220" s="47"/>
      <c r="B220" s="47"/>
      <c r="C220" s="168"/>
      <c r="D220" s="1151"/>
      <c r="E220" s="1151"/>
      <c r="F220" s="1151"/>
      <c r="G220" s="1030"/>
      <c r="H220" s="251"/>
      <c r="J220" s="54"/>
    </row>
    <row r="221" spans="1:10" s="53" customFormat="1">
      <c r="A221" s="47"/>
      <c r="B221" s="47"/>
      <c r="C221" s="168"/>
      <c r="D221" s="60"/>
      <c r="E221" s="245"/>
      <c r="F221" s="176"/>
      <c r="G221" s="1020"/>
      <c r="H221" s="164"/>
      <c r="J221" s="54"/>
    </row>
  </sheetData>
  <mergeCells count="1">
    <mergeCell ref="D220:F220"/>
  </mergeCells>
  <phoneticPr fontId="21" type="noConversion"/>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rowBreaks count="1" manualBreakCount="1">
    <brk id="63" max="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L237"/>
  <sheetViews>
    <sheetView topLeftCell="A29" zoomScaleNormal="100" zoomScaleSheetLayoutView="110" workbookViewId="0">
      <selection activeCell="G25" sqref="G25"/>
    </sheetView>
  </sheetViews>
  <sheetFormatPr defaultColWidth="8.54296875" defaultRowHeight="13.2"/>
  <cols>
    <col min="1" max="1" width="3.6328125" style="47" customWidth="1"/>
    <col min="2" max="2" width="2.81640625" style="41" customWidth="1"/>
    <col min="3" max="3" width="1.90625" style="13" customWidth="1"/>
    <col min="4" max="4" width="31.1796875" style="151" customWidth="1"/>
    <col min="5" max="5" width="4.81640625" style="43" customWidth="1"/>
    <col min="6" max="6" width="7.90625" style="252" customWidth="1"/>
    <col min="7" max="7" width="10.08984375" style="1035" customWidth="1"/>
    <col min="8" max="8" width="11.453125" style="63" customWidth="1"/>
    <col min="9" max="9" width="14.54296875" style="13" customWidth="1"/>
    <col min="10" max="10" width="8.54296875" style="54"/>
    <col min="11" max="16384" width="8.54296875" style="13"/>
  </cols>
  <sheetData>
    <row r="1" spans="1:12" s="53" customFormat="1">
      <c r="A1" s="48"/>
      <c r="B1" s="48"/>
      <c r="C1" s="49"/>
      <c r="D1" s="157"/>
      <c r="E1" s="224"/>
      <c r="F1" s="225"/>
      <c r="G1" s="1008"/>
      <c r="H1" s="165"/>
      <c r="J1" s="54"/>
    </row>
    <row r="2" spans="1:12" ht="13.8" thickBot="1">
      <c r="A2" s="137" t="s">
        <v>192</v>
      </c>
      <c r="B2" s="137"/>
      <c r="C2" s="138"/>
      <c r="D2" s="148" t="s">
        <v>286</v>
      </c>
      <c r="E2" s="149"/>
      <c r="F2" s="159"/>
      <c r="G2" s="999"/>
      <c r="H2" s="150"/>
    </row>
    <row r="3" spans="1:12" s="53" customFormat="1">
      <c r="A3" s="47"/>
      <c r="B3" s="48"/>
      <c r="C3" s="49"/>
      <c r="D3" s="60"/>
      <c r="E3" s="194"/>
      <c r="F3" s="226"/>
      <c r="G3" s="1010"/>
      <c r="H3" s="165"/>
      <c r="J3" s="54"/>
    </row>
    <row r="4" spans="1:12" s="53" customFormat="1">
      <c r="A4" s="48"/>
      <c r="B4" s="48"/>
      <c r="C4" s="49"/>
      <c r="D4" s="166" t="s">
        <v>314</v>
      </c>
      <c r="E4" s="194"/>
      <c r="F4" s="226"/>
      <c r="G4" s="1010"/>
      <c r="H4" s="165"/>
      <c r="J4" s="54"/>
    </row>
    <row r="5" spans="1:12" s="53" customFormat="1" ht="52.8">
      <c r="A5" s="48"/>
      <c r="B5" s="48"/>
      <c r="C5" s="49"/>
      <c r="D5" s="166" t="s">
        <v>518</v>
      </c>
      <c r="E5" s="194"/>
      <c r="F5" s="226"/>
      <c r="G5" s="1010"/>
      <c r="H5" s="165"/>
      <c r="J5" s="54"/>
    </row>
    <row r="6" spans="1:12" s="61" customFormat="1">
      <c r="A6" s="227"/>
      <c r="B6" s="227"/>
      <c r="E6" s="228"/>
      <c r="G6" s="1031"/>
      <c r="J6" s="195"/>
    </row>
    <row r="7" spans="1:12" s="53" customFormat="1">
      <c r="A7" s="229" t="s">
        <v>507</v>
      </c>
      <c r="B7" s="229" t="s">
        <v>508</v>
      </c>
      <c r="C7" s="49"/>
      <c r="D7" s="61" t="s">
        <v>504</v>
      </c>
      <c r="E7" s="194" t="s">
        <v>505</v>
      </c>
      <c r="F7" s="193" t="s">
        <v>506</v>
      </c>
      <c r="G7" s="989" t="s">
        <v>509</v>
      </c>
      <c r="H7" s="165" t="s">
        <v>510</v>
      </c>
      <c r="J7" s="54"/>
    </row>
    <row r="8" spans="1:12" s="53" customFormat="1">
      <c r="A8" s="229"/>
      <c r="B8" s="229"/>
      <c r="C8" s="49"/>
      <c r="D8" s="61"/>
      <c r="E8" s="194"/>
      <c r="F8" s="193"/>
      <c r="G8" s="1010"/>
      <c r="H8" s="165"/>
      <c r="J8" s="54"/>
    </row>
    <row r="9" spans="1:12" s="53" customFormat="1" ht="224.25" customHeight="1">
      <c r="A9" s="47" t="s">
        <v>192</v>
      </c>
      <c r="B9" s="230" t="s">
        <v>102</v>
      </c>
      <c r="C9" s="49"/>
      <c r="D9" s="61" t="s">
        <v>1157</v>
      </c>
      <c r="E9" s="194"/>
      <c r="F9" s="193"/>
      <c r="G9" s="1032"/>
      <c r="H9" s="165"/>
      <c r="J9" s="54"/>
    </row>
    <row r="10" spans="1:12" s="53" customFormat="1">
      <c r="A10" s="229"/>
      <c r="B10" s="229"/>
      <c r="C10" s="49" t="s">
        <v>240</v>
      </c>
      <c r="D10" s="61" t="s">
        <v>915</v>
      </c>
      <c r="E10" s="15" t="s">
        <v>522</v>
      </c>
      <c r="F10" s="40">
        <v>15.3</v>
      </c>
      <c r="G10" s="1032">
        <v>800</v>
      </c>
      <c r="H10" s="26">
        <f>SUM(F10*G10)</f>
        <v>12240</v>
      </c>
      <c r="I10" s="13"/>
      <c r="J10" s="54"/>
    </row>
    <row r="11" spans="1:12" s="53" customFormat="1">
      <c r="A11" s="229"/>
      <c r="B11" s="229"/>
      <c r="C11" s="49" t="s">
        <v>241</v>
      </c>
      <c r="D11" s="61" t="s">
        <v>1156</v>
      </c>
      <c r="E11" s="15" t="s">
        <v>522</v>
      </c>
      <c r="F11" s="40">
        <v>8.85</v>
      </c>
      <c r="G11" s="1032">
        <v>800</v>
      </c>
      <c r="H11" s="26">
        <f>SUM(F11*G11)</f>
        <v>7080</v>
      </c>
      <c r="I11" s="13"/>
      <c r="J11" s="54"/>
      <c r="K11" s="54"/>
    </row>
    <row r="12" spans="1:12" s="53" customFormat="1">
      <c r="A12" s="229"/>
      <c r="B12" s="229"/>
      <c r="C12" s="49" t="s">
        <v>242</v>
      </c>
      <c r="D12" s="61" t="s">
        <v>1154</v>
      </c>
      <c r="E12" s="15" t="s">
        <v>522</v>
      </c>
      <c r="F12" s="40">
        <v>3.5</v>
      </c>
      <c r="G12" s="1032">
        <v>800</v>
      </c>
      <c r="H12" s="26">
        <f>SUM(F12*G12)</f>
        <v>2800</v>
      </c>
      <c r="I12" s="13"/>
      <c r="J12" s="54"/>
      <c r="K12" s="54"/>
    </row>
    <row r="13" spans="1:12" s="53" customFormat="1">
      <c r="A13" s="229"/>
      <c r="B13" s="229"/>
      <c r="C13" s="49" t="s">
        <v>221</v>
      </c>
      <c r="D13" s="61" t="s">
        <v>1155</v>
      </c>
      <c r="E13" s="15" t="s">
        <v>522</v>
      </c>
      <c r="F13" s="40">
        <v>1.1000000000000001</v>
      </c>
      <c r="G13" s="1032">
        <v>800</v>
      </c>
      <c r="H13" s="26">
        <f>SUM(F13*G13)</f>
        <v>880.00000000000011</v>
      </c>
      <c r="I13" s="13"/>
      <c r="J13" s="54"/>
      <c r="K13" s="196"/>
    </row>
    <row r="14" spans="1:12" s="53" customFormat="1">
      <c r="A14" s="229"/>
      <c r="B14" s="229"/>
      <c r="C14" s="49" t="s">
        <v>525</v>
      </c>
      <c r="D14" s="231" t="s">
        <v>573</v>
      </c>
      <c r="E14" s="232" t="s">
        <v>154</v>
      </c>
      <c r="F14" s="40">
        <v>720</v>
      </c>
      <c r="G14" s="1032">
        <v>10</v>
      </c>
      <c r="H14" s="26">
        <f>SUM(F14*G14)</f>
        <v>7200</v>
      </c>
      <c r="I14" s="62"/>
      <c r="J14" s="54"/>
      <c r="K14" s="54"/>
      <c r="L14" s="54"/>
    </row>
    <row r="15" spans="1:12" s="53" customFormat="1" ht="13.8">
      <c r="A15" s="48"/>
      <c r="B15" s="48"/>
      <c r="C15" s="49"/>
      <c r="D15" s="61"/>
      <c r="E15" s="194"/>
      <c r="F15" s="233"/>
      <c r="G15" s="1032"/>
      <c r="H15" s="165"/>
      <c r="J15" s="54"/>
    </row>
    <row r="16" spans="1:12" s="53" customFormat="1" ht="145.19999999999999">
      <c r="A16" s="47" t="s">
        <v>192</v>
      </c>
      <c r="B16" s="47" t="s">
        <v>311</v>
      </c>
      <c r="C16" s="49"/>
      <c r="D16" s="61" t="s">
        <v>1158</v>
      </c>
      <c r="E16" s="234"/>
      <c r="F16" s="176"/>
      <c r="G16" s="1032"/>
      <c r="H16" s="165"/>
      <c r="I16" s="235"/>
      <c r="J16" s="54"/>
    </row>
    <row r="17" spans="1:10" s="53" customFormat="1" ht="52.8">
      <c r="A17" s="47"/>
      <c r="B17" s="47"/>
      <c r="C17" s="49"/>
      <c r="D17" s="61" t="s">
        <v>958</v>
      </c>
      <c r="E17" s="234"/>
      <c r="F17" s="176"/>
      <c r="G17" s="1032"/>
      <c r="H17" s="165"/>
      <c r="J17" s="54"/>
    </row>
    <row r="18" spans="1:10" s="53" customFormat="1">
      <c r="A18" s="47"/>
      <c r="B18" s="47"/>
      <c r="C18" s="49"/>
      <c r="D18" s="171" t="s">
        <v>1082</v>
      </c>
      <c r="E18" s="234" t="s">
        <v>503</v>
      </c>
      <c r="F18" s="40">
        <v>643</v>
      </c>
      <c r="G18" s="1032">
        <v>25</v>
      </c>
      <c r="H18" s="26">
        <f>SUM(F18*G18)</f>
        <v>16075</v>
      </c>
      <c r="J18" s="54"/>
    </row>
    <row r="19" spans="1:10" s="53" customFormat="1">
      <c r="A19" s="47"/>
      <c r="B19" s="47"/>
      <c r="C19" s="49"/>
      <c r="D19" s="61"/>
      <c r="E19" s="234"/>
      <c r="F19" s="193"/>
      <c r="G19" s="1032"/>
      <c r="H19" s="165"/>
      <c r="J19" s="54"/>
    </row>
    <row r="20" spans="1:10" s="53" customFormat="1" ht="66">
      <c r="A20" s="47" t="s">
        <v>192</v>
      </c>
      <c r="B20" s="47" t="s">
        <v>243</v>
      </c>
      <c r="C20" s="49"/>
      <c r="D20" s="61" t="s">
        <v>1160</v>
      </c>
      <c r="E20" s="234"/>
      <c r="F20" s="193"/>
      <c r="G20" s="1032"/>
      <c r="H20" s="165"/>
      <c r="J20" s="54"/>
    </row>
    <row r="21" spans="1:10" s="53" customFormat="1">
      <c r="A21" s="47"/>
      <c r="B21" s="47"/>
      <c r="C21" s="49"/>
      <c r="D21" s="61"/>
      <c r="E21" s="234" t="s">
        <v>503</v>
      </c>
      <c r="F21" s="40">
        <v>103</v>
      </c>
      <c r="G21" s="1032">
        <v>60</v>
      </c>
      <c r="H21" s="26">
        <f>SUM(F21*G21)</f>
        <v>6180</v>
      </c>
      <c r="I21" s="13"/>
      <c r="J21" s="54"/>
    </row>
    <row r="22" spans="1:10" s="53" customFormat="1">
      <c r="A22" s="47"/>
      <c r="B22" s="47"/>
      <c r="C22" s="49"/>
      <c r="D22" s="61"/>
      <c r="E22" s="234"/>
      <c r="F22" s="193"/>
      <c r="G22" s="1032"/>
      <c r="H22" s="165"/>
      <c r="J22" s="54"/>
    </row>
    <row r="23" spans="1:10" s="53" customFormat="1" ht="79.2">
      <c r="A23" s="47" t="s">
        <v>192</v>
      </c>
      <c r="B23" s="47" t="s">
        <v>582</v>
      </c>
      <c r="C23" s="49"/>
      <c r="D23" s="61" t="s">
        <v>1159</v>
      </c>
      <c r="E23" s="234"/>
      <c r="F23" s="193"/>
      <c r="G23" s="1032"/>
      <c r="H23" s="165"/>
      <c r="J23" s="54"/>
    </row>
    <row r="24" spans="1:10" s="53" customFormat="1">
      <c r="A24" s="47"/>
      <c r="B24" s="47"/>
      <c r="C24" s="49"/>
      <c r="D24" s="171" t="s">
        <v>1082</v>
      </c>
      <c r="E24" s="234" t="s">
        <v>503</v>
      </c>
      <c r="F24" s="40">
        <v>643</v>
      </c>
      <c r="G24" s="1032">
        <v>25</v>
      </c>
      <c r="H24" s="26">
        <f>SUM(F24*G24)</f>
        <v>16075</v>
      </c>
      <c r="I24" s="13"/>
      <c r="J24" s="54"/>
    </row>
    <row r="25" spans="1:10" s="53" customFormat="1">
      <c r="A25" s="47"/>
      <c r="B25" s="47"/>
      <c r="C25" s="49"/>
      <c r="D25" s="61"/>
      <c r="E25" s="234"/>
      <c r="F25" s="193"/>
      <c r="G25" s="1032"/>
      <c r="H25" s="26"/>
      <c r="J25" s="54"/>
    </row>
    <row r="26" spans="1:10" s="53" customFormat="1" ht="137.25" customHeight="1">
      <c r="A26" s="47" t="s">
        <v>192</v>
      </c>
      <c r="B26" s="47" t="s">
        <v>331</v>
      </c>
      <c r="C26" s="49"/>
      <c r="D26" s="61" t="s">
        <v>1161</v>
      </c>
      <c r="E26" s="234"/>
      <c r="F26" s="193"/>
      <c r="G26" s="1032"/>
      <c r="H26" s="26"/>
      <c r="J26" s="54"/>
    </row>
    <row r="27" spans="1:10" s="53" customFormat="1">
      <c r="A27" s="47"/>
      <c r="B27" s="47"/>
      <c r="C27" s="49"/>
      <c r="D27" s="171" t="s">
        <v>1082</v>
      </c>
      <c r="E27" s="234" t="s">
        <v>503</v>
      </c>
      <c r="F27" s="40">
        <v>643</v>
      </c>
      <c r="G27" s="1032">
        <v>15</v>
      </c>
      <c r="H27" s="26">
        <f>SUM(F27*G27)</f>
        <v>9645</v>
      </c>
      <c r="I27" s="13"/>
      <c r="J27" s="54"/>
    </row>
    <row r="28" spans="1:10" s="53" customFormat="1">
      <c r="A28" s="47"/>
      <c r="B28" s="47"/>
      <c r="C28" s="49"/>
      <c r="D28" s="61"/>
      <c r="E28" s="236"/>
      <c r="F28" s="40"/>
      <c r="G28" s="1032"/>
      <c r="H28" s="26"/>
      <c r="I28" s="13"/>
      <c r="J28" s="54"/>
    </row>
    <row r="29" spans="1:10" s="53" customFormat="1" ht="117.75" customHeight="1">
      <c r="A29" s="47" t="s">
        <v>192</v>
      </c>
      <c r="B29" s="47" t="s">
        <v>469</v>
      </c>
      <c r="C29" s="49"/>
      <c r="D29" s="61" t="s">
        <v>1464</v>
      </c>
      <c r="E29" s="234"/>
      <c r="F29" s="193"/>
      <c r="G29" s="1032"/>
      <c r="H29" s="26"/>
      <c r="J29" s="54"/>
    </row>
    <row r="30" spans="1:10" s="53" customFormat="1">
      <c r="A30" s="47"/>
      <c r="B30" s="47"/>
      <c r="C30" s="49"/>
      <c r="D30" s="61"/>
      <c r="E30" s="234" t="s">
        <v>503</v>
      </c>
      <c r="F30" s="40">
        <v>24</v>
      </c>
      <c r="G30" s="1032">
        <v>70</v>
      </c>
      <c r="H30" s="26">
        <f>SUM(F30*G30)</f>
        <v>1680</v>
      </c>
      <c r="I30" s="13"/>
      <c r="J30" s="54"/>
    </row>
    <row r="31" spans="1:10" s="53" customFormat="1">
      <c r="A31" s="47"/>
      <c r="B31" s="47"/>
      <c r="C31" s="49"/>
      <c r="D31" s="61"/>
      <c r="E31" s="15"/>
      <c r="F31" s="40"/>
      <c r="G31" s="1032"/>
      <c r="H31" s="26"/>
      <c r="I31" s="13"/>
      <c r="J31" s="54"/>
    </row>
    <row r="32" spans="1:10" s="53" customFormat="1" ht="92.4">
      <c r="A32" s="47" t="s">
        <v>192</v>
      </c>
      <c r="B32" s="47" t="s">
        <v>192</v>
      </c>
      <c r="C32" s="49"/>
      <c r="D32" s="61" t="s">
        <v>1462</v>
      </c>
      <c r="E32" s="15"/>
      <c r="F32" s="40"/>
      <c r="G32" s="1032"/>
      <c r="H32" s="26"/>
      <c r="I32" s="13"/>
      <c r="J32" s="54"/>
    </row>
    <row r="33" spans="1:10" s="53" customFormat="1">
      <c r="A33" s="47"/>
      <c r="B33" s="47"/>
      <c r="C33" s="49"/>
      <c r="D33" s="61"/>
      <c r="E33" s="15" t="s">
        <v>344</v>
      </c>
      <c r="F33" s="40">
        <v>35</v>
      </c>
      <c r="G33" s="1032">
        <v>10</v>
      </c>
      <c r="H33" s="26">
        <f>SUM(F33*G33)</f>
        <v>350</v>
      </c>
      <c r="I33" s="13"/>
      <c r="J33" s="54"/>
    </row>
    <row r="34" spans="1:10" s="53" customFormat="1">
      <c r="A34" s="47"/>
      <c r="B34" s="47"/>
      <c r="C34" s="49"/>
      <c r="D34" s="61"/>
      <c r="E34" s="15"/>
      <c r="F34" s="40"/>
      <c r="G34" s="1032"/>
      <c r="H34" s="26"/>
      <c r="I34" s="13"/>
      <c r="J34" s="54"/>
    </row>
    <row r="35" spans="1:10" s="53" customFormat="1" ht="105.6">
      <c r="A35" s="47" t="s">
        <v>192</v>
      </c>
      <c r="B35" s="47" t="s">
        <v>146</v>
      </c>
      <c r="C35" s="49"/>
      <c r="D35" s="61" t="s">
        <v>1461</v>
      </c>
      <c r="E35" s="15"/>
      <c r="F35" s="40"/>
      <c r="G35" s="1032"/>
      <c r="H35" s="26"/>
      <c r="I35" s="13"/>
      <c r="J35" s="54"/>
    </row>
    <row r="36" spans="1:10" s="53" customFormat="1">
      <c r="A36" s="47"/>
      <c r="B36" s="47"/>
      <c r="C36" s="49"/>
      <c r="D36" s="61"/>
      <c r="E36" s="15" t="s">
        <v>344</v>
      </c>
      <c r="F36" s="40">
        <v>130</v>
      </c>
      <c r="G36" s="1032">
        <v>10</v>
      </c>
      <c r="H36" s="26">
        <f>SUM(F36*G36)</f>
        <v>1300</v>
      </c>
      <c r="I36" s="13"/>
      <c r="J36" s="54"/>
    </row>
    <row r="37" spans="1:10" s="53" customFormat="1" ht="13.8" thickBot="1">
      <c r="A37" s="152"/>
      <c r="B37" s="152"/>
      <c r="C37" s="237"/>
      <c r="D37" s="238"/>
      <c r="E37" s="239"/>
      <c r="F37" s="240"/>
      <c r="G37" s="1033"/>
      <c r="H37" s="170"/>
      <c r="J37" s="54"/>
    </row>
    <row r="38" spans="1:10" s="147" customFormat="1">
      <c r="A38" s="47" t="s">
        <v>192</v>
      </c>
      <c r="B38" s="47"/>
      <c r="C38" s="241"/>
      <c r="D38" s="60" t="s">
        <v>533</v>
      </c>
      <c r="E38" s="242"/>
      <c r="F38" s="243"/>
      <c r="G38" s="1034"/>
      <c r="H38" s="26">
        <f>SUM(H9:H37)</f>
        <v>81505</v>
      </c>
      <c r="J38" s="173"/>
    </row>
    <row r="39" spans="1:10" s="53" customFormat="1">
      <c r="A39" s="47"/>
      <c r="B39" s="47"/>
      <c r="C39" s="49"/>
      <c r="D39" s="61"/>
      <c r="E39" s="191"/>
      <c r="F39" s="176"/>
      <c r="G39" s="1020"/>
      <c r="H39" s="165"/>
      <c r="J39" s="54"/>
    </row>
    <row r="40" spans="1:10" s="53" customFormat="1">
      <c r="A40" s="47"/>
      <c r="B40" s="47"/>
      <c r="C40" s="49"/>
      <c r="D40" s="61"/>
      <c r="E40" s="191"/>
      <c r="F40" s="176"/>
      <c r="G40" s="1020"/>
      <c r="H40" s="165"/>
      <c r="J40" s="54"/>
    </row>
    <row r="41" spans="1:10" s="53" customFormat="1">
      <c r="A41" s="47"/>
      <c r="B41" s="47"/>
      <c r="C41" s="49"/>
      <c r="D41" s="174"/>
      <c r="E41" s="191"/>
      <c r="F41" s="176"/>
      <c r="G41" s="1020"/>
      <c r="H41" s="165"/>
      <c r="J41" s="54"/>
    </row>
    <row r="42" spans="1:10" s="53" customFormat="1">
      <c r="A42" s="47"/>
      <c r="B42" s="47"/>
      <c r="C42" s="49"/>
      <c r="D42" s="80"/>
      <c r="E42" s="191"/>
      <c r="F42" s="176"/>
      <c r="G42" s="1020"/>
      <c r="H42" s="175"/>
      <c r="J42" s="54"/>
    </row>
    <row r="43" spans="1:10" s="53" customFormat="1">
      <c r="A43" s="47"/>
      <c r="B43" s="47"/>
      <c r="C43" s="49"/>
      <c r="D43" s="80"/>
      <c r="E43" s="191"/>
      <c r="F43" s="176"/>
      <c r="G43" s="1020"/>
      <c r="H43" s="175"/>
      <c r="J43" s="54"/>
    </row>
    <row r="44" spans="1:10" s="53" customFormat="1">
      <c r="A44" s="47"/>
      <c r="B44" s="47"/>
      <c r="C44" s="49"/>
      <c r="D44" s="80"/>
      <c r="E44" s="191"/>
      <c r="F44" s="176"/>
      <c r="G44" s="1020"/>
      <c r="H44" s="165"/>
      <c r="J44" s="54"/>
    </row>
    <row r="45" spans="1:10" s="53" customFormat="1">
      <c r="A45" s="47"/>
      <c r="B45" s="47"/>
      <c r="C45" s="49"/>
      <c r="D45" s="61"/>
      <c r="E45" s="191"/>
      <c r="F45" s="176"/>
      <c r="G45" s="1020"/>
      <c r="H45" s="165"/>
      <c r="J45" s="54"/>
    </row>
    <row r="46" spans="1:10" s="53" customFormat="1">
      <c r="A46" s="47"/>
      <c r="B46" s="47"/>
      <c r="C46" s="49"/>
      <c r="D46" s="61"/>
      <c r="E46" s="191"/>
      <c r="F46" s="176"/>
      <c r="G46" s="1020"/>
      <c r="H46" s="165"/>
      <c r="J46" s="54"/>
    </row>
    <row r="47" spans="1:10" s="53" customFormat="1">
      <c r="A47" s="47"/>
      <c r="B47" s="47"/>
      <c r="C47" s="49"/>
      <c r="D47" s="174"/>
      <c r="E47" s="191"/>
      <c r="F47" s="176"/>
      <c r="G47" s="1020"/>
      <c r="H47" s="165"/>
      <c r="J47" s="54"/>
    </row>
    <row r="48" spans="1:10" s="53" customFormat="1">
      <c r="A48" s="47"/>
      <c r="B48" s="47"/>
      <c r="C48" s="49"/>
      <c r="D48" s="80"/>
      <c r="E48" s="191"/>
      <c r="F48" s="176"/>
      <c r="G48" s="1020"/>
      <c r="H48" s="175"/>
      <c r="J48" s="54"/>
    </row>
    <row r="49" spans="1:10" s="53" customFormat="1">
      <c r="A49" s="47"/>
      <c r="B49" s="47"/>
      <c r="C49" s="49"/>
      <c r="D49" s="80"/>
      <c r="E49" s="191"/>
      <c r="F49" s="176"/>
      <c r="G49" s="1020"/>
      <c r="H49" s="175"/>
      <c r="J49" s="54"/>
    </row>
    <row r="50" spans="1:10" s="53" customFormat="1">
      <c r="A50" s="47"/>
      <c r="B50" s="47"/>
      <c r="C50" s="49"/>
      <c r="D50" s="80"/>
      <c r="E50" s="191"/>
      <c r="F50" s="176"/>
      <c r="G50" s="1020"/>
      <c r="H50" s="165"/>
      <c r="J50" s="54"/>
    </row>
    <row r="51" spans="1:10" s="53" customFormat="1">
      <c r="A51" s="47"/>
      <c r="B51" s="47"/>
      <c r="C51" s="49"/>
      <c r="D51" s="61"/>
      <c r="E51" s="191"/>
      <c r="F51" s="176"/>
      <c r="G51" s="1020"/>
      <c r="H51" s="165"/>
      <c r="J51" s="54"/>
    </row>
    <row r="52" spans="1:10" s="53" customFormat="1">
      <c r="A52" s="47"/>
      <c r="B52" s="47"/>
      <c r="C52" s="49"/>
      <c r="D52" s="61"/>
      <c r="E52" s="191"/>
      <c r="F52" s="176"/>
      <c r="G52" s="1020"/>
      <c r="H52" s="165"/>
      <c r="J52" s="54"/>
    </row>
    <row r="53" spans="1:10" s="53" customFormat="1">
      <c r="A53" s="47"/>
      <c r="B53" s="47"/>
      <c r="C53" s="49"/>
      <c r="D53" s="61"/>
      <c r="E53" s="191"/>
      <c r="F53" s="176"/>
      <c r="G53" s="1020"/>
      <c r="H53" s="165"/>
      <c r="J53" s="54"/>
    </row>
    <row r="54" spans="1:10" s="53" customFormat="1">
      <c r="A54" s="47"/>
      <c r="B54" s="47"/>
      <c r="C54" s="49"/>
      <c r="D54" s="61"/>
      <c r="E54" s="191"/>
      <c r="F54" s="176"/>
      <c r="G54" s="1020"/>
      <c r="H54" s="165"/>
      <c r="J54" s="54"/>
    </row>
    <row r="55" spans="1:10" s="53" customFormat="1">
      <c r="A55" s="47"/>
      <c r="B55" s="47"/>
      <c r="C55" s="49"/>
      <c r="D55" s="174"/>
      <c r="E55" s="191"/>
      <c r="F55" s="176"/>
      <c r="G55" s="1020"/>
      <c r="H55" s="165"/>
      <c r="J55" s="54"/>
    </row>
    <row r="56" spans="1:10" s="53" customFormat="1">
      <c r="A56" s="47"/>
      <c r="B56" s="47"/>
      <c r="C56" s="49"/>
      <c r="D56" s="80"/>
      <c r="E56" s="191"/>
      <c r="F56" s="176"/>
      <c r="G56" s="1020"/>
      <c r="H56" s="175"/>
      <c r="J56" s="54"/>
    </row>
    <row r="57" spans="1:10" s="53" customFormat="1">
      <c r="A57" s="47"/>
      <c r="B57" s="47"/>
      <c r="C57" s="49"/>
      <c r="D57" s="80"/>
      <c r="E57" s="191"/>
      <c r="F57" s="176"/>
      <c r="G57" s="1020"/>
      <c r="H57" s="165"/>
      <c r="J57" s="54"/>
    </row>
    <row r="58" spans="1:10" s="53" customFormat="1">
      <c r="A58" s="47"/>
      <c r="B58" s="47"/>
      <c r="C58" s="49"/>
      <c r="D58" s="61"/>
      <c r="E58" s="191"/>
      <c r="F58" s="176"/>
      <c r="G58" s="1020"/>
      <c r="H58" s="165"/>
      <c r="J58" s="54"/>
    </row>
    <row r="59" spans="1:10" s="53" customFormat="1">
      <c r="A59" s="47"/>
      <c r="B59" s="47"/>
      <c r="C59" s="49"/>
      <c r="D59" s="61"/>
      <c r="E59" s="191"/>
      <c r="F59" s="176"/>
      <c r="G59" s="1020"/>
      <c r="H59" s="165"/>
      <c r="J59" s="54"/>
    </row>
    <row r="60" spans="1:10" s="53" customFormat="1">
      <c r="A60" s="47"/>
      <c r="B60" s="47"/>
      <c r="C60" s="49"/>
      <c r="D60" s="174"/>
      <c r="E60" s="191"/>
      <c r="F60" s="176"/>
      <c r="G60" s="1020"/>
      <c r="H60" s="165"/>
      <c r="J60" s="54"/>
    </row>
    <row r="61" spans="1:10" s="53" customFormat="1">
      <c r="A61" s="47"/>
      <c r="B61" s="47"/>
      <c r="C61" s="49"/>
      <c r="D61" s="80"/>
      <c r="E61" s="191"/>
      <c r="F61" s="176"/>
      <c r="G61" s="1020"/>
      <c r="H61" s="175"/>
      <c r="J61" s="54"/>
    </row>
    <row r="62" spans="1:10" s="53" customFormat="1">
      <c r="A62" s="47"/>
      <c r="B62" s="47"/>
      <c r="C62" s="49"/>
      <c r="D62" s="80"/>
      <c r="E62" s="191"/>
      <c r="F62" s="176"/>
      <c r="G62" s="1020"/>
      <c r="H62" s="165"/>
      <c r="J62" s="54"/>
    </row>
    <row r="63" spans="1:10" s="53" customFormat="1">
      <c r="A63" s="47"/>
      <c r="B63" s="47"/>
      <c r="C63" s="49"/>
      <c r="D63" s="61"/>
      <c r="E63" s="191"/>
      <c r="F63" s="176"/>
      <c r="G63" s="1020"/>
      <c r="H63" s="165"/>
      <c r="J63" s="54"/>
    </row>
    <row r="64" spans="1:10" s="53" customFormat="1">
      <c r="A64" s="47"/>
      <c r="B64" s="47"/>
      <c r="C64" s="49"/>
      <c r="D64" s="61"/>
      <c r="E64" s="191"/>
      <c r="F64" s="176"/>
      <c r="G64" s="1020"/>
      <c r="H64" s="165"/>
      <c r="J64" s="54"/>
    </row>
    <row r="65" spans="1:10" s="53" customFormat="1">
      <c r="A65" s="47"/>
      <c r="B65" s="47"/>
      <c r="C65" s="49"/>
      <c r="D65" s="174"/>
      <c r="E65" s="191"/>
      <c r="F65" s="176"/>
      <c r="G65" s="1020"/>
      <c r="H65" s="165"/>
      <c r="J65" s="54"/>
    </row>
    <row r="66" spans="1:10" s="53" customFormat="1">
      <c r="A66" s="47"/>
      <c r="B66" s="47"/>
      <c r="C66" s="49"/>
      <c r="D66" s="80"/>
      <c r="E66" s="191"/>
      <c r="F66" s="176"/>
      <c r="G66" s="1020"/>
      <c r="H66" s="175"/>
      <c r="J66" s="54"/>
    </row>
    <row r="67" spans="1:10" s="53" customFormat="1">
      <c r="A67" s="47"/>
      <c r="B67" s="47"/>
      <c r="C67" s="49"/>
      <c r="D67" s="80"/>
      <c r="E67" s="191"/>
      <c r="F67" s="176"/>
      <c r="G67" s="1020"/>
      <c r="H67" s="165"/>
      <c r="J67" s="54"/>
    </row>
    <row r="68" spans="1:10" s="53" customFormat="1">
      <c r="A68" s="47"/>
      <c r="B68" s="47"/>
      <c r="C68" s="49"/>
      <c r="D68" s="61"/>
      <c r="E68" s="191"/>
      <c r="F68" s="176"/>
      <c r="G68" s="1020"/>
      <c r="H68" s="165"/>
      <c r="J68" s="54"/>
    </row>
    <row r="69" spans="1:10" s="53" customFormat="1">
      <c r="A69" s="47"/>
      <c r="B69" s="47"/>
      <c r="C69" s="49"/>
      <c r="D69" s="61"/>
      <c r="E69" s="191"/>
      <c r="F69" s="176"/>
      <c r="G69" s="1020"/>
      <c r="H69" s="165"/>
      <c r="J69" s="54"/>
    </row>
    <row r="70" spans="1:10" s="53" customFormat="1">
      <c r="A70" s="47"/>
      <c r="B70" s="47"/>
      <c r="C70" s="49"/>
      <c r="D70" s="174"/>
      <c r="E70" s="191"/>
      <c r="F70" s="176"/>
      <c r="G70" s="1020"/>
      <c r="H70" s="165"/>
      <c r="J70" s="54"/>
    </row>
    <row r="71" spans="1:10" s="53" customFormat="1">
      <c r="A71" s="47"/>
      <c r="B71" s="47"/>
      <c r="C71" s="49"/>
      <c r="D71" s="80"/>
      <c r="E71" s="191"/>
      <c r="F71" s="176"/>
      <c r="G71" s="1020"/>
      <c r="H71" s="175"/>
      <c r="J71" s="54"/>
    </row>
    <row r="72" spans="1:10" s="53" customFormat="1">
      <c r="A72" s="47"/>
      <c r="B72" s="47"/>
      <c r="C72" s="49"/>
      <c r="D72" s="80"/>
      <c r="E72" s="191"/>
      <c r="F72" s="176"/>
      <c r="G72" s="1020"/>
      <c r="H72" s="165"/>
      <c r="J72" s="54"/>
    </row>
    <row r="73" spans="1:10" s="53" customFormat="1">
      <c r="A73" s="47"/>
      <c r="B73" s="47"/>
      <c r="C73" s="49"/>
      <c r="D73" s="61"/>
      <c r="E73" s="191"/>
      <c r="F73" s="176"/>
      <c r="G73" s="1020"/>
      <c r="H73" s="165"/>
      <c r="J73" s="54"/>
    </row>
    <row r="74" spans="1:10" s="53" customFormat="1">
      <c r="A74" s="47"/>
      <c r="B74" s="47"/>
      <c r="C74" s="49"/>
      <c r="D74" s="61"/>
      <c r="E74" s="191"/>
      <c r="F74" s="176"/>
      <c r="G74" s="1020"/>
      <c r="H74" s="165"/>
      <c r="J74" s="54"/>
    </row>
    <row r="75" spans="1:10" s="53" customFormat="1">
      <c r="A75" s="47"/>
      <c r="B75" s="47"/>
      <c r="C75" s="49"/>
      <c r="D75" s="61"/>
      <c r="E75" s="191"/>
      <c r="F75" s="176"/>
      <c r="G75" s="1020"/>
      <c r="H75" s="165"/>
      <c r="J75" s="54"/>
    </row>
    <row r="76" spans="1:10" s="53" customFormat="1">
      <c r="A76" s="47"/>
      <c r="B76" s="47"/>
      <c r="C76" s="49"/>
      <c r="D76" s="61"/>
      <c r="E76" s="191"/>
      <c r="F76" s="176"/>
      <c r="G76" s="1020"/>
      <c r="H76" s="165"/>
      <c r="J76" s="54"/>
    </row>
    <row r="77" spans="1:10" s="53" customFormat="1">
      <c r="A77" s="47"/>
      <c r="B77" s="47"/>
      <c r="C77" s="49"/>
      <c r="D77" s="61"/>
      <c r="E77" s="191"/>
      <c r="F77" s="176"/>
      <c r="G77" s="1020"/>
      <c r="H77" s="165"/>
      <c r="J77" s="54"/>
    </row>
    <row r="78" spans="1:10" s="53" customFormat="1">
      <c r="A78" s="47"/>
      <c r="B78" s="47"/>
      <c r="C78" s="49"/>
      <c r="D78" s="61"/>
      <c r="E78" s="191"/>
      <c r="F78" s="176"/>
      <c r="G78" s="1020"/>
      <c r="H78" s="165"/>
      <c r="J78" s="54"/>
    </row>
    <row r="79" spans="1:10" s="53" customFormat="1">
      <c r="A79" s="47"/>
      <c r="B79" s="47"/>
      <c r="C79" s="49"/>
      <c r="D79" s="61"/>
      <c r="E79" s="191"/>
      <c r="F79" s="176"/>
      <c r="G79" s="1020"/>
      <c r="H79" s="165"/>
      <c r="J79" s="54"/>
    </row>
    <row r="80" spans="1:10" s="53" customFormat="1">
      <c r="A80" s="47"/>
      <c r="B80" s="47"/>
      <c r="C80" s="49"/>
      <c r="D80" s="174"/>
      <c r="E80" s="191"/>
      <c r="F80" s="176"/>
      <c r="G80" s="1020"/>
      <c r="H80" s="165"/>
      <c r="J80" s="54"/>
    </row>
    <row r="81" spans="1:10" s="53" customFormat="1">
      <c r="A81" s="47"/>
      <c r="B81" s="47"/>
      <c r="C81" s="49"/>
      <c r="D81" s="80"/>
      <c r="E81" s="191"/>
      <c r="F81" s="176"/>
      <c r="G81" s="1020"/>
      <c r="H81" s="175"/>
      <c r="J81" s="54"/>
    </row>
    <row r="82" spans="1:10" s="53" customFormat="1">
      <c r="A82" s="47"/>
      <c r="B82" s="47"/>
      <c r="C82" s="49"/>
      <c r="D82" s="80"/>
      <c r="E82" s="191"/>
      <c r="F82" s="176"/>
      <c r="G82" s="1020"/>
      <c r="H82" s="175"/>
      <c r="J82" s="54"/>
    </row>
    <row r="83" spans="1:10" s="53" customFormat="1">
      <c r="A83" s="47"/>
      <c r="B83" s="47"/>
      <c r="C83" s="49"/>
      <c r="D83" s="61"/>
      <c r="E83" s="191"/>
      <c r="F83" s="176"/>
      <c r="G83" s="1020"/>
      <c r="H83" s="165"/>
      <c r="J83" s="54"/>
    </row>
    <row r="84" spans="1:10" s="53" customFormat="1">
      <c r="A84" s="47"/>
      <c r="B84" s="47"/>
      <c r="C84" s="49"/>
      <c r="D84" s="174"/>
      <c r="E84" s="191"/>
      <c r="F84" s="176"/>
      <c r="G84" s="1020"/>
      <c r="H84" s="165"/>
      <c r="J84" s="54"/>
    </row>
    <row r="85" spans="1:10" s="53" customFormat="1">
      <c r="A85" s="47"/>
      <c r="B85" s="47"/>
      <c r="C85" s="49"/>
      <c r="D85" s="80"/>
      <c r="E85" s="191"/>
      <c r="F85" s="176"/>
      <c r="G85" s="1020"/>
      <c r="H85" s="175"/>
      <c r="J85" s="54"/>
    </row>
    <row r="86" spans="1:10" s="53" customFormat="1">
      <c r="A86" s="47"/>
      <c r="B86" s="47"/>
      <c r="C86" s="49"/>
      <c r="D86" s="80"/>
      <c r="E86" s="191"/>
      <c r="F86" s="176"/>
      <c r="G86" s="1020"/>
      <c r="H86" s="165"/>
      <c r="J86" s="54"/>
    </row>
    <row r="87" spans="1:10" s="53" customFormat="1">
      <c r="A87" s="47"/>
      <c r="B87" s="47"/>
      <c r="C87" s="49"/>
      <c r="D87" s="61"/>
      <c r="E87" s="191"/>
      <c r="F87" s="176"/>
      <c r="G87" s="1020"/>
      <c r="H87" s="165"/>
      <c r="J87" s="54"/>
    </row>
    <row r="88" spans="1:10" s="53" customFormat="1">
      <c r="A88" s="47"/>
      <c r="B88" s="47"/>
      <c r="C88" s="49"/>
      <c r="D88" s="174"/>
      <c r="E88" s="191"/>
      <c r="F88" s="176"/>
      <c r="G88" s="1020"/>
      <c r="H88" s="165"/>
      <c r="J88" s="54"/>
    </row>
    <row r="89" spans="1:10" s="53" customFormat="1">
      <c r="A89" s="47"/>
      <c r="B89" s="47"/>
      <c r="C89" s="49"/>
      <c r="D89" s="80"/>
      <c r="E89" s="191"/>
      <c r="F89" s="176"/>
      <c r="G89" s="1020"/>
      <c r="H89" s="165"/>
      <c r="J89" s="54"/>
    </row>
    <row r="90" spans="1:10" s="53" customFormat="1">
      <c r="A90" s="47"/>
      <c r="B90" s="47"/>
      <c r="C90" s="49"/>
      <c r="D90" s="80"/>
      <c r="E90" s="191"/>
      <c r="F90" s="176"/>
      <c r="G90" s="1020"/>
      <c r="H90" s="165"/>
      <c r="J90" s="54"/>
    </row>
    <row r="91" spans="1:10" s="53" customFormat="1">
      <c r="A91" s="47"/>
      <c r="B91" s="47"/>
      <c r="C91" s="49"/>
      <c r="D91" s="61"/>
      <c r="E91" s="191"/>
      <c r="F91" s="176"/>
      <c r="G91" s="1020"/>
      <c r="H91" s="175"/>
      <c r="J91" s="54"/>
    </row>
    <row r="92" spans="1:10" s="53" customFormat="1">
      <c r="A92" s="47"/>
      <c r="B92" s="47"/>
      <c r="C92" s="49"/>
      <c r="D92" s="174"/>
      <c r="E92" s="191"/>
      <c r="F92" s="176"/>
      <c r="G92" s="1020"/>
      <c r="H92" s="175"/>
      <c r="J92" s="54"/>
    </row>
    <row r="93" spans="1:10" s="53" customFormat="1">
      <c r="A93" s="47"/>
      <c r="B93" s="47"/>
      <c r="C93" s="49"/>
      <c r="D93" s="61"/>
      <c r="E93" s="191"/>
      <c r="F93" s="176"/>
      <c r="G93" s="1020"/>
      <c r="H93" s="175"/>
      <c r="J93" s="54"/>
    </row>
    <row r="94" spans="1:10" s="53" customFormat="1">
      <c r="A94" s="47"/>
      <c r="B94" s="47"/>
      <c r="C94" s="49"/>
      <c r="D94" s="61"/>
      <c r="E94" s="191"/>
      <c r="F94" s="176"/>
      <c r="G94" s="1020"/>
      <c r="H94" s="165"/>
      <c r="J94" s="54"/>
    </row>
    <row r="95" spans="1:10" s="53" customFormat="1">
      <c r="A95" s="47"/>
      <c r="B95" s="47"/>
      <c r="C95" s="49"/>
      <c r="D95" s="61"/>
      <c r="E95" s="191"/>
      <c r="F95" s="176"/>
      <c r="G95" s="1020"/>
      <c r="H95" s="165"/>
      <c r="J95" s="54"/>
    </row>
    <row r="96" spans="1:10" s="53" customFormat="1">
      <c r="A96" s="47"/>
      <c r="B96" s="47"/>
      <c r="C96" s="49"/>
      <c r="D96" s="174"/>
      <c r="E96" s="191"/>
      <c r="F96" s="176"/>
      <c r="G96" s="1020"/>
      <c r="H96" s="165"/>
      <c r="J96" s="54"/>
    </row>
    <row r="97" spans="1:10" s="53" customFormat="1">
      <c r="A97" s="47"/>
      <c r="B97" s="47"/>
      <c r="C97" s="49"/>
      <c r="D97" s="61"/>
      <c r="E97" s="191"/>
      <c r="F97" s="176"/>
      <c r="G97" s="1020"/>
      <c r="H97" s="165"/>
      <c r="J97" s="54"/>
    </row>
    <row r="98" spans="1:10" s="53" customFormat="1">
      <c r="A98" s="47"/>
      <c r="B98" s="47"/>
      <c r="C98" s="49"/>
      <c r="D98" s="61"/>
      <c r="E98" s="191"/>
      <c r="F98" s="176"/>
      <c r="G98" s="1020"/>
      <c r="H98" s="165"/>
      <c r="J98" s="54"/>
    </row>
    <row r="99" spans="1:10" s="53" customFormat="1">
      <c r="A99" s="47"/>
      <c r="B99" s="47"/>
      <c r="C99" s="49"/>
      <c r="D99" s="61"/>
      <c r="E99" s="191"/>
      <c r="F99" s="176"/>
      <c r="G99" s="1020"/>
      <c r="H99" s="165"/>
      <c r="J99" s="54"/>
    </row>
    <row r="100" spans="1:10" s="53" customFormat="1">
      <c r="A100" s="47"/>
      <c r="B100" s="47"/>
      <c r="C100" s="49"/>
      <c r="D100" s="61"/>
      <c r="E100" s="191"/>
      <c r="F100" s="176"/>
      <c r="G100" s="1020"/>
      <c r="H100" s="165"/>
      <c r="J100" s="54"/>
    </row>
    <row r="101" spans="1:10" s="53" customFormat="1">
      <c r="A101" s="47"/>
      <c r="B101" s="47"/>
      <c r="C101" s="49"/>
      <c r="D101" s="61"/>
      <c r="E101" s="191"/>
      <c r="F101" s="176"/>
      <c r="G101" s="1020"/>
      <c r="H101" s="165"/>
      <c r="J101" s="54"/>
    </row>
    <row r="102" spans="1:10" s="53" customFormat="1">
      <c r="A102" s="47"/>
      <c r="B102" s="47"/>
      <c r="C102" s="49"/>
      <c r="D102" s="61"/>
      <c r="E102" s="191"/>
      <c r="F102" s="176"/>
      <c r="G102" s="1020"/>
      <c r="H102" s="165"/>
      <c r="J102" s="54"/>
    </row>
    <row r="103" spans="1:10" s="53" customFormat="1">
      <c r="A103" s="47"/>
      <c r="B103" s="47"/>
      <c r="C103" s="49"/>
      <c r="D103" s="61"/>
      <c r="E103" s="191"/>
      <c r="F103" s="176"/>
      <c r="G103" s="1020"/>
      <c r="H103" s="165"/>
      <c r="J103" s="54"/>
    </row>
    <row r="104" spans="1:10" s="53" customFormat="1">
      <c r="A104" s="47"/>
      <c r="B104" s="47"/>
      <c r="C104" s="49"/>
      <c r="D104" s="61"/>
      <c r="E104" s="191"/>
      <c r="F104" s="176"/>
      <c r="G104" s="1020"/>
      <c r="H104" s="165"/>
      <c r="J104" s="54"/>
    </row>
    <row r="105" spans="1:10" s="53" customFormat="1">
      <c r="A105" s="47"/>
      <c r="B105" s="47"/>
      <c r="C105" s="49"/>
      <c r="D105" s="174"/>
      <c r="E105" s="191"/>
      <c r="F105" s="176"/>
      <c r="G105" s="1020"/>
      <c r="H105" s="165"/>
      <c r="J105" s="54"/>
    </row>
    <row r="106" spans="1:10" s="53" customFormat="1">
      <c r="A106" s="47"/>
      <c r="B106" s="47"/>
      <c r="C106" s="49"/>
      <c r="D106" s="80"/>
      <c r="E106" s="191"/>
      <c r="F106" s="176"/>
      <c r="G106" s="1020"/>
      <c r="H106" s="175"/>
      <c r="J106" s="54"/>
    </row>
    <row r="107" spans="1:10" s="53" customFormat="1">
      <c r="A107" s="47"/>
      <c r="B107" s="47"/>
      <c r="C107" s="49"/>
      <c r="D107" s="80"/>
      <c r="E107" s="191"/>
      <c r="F107" s="176"/>
      <c r="G107" s="1020"/>
      <c r="H107" s="165"/>
      <c r="J107" s="54"/>
    </row>
    <row r="108" spans="1:10" s="53" customFormat="1">
      <c r="A108" s="47"/>
      <c r="B108" s="47"/>
      <c r="C108" s="49"/>
      <c r="D108" s="61"/>
      <c r="E108" s="191"/>
      <c r="F108" s="176"/>
      <c r="G108" s="1020"/>
      <c r="H108" s="165"/>
      <c r="J108" s="54"/>
    </row>
    <row r="109" spans="1:10" s="53" customFormat="1">
      <c r="A109" s="47"/>
      <c r="B109" s="47"/>
      <c r="C109" s="49"/>
      <c r="D109" s="174"/>
      <c r="E109" s="191"/>
      <c r="F109" s="176"/>
      <c r="G109" s="1020"/>
      <c r="H109" s="165"/>
      <c r="J109" s="54"/>
    </row>
    <row r="110" spans="1:10" s="53" customFormat="1">
      <c r="A110" s="47"/>
      <c r="B110" s="47"/>
      <c r="C110" s="49"/>
      <c r="D110" s="80"/>
      <c r="E110" s="191"/>
      <c r="F110" s="176"/>
      <c r="G110" s="1020"/>
      <c r="H110" s="175"/>
      <c r="J110" s="54"/>
    </row>
    <row r="111" spans="1:10" s="53" customFormat="1">
      <c r="A111" s="47"/>
      <c r="B111" s="47"/>
      <c r="C111" s="49"/>
      <c r="D111" s="80"/>
      <c r="E111" s="191"/>
      <c r="F111" s="176"/>
      <c r="G111" s="1020"/>
      <c r="H111" s="165"/>
      <c r="J111" s="54"/>
    </row>
    <row r="112" spans="1:10" s="53" customFormat="1">
      <c r="A112" s="47"/>
      <c r="B112" s="47"/>
      <c r="C112" s="49"/>
      <c r="D112" s="61"/>
      <c r="E112" s="191"/>
      <c r="F112" s="176"/>
      <c r="G112" s="1020"/>
      <c r="H112" s="165"/>
      <c r="J112" s="244"/>
    </row>
    <row r="113" spans="1:10" s="53" customFormat="1">
      <c r="A113" s="47"/>
      <c r="B113" s="47"/>
      <c r="C113" s="49"/>
      <c r="D113" s="61"/>
      <c r="E113" s="191"/>
      <c r="F113" s="176"/>
      <c r="G113" s="1020"/>
      <c r="H113" s="165"/>
      <c r="J113" s="244"/>
    </row>
    <row r="114" spans="1:10" s="53" customFormat="1">
      <c r="A114" s="47"/>
      <c r="B114" s="47"/>
      <c r="C114" s="49"/>
      <c r="D114" s="174"/>
      <c r="E114" s="191"/>
      <c r="F114" s="176"/>
      <c r="G114" s="1020"/>
      <c r="H114" s="165"/>
      <c r="J114" s="244"/>
    </row>
    <row r="115" spans="1:10" s="53" customFormat="1">
      <c r="A115" s="47"/>
      <c r="B115" s="47"/>
      <c r="C115" s="49"/>
      <c r="D115" s="80"/>
      <c r="E115" s="191"/>
      <c r="F115" s="176"/>
      <c r="G115" s="1020"/>
      <c r="H115" s="175"/>
      <c r="J115" s="54"/>
    </row>
    <row r="116" spans="1:10" s="53" customFormat="1">
      <c r="A116" s="47"/>
      <c r="B116" s="47"/>
      <c r="C116" s="49"/>
      <c r="D116" s="80"/>
      <c r="E116" s="191"/>
      <c r="F116" s="176"/>
      <c r="G116" s="1020"/>
      <c r="H116" s="165"/>
      <c r="J116" s="54"/>
    </row>
    <row r="117" spans="1:10" s="53" customFormat="1">
      <c r="A117" s="47"/>
      <c r="B117" s="47"/>
      <c r="C117" s="49"/>
      <c r="D117" s="61"/>
      <c r="E117" s="191"/>
      <c r="F117" s="176"/>
      <c r="G117" s="1020"/>
      <c r="H117" s="165"/>
      <c r="J117" s="244"/>
    </row>
    <row r="118" spans="1:10" s="53" customFormat="1">
      <c r="A118" s="47"/>
      <c r="B118" s="47"/>
      <c r="C118" s="49"/>
      <c r="D118" s="174"/>
      <c r="E118" s="234"/>
      <c r="F118" s="193"/>
      <c r="G118" s="1020"/>
      <c r="H118" s="165"/>
      <c r="J118" s="54"/>
    </row>
    <row r="119" spans="1:10" s="53" customFormat="1">
      <c r="A119" s="47"/>
      <c r="B119" s="47"/>
      <c r="C119" s="49"/>
      <c r="D119" s="80"/>
      <c r="E119" s="191"/>
      <c r="F119" s="176"/>
      <c r="G119" s="1020"/>
      <c r="H119" s="175"/>
      <c r="J119" s="54"/>
    </row>
    <row r="120" spans="1:10" s="53" customFormat="1">
      <c r="A120" s="47"/>
      <c r="B120" s="47"/>
      <c r="C120" s="168"/>
      <c r="D120" s="80"/>
      <c r="E120" s="245"/>
      <c r="F120" s="176"/>
      <c r="G120" s="1020"/>
      <c r="H120" s="165"/>
      <c r="J120" s="54"/>
    </row>
    <row r="121" spans="1:10" s="53" customFormat="1">
      <c r="A121" s="47"/>
      <c r="B121" s="47"/>
      <c r="C121" s="49"/>
      <c r="D121" s="61"/>
      <c r="E121" s="191"/>
      <c r="F121" s="176"/>
      <c r="G121" s="1020"/>
      <c r="H121" s="165"/>
      <c r="J121" s="244"/>
    </row>
    <row r="122" spans="1:10" s="53" customFormat="1">
      <c r="A122" s="47"/>
      <c r="B122" s="47"/>
      <c r="C122" s="49"/>
      <c r="D122" s="61"/>
      <c r="E122" s="191"/>
      <c r="F122" s="176"/>
      <c r="G122" s="1020"/>
      <c r="H122" s="165"/>
      <c r="J122" s="244"/>
    </row>
    <row r="123" spans="1:10" s="53" customFormat="1">
      <c r="A123" s="47"/>
      <c r="B123" s="47"/>
      <c r="C123" s="49"/>
      <c r="D123" s="174"/>
      <c r="E123" s="191"/>
      <c r="F123" s="176"/>
      <c r="G123" s="1020"/>
      <c r="H123" s="165"/>
      <c r="J123" s="54"/>
    </row>
    <row r="124" spans="1:10" s="53" customFormat="1">
      <c r="A124" s="47"/>
      <c r="B124" s="47"/>
      <c r="C124" s="49"/>
      <c r="E124" s="191"/>
      <c r="F124" s="176"/>
      <c r="G124" s="1020"/>
      <c r="H124" s="175"/>
      <c r="J124" s="54"/>
    </row>
    <row r="125" spans="1:10" s="53" customFormat="1">
      <c r="A125" s="47"/>
      <c r="B125" s="47"/>
      <c r="C125" s="49"/>
      <c r="D125" s="80"/>
      <c r="E125" s="191"/>
      <c r="F125" s="176"/>
      <c r="G125" s="1020"/>
      <c r="H125" s="175"/>
      <c r="J125" s="54"/>
    </row>
    <row r="126" spans="1:10" s="53" customFormat="1">
      <c r="A126" s="47"/>
      <c r="B126" s="47"/>
      <c r="C126" s="49"/>
      <c r="D126" s="61"/>
      <c r="E126" s="191"/>
      <c r="F126" s="176"/>
      <c r="G126" s="1020"/>
      <c r="H126" s="165"/>
      <c r="J126" s="244"/>
    </row>
    <row r="127" spans="1:10" s="53" customFormat="1">
      <c r="A127" s="47"/>
      <c r="B127" s="47"/>
      <c r="C127" s="49"/>
      <c r="D127" s="61"/>
      <c r="E127" s="191"/>
      <c r="F127" s="176"/>
      <c r="G127" s="1020"/>
      <c r="H127" s="165"/>
      <c r="J127" s="244"/>
    </row>
    <row r="128" spans="1:10" s="53" customFormat="1">
      <c r="A128" s="47"/>
      <c r="B128" s="47"/>
      <c r="C128" s="49"/>
      <c r="D128" s="174"/>
      <c r="E128" s="191"/>
      <c r="F128" s="176"/>
      <c r="G128" s="1020"/>
      <c r="H128" s="165"/>
      <c r="J128" s="54"/>
    </row>
    <row r="129" spans="1:10" s="53" customFormat="1">
      <c r="A129" s="47"/>
      <c r="B129" s="47"/>
      <c r="C129" s="49"/>
      <c r="D129" s="80"/>
      <c r="E129" s="191"/>
      <c r="F129" s="176"/>
      <c r="G129" s="1020"/>
      <c r="H129" s="175"/>
      <c r="J129" s="54"/>
    </row>
    <row r="130" spans="1:10" s="53" customFormat="1">
      <c r="A130" s="47"/>
      <c r="B130" s="47"/>
      <c r="C130" s="49"/>
      <c r="D130" s="80"/>
      <c r="E130" s="191"/>
      <c r="F130" s="176"/>
      <c r="G130" s="1020"/>
      <c r="H130" s="175"/>
      <c r="J130" s="54"/>
    </row>
    <row r="131" spans="1:10" s="53" customFormat="1">
      <c r="A131" s="47"/>
      <c r="B131" s="47"/>
      <c r="C131" s="49"/>
      <c r="D131" s="61"/>
      <c r="E131" s="191"/>
      <c r="F131" s="176"/>
      <c r="G131" s="1020"/>
      <c r="H131" s="165"/>
      <c r="J131" s="244"/>
    </row>
    <row r="132" spans="1:10" s="53" customFormat="1">
      <c r="A132" s="47"/>
      <c r="B132" s="47"/>
      <c r="C132" s="49"/>
      <c r="D132" s="61"/>
      <c r="E132" s="191"/>
      <c r="F132" s="176"/>
      <c r="G132" s="1020"/>
      <c r="H132" s="165"/>
      <c r="J132" s="244"/>
    </row>
    <row r="133" spans="1:10" s="53" customFormat="1">
      <c r="A133" s="47"/>
      <c r="B133" s="47"/>
      <c r="C133" s="49"/>
      <c r="D133" s="174"/>
      <c r="E133" s="234"/>
      <c r="F133" s="193"/>
      <c r="G133" s="1020"/>
      <c r="H133" s="165"/>
      <c r="J133" s="54"/>
    </row>
    <row r="134" spans="1:10" s="53" customFormat="1">
      <c r="A134" s="47"/>
      <c r="B134" s="47"/>
      <c r="C134" s="49"/>
      <c r="D134" s="80"/>
      <c r="E134" s="191"/>
      <c r="F134" s="176"/>
      <c r="G134" s="1020"/>
      <c r="H134" s="175"/>
      <c r="J134" s="54"/>
    </row>
    <row r="135" spans="1:10" s="53" customFormat="1">
      <c r="A135" s="47"/>
      <c r="B135" s="47"/>
      <c r="C135" s="49"/>
      <c r="D135" s="80"/>
      <c r="E135" s="191"/>
      <c r="F135" s="176"/>
      <c r="G135" s="1020"/>
      <c r="H135" s="175"/>
      <c r="J135" s="54"/>
    </row>
    <row r="136" spans="1:10" s="53" customFormat="1">
      <c r="A136" s="47"/>
      <c r="B136" s="47"/>
      <c r="C136" s="49"/>
      <c r="D136" s="61"/>
      <c r="E136" s="191"/>
      <c r="F136" s="176"/>
      <c r="G136" s="1020"/>
      <c r="H136" s="175"/>
      <c r="J136" s="54"/>
    </row>
    <row r="137" spans="1:10" s="53" customFormat="1">
      <c r="A137" s="47"/>
      <c r="B137" s="47"/>
      <c r="C137" s="49"/>
      <c r="D137" s="61"/>
      <c r="E137" s="191"/>
      <c r="F137" s="176"/>
      <c r="G137" s="1020"/>
      <c r="H137" s="175"/>
      <c r="J137" s="54"/>
    </row>
    <row r="138" spans="1:10" s="53" customFormat="1">
      <c r="A138" s="47"/>
      <c r="B138" s="47"/>
      <c r="C138" s="49"/>
      <c r="D138" s="174"/>
      <c r="E138" s="191"/>
      <c r="F138" s="176"/>
      <c r="G138" s="1020"/>
      <c r="H138" s="175"/>
      <c r="J138" s="54"/>
    </row>
    <row r="139" spans="1:10" s="53" customFormat="1">
      <c r="A139" s="47"/>
      <c r="B139" s="47"/>
      <c r="C139" s="49"/>
      <c r="D139" s="80"/>
      <c r="E139" s="191"/>
      <c r="F139" s="176"/>
      <c r="G139" s="1020"/>
      <c r="H139" s="175"/>
      <c r="J139" s="54"/>
    </row>
    <row r="140" spans="1:10" s="53" customFormat="1">
      <c r="A140" s="47"/>
      <c r="B140" s="47"/>
      <c r="C140" s="49"/>
      <c r="D140" s="80"/>
      <c r="E140" s="191"/>
      <c r="F140" s="176"/>
      <c r="G140" s="1020"/>
      <c r="H140" s="175"/>
      <c r="J140" s="54"/>
    </row>
    <row r="141" spans="1:10" s="53" customFormat="1">
      <c r="A141" s="47"/>
      <c r="B141" s="47"/>
      <c r="C141" s="49"/>
      <c r="D141" s="61"/>
      <c r="E141" s="191"/>
      <c r="F141" s="176"/>
      <c r="G141" s="1020"/>
      <c r="H141" s="175"/>
      <c r="J141" s="54"/>
    </row>
    <row r="142" spans="1:10" s="53" customFormat="1">
      <c r="A142" s="47"/>
      <c r="B142" s="47"/>
      <c r="C142" s="49"/>
      <c r="D142" s="61"/>
      <c r="E142" s="191"/>
      <c r="F142" s="176"/>
      <c r="G142" s="1020"/>
      <c r="H142" s="175"/>
      <c r="J142" s="54"/>
    </row>
    <row r="143" spans="1:10" s="53" customFormat="1">
      <c r="A143" s="47"/>
      <c r="B143" s="47"/>
      <c r="C143" s="49"/>
      <c r="D143" s="174"/>
      <c r="E143" s="191"/>
      <c r="F143" s="176"/>
      <c r="G143" s="1020"/>
      <c r="H143" s="175"/>
      <c r="J143" s="54"/>
    </row>
    <row r="144" spans="1:10" s="53" customFormat="1">
      <c r="A144" s="47"/>
      <c r="B144" s="47"/>
      <c r="C144" s="49"/>
      <c r="D144" s="80"/>
      <c r="E144" s="191"/>
      <c r="F144" s="176"/>
      <c r="G144" s="1020"/>
      <c r="H144" s="175"/>
      <c r="J144" s="54"/>
    </row>
    <row r="145" spans="1:10" s="53" customFormat="1">
      <c r="A145" s="47"/>
      <c r="B145" s="47"/>
      <c r="C145" s="49"/>
      <c r="D145" s="80"/>
      <c r="E145" s="191"/>
      <c r="F145" s="176"/>
      <c r="G145" s="1020"/>
      <c r="H145" s="175"/>
      <c r="J145" s="54"/>
    </row>
    <row r="146" spans="1:10" s="53" customFormat="1">
      <c r="A146" s="47"/>
      <c r="B146" s="47"/>
      <c r="C146" s="49"/>
      <c r="D146" s="61"/>
      <c r="E146" s="191"/>
      <c r="F146" s="176"/>
      <c r="G146" s="1020"/>
      <c r="H146" s="175"/>
      <c r="J146" s="54"/>
    </row>
    <row r="147" spans="1:10" s="53" customFormat="1">
      <c r="A147" s="47"/>
      <c r="B147" s="47"/>
      <c r="C147" s="49"/>
      <c r="D147" s="61"/>
      <c r="E147" s="191"/>
      <c r="F147" s="176"/>
      <c r="G147" s="1020"/>
      <c r="H147" s="175"/>
      <c r="J147" s="54"/>
    </row>
    <row r="148" spans="1:10" s="53" customFormat="1">
      <c r="A148" s="47"/>
      <c r="B148" s="47"/>
      <c r="C148" s="49"/>
      <c r="D148" s="174"/>
      <c r="E148" s="191"/>
      <c r="F148" s="176"/>
      <c r="G148" s="1020"/>
      <c r="H148" s="175"/>
      <c r="J148" s="54"/>
    </row>
    <row r="149" spans="1:10" s="53" customFormat="1">
      <c r="A149" s="47"/>
      <c r="B149" s="47"/>
      <c r="C149" s="49"/>
      <c r="D149" s="80"/>
      <c r="E149" s="191"/>
      <c r="F149" s="176"/>
      <c r="G149" s="1020"/>
      <c r="H149" s="175"/>
      <c r="J149" s="54"/>
    </row>
    <row r="150" spans="1:10" s="53" customFormat="1">
      <c r="A150" s="47"/>
      <c r="B150" s="47"/>
      <c r="C150" s="49"/>
      <c r="D150" s="80"/>
      <c r="E150" s="191"/>
      <c r="F150" s="176"/>
      <c r="G150" s="1020"/>
      <c r="H150" s="175"/>
      <c r="J150" s="54"/>
    </row>
    <row r="151" spans="1:10" s="53" customFormat="1">
      <c r="A151" s="47"/>
      <c r="B151" s="47"/>
      <c r="C151" s="49"/>
      <c r="D151" s="61"/>
      <c r="E151" s="191"/>
      <c r="F151" s="176"/>
      <c r="G151" s="1020"/>
      <c r="H151" s="175"/>
      <c r="J151" s="54"/>
    </row>
    <row r="152" spans="1:10" s="53" customFormat="1">
      <c r="A152" s="47"/>
      <c r="B152" s="47"/>
      <c r="C152" s="49"/>
      <c r="D152" s="61"/>
      <c r="E152" s="191"/>
      <c r="F152" s="176"/>
      <c r="G152" s="1020"/>
      <c r="H152" s="175"/>
      <c r="J152" s="54"/>
    </row>
    <row r="153" spans="1:10" s="53" customFormat="1">
      <c r="A153" s="47"/>
      <c r="B153" s="47"/>
      <c r="C153" s="49"/>
      <c r="D153" s="61"/>
      <c r="E153" s="191"/>
      <c r="F153" s="176"/>
      <c r="G153" s="1020"/>
      <c r="H153" s="175"/>
      <c r="J153" s="54"/>
    </row>
    <row r="154" spans="1:10" s="53" customFormat="1">
      <c r="A154" s="47"/>
      <c r="B154" s="47"/>
      <c r="C154" s="49"/>
      <c r="D154" s="218"/>
      <c r="E154" s="191"/>
      <c r="F154" s="176"/>
      <c r="G154" s="1020"/>
      <c r="H154" s="175"/>
      <c r="J154" s="54"/>
    </row>
    <row r="155" spans="1:10" s="53" customFormat="1">
      <c r="A155" s="47"/>
      <c r="B155" s="47"/>
      <c r="C155" s="49"/>
      <c r="D155" s="174"/>
      <c r="E155" s="191"/>
      <c r="F155" s="176"/>
      <c r="G155" s="1020"/>
      <c r="H155" s="175"/>
      <c r="J155" s="54"/>
    </row>
    <row r="156" spans="1:10" s="53" customFormat="1">
      <c r="A156" s="47"/>
      <c r="B156" s="47"/>
      <c r="C156" s="49"/>
      <c r="E156" s="191"/>
      <c r="F156" s="176"/>
      <c r="G156" s="1020"/>
      <c r="H156" s="175"/>
      <c r="J156" s="54"/>
    </row>
    <row r="157" spans="1:10" s="53" customFormat="1">
      <c r="A157" s="47"/>
      <c r="B157" s="47"/>
      <c r="C157" s="49"/>
      <c r="D157" s="80"/>
      <c r="E157" s="191"/>
      <c r="F157" s="176"/>
      <c r="G157" s="1020"/>
      <c r="H157" s="175"/>
      <c r="J157" s="54"/>
    </row>
    <row r="158" spans="1:10" s="53" customFormat="1">
      <c r="A158" s="47"/>
      <c r="B158" s="47"/>
      <c r="C158" s="49"/>
      <c r="D158" s="61"/>
      <c r="E158" s="191"/>
      <c r="F158" s="176"/>
      <c r="G158" s="1020"/>
      <c r="H158" s="175"/>
      <c r="J158" s="54"/>
    </row>
    <row r="159" spans="1:10" s="53" customFormat="1">
      <c r="A159" s="47"/>
      <c r="B159" s="47"/>
      <c r="C159" s="49"/>
      <c r="D159" s="61"/>
      <c r="E159" s="191"/>
      <c r="F159" s="176"/>
      <c r="G159" s="1020"/>
      <c r="H159" s="175"/>
      <c r="J159" s="54"/>
    </row>
    <row r="160" spans="1:10" s="53" customFormat="1">
      <c r="A160" s="47"/>
      <c r="B160" s="47"/>
      <c r="C160" s="49"/>
      <c r="D160" s="61"/>
      <c r="E160" s="191"/>
      <c r="F160" s="176"/>
      <c r="G160" s="1020"/>
      <c r="H160" s="175"/>
      <c r="J160" s="54"/>
    </row>
    <row r="161" spans="1:10" s="53" customFormat="1">
      <c r="A161" s="47"/>
      <c r="B161" s="47"/>
      <c r="C161" s="49"/>
      <c r="D161" s="61"/>
      <c r="E161" s="191"/>
      <c r="F161" s="176"/>
      <c r="G161" s="1020"/>
      <c r="H161" s="175"/>
      <c r="J161" s="54"/>
    </row>
    <row r="162" spans="1:10" s="53" customFormat="1">
      <c r="A162" s="47"/>
      <c r="B162" s="47"/>
      <c r="C162" s="49"/>
      <c r="D162" s="61"/>
      <c r="E162" s="191"/>
      <c r="F162" s="176"/>
      <c r="G162" s="1020"/>
      <c r="H162" s="175"/>
      <c r="J162" s="54"/>
    </row>
    <row r="163" spans="1:10" s="53" customFormat="1">
      <c r="A163" s="47"/>
      <c r="B163" s="47"/>
      <c r="C163" s="49"/>
      <c r="D163" s="61"/>
      <c r="E163" s="191"/>
      <c r="F163" s="176"/>
      <c r="G163" s="1020"/>
      <c r="H163" s="175"/>
      <c r="J163" s="54"/>
    </row>
    <row r="164" spans="1:10" s="53" customFormat="1">
      <c r="A164" s="47"/>
      <c r="B164" s="47"/>
      <c r="C164" s="49"/>
      <c r="D164" s="61"/>
      <c r="E164" s="191"/>
      <c r="F164" s="176"/>
      <c r="G164" s="1020"/>
      <c r="H164" s="175"/>
      <c r="J164" s="54"/>
    </row>
    <row r="165" spans="1:10" s="53" customFormat="1">
      <c r="A165" s="47"/>
      <c r="B165" s="47"/>
      <c r="C165" s="49"/>
      <c r="D165" s="61"/>
      <c r="E165" s="191"/>
      <c r="F165" s="176"/>
      <c r="G165" s="1020"/>
      <c r="H165" s="175"/>
      <c r="J165" s="54"/>
    </row>
    <row r="166" spans="1:10" s="53" customFormat="1">
      <c r="A166" s="47"/>
      <c r="B166" s="47"/>
      <c r="C166" s="49"/>
      <c r="D166" s="174"/>
      <c r="E166" s="191"/>
      <c r="F166" s="176"/>
      <c r="G166" s="1020"/>
      <c r="H166" s="175"/>
      <c r="J166" s="54"/>
    </row>
    <row r="167" spans="1:10" s="53" customFormat="1">
      <c r="A167" s="47"/>
      <c r="B167" s="47"/>
      <c r="C167" s="49"/>
      <c r="D167" s="80"/>
      <c r="E167" s="191"/>
      <c r="F167" s="176"/>
      <c r="G167" s="1020"/>
      <c r="H167" s="175"/>
      <c r="J167" s="54"/>
    </row>
    <row r="168" spans="1:10" s="53" customFormat="1">
      <c r="A168" s="47"/>
      <c r="B168" s="47"/>
      <c r="C168" s="49"/>
      <c r="D168" s="80"/>
      <c r="E168" s="191"/>
      <c r="F168" s="176"/>
      <c r="G168" s="1020"/>
      <c r="H168" s="175"/>
      <c r="J168" s="54"/>
    </row>
    <row r="169" spans="1:10" s="53" customFormat="1">
      <c r="A169" s="47"/>
      <c r="B169" s="47"/>
      <c r="C169" s="49"/>
      <c r="D169" s="61"/>
      <c r="E169" s="191"/>
      <c r="F169" s="176"/>
      <c r="G169" s="1020"/>
      <c r="H169" s="175"/>
      <c r="J169" s="54"/>
    </row>
    <row r="170" spans="1:10" s="53" customFormat="1">
      <c r="A170" s="47"/>
      <c r="B170" s="47"/>
      <c r="C170" s="49"/>
      <c r="D170" s="61"/>
      <c r="E170" s="191"/>
      <c r="F170" s="176"/>
      <c r="G170" s="1020"/>
      <c r="H170" s="175"/>
      <c r="J170" s="54"/>
    </row>
    <row r="171" spans="1:10" s="53" customFormat="1">
      <c r="A171" s="47"/>
      <c r="B171" s="47"/>
      <c r="C171" s="49"/>
      <c r="D171" s="61"/>
      <c r="E171" s="191"/>
      <c r="F171" s="176"/>
      <c r="G171" s="1020"/>
      <c r="H171" s="175"/>
      <c r="J171" s="54"/>
    </row>
    <row r="172" spans="1:10" s="53" customFormat="1">
      <c r="A172" s="47"/>
      <c r="B172" s="47"/>
      <c r="C172" s="49"/>
      <c r="D172" s="61"/>
      <c r="E172" s="191"/>
      <c r="F172" s="176"/>
      <c r="G172" s="1020"/>
      <c r="H172" s="175"/>
      <c r="J172" s="54"/>
    </row>
    <row r="173" spans="1:10" s="53" customFormat="1">
      <c r="A173" s="47"/>
      <c r="B173" s="47"/>
      <c r="C173" s="49"/>
      <c r="D173" s="174"/>
      <c r="E173" s="191"/>
      <c r="F173" s="176"/>
      <c r="G173" s="1020"/>
      <c r="H173" s="175"/>
      <c r="J173" s="54"/>
    </row>
    <row r="174" spans="1:10" s="53" customFormat="1">
      <c r="A174" s="47"/>
      <c r="B174" s="47"/>
      <c r="C174" s="49"/>
      <c r="E174" s="191"/>
      <c r="F174" s="176"/>
      <c r="G174" s="1020"/>
      <c r="H174" s="175"/>
      <c r="J174" s="54"/>
    </row>
    <row r="175" spans="1:10" s="53" customFormat="1">
      <c r="A175" s="47"/>
      <c r="B175" s="47"/>
      <c r="C175" s="49"/>
      <c r="D175" s="80"/>
      <c r="E175" s="191"/>
      <c r="F175" s="176"/>
      <c r="G175" s="1020"/>
      <c r="H175" s="175"/>
      <c r="J175" s="54"/>
    </row>
    <row r="176" spans="1:10" s="53" customFormat="1">
      <c r="A176" s="47"/>
      <c r="B176" s="47"/>
      <c r="C176" s="49"/>
      <c r="D176" s="61"/>
      <c r="E176" s="191"/>
      <c r="F176" s="176"/>
      <c r="G176" s="1020"/>
      <c r="H176" s="175"/>
      <c r="J176" s="54"/>
    </row>
    <row r="177" spans="1:10" s="53" customFormat="1">
      <c r="A177" s="47"/>
      <c r="B177" s="47"/>
      <c r="C177" s="49"/>
      <c r="D177" s="61"/>
      <c r="E177" s="191"/>
      <c r="F177" s="176"/>
      <c r="G177" s="1020"/>
      <c r="H177" s="175"/>
      <c r="J177" s="54"/>
    </row>
    <row r="178" spans="1:10" s="53" customFormat="1">
      <c r="A178" s="47"/>
      <c r="B178" s="47"/>
      <c r="C178" s="49"/>
      <c r="D178" s="61"/>
      <c r="E178" s="191"/>
      <c r="F178" s="176"/>
      <c r="G178" s="1020"/>
      <c r="H178" s="175"/>
      <c r="J178" s="54"/>
    </row>
    <row r="179" spans="1:10" s="53" customFormat="1">
      <c r="A179" s="47"/>
      <c r="B179" s="47"/>
      <c r="C179" s="49"/>
      <c r="D179" s="174"/>
      <c r="E179" s="191"/>
      <c r="F179" s="176"/>
      <c r="G179" s="1020"/>
      <c r="H179" s="175"/>
      <c r="J179" s="54"/>
    </row>
    <row r="180" spans="1:10" s="53" customFormat="1">
      <c r="A180" s="47"/>
      <c r="B180" s="47"/>
      <c r="C180" s="49"/>
      <c r="E180" s="191"/>
      <c r="F180" s="176"/>
      <c r="G180" s="1020"/>
      <c r="H180" s="175"/>
      <c r="J180" s="54"/>
    </row>
    <row r="181" spans="1:10" s="53" customFormat="1">
      <c r="A181" s="47"/>
      <c r="B181" s="47"/>
      <c r="C181" s="49"/>
      <c r="D181" s="80"/>
      <c r="E181" s="191"/>
      <c r="F181" s="176"/>
      <c r="G181" s="1020"/>
      <c r="H181" s="175"/>
      <c r="J181" s="54"/>
    </row>
    <row r="182" spans="1:10" s="53" customFormat="1">
      <c r="A182" s="47"/>
      <c r="B182" s="47"/>
      <c r="C182" s="49"/>
      <c r="D182" s="61"/>
      <c r="E182" s="191"/>
      <c r="F182" s="176"/>
      <c r="G182" s="1020"/>
      <c r="H182" s="175"/>
      <c r="J182" s="54"/>
    </row>
    <row r="183" spans="1:10" s="53" customFormat="1">
      <c r="A183" s="47"/>
      <c r="B183" s="47"/>
      <c r="C183" s="49"/>
      <c r="D183" s="61"/>
      <c r="E183" s="191"/>
      <c r="F183" s="176"/>
      <c r="G183" s="1020"/>
      <c r="H183" s="175"/>
      <c r="J183" s="54"/>
    </row>
    <row r="184" spans="1:10" s="53" customFormat="1">
      <c r="A184" s="47"/>
      <c r="B184" s="47"/>
      <c r="C184" s="49"/>
      <c r="D184" s="61"/>
      <c r="E184" s="191"/>
      <c r="F184" s="176"/>
      <c r="G184" s="1020"/>
      <c r="H184" s="175"/>
      <c r="J184" s="54"/>
    </row>
    <row r="185" spans="1:10" s="53" customFormat="1">
      <c r="A185" s="47"/>
      <c r="B185" s="47"/>
      <c r="C185" s="49"/>
      <c r="D185" s="61"/>
      <c r="E185" s="191"/>
      <c r="F185" s="176"/>
      <c r="G185" s="1020"/>
      <c r="H185" s="175"/>
      <c r="J185" s="54"/>
    </row>
    <row r="186" spans="1:10" s="53" customFormat="1">
      <c r="A186" s="47"/>
      <c r="B186" s="47"/>
      <c r="C186" s="49"/>
      <c r="D186" s="218"/>
      <c r="E186" s="191"/>
      <c r="F186" s="176"/>
      <c r="G186" s="1020"/>
      <c r="H186" s="175"/>
      <c r="J186" s="54"/>
    </row>
    <row r="187" spans="1:10" s="53" customFormat="1">
      <c r="A187" s="47"/>
      <c r="B187" s="47"/>
      <c r="C187" s="49"/>
      <c r="D187" s="174"/>
      <c r="E187" s="191"/>
      <c r="F187" s="176"/>
      <c r="G187" s="1020"/>
      <c r="H187" s="175"/>
      <c r="J187" s="54"/>
    </row>
    <row r="188" spans="1:10" s="53" customFormat="1">
      <c r="A188" s="47"/>
      <c r="B188" s="47"/>
      <c r="C188" s="49"/>
      <c r="E188" s="191"/>
      <c r="F188" s="176"/>
      <c r="G188" s="1020"/>
      <c r="H188" s="175"/>
      <c r="J188" s="54"/>
    </row>
    <row r="189" spans="1:10" s="53" customFormat="1">
      <c r="A189" s="47"/>
      <c r="B189" s="47"/>
      <c r="C189" s="49"/>
      <c r="D189" s="80"/>
      <c r="E189" s="191"/>
      <c r="F189" s="176"/>
      <c r="G189" s="1020"/>
      <c r="H189" s="175"/>
      <c r="J189" s="54"/>
    </row>
    <row r="190" spans="1:10" s="53" customFormat="1">
      <c r="A190" s="47"/>
      <c r="B190" s="47"/>
      <c r="C190" s="49"/>
      <c r="D190" s="61"/>
      <c r="E190" s="191"/>
      <c r="F190" s="176"/>
      <c r="G190" s="1020"/>
      <c r="H190" s="175"/>
      <c r="J190" s="54"/>
    </row>
    <row r="191" spans="1:10" s="53" customFormat="1">
      <c r="A191" s="47"/>
      <c r="B191" s="47"/>
      <c r="C191" s="49"/>
      <c r="D191" s="61"/>
      <c r="E191" s="191"/>
      <c r="F191" s="176"/>
      <c r="G191" s="1020"/>
      <c r="H191" s="175"/>
      <c r="J191" s="54"/>
    </row>
    <row r="192" spans="1:10" s="53" customFormat="1">
      <c r="A192" s="47"/>
      <c r="B192" s="47"/>
      <c r="C192" s="49"/>
      <c r="D192" s="61"/>
      <c r="E192" s="191"/>
      <c r="F192" s="176"/>
      <c r="G192" s="1020"/>
      <c r="H192" s="175"/>
      <c r="J192" s="54"/>
    </row>
    <row r="193" spans="1:10" s="53" customFormat="1">
      <c r="A193" s="47"/>
      <c r="B193" s="47"/>
      <c r="C193" s="49"/>
      <c r="D193" s="218"/>
      <c r="E193" s="191"/>
      <c r="F193" s="176"/>
      <c r="G193" s="1020"/>
      <c r="H193" s="175"/>
      <c r="J193" s="54"/>
    </row>
    <row r="194" spans="1:10" s="53" customFormat="1">
      <c r="A194" s="47"/>
      <c r="B194" s="47"/>
      <c r="C194" s="49"/>
      <c r="D194" s="174"/>
      <c r="E194" s="191"/>
      <c r="F194" s="176"/>
      <c r="G194" s="1020"/>
      <c r="H194" s="175"/>
      <c r="J194" s="54"/>
    </row>
    <row r="195" spans="1:10" s="53" customFormat="1">
      <c r="A195" s="47"/>
      <c r="B195" s="47"/>
      <c r="C195" s="49"/>
      <c r="E195" s="191"/>
      <c r="F195" s="176"/>
      <c r="G195" s="1020"/>
      <c r="H195" s="175"/>
      <c r="J195" s="54"/>
    </row>
    <row r="196" spans="1:10" s="53" customFormat="1">
      <c r="A196" s="47"/>
      <c r="B196" s="47"/>
      <c r="C196" s="49"/>
      <c r="D196" s="80"/>
      <c r="E196" s="191"/>
      <c r="F196" s="176"/>
      <c r="G196" s="1020"/>
      <c r="H196" s="175"/>
      <c r="J196" s="54"/>
    </row>
    <row r="197" spans="1:10" s="53" customFormat="1">
      <c r="A197" s="47"/>
      <c r="B197" s="47"/>
      <c r="C197" s="49"/>
      <c r="D197" s="61"/>
      <c r="E197" s="191"/>
      <c r="F197" s="176"/>
      <c r="G197" s="1020"/>
      <c r="H197" s="175"/>
      <c r="J197" s="54"/>
    </row>
    <row r="198" spans="1:10" s="53" customFormat="1">
      <c r="A198" s="47"/>
      <c r="B198" s="47"/>
      <c r="C198" s="49"/>
      <c r="D198" s="61"/>
      <c r="E198" s="191"/>
      <c r="F198" s="176"/>
      <c r="G198" s="1020"/>
      <c r="H198" s="175"/>
      <c r="J198" s="54"/>
    </row>
    <row r="199" spans="1:10" s="53" customFormat="1">
      <c r="A199" s="47"/>
      <c r="B199" s="47"/>
      <c r="C199" s="49"/>
      <c r="D199" s="61"/>
      <c r="E199" s="191"/>
      <c r="F199" s="176"/>
      <c r="G199" s="1020"/>
      <c r="H199" s="175"/>
      <c r="J199" s="54"/>
    </row>
    <row r="200" spans="1:10" s="53" customFormat="1">
      <c r="A200" s="47"/>
      <c r="B200" s="47"/>
      <c r="C200" s="49"/>
      <c r="D200" s="218"/>
      <c r="E200" s="191"/>
      <c r="F200" s="176"/>
      <c r="G200" s="1020"/>
      <c r="H200" s="175"/>
      <c r="J200" s="54"/>
    </row>
    <row r="201" spans="1:10" s="53" customFormat="1">
      <c r="A201" s="47"/>
      <c r="B201" s="47"/>
      <c r="C201" s="49"/>
      <c r="D201" s="61"/>
      <c r="E201" s="191"/>
      <c r="F201" s="176"/>
      <c r="G201" s="1020"/>
      <c r="H201" s="175"/>
      <c r="J201" s="54"/>
    </row>
    <row r="202" spans="1:10" s="53" customFormat="1">
      <c r="A202" s="47"/>
      <c r="B202" s="47"/>
      <c r="C202" s="49"/>
      <c r="D202" s="174"/>
      <c r="E202" s="191"/>
      <c r="F202" s="176"/>
      <c r="G202" s="1020"/>
      <c r="H202" s="175"/>
      <c r="J202" s="54"/>
    </row>
    <row r="203" spans="1:10" s="53" customFormat="1">
      <c r="A203" s="47"/>
      <c r="B203" s="47"/>
      <c r="C203" s="49"/>
      <c r="D203" s="174"/>
      <c r="E203" s="191"/>
      <c r="F203" s="176"/>
      <c r="G203" s="1020"/>
      <c r="H203" s="175"/>
      <c r="J203" s="54"/>
    </row>
    <row r="204" spans="1:10" s="53" customFormat="1">
      <c r="A204" s="47"/>
      <c r="B204" s="47"/>
      <c r="C204" s="49"/>
      <c r="D204" s="80"/>
      <c r="E204" s="191"/>
      <c r="F204" s="176"/>
      <c r="G204" s="1020"/>
      <c r="H204" s="175"/>
      <c r="J204" s="54"/>
    </row>
    <row r="205" spans="1:10" s="53" customFormat="1">
      <c r="A205" s="47"/>
      <c r="B205" s="47"/>
      <c r="C205" s="49"/>
      <c r="D205" s="61"/>
      <c r="E205" s="191"/>
      <c r="F205" s="176"/>
      <c r="G205" s="1020"/>
      <c r="H205" s="175"/>
      <c r="J205" s="54"/>
    </row>
    <row r="206" spans="1:10" s="53" customFormat="1">
      <c r="A206" s="47"/>
      <c r="B206" s="47"/>
      <c r="C206" s="49"/>
      <c r="D206" s="61"/>
      <c r="E206" s="191"/>
      <c r="F206" s="176"/>
      <c r="G206" s="1020"/>
      <c r="H206" s="175"/>
      <c r="J206" s="54"/>
    </row>
    <row r="207" spans="1:10" s="53" customFormat="1">
      <c r="A207" s="47"/>
      <c r="B207" s="47"/>
      <c r="C207" s="49"/>
      <c r="D207" s="61"/>
      <c r="E207" s="191"/>
      <c r="F207" s="176"/>
      <c r="G207" s="1020"/>
      <c r="H207" s="175"/>
      <c r="J207" s="54"/>
    </row>
    <row r="208" spans="1:10" s="53" customFormat="1">
      <c r="A208" s="47"/>
      <c r="B208" s="47"/>
      <c r="C208" s="49"/>
      <c r="D208" s="174"/>
      <c r="E208" s="191"/>
      <c r="F208" s="176"/>
      <c r="G208" s="1020"/>
      <c r="H208" s="175"/>
      <c r="J208" s="54"/>
    </row>
    <row r="209" spans="1:10" s="53" customFormat="1">
      <c r="A209" s="47"/>
      <c r="B209" s="47"/>
      <c r="C209" s="49"/>
      <c r="D209" s="80"/>
      <c r="E209" s="191"/>
      <c r="F209" s="176"/>
      <c r="G209" s="1020"/>
      <c r="H209" s="175"/>
      <c r="J209" s="54"/>
    </row>
    <row r="210" spans="1:10" s="53" customFormat="1">
      <c r="A210" s="47"/>
      <c r="B210" s="47"/>
      <c r="C210" s="49"/>
      <c r="D210" s="80"/>
      <c r="E210" s="191"/>
      <c r="F210" s="176"/>
      <c r="G210" s="1020"/>
      <c r="H210" s="175"/>
      <c r="J210" s="54"/>
    </row>
    <row r="211" spans="1:10" s="53" customFormat="1">
      <c r="A211" s="47"/>
      <c r="B211" s="47"/>
      <c r="C211" s="49"/>
      <c r="D211" s="61"/>
      <c r="E211" s="191"/>
      <c r="F211" s="176"/>
      <c r="G211" s="1020"/>
      <c r="H211" s="175"/>
      <c r="J211" s="54"/>
    </row>
    <row r="212" spans="1:10" s="53" customFormat="1">
      <c r="A212" s="47"/>
      <c r="B212" s="47"/>
      <c r="C212" s="49"/>
      <c r="D212" s="61"/>
      <c r="E212" s="191"/>
      <c r="F212" s="176"/>
      <c r="G212" s="1020"/>
      <c r="H212" s="175"/>
      <c r="J212" s="54"/>
    </row>
    <row r="213" spans="1:10" s="53" customFormat="1">
      <c r="A213" s="47"/>
      <c r="B213" s="47"/>
      <c r="C213" s="49"/>
      <c r="D213" s="218"/>
      <c r="E213" s="191"/>
      <c r="F213" s="176"/>
      <c r="G213" s="1020"/>
      <c r="H213" s="175"/>
      <c r="J213" s="54"/>
    </row>
    <row r="214" spans="1:10" s="53" customFormat="1">
      <c r="A214" s="47"/>
      <c r="B214" s="47"/>
      <c r="C214" s="49"/>
      <c r="D214" s="174"/>
      <c r="E214" s="191"/>
      <c r="F214" s="176"/>
      <c r="G214" s="1020"/>
      <c r="H214" s="175"/>
      <c r="J214" s="54"/>
    </row>
    <row r="215" spans="1:10" s="53" customFormat="1">
      <c r="A215" s="47"/>
      <c r="B215" s="47"/>
      <c r="C215" s="49"/>
      <c r="D215" s="80"/>
      <c r="E215" s="191"/>
      <c r="F215" s="176"/>
      <c r="G215" s="1020"/>
      <c r="H215" s="175"/>
      <c r="J215" s="54"/>
    </row>
    <row r="216" spans="1:10" s="53" customFormat="1">
      <c r="A216" s="47"/>
      <c r="B216" s="47"/>
      <c r="C216" s="49"/>
      <c r="D216" s="80"/>
      <c r="E216" s="191"/>
      <c r="F216" s="176"/>
      <c r="G216" s="1020"/>
      <c r="H216" s="175"/>
      <c r="J216" s="54"/>
    </row>
    <row r="217" spans="1:10" s="53" customFormat="1">
      <c r="A217" s="47"/>
      <c r="B217" s="47"/>
      <c r="C217" s="49"/>
      <c r="D217" s="61"/>
      <c r="E217" s="191"/>
      <c r="F217" s="176"/>
      <c r="G217" s="1020"/>
      <c r="H217" s="175"/>
      <c r="J217" s="54"/>
    </row>
    <row r="218" spans="1:10" s="53" customFormat="1">
      <c r="A218" s="47"/>
      <c r="B218" s="47"/>
      <c r="C218" s="49"/>
      <c r="D218" s="61"/>
      <c r="E218" s="191"/>
      <c r="F218" s="176"/>
      <c r="G218" s="1020"/>
      <c r="H218" s="175"/>
      <c r="J218" s="54"/>
    </row>
    <row r="219" spans="1:10" s="53" customFormat="1">
      <c r="A219" s="47"/>
      <c r="B219" s="47"/>
      <c r="C219" s="49"/>
      <c r="D219" s="61"/>
      <c r="E219" s="191"/>
      <c r="F219" s="176"/>
      <c r="G219" s="1020"/>
      <c r="H219" s="175"/>
      <c r="J219" s="54"/>
    </row>
    <row r="220" spans="1:10" s="53" customFormat="1">
      <c r="A220" s="47"/>
      <c r="B220" s="47"/>
      <c r="C220" s="49"/>
      <c r="D220" s="218"/>
      <c r="E220" s="191"/>
      <c r="F220" s="176"/>
      <c r="G220" s="1020"/>
      <c r="H220" s="175"/>
      <c r="J220" s="54"/>
    </row>
    <row r="221" spans="1:10" s="53" customFormat="1">
      <c r="A221" s="47"/>
      <c r="B221" s="47"/>
      <c r="C221" s="49"/>
      <c r="D221" s="174"/>
      <c r="E221" s="191"/>
      <c r="F221" s="176"/>
      <c r="G221" s="1020"/>
      <c r="H221" s="175"/>
      <c r="J221" s="54"/>
    </row>
    <row r="222" spans="1:10" s="53" customFormat="1">
      <c r="A222" s="47"/>
      <c r="B222" s="47"/>
      <c r="C222" s="49"/>
      <c r="D222" s="80"/>
      <c r="E222" s="191"/>
      <c r="F222" s="176"/>
      <c r="G222" s="1020"/>
      <c r="H222" s="175"/>
      <c r="J222" s="54"/>
    </row>
    <row r="223" spans="1:10" s="53" customFormat="1">
      <c r="A223" s="47"/>
      <c r="B223" s="47"/>
      <c r="C223" s="49"/>
      <c r="D223" s="80"/>
      <c r="E223" s="191"/>
      <c r="F223" s="176"/>
      <c r="G223" s="1020"/>
      <c r="H223" s="175"/>
      <c r="J223" s="54"/>
    </row>
    <row r="224" spans="1:10" s="53" customFormat="1">
      <c r="A224" s="47"/>
      <c r="B224" s="47"/>
      <c r="C224" s="49"/>
      <c r="D224" s="61"/>
      <c r="E224" s="191"/>
      <c r="F224" s="176"/>
      <c r="G224" s="1020"/>
      <c r="H224" s="175"/>
      <c r="J224" s="54"/>
    </row>
    <row r="225" spans="1:10" s="53" customFormat="1">
      <c r="A225" s="47"/>
      <c r="B225" s="47"/>
      <c r="C225" s="49"/>
      <c r="D225" s="174"/>
      <c r="E225" s="191"/>
      <c r="F225" s="176"/>
      <c r="G225" s="1020"/>
      <c r="H225" s="175"/>
      <c r="J225" s="54"/>
    </row>
    <row r="226" spans="1:10" s="53" customFormat="1">
      <c r="A226" s="47"/>
      <c r="B226" s="47"/>
      <c r="C226" s="49"/>
      <c r="D226" s="80"/>
      <c r="E226" s="191"/>
      <c r="F226" s="176"/>
      <c r="G226" s="1020"/>
      <c r="H226" s="175"/>
      <c r="J226" s="54"/>
    </row>
    <row r="227" spans="1:10" s="53" customFormat="1">
      <c r="A227" s="47"/>
      <c r="B227" s="47"/>
      <c r="C227" s="49"/>
      <c r="D227" s="80"/>
      <c r="E227" s="191"/>
      <c r="F227" s="176"/>
      <c r="G227" s="1020"/>
      <c r="H227" s="175"/>
      <c r="J227" s="54"/>
    </row>
    <row r="228" spans="1:10" s="53" customFormat="1">
      <c r="A228" s="47"/>
      <c r="B228" s="47"/>
      <c r="C228" s="49"/>
      <c r="D228" s="61"/>
      <c r="E228" s="191"/>
      <c r="F228" s="176"/>
      <c r="G228" s="1020"/>
      <c r="H228" s="175"/>
      <c r="J228" s="54"/>
    </row>
    <row r="229" spans="1:10" s="53" customFormat="1">
      <c r="A229" s="47"/>
      <c r="B229" s="47"/>
      <c r="C229" s="202"/>
      <c r="D229" s="202"/>
      <c r="E229" s="191"/>
      <c r="F229" s="176"/>
      <c r="G229" s="1020"/>
      <c r="H229" s="175"/>
      <c r="J229" s="54"/>
    </row>
    <row r="230" spans="1:10" s="53" customFormat="1">
      <c r="A230" s="47"/>
      <c r="B230" s="47"/>
      <c r="C230" s="202"/>
      <c r="D230" s="202"/>
      <c r="E230" s="191"/>
      <c r="F230" s="176"/>
      <c r="G230" s="1020"/>
      <c r="H230" s="175"/>
      <c r="J230" s="54"/>
    </row>
    <row r="231" spans="1:10" s="53" customFormat="1">
      <c r="A231" s="47"/>
      <c r="B231" s="47"/>
      <c r="C231" s="202"/>
      <c r="D231" s="202"/>
      <c r="E231" s="191"/>
      <c r="F231" s="176"/>
      <c r="G231" s="1020"/>
      <c r="H231" s="175"/>
      <c r="J231" s="54"/>
    </row>
    <row r="232" spans="1:10" s="53" customFormat="1">
      <c r="A232" s="47"/>
      <c r="B232" s="47"/>
      <c r="C232" s="202"/>
      <c r="D232" s="202"/>
      <c r="E232" s="191"/>
      <c r="F232" s="176"/>
      <c r="G232" s="1020"/>
      <c r="H232" s="175"/>
      <c r="J232" s="54"/>
    </row>
    <row r="233" spans="1:10" s="53" customFormat="1">
      <c r="A233" s="47"/>
      <c r="B233" s="47"/>
      <c r="C233" s="202"/>
      <c r="D233" s="202"/>
      <c r="E233" s="191"/>
      <c r="F233" s="176"/>
      <c r="G233" s="1020"/>
      <c r="H233" s="175"/>
      <c r="J233" s="54"/>
    </row>
    <row r="234" spans="1:10" s="53" customFormat="1">
      <c r="A234" s="47"/>
      <c r="B234" s="47"/>
      <c r="C234" s="202"/>
      <c r="D234" s="202"/>
      <c r="E234" s="191"/>
      <c r="F234" s="176"/>
      <c r="G234" s="1020"/>
      <c r="H234" s="175"/>
      <c r="J234" s="54"/>
    </row>
    <row r="235" spans="1:10" s="53" customFormat="1">
      <c r="A235" s="246"/>
      <c r="B235" s="246"/>
      <c r="C235" s="247"/>
      <c r="D235" s="248"/>
      <c r="E235" s="249"/>
      <c r="F235" s="250"/>
      <c r="G235" s="1020"/>
      <c r="H235" s="165"/>
      <c r="J235" s="54"/>
    </row>
    <row r="236" spans="1:10" s="53" customFormat="1">
      <c r="A236" s="47"/>
      <c r="B236" s="47"/>
      <c r="C236" s="168"/>
      <c r="D236" s="1151"/>
      <c r="E236" s="1151"/>
      <c r="F236" s="1151"/>
      <c r="G236" s="1030"/>
      <c r="H236" s="251"/>
      <c r="J236" s="54"/>
    </row>
    <row r="237" spans="1:10" s="53" customFormat="1">
      <c r="A237" s="47"/>
      <c r="B237" s="47"/>
      <c r="C237" s="168"/>
      <c r="D237" s="60"/>
      <c r="E237" s="245"/>
      <c r="F237" s="176"/>
      <c r="G237" s="1020"/>
      <c r="H237" s="164"/>
      <c r="J237" s="54"/>
    </row>
  </sheetData>
  <dataConsolidate link="1"/>
  <mergeCells count="1">
    <mergeCell ref="D236:F236"/>
  </mergeCells>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&amp;L&amp;9Višestambena zgrada
na novoformiranoj k.č.br. 1148/4 k.o. Ivanić – Grad u Ivanić – Gradu
(formirana od dijela k.č.br. 1148/1 k.o. Ivanić – Grad)&amp;12
&amp;R&amp;9TD:  228/24
ZOP:  APN-IG-228/24&amp;12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J36"/>
  <sheetViews>
    <sheetView showWhiteSpace="0" view="pageBreakPreview" topLeftCell="A13" zoomScaleNormal="100" zoomScaleSheetLayoutView="100" zoomScalePageLayoutView="90" workbookViewId="0">
      <selection activeCell="G24" sqref="G24"/>
    </sheetView>
  </sheetViews>
  <sheetFormatPr defaultColWidth="5.08984375" defaultRowHeight="13.2"/>
  <cols>
    <col min="1" max="2" width="3.453125" style="123" customWidth="1"/>
    <col min="3" max="3" width="1.90625" style="222" customWidth="1"/>
    <col min="4" max="4" width="31.1796875" style="124" customWidth="1"/>
    <col min="5" max="5" width="4.81640625" style="223" customWidth="1"/>
    <col min="6" max="6" width="7.90625" style="126" customWidth="1"/>
    <col min="7" max="7" width="10.08984375" style="1038" customWidth="1"/>
    <col min="8" max="8" width="11.453125" style="125" customWidth="1"/>
    <col min="9" max="9" width="5.6328125" style="127" customWidth="1"/>
    <col min="10" max="10" width="5.6328125" style="205" customWidth="1"/>
    <col min="11" max="16384" width="5.08984375" style="127"/>
  </cols>
  <sheetData>
    <row r="1" spans="1:10">
      <c r="A1" s="197"/>
      <c r="B1" s="198"/>
      <c r="C1" s="183"/>
      <c r="D1" s="199"/>
      <c r="E1" s="183"/>
      <c r="F1" s="16"/>
      <c r="G1" s="1036"/>
      <c r="H1" s="16"/>
    </row>
    <row r="2" spans="1:10" s="13" customFormat="1" ht="13.8" thickBot="1">
      <c r="A2" s="137" t="s">
        <v>146</v>
      </c>
      <c r="B2" s="137"/>
      <c r="C2" s="206"/>
      <c r="D2" s="148" t="s">
        <v>536</v>
      </c>
      <c r="E2" s="149"/>
      <c r="F2" s="159"/>
      <c r="G2" s="999"/>
      <c r="H2" s="150"/>
      <c r="J2" s="16"/>
    </row>
    <row r="3" spans="1:10">
      <c r="A3" s="197"/>
      <c r="B3" s="198"/>
      <c r="C3" s="183"/>
      <c r="D3" s="207"/>
      <c r="E3" s="208"/>
      <c r="F3" s="16"/>
      <c r="G3" s="1036"/>
      <c r="H3" s="16"/>
    </row>
    <row r="4" spans="1:10">
      <c r="A4" s="198"/>
      <c r="B4" s="198"/>
      <c r="C4" s="183"/>
      <c r="D4" s="61" t="s">
        <v>314</v>
      </c>
      <c r="E4" s="208"/>
      <c r="F4" s="16"/>
      <c r="G4" s="1036"/>
      <c r="H4" s="16"/>
    </row>
    <row r="5" spans="1:10" ht="52.8">
      <c r="A5" s="198"/>
      <c r="B5" s="198"/>
      <c r="C5" s="183"/>
      <c r="D5" s="151" t="s">
        <v>518</v>
      </c>
      <c r="E5" s="208"/>
      <c r="F5" s="16"/>
      <c r="G5" s="1036"/>
      <c r="H5" s="16"/>
    </row>
    <row r="6" spans="1:10" ht="158.4">
      <c r="A6" s="197"/>
      <c r="B6" s="198"/>
      <c r="C6" s="183"/>
      <c r="D6" s="97" t="s">
        <v>564</v>
      </c>
      <c r="E6" s="208"/>
      <c r="F6" s="16"/>
      <c r="G6" s="1036"/>
      <c r="H6" s="16"/>
    </row>
    <row r="7" spans="1:10">
      <c r="A7" s="177" t="s">
        <v>330</v>
      </c>
      <c r="B7" s="177" t="s">
        <v>330</v>
      </c>
      <c r="C7" s="183"/>
      <c r="D7" s="209"/>
      <c r="E7" s="208"/>
      <c r="F7" s="104"/>
      <c r="G7" s="1036"/>
      <c r="H7" s="16"/>
      <c r="I7" s="63"/>
    </row>
    <row r="8" spans="1:10">
      <c r="A8" s="25" t="s">
        <v>507</v>
      </c>
      <c r="B8" s="25" t="s">
        <v>508</v>
      </c>
      <c r="C8" s="43"/>
      <c r="D8" s="61" t="s">
        <v>504</v>
      </c>
      <c r="E8" s="46" t="s">
        <v>505</v>
      </c>
      <c r="F8" s="169" t="s">
        <v>506</v>
      </c>
      <c r="G8" s="989" t="s">
        <v>509</v>
      </c>
      <c r="H8" s="63" t="s">
        <v>510</v>
      </c>
    </row>
    <row r="9" spans="1:10">
      <c r="A9" s="131"/>
      <c r="B9" s="131"/>
      <c r="C9" s="178"/>
      <c r="D9" s="185"/>
      <c r="E9" s="183"/>
      <c r="F9" s="180"/>
      <c r="G9" s="986"/>
      <c r="H9" s="180"/>
    </row>
    <row r="10" spans="1:10">
      <c r="A10" s="177"/>
      <c r="B10" s="177"/>
      <c r="C10" s="183"/>
      <c r="D10" s="210" t="s">
        <v>565</v>
      </c>
      <c r="E10" s="211"/>
      <c r="F10" s="212"/>
      <c r="G10" s="1032"/>
      <c r="H10" s="213"/>
    </row>
    <row r="11" spans="1:10" ht="52.8">
      <c r="A11" s="47" t="s">
        <v>146</v>
      </c>
      <c r="B11" s="47" t="s">
        <v>102</v>
      </c>
      <c r="C11" s="183"/>
      <c r="D11" s="97" t="s">
        <v>1162</v>
      </c>
      <c r="E11" s="211"/>
      <c r="F11" s="212"/>
      <c r="G11" s="1032"/>
      <c r="H11" s="213"/>
    </row>
    <row r="12" spans="1:10" ht="105.6">
      <c r="A12" s="177"/>
      <c r="B12" s="177"/>
      <c r="C12" s="183"/>
      <c r="D12" s="97" t="s">
        <v>1163</v>
      </c>
      <c r="E12" s="211"/>
      <c r="F12" s="212"/>
      <c r="G12" s="1032"/>
      <c r="H12" s="213"/>
    </row>
    <row r="13" spans="1:10" ht="211.2">
      <c r="A13" s="177"/>
      <c r="B13" s="177"/>
      <c r="C13" s="183"/>
      <c r="D13" s="97" t="s">
        <v>929</v>
      </c>
      <c r="E13" s="211"/>
      <c r="F13" s="212"/>
      <c r="G13" s="1032"/>
      <c r="H13" s="213"/>
    </row>
    <row r="14" spans="1:10">
      <c r="A14" s="177"/>
      <c r="B14" s="177"/>
      <c r="C14" s="183"/>
      <c r="D14" s="210"/>
      <c r="E14" s="204" t="s">
        <v>503</v>
      </c>
      <c r="F14" s="44">
        <v>184</v>
      </c>
      <c r="G14" s="1032">
        <v>45</v>
      </c>
      <c r="H14" s="26">
        <f>SUM(F14*G14)</f>
        <v>8280</v>
      </c>
    </row>
    <row r="15" spans="1:10">
      <c r="A15" s="177"/>
      <c r="B15" s="177"/>
      <c r="C15" s="183"/>
      <c r="D15" s="210"/>
      <c r="E15" s="211"/>
      <c r="F15" s="212"/>
      <c r="G15" s="1032"/>
      <c r="H15" s="213"/>
    </row>
    <row r="16" spans="1:10" ht="343.2">
      <c r="A16" s="47" t="s">
        <v>146</v>
      </c>
      <c r="B16" s="47" t="s">
        <v>311</v>
      </c>
      <c r="C16" s="183"/>
      <c r="D16" s="97" t="s">
        <v>1164</v>
      </c>
      <c r="E16" s="211"/>
      <c r="F16" s="212"/>
      <c r="G16" s="1032"/>
      <c r="H16" s="213"/>
    </row>
    <row r="17" spans="1:10">
      <c r="A17" s="47"/>
      <c r="B17" s="47"/>
      <c r="C17" s="15"/>
      <c r="D17" s="210" t="s">
        <v>930</v>
      </c>
      <c r="E17" s="204" t="s">
        <v>503</v>
      </c>
      <c r="F17" s="44">
        <v>84</v>
      </c>
      <c r="G17" s="1032">
        <v>100</v>
      </c>
      <c r="H17" s="26">
        <f>SUM(F17*G17)</f>
        <v>8400</v>
      </c>
      <c r="J17" s="127"/>
    </row>
    <row r="18" spans="1:10">
      <c r="A18" s="177"/>
      <c r="B18" s="177"/>
      <c r="C18" s="183"/>
      <c r="D18" s="97"/>
      <c r="E18" s="155"/>
      <c r="F18" s="212"/>
      <c r="G18" s="1032"/>
      <c r="H18" s="214"/>
    </row>
    <row r="19" spans="1:10" ht="105.6">
      <c r="A19" s="47" t="s">
        <v>146</v>
      </c>
      <c r="B19" s="47" t="s">
        <v>243</v>
      </c>
      <c r="C19" s="183"/>
      <c r="D19" s="97" t="s">
        <v>567</v>
      </c>
      <c r="E19" s="215"/>
      <c r="F19" s="216"/>
      <c r="G19" s="1032"/>
      <c r="H19" s="213"/>
    </row>
    <row r="20" spans="1:10" ht="79.2">
      <c r="A20" s="177"/>
      <c r="B20" s="177"/>
      <c r="C20" s="183"/>
      <c r="D20" s="97" t="s">
        <v>568</v>
      </c>
      <c r="E20" s="215"/>
      <c r="F20" s="216"/>
      <c r="G20" s="1032"/>
      <c r="H20" s="213"/>
    </row>
    <row r="21" spans="1:10" ht="92.4">
      <c r="A21" s="177"/>
      <c r="B21" s="177"/>
      <c r="C21" s="183"/>
      <c r="D21" s="97" t="s">
        <v>1477</v>
      </c>
      <c r="E21" s="215"/>
      <c r="F21" s="216"/>
      <c r="G21" s="1032"/>
      <c r="H21" s="213"/>
    </row>
    <row r="22" spans="1:10" ht="92.4">
      <c r="A22" s="177"/>
      <c r="B22" s="177"/>
      <c r="C22" s="183"/>
      <c r="D22" s="97" t="s">
        <v>1476</v>
      </c>
      <c r="E22" s="215"/>
      <c r="F22" s="216"/>
      <c r="G22" s="1032"/>
      <c r="H22" s="213"/>
    </row>
    <row r="23" spans="1:10">
      <c r="A23" s="177"/>
      <c r="B23" s="177"/>
      <c r="C23" s="15" t="s">
        <v>240</v>
      </c>
      <c r="D23" s="55" t="s">
        <v>569</v>
      </c>
      <c r="E23" s="215" t="s">
        <v>503</v>
      </c>
      <c r="F23" s="217">
        <v>56.2</v>
      </c>
      <c r="G23" s="1032">
        <v>80</v>
      </c>
      <c r="H23" s="26">
        <f>SUM(F23*G23)</f>
        <v>4496</v>
      </c>
    </row>
    <row r="24" spans="1:10">
      <c r="A24" s="177"/>
      <c r="B24" s="177"/>
      <c r="C24" s="15" t="s">
        <v>241</v>
      </c>
      <c r="D24" s="55" t="s">
        <v>566</v>
      </c>
      <c r="E24" s="215" t="s">
        <v>391</v>
      </c>
      <c r="F24" s="217">
        <v>22</v>
      </c>
      <c r="G24" s="1032">
        <v>1</v>
      </c>
      <c r="H24" s="26">
        <f>SUM(F24*G24)</f>
        <v>22</v>
      </c>
    </row>
    <row r="25" spans="1:10">
      <c r="A25" s="177"/>
      <c r="B25" s="177"/>
      <c r="C25" s="15" t="s">
        <v>242</v>
      </c>
      <c r="D25" s="97" t="s">
        <v>1166</v>
      </c>
      <c r="E25" s="215" t="s">
        <v>391</v>
      </c>
      <c r="F25" s="217">
        <v>17</v>
      </c>
      <c r="G25" s="1032">
        <v>1</v>
      </c>
      <c r="H25" s="26">
        <f>SUM(F25*G25)</f>
        <v>17</v>
      </c>
    </row>
    <row r="26" spans="1:10" ht="13.8" thickBot="1">
      <c r="A26" s="177"/>
      <c r="B26" s="177"/>
      <c r="C26" s="183"/>
      <c r="D26" s="218"/>
      <c r="E26" s="215"/>
      <c r="F26" s="217"/>
      <c r="G26" s="1032"/>
      <c r="H26" s="219"/>
    </row>
    <row r="27" spans="1:10">
      <c r="A27" s="158" t="s">
        <v>146</v>
      </c>
      <c r="B27" s="158"/>
      <c r="C27" s="163"/>
      <c r="D27" s="154" t="s">
        <v>570</v>
      </c>
      <c r="E27" s="220"/>
      <c r="F27" s="221"/>
      <c r="G27" s="1037"/>
      <c r="H27" s="26">
        <f>SUM(H9:H25)</f>
        <v>21215</v>
      </c>
    </row>
    <row r="31" spans="1:10" s="53" customFormat="1">
      <c r="A31" s="47"/>
      <c r="B31" s="47"/>
      <c r="C31" s="201"/>
      <c r="D31" s="61"/>
      <c r="E31" s="191"/>
      <c r="F31" s="176"/>
      <c r="G31" s="1020"/>
      <c r="H31" s="165"/>
      <c r="J31" s="54"/>
    </row>
    <row r="32" spans="1:10" s="53" customFormat="1">
      <c r="A32" s="47"/>
      <c r="B32" s="47"/>
      <c r="C32" s="201"/>
      <c r="D32" s="61"/>
      <c r="E32" s="191"/>
      <c r="F32" s="176"/>
      <c r="G32" s="1020"/>
      <c r="H32" s="165"/>
      <c r="J32" s="54"/>
    </row>
    <row r="33" spans="1:10" s="53" customFormat="1">
      <c r="A33" s="47"/>
      <c r="B33" s="47"/>
      <c r="C33" s="201"/>
      <c r="D33" s="61"/>
      <c r="E33" s="191"/>
      <c r="F33" s="176"/>
      <c r="G33" s="1020"/>
      <c r="H33" s="165"/>
      <c r="J33" s="54"/>
    </row>
    <row r="34" spans="1:10" s="53" customFormat="1">
      <c r="A34" s="47"/>
      <c r="B34" s="47"/>
      <c r="C34" s="201"/>
      <c r="D34" s="61"/>
      <c r="E34" s="191"/>
      <c r="F34" s="176"/>
      <c r="G34" s="1020"/>
      <c r="H34" s="165"/>
      <c r="J34" s="54"/>
    </row>
    <row r="35" spans="1:10" s="53" customFormat="1">
      <c r="A35" s="47"/>
      <c r="B35" s="47"/>
      <c r="C35" s="201"/>
      <c r="D35" s="61"/>
      <c r="E35" s="191"/>
      <c r="F35" s="176"/>
      <c r="G35" s="1020"/>
      <c r="H35" s="165"/>
      <c r="J35" s="54"/>
    </row>
    <row r="36" spans="1:10" s="53" customFormat="1">
      <c r="A36" s="47"/>
      <c r="B36" s="47"/>
      <c r="C36" s="201"/>
      <c r="D36" s="61"/>
      <c r="E36" s="191"/>
      <c r="F36" s="176"/>
      <c r="G36" s="1020"/>
      <c r="H36" s="165"/>
      <c r="J36" s="54"/>
    </row>
  </sheetData>
  <dataConsolidate link="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57FE6-F4F1-4772-B2C3-707AFE7FCD16}">
  <sheetPr>
    <tabColor rgb="FF92D050"/>
  </sheetPr>
  <dimension ref="A1:P92"/>
  <sheetViews>
    <sheetView view="pageBreakPreview" topLeftCell="A37" zoomScale="90" zoomScaleNormal="100" zoomScaleSheetLayoutView="90" zoomScalePageLayoutView="90" workbookViewId="0">
      <selection activeCell="H59" sqref="H59"/>
    </sheetView>
  </sheetViews>
  <sheetFormatPr defaultColWidth="5.08984375" defaultRowHeight="13.2"/>
  <cols>
    <col min="1" max="2" width="3.453125" style="123" customWidth="1"/>
    <col min="3" max="3" width="1.90625" style="481" customWidth="1"/>
    <col min="4" max="4" width="31.1796875" style="124" customWidth="1"/>
    <col min="5" max="5" width="4.81640625" style="125" customWidth="1"/>
    <col min="6" max="6" width="7.90625" style="126" customWidth="1"/>
    <col min="7" max="7" width="10.08984375" style="1038" customWidth="1"/>
    <col min="8" max="8" width="11.453125" style="125" customWidth="1"/>
    <col min="9" max="10" width="5.6328125" style="127" customWidth="1"/>
    <col min="11" max="16384" width="5.08984375" style="127"/>
  </cols>
  <sheetData>
    <row r="1" spans="1:9">
      <c r="A1" s="420"/>
      <c r="B1" s="476"/>
      <c r="C1" s="13"/>
      <c r="D1" s="151"/>
      <c r="E1" s="15"/>
      <c r="F1" s="128"/>
      <c r="G1" s="1131"/>
      <c r="H1" s="128"/>
    </row>
    <row r="2" spans="1:9" s="13" customFormat="1" ht="13.8" thickBot="1">
      <c r="A2" s="137" t="s">
        <v>147</v>
      </c>
      <c r="B2" s="137"/>
      <c r="C2" s="138"/>
      <c r="D2" s="148" t="s">
        <v>165</v>
      </c>
      <c r="E2" s="149"/>
      <c r="F2" s="1135"/>
      <c r="G2" s="1132"/>
      <c r="H2" s="1136"/>
    </row>
    <row r="3" spans="1:9">
      <c r="A3" s="420"/>
      <c r="B3" s="476"/>
      <c r="C3" s="13"/>
      <c r="D3" s="477"/>
      <c r="E3" s="478"/>
      <c r="F3" s="128"/>
      <c r="G3" s="1131"/>
      <c r="H3" s="128"/>
    </row>
    <row r="4" spans="1:9">
      <c r="A4" s="203"/>
      <c r="B4" s="476"/>
      <c r="C4" s="13"/>
      <c r="D4" s="80" t="s">
        <v>314</v>
      </c>
      <c r="E4" s="478"/>
      <c r="F4" s="128"/>
      <c r="G4" s="1131"/>
      <c r="H4" s="128"/>
    </row>
    <row r="5" spans="1:9" ht="52.8">
      <c r="A5" s="203"/>
      <c r="B5" s="476"/>
      <c r="C5" s="13"/>
      <c r="D5" s="157" t="s">
        <v>518</v>
      </c>
      <c r="E5" s="478"/>
      <c r="F5" s="128"/>
      <c r="G5" s="1131"/>
      <c r="H5" s="128"/>
    </row>
    <row r="6" spans="1:9">
      <c r="A6" s="203"/>
      <c r="B6" s="476"/>
      <c r="C6" s="13"/>
      <c r="D6" s="97" t="s">
        <v>546</v>
      </c>
      <c r="E6" s="478"/>
      <c r="F6" s="128"/>
      <c r="G6" s="1131"/>
      <c r="H6" s="128"/>
    </row>
    <row r="7" spans="1:9" ht="66">
      <c r="A7" s="479"/>
      <c r="B7" s="479"/>
      <c r="C7" s="13"/>
      <c r="D7" s="480" t="s">
        <v>1251</v>
      </c>
      <c r="E7" s="478"/>
      <c r="F7" s="176"/>
      <c r="G7" s="1131"/>
      <c r="H7" s="128"/>
      <c r="I7" s="63"/>
    </row>
    <row r="8" spans="1:9" ht="39.6">
      <c r="A8" s="25"/>
      <c r="B8" s="25"/>
      <c r="C8" s="39"/>
      <c r="D8" s="61" t="s">
        <v>1252</v>
      </c>
      <c r="E8" s="411"/>
      <c r="F8" s="1137"/>
      <c r="G8" s="1133"/>
      <c r="H8" s="189"/>
    </row>
    <row r="9" spans="1:9" ht="39.6">
      <c r="A9" s="25"/>
      <c r="B9" s="25"/>
      <c r="C9" s="39"/>
      <c r="D9" s="61" t="s">
        <v>1253</v>
      </c>
      <c r="E9" s="15"/>
      <c r="F9" s="188"/>
      <c r="G9" s="1058"/>
      <c r="H9" s="188"/>
    </row>
    <row r="10" spans="1:9">
      <c r="A10" s="47"/>
      <c r="B10" s="47"/>
      <c r="C10" s="13"/>
      <c r="D10" s="435"/>
      <c r="E10" s="478"/>
      <c r="F10" s="176"/>
      <c r="G10" s="1131"/>
      <c r="H10" s="128"/>
    </row>
    <row r="11" spans="1:9">
      <c r="A11" s="47" t="s">
        <v>507</v>
      </c>
      <c r="B11" s="47" t="s">
        <v>508</v>
      </c>
      <c r="C11" s="13"/>
      <c r="D11" s="97" t="s">
        <v>504</v>
      </c>
      <c r="E11" s="204" t="s">
        <v>505</v>
      </c>
      <c r="F11" s="176" t="s">
        <v>506</v>
      </c>
      <c r="G11" s="1058" t="s">
        <v>509</v>
      </c>
      <c r="H11" s="128" t="s">
        <v>510</v>
      </c>
    </row>
    <row r="12" spans="1:9">
      <c r="A12" s="47"/>
      <c r="B12" s="47"/>
      <c r="C12" s="13"/>
      <c r="D12" s="97"/>
      <c r="E12" s="204"/>
      <c r="F12" s="176"/>
      <c r="G12" s="1131"/>
      <c r="H12" s="128"/>
    </row>
    <row r="13" spans="1:9">
      <c r="A13" s="47"/>
      <c r="B13" s="47"/>
      <c r="C13" s="13"/>
      <c r="D13" s="97" t="s">
        <v>1254</v>
      </c>
      <c r="E13" s="204"/>
      <c r="F13" s="176"/>
      <c r="G13" s="1131"/>
      <c r="H13" s="128"/>
    </row>
    <row r="14" spans="1:9">
      <c r="A14" s="47"/>
      <c r="B14" s="47"/>
      <c r="C14" s="13"/>
      <c r="D14" s="97"/>
      <c r="E14" s="204"/>
      <c r="F14" s="176"/>
      <c r="G14" s="1131"/>
      <c r="H14" s="128"/>
    </row>
    <row r="15" spans="1:9" ht="174.75" customHeight="1">
      <c r="A15" s="123" t="s">
        <v>147</v>
      </c>
      <c r="B15" s="123" t="s">
        <v>102</v>
      </c>
      <c r="D15" s="124" t="s">
        <v>1255</v>
      </c>
      <c r="G15" s="1134"/>
    </row>
    <row r="16" spans="1:9" ht="26.4">
      <c r="D16" s="124" t="s">
        <v>1256</v>
      </c>
      <c r="G16" s="1134"/>
    </row>
    <row r="17" spans="1:15">
      <c r="C17" s="482"/>
      <c r="D17" s="124" t="s">
        <v>1257</v>
      </c>
      <c r="G17" s="1134"/>
    </row>
    <row r="18" spans="1:15" ht="26.4">
      <c r="C18" s="482" t="s">
        <v>240</v>
      </c>
      <c r="D18" s="124" t="s">
        <v>1258</v>
      </c>
      <c r="E18" s="125" t="s">
        <v>391</v>
      </c>
      <c r="F18" s="126">
        <v>4</v>
      </c>
      <c r="G18" s="1041">
        <v>600</v>
      </c>
      <c r="H18" s="530">
        <f>SUM(F18*G18)</f>
        <v>2400</v>
      </c>
      <c r="K18" s="122"/>
      <c r="N18" s="13"/>
    </row>
    <row r="19" spans="1:15" ht="26.4">
      <c r="C19" s="482" t="s">
        <v>241</v>
      </c>
      <c r="D19" s="124" t="s">
        <v>1259</v>
      </c>
      <c r="E19" s="125" t="s">
        <v>391</v>
      </c>
      <c r="F19" s="126">
        <v>4</v>
      </c>
      <c r="G19" s="1041">
        <v>600</v>
      </c>
      <c r="H19" s="530">
        <f>SUM(F19*G19)</f>
        <v>2400</v>
      </c>
      <c r="K19" s="122"/>
    </row>
    <row r="20" spans="1:15">
      <c r="G20" s="1041"/>
    </row>
    <row r="21" spans="1:15" ht="171.75" customHeight="1">
      <c r="A21" s="123" t="s">
        <v>147</v>
      </c>
      <c r="B21" s="123" t="s">
        <v>311</v>
      </c>
      <c r="D21" s="124" t="s">
        <v>1260</v>
      </c>
      <c r="G21" s="1041"/>
    </row>
    <row r="22" spans="1:15">
      <c r="D22" s="124" t="s">
        <v>1261</v>
      </c>
      <c r="G22" s="1041"/>
    </row>
    <row r="23" spans="1:15">
      <c r="C23" s="482"/>
      <c r="D23" s="124" t="s">
        <v>1259</v>
      </c>
      <c r="E23" s="125" t="s">
        <v>391</v>
      </c>
      <c r="F23" s="126">
        <v>4</v>
      </c>
      <c r="G23" s="1041">
        <v>580</v>
      </c>
      <c r="H23" s="530">
        <f>SUM(F23*G23)</f>
        <v>2320</v>
      </c>
    </row>
    <row r="24" spans="1:15">
      <c r="G24" s="1041"/>
    </row>
    <row r="25" spans="1:15" ht="171.6">
      <c r="A25" s="123" t="s">
        <v>147</v>
      </c>
      <c r="B25" s="123" t="s">
        <v>243</v>
      </c>
      <c r="D25" s="124" t="s">
        <v>1260</v>
      </c>
      <c r="G25" s="1041"/>
    </row>
    <row r="26" spans="1:15" ht="26.4">
      <c r="D26" s="124" t="s">
        <v>1256</v>
      </c>
      <c r="G26" s="1041"/>
    </row>
    <row r="27" spans="1:15">
      <c r="D27" s="124" t="s">
        <v>1262</v>
      </c>
      <c r="G27" s="1041"/>
    </row>
    <row r="28" spans="1:15" ht="26.4">
      <c r="C28" s="482" t="s">
        <v>240</v>
      </c>
      <c r="D28" s="124" t="s">
        <v>1258</v>
      </c>
      <c r="E28" s="125" t="s">
        <v>391</v>
      </c>
      <c r="F28" s="126">
        <v>8</v>
      </c>
      <c r="G28" s="1041">
        <v>600</v>
      </c>
      <c r="H28" s="530">
        <f>SUM(F28*G28)</f>
        <v>4800</v>
      </c>
      <c r="K28" s="122"/>
      <c r="O28" s="13"/>
    </row>
    <row r="29" spans="1:15" ht="26.4">
      <c r="C29" s="482" t="s">
        <v>241</v>
      </c>
      <c r="D29" s="124" t="s">
        <v>1259</v>
      </c>
      <c r="E29" s="125" t="s">
        <v>391</v>
      </c>
      <c r="F29" s="126">
        <v>5</v>
      </c>
      <c r="G29" s="1041">
        <v>600</v>
      </c>
      <c r="H29" s="530">
        <f>SUM(F29*G29)</f>
        <v>3000</v>
      </c>
      <c r="K29" s="122"/>
    </row>
    <row r="30" spans="1:15">
      <c r="G30" s="1041"/>
    </row>
    <row r="31" spans="1:15" ht="174" customHeight="1">
      <c r="A31" s="123" t="s">
        <v>147</v>
      </c>
      <c r="B31" s="123" t="s">
        <v>582</v>
      </c>
      <c r="D31" s="124" t="s">
        <v>1263</v>
      </c>
      <c r="G31" s="1041"/>
    </row>
    <row r="32" spans="1:15">
      <c r="D32" s="124" t="s">
        <v>1264</v>
      </c>
      <c r="G32" s="1041"/>
    </row>
    <row r="33" spans="1:16" ht="26.4">
      <c r="C33" s="482" t="s">
        <v>240</v>
      </c>
      <c r="D33" s="124" t="s">
        <v>1258</v>
      </c>
      <c r="E33" s="125" t="s">
        <v>391</v>
      </c>
      <c r="F33" s="126">
        <v>16</v>
      </c>
      <c r="G33" s="1041">
        <v>580</v>
      </c>
      <c r="H33" s="530">
        <f>SUM(F33*G33)</f>
        <v>9280</v>
      </c>
      <c r="K33" s="122"/>
    </row>
    <row r="34" spans="1:16" ht="26.4">
      <c r="C34" s="482" t="s">
        <v>241</v>
      </c>
      <c r="D34" s="124" t="s">
        <v>1259</v>
      </c>
      <c r="E34" s="125" t="s">
        <v>391</v>
      </c>
      <c r="F34" s="126">
        <v>14</v>
      </c>
      <c r="G34" s="1041">
        <v>580</v>
      </c>
      <c r="H34" s="530">
        <f>SUM(F34*G34)</f>
        <v>8120</v>
      </c>
      <c r="K34" s="122"/>
    </row>
    <row r="35" spans="1:16">
      <c r="C35" s="482"/>
      <c r="G35" s="1041"/>
      <c r="H35" s="530"/>
    </row>
    <row r="36" spans="1:16" ht="174.75" customHeight="1">
      <c r="A36" s="123" t="s">
        <v>147</v>
      </c>
      <c r="B36" s="123" t="s">
        <v>331</v>
      </c>
      <c r="D36" s="124" t="s">
        <v>1265</v>
      </c>
      <c r="G36" s="1041"/>
    </row>
    <row r="37" spans="1:16" ht="26.4">
      <c r="D37" s="124" t="s">
        <v>1256</v>
      </c>
      <c r="G37" s="1041"/>
    </row>
    <row r="38" spans="1:16">
      <c r="D38" s="124" t="s">
        <v>1266</v>
      </c>
      <c r="G38" s="1041"/>
    </row>
    <row r="39" spans="1:16" ht="15">
      <c r="C39" s="482"/>
      <c r="D39" s="124" t="s">
        <v>1258</v>
      </c>
      <c r="E39" s="125" t="s">
        <v>391</v>
      </c>
      <c r="F39" s="126">
        <v>1</v>
      </c>
      <c r="G39" s="1041">
        <v>600</v>
      </c>
      <c r="H39" s="530">
        <f>SUM(F39*G39)</f>
        <v>600</v>
      </c>
      <c r="K39" s="122"/>
      <c r="P39" s="13"/>
    </row>
    <row r="40" spans="1:16" ht="15">
      <c r="C40" s="482"/>
      <c r="G40" s="1041"/>
      <c r="H40" s="530"/>
      <c r="K40" s="122"/>
      <c r="P40" s="13"/>
    </row>
    <row r="41" spans="1:16" ht="171.6">
      <c r="A41" s="123" t="s">
        <v>147</v>
      </c>
      <c r="B41" s="123" t="s">
        <v>469</v>
      </c>
      <c r="D41" s="124" t="s">
        <v>1267</v>
      </c>
      <c r="G41" s="1041"/>
      <c r="K41" s="122"/>
      <c r="P41" s="13"/>
    </row>
    <row r="42" spans="1:16" ht="26.4">
      <c r="D42" s="124" t="s">
        <v>1256</v>
      </c>
      <c r="G42" s="1041"/>
      <c r="K42" s="122"/>
      <c r="P42" s="13"/>
    </row>
    <row r="43" spans="1:16" ht="15">
      <c r="D43" s="124" t="s">
        <v>1268</v>
      </c>
      <c r="G43" s="1041"/>
      <c r="K43" s="122"/>
      <c r="P43" s="13"/>
    </row>
    <row r="44" spans="1:16">
      <c r="C44" s="482"/>
      <c r="D44" s="124" t="s">
        <v>1259</v>
      </c>
      <c r="E44" s="125" t="s">
        <v>391</v>
      </c>
      <c r="F44" s="126">
        <v>1</v>
      </c>
      <c r="G44" s="1041">
        <v>600</v>
      </c>
      <c r="H44" s="530">
        <f>SUM(F44*G44)</f>
        <v>600</v>
      </c>
    </row>
    <row r="45" spans="1:16">
      <c r="C45" s="482"/>
      <c r="G45" s="1041"/>
      <c r="H45" s="530"/>
    </row>
    <row r="46" spans="1:16" ht="79.2">
      <c r="A46" s="123" t="s">
        <v>147</v>
      </c>
      <c r="B46" s="123" t="s">
        <v>192</v>
      </c>
      <c r="C46" s="482"/>
      <c r="D46" s="80" t="s">
        <v>1383</v>
      </c>
      <c r="G46" s="1041"/>
      <c r="H46" s="530"/>
    </row>
    <row r="47" spans="1:16" ht="92.4">
      <c r="C47" s="482"/>
      <c r="D47" s="80" t="s">
        <v>1373</v>
      </c>
      <c r="G47" s="1041"/>
      <c r="H47" s="530"/>
    </row>
    <row r="48" spans="1:16" ht="105.6">
      <c r="C48" s="482"/>
      <c r="D48" s="61" t="s">
        <v>1377</v>
      </c>
      <c r="G48" s="1041"/>
      <c r="H48" s="530"/>
    </row>
    <row r="49" spans="1:8">
      <c r="C49" s="482"/>
      <c r="D49" s="171" t="s">
        <v>1374</v>
      </c>
      <c r="G49" s="1041"/>
      <c r="H49" s="530"/>
    </row>
    <row r="50" spans="1:8" ht="26.4">
      <c r="C50" s="482" t="s">
        <v>240</v>
      </c>
      <c r="D50" s="124" t="s">
        <v>1375</v>
      </c>
      <c r="E50" s="125" t="s">
        <v>942</v>
      </c>
      <c r="F50" s="126">
        <v>1</v>
      </c>
      <c r="G50" s="1041">
        <v>1220</v>
      </c>
      <c r="H50" s="530">
        <f>SUM(F50*G50)</f>
        <v>1220</v>
      </c>
    </row>
    <row r="51" spans="1:8" ht="26.4">
      <c r="C51" s="482" t="s">
        <v>241</v>
      </c>
      <c r="D51" s="124" t="s">
        <v>1376</v>
      </c>
      <c r="E51" s="125" t="s">
        <v>942</v>
      </c>
      <c r="F51" s="126">
        <v>2</v>
      </c>
      <c r="G51" s="1041">
        <v>580</v>
      </c>
      <c r="H51" s="530">
        <f>SUM(F51*G51)</f>
        <v>1160</v>
      </c>
    </row>
    <row r="52" spans="1:8">
      <c r="C52" s="482"/>
      <c r="G52" s="1041"/>
      <c r="H52" s="530"/>
    </row>
    <row r="53" spans="1:8" ht="79.2">
      <c r="A53" s="123" t="s">
        <v>147</v>
      </c>
      <c r="B53" s="123" t="s">
        <v>146</v>
      </c>
      <c r="C53" s="482"/>
      <c r="D53" s="80" t="s">
        <v>1382</v>
      </c>
      <c r="G53" s="1041"/>
      <c r="H53" s="530"/>
    </row>
    <row r="54" spans="1:8" ht="26.4">
      <c r="C54" s="482"/>
      <c r="D54" s="61" t="s">
        <v>1380</v>
      </c>
      <c r="G54" s="1041"/>
      <c r="H54" s="530"/>
    </row>
    <row r="55" spans="1:8">
      <c r="C55" s="482"/>
      <c r="D55" s="171" t="s">
        <v>1379</v>
      </c>
      <c r="G55" s="1041"/>
      <c r="H55" s="530"/>
    </row>
    <row r="56" spans="1:8" ht="26.4">
      <c r="C56" s="482" t="s">
        <v>240</v>
      </c>
      <c r="D56" s="124" t="s">
        <v>1378</v>
      </c>
      <c r="E56" s="125" t="s">
        <v>942</v>
      </c>
      <c r="F56" s="126">
        <v>1</v>
      </c>
      <c r="G56" s="1041">
        <v>1200</v>
      </c>
      <c r="H56" s="530">
        <f>SUM(F56*G56)</f>
        <v>1200</v>
      </c>
    </row>
    <row r="57" spans="1:8" ht="26.4">
      <c r="C57" s="482" t="s">
        <v>241</v>
      </c>
      <c r="D57" s="124" t="s">
        <v>1376</v>
      </c>
      <c r="E57" s="125" t="s">
        <v>942</v>
      </c>
      <c r="F57" s="126">
        <v>2</v>
      </c>
      <c r="G57" s="1041">
        <v>580</v>
      </c>
      <c r="H57" s="530">
        <f>SUM(F57*G57)</f>
        <v>1160</v>
      </c>
    </row>
    <row r="58" spans="1:8">
      <c r="C58" s="482"/>
      <c r="G58" s="1041"/>
      <c r="H58" s="530"/>
    </row>
    <row r="59" spans="1:8" ht="79.2">
      <c r="A59" s="123" t="s">
        <v>147</v>
      </c>
      <c r="B59" s="123" t="s">
        <v>147</v>
      </c>
      <c r="C59" s="482"/>
      <c r="D59" s="80" t="s">
        <v>1381</v>
      </c>
      <c r="G59" s="1041"/>
      <c r="H59" s="530"/>
    </row>
    <row r="60" spans="1:8" ht="26.4">
      <c r="C60" s="482"/>
      <c r="D60" s="61" t="s">
        <v>1380</v>
      </c>
      <c r="G60" s="1041"/>
      <c r="H60" s="530"/>
    </row>
    <row r="61" spans="1:8">
      <c r="C61" s="482"/>
      <c r="D61" s="171" t="s">
        <v>1385</v>
      </c>
      <c r="G61" s="1041"/>
      <c r="H61" s="530"/>
    </row>
    <row r="62" spans="1:8" ht="26.4">
      <c r="C62" s="482" t="s">
        <v>240</v>
      </c>
      <c r="D62" s="124" t="s">
        <v>1384</v>
      </c>
      <c r="E62" s="125" t="s">
        <v>942</v>
      </c>
      <c r="F62" s="126">
        <v>1</v>
      </c>
      <c r="G62" s="1041">
        <v>580</v>
      </c>
      <c r="H62" s="530">
        <f>SUM(F62*G62)</f>
        <v>580</v>
      </c>
    </row>
    <row r="63" spans="1:8" ht="26.4">
      <c r="C63" s="482" t="s">
        <v>241</v>
      </c>
      <c r="D63" s="124" t="s">
        <v>1388</v>
      </c>
      <c r="E63" s="125" t="s">
        <v>942</v>
      </c>
      <c r="F63" s="126">
        <v>1</v>
      </c>
      <c r="G63" s="1041">
        <v>550</v>
      </c>
      <c r="H63" s="530">
        <f>SUM(F63*G63)</f>
        <v>550</v>
      </c>
    </row>
    <row r="64" spans="1:8">
      <c r="C64" s="482"/>
      <c r="G64" s="1041"/>
      <c r="H64" s="530"/>
    </row>
    <row r="65" spans="1:8" ht="79.2">
      <c r="A65" s="123" t="s">
        <v>147</v>
      </c>
      <c r="B65" s="123" t="s">
        <v>43</v>
      </c>
      <c r="C65" s="482"/>
      <c r="D65" s="80" t="s">
        <v>1389</v>
      </c>
      <c r="G65" s="1041"/>
      <c r="H65" s="530"/>
    </row>
    <row r="66" spans="1:8" ht="26.4">
      <c r="C66" s="482"/>
      <c r="D66" s="61" t="s">
        <v>1380</v>
      </c>
      <c r="G66" s="1041"/>
      <c r="H66" s="530"/>
    </row>
    <row r="67" spans="1:8">
      <c r="C67" s="482"/>
      <c r="D67" s="171" t="s">
        <v>1386</v>
      </c>
      <c r="G67" s="1041"/>
      <c r="H67" s="530"/>
    </row>
    <row r="68" spans="1:8" ht="26.4">
      <c r="C68" s="482" t="s">
        <v>240</v>
      </c>
      <c r="D68" s="124" t="s">
        <v>1387</v>
      </c>
      <c r="E68" s="125" t="s">
        <v>942</v>
      </c>
      <c r="F68" s="126">
        <v>1</v>
      </c>
      <c r="G68" s="1041">
        <v>580</v>
      </c>
      <c r="H68" s="530">
        <f>SUM(F68*G68)</f>
        <v>580</v>
      </c>
    </row>
    <row r="69" spans="1:8" ht="26.4">
      <c r="C69" s="482" t="s">
        <v>241</v>
      </c>
      <c r="D69" s="124" t="s">
        <v>1388</v>
      </c>
      <c r="E69" s="125" t="s">
        <v>942</v>
      </c>
      <c r="F69" s="126">
        <v>1</v>
      </c>
      <c r="G69" s="1041">
        <v>550</v>
      </c>
      <c r="H69" s="530">
        <f>SUM(F69*G69)</f>
        <v>550</v>
      </c>
    </row>
    <row r="70" spans="1:8">
      <c r="C70" s="482"/>
      <c r="G70" s="1041"/>
      <c r="H70" s="530"/>
    </row>
    <row r="71" spans="1:8" ht="79.2">
      <c r="A71" s="123" t="s">
        <v>147</v>
      </c>
      <c r="B71" s="123" t="s">
        <v>185</v>
      </c>
      <c r="C71" s="482"/>
      <c r="D71" s="80" t="s">
        <v>1390</v>
      </c>
      <c r="G71" s="1041"/>
      <c r="H71" s="530"/>
    </row>
    <row r="72" spans="1:8" ht="26.4">
      <c r="C72" s="482"/>
      <c r="D72" s="61" t="s">
        <v>1380</v>
      </c>
      <c r="G72" s="1041"/>
      <c r="H72" s="530"/>
    </row>
    <row r="73" spans="1:8">
      <c r="C73" s="482"/>
      <c r="D73" s="171" t="s">
        <v>1391</v>
      </c>
      <c r="G73" s="1041"/>
      <c r="H73" s="530"/>
    </row>
    <row r="74" spans="1:8" ht="26.4">
      <c r="C74" s="482" t="s">
        <v>240</v>
      </c>
      <c r="D74" s="124" t="s">
        <v>1392</v>
      </c>
      <c r="E74" s="125" t="s">
        <v>942</v>
      </c>
      <c r="F74" s="126">
        <v>1</v>
      </c>
      <c r="G74" s="1041">
        <v>1850</v>
      </c>
      <c r="H74" s="530">
        <f>SUM(F74*G74)</f>
        <v>1850</v>
      </c>
    </row>
    <row r="75" spans="1:8" ht="26.4">
      <c r="C75" s="482" t="s">
        <v>241</v>
      </c>
      <c r="D75" s="124" t="s">
        <v>1388</v>
      </c>
      <c r="E75" s="125" t="s">
        <v>942</v>
      </c>
      <c r="F75" s="126">
        <v>3</v>
      </c>
      <c r="G75" s="1041">
        <v>550</v>
      </c>
      <c r="H75" s="530">
        <f>SUM(F75*G75)</f>
        <v>1650</v>
      </c>
    </row>
    <row r="76" spans="1:8">
      <c r="C76" s="482"/>
      <c r="G76" s="1041"/>
      <c r="H76" s="530"/>
    </row>
    <row r="77" spans="1:8" ht="79.2">
      <c r="A77" s="123" t="s">
        <v>147</v>
      </c>
      <c r="B77" s="123" t="s">
        <v>397</v>
      </c>
      <c r="C77" s="482"/>
      <c r="D77" s="80" t="s">
        <v>1393</v>
      </c>
      <c r="G77" s="1041"/>
      <c r="H77" s="530"/>
    </row>
    <row r="78" spans="1:8" ht="26.4">
      <c r="C78" s="482"/>
      <c r="D78" s="61" t="s">
        <v>1380</v>
      </c>
      <c r="G78" s="1041"/>
      <c r="H78" s="530"/>
    </row>
    <row r="79" spans="1:8">
      <c r="C79" s="482"/>
      <c r="D79" s="171" t="s">
        <v>1395</v>
      </c>
      <c r="G79" s="1041"/>
      <c r="H79" s="530"/>
    </row>
    <row r="80" spans="1:8" ht="26.4">
      <c r="C80" s="482" t="s">
        <v>240</v>
      </c>
      <c r="D80" s="124" t="s">
        <v>1396</v>
      </c>
      <c r="E80" s="125" t="s">
        <v>942</v>
      </c>
      <c r="F80" s="126">
        <v>1</v>
      </c>
      <c r="G80" s="1041">
        <v>580</v>
      </c>
      <c r="H80" s="530">
        <f>SUM(F80*G80)</f>
        <v>580</v>
      </c>
    </row>
    <row r="81" spans="1:8" ht="26.4">
      <c r="C81" s="482" t="s">
        <v>241</v>
      </c>
      <c r="D81" s="124" t="s">
        <v>1397</v>
      </c>
      <c r="E81" s="125" t="s">
        <v>942</v>
      </c>
      <c r="F81" s="126">
        <v>1</v>
      </c>
      <c r="G81" s="1041">
        <v>350</v>
      </c>
      <c r="H81" s="530">
        <f>SUM(F81*G81)</f>
        <v>350</v>
      </c>
    </row>
    <row r="82" spans="1:8">
      <c r="C82" s="482"/>
      <c r="G82" s="1041"/>
      <c r="H82" s="530"/>
    </row>
    <row r="83" spans="1:8" ht="79.2">
      <c r="A83" s="123" t="s">
        <v>147</v>
      </c>
      <c r="B83" s="123" t="s">
        <v>109</v>
      </c>
      <c r="C83" s="482"/>
      <c r="D83" s="80" t="s">
        <v>1393</v>
      </c>
      <c r="G83" s="1041"/>
      <c r="H83" s="530"/>
    </row>
    <row r="84" spans="1:8" ht="26.4">
      <c r="C84" s="482"/>
      <c r="D84" s="61" t="s">
        <v>1380</v>
      </c>
      <c r="G84" s="1041"/>
      <c r="H84" s="530"/>
    </row>
    <row r="85" spans="1:8">
      <c r="C85" s="482"/>
      <c r="D85" s="171" t="s">
        <v>1394</v>
      </c>
      <c r="G85" s="1041"/>
      <c r="H85" s="530"/>
    </row>
    <row r="86" spans="1:8" ht="26.4">
      <c r="C86" s="482" t="s">
        <v>240</v>
      </c>
      <c r="D86" s="124" t="s">
        <v>1396</v>
      </c>
      <c r="E86" s="125" t="s">
        <v>942</v>
      </c>
      <c r="F86" s="126">
        <v>1</v>
      </c>
      <c r="G86" s="1041">
        <v>580</v>
      </c>
      <c r="H86" s="530">
        <f>SUM(F86*G86)</f>
        <v>580</v>
      </c>
    </row>
    <row r="87" spans="1:8" ht="26.4">
      <c r="C87" s="482" t="s">
        <v>241</v>
      </c>
      <c r="D87" s="124" t="s">
        <v>1397</v>
      </c>
      <c r="E87" s="125" t="s">
        <v>942</v>
      </c>
      <c r="F87" s="126">
        <v>1</v>
      </c>
      <c r="G87" s="1041">
        <v>350</v>
      </c>
      <c r="H87" s="530">
        <f>SUM(F87*G87)</f>
        <v>350</v>
      </c>
    </row>
    <row r="88" spans="1:8">
      <c r="C88" s="482"/>
      <c r="G88" s="1041"/>
      <c r="H88" s="530"/>
    </row>
    <row r="89" spans="1:8" ht="52.8">
      <c r="A89" s="123" t="s">
        <v>147</v>
      </c>
      <c r="B89" s="123" t="s">
        <v>511</v>
      </c>
      <c r="D89" s="124" t="s">
        <v>1269</v>
      </c>
      <c r="G89" s="1041"/>
    </row>
    <row r="90" spans="1:8">
      <c r="E90" s="125" t="s">
        <v>344</v>
      </c>
      <c r="F90" s="126">
        <v>125</v>
      </c>
      <c r="G90" s="1041">
        <v>30</v>
      </c>
      <c r="H90" s="530">
        <f>SUM(F90*G90)</f>
        <v>3750</v>
      </c>
    </row>
    <row r="91" spans="1:8" ht="13.8" thickBot="1">
      <c r="A91" s="483"/>
      <c r="B91" s="483"/>
      <c r="C91" s="484"/>
      <c r="D91" s="485"/>
      <c r="E91" s="486"/>
      <c r="F91" s="487"/>
      <c r="G91" s="1042"/>
      <c r="H91" s="486"/>
    </row>
    <row r="92" spans="1:8">
      <c r="A92" s="123" t="s">
        <v>147</v>
      </c>
      <c r="D92" s="488" t="s">
        <v>1270</v>
      </c>
      <c r="H92" s="530">
        <f>SUM(H15:H91)</f>
        <v>49630</v>
      </c>
    </row>
  </sheetData>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54373-F716-44E3-8057-2ABB78B0C2BE}">
  <sheetPr>
    <tabColor rgb="FF92D050"/>
  </sheetPr>
  <dimension ref="A1:J126"/>
  <sheetViews>
    <sheetView view="pageBreakPreview" topLeftCell="A109" zoomScaleNormal="100" zoomScaleSheetLayoutView="100" zoomScalePageLayoutView="90" workbookViewId="0">
      <selection activeCell="G119" sqref="G119"/>
    </sheetView>
  </sheetViews>
  <sheetFormatPr defaultColWidth="8.81640625" defaultRowHeight="13.2"/>
  <cols>
    <col min="1" max="1" width="3.6328125" style="197" customWidth="1"/>
    <col min="2" max="2" width="2.81640625" style="198" customWidth="1"/>
    <col min="3" max="3" width="1.90625" style="16" customWidth="1"/>
    <col min="4" max="4" width="31.453125" style="199" customWidth="1"/>
    <col min="5" max="5" width="4.54296875" style="15" customWidth="1"/>
    <col min="6" max="6" width="8" style="517" customWidth="1"/>
    <col min="7" max="7" width="10.1796875" style="1036" customWidth="1"/>
    <col min="8" max="8" width="11.54296875" style="179" customWidth="1"/>
    <col min="9" max="9" width="8.81640625" style="16"/>
    <col min="10" max="10" width="55.6328125" style="16" customWidth="1"/>
    <col min="11" max="16384" width="8.81640625" style="16"/>
  </cols>
  <sheetData>
    <row r="1" spans="1:8" s="54" customFormat="1">
      <c r="A1" s="498"/>
      <c r="B1" s="499"/>
      <c r="C1" s="200"/>
      <c r="D1" s="500"/>
      <c r="E1" s="201"/>
      <c r="F1" s="501"/>
      <c r="G1" s="1043"/>
      <c r="H1" s="502"/>
    </row>
    <row r="2" spans="1:8" s="13" customFormat="1" ht="27" thickBot="1">
      <c r="A2" s="137" t="s">
        <v>1271</v>
      </c>
      <c r="B2" s="137"/>
      <c r="C2" s="138"/>
      <c r="D2" s="148" t="s">
        <v>1272</v>
      </c>
      <c r="E2" s="149"/>
      <c r="F2" s="159"/>
      <c r="G2" s="999"/>
      <c r="H2" s="150"/>
    </row>
    <row r="3" spans="1:8" s="54" customFormat="1">
      <c r="A3" s="503"/>
      <c r="B3" s="504"/>
      <c r="C3" s="200"/>
      <c r="D3" s="505"/>
      <c r="E3" s="405"/>
      <c r="F3" s="410"/>
      <c r="G3" s="1044"/>
      <c r="H3" s="502"/>
    </row>
    <row r="4" spans="1:8" s="54" customFormat="1">
      <c r="A4" s="499"/>
      <c r="B4" s="499"/>
      <c r="C4" s="200"/>
      <c r="D4" s="166" t="s">
        <v>314</v>
      </c>
      <c r="E4" s="405"/>
      <c r="F4" s="410"/>
      <c r="G4" s="1044"/>
      <c r="H4" s="502"/>
    </row>
    <row r="5" spans="1:8" s="54" customFormat="1" ht="52.8">
      <c r="A5" s="499"/>
      <c r="B5" s="499"/>
      <c r="C5" s="200"/>
      <c r="D5" s="166" t="s">
        <v>518</v>
      </c>
      <c r="E5" s="405"/>
      <c r="F5" s="410"/>
      <c r="G5" s="1044"/>
      <c r="H5" s="502"/>
    </row>
    <row r="6" spans="1:8" s="54" customFormat="1" ht="52.8">
      <c r="A6" s="498"/>
      <c r="B6" s="499"/>
      <c r="C6" s="200"/>
      <c r="D6" s="506" t="s">
        <v>1273</v>
      </c>
      <c r="E6" s="405"/>
      <c r="F6" s="507"/>
      <c r="G6" s="1044"/>
      <c r="H6" s="502"/>
    </row>
    <row r="7" spans="1:8" s="54" customFormat="1" ht="105.6">
      <c r="A7" s="498"/>
      <c r="B7" s="499"/>
      <c r="C7" s="200"/>
      <c r="D7" s="506" t="s">
        <v>1274</v>
      </c>
      <c r="E7" s="405"/>
      <c r="F7" s="508"/>
      <c r="G7" s="1044"/>
      <c r="H7" s="502"/>
    </row>
    <row r="8" spans="1:8" s="54" customFormat="1" ht="215.25" customHeight="1">
      <c r="A8" s="498"/>
      <c r="B8" s="499"/>
      <c r="C8" s="200"/>
      <c r="D8" s="506" t="s">
        <v>1275</v>
      </c>
      <c r="E8" s="405"/>
      <c r="F8" s="508"/>
      <c r="G8" s="1044"/>
      <c r="H8" s="502"/>
    </row>
    <row r="9" spans="1:8" s="54" customFormat="1" ht="26.4">
      <c r="A9" s="499"/>
      <c r="B9" s="499"/>
      <c r="C9" s="200"/>
      <c r="D9" s="61" t="s">
        <v>1276</v>
      </c>
      <c r="E9" s="405"/>
      <c r="F9" s="410"/>
      <c r="G9" s="1044"/>
      <c r="H9" s="502"/>
    </row>
    <row r="10" spans="1:8" s="54" customFormat="1" ht="141.75" customHeight="1">
      <c r="A10" s="499"/>
      <c r="B10" s="499"/>
      <c r="C10" s="200"/>
      <c r="D10" s="61" t="s">
        <v>1478</v>
      </c>
      <c r="E10" s="405"/>
      <c r="F10" s="410"/>
      <c r="G10" s="1044"/>
      <c r="H10" s="502"/>
    </row>
    <row r="11" spans="1:8" s="54" customFormat="1" ht="78" customHeight="1">
      <c r="A11" s="499"/>
      <c r="B11" s="499"/>
      <c r="C11" s="200"/>
      <c r="D11" s="21" t="s">
        <v>1479</v>
      </c>
      <c r="E11" s="405"/>
      <c r="F11" s="410"/>
      <c r="G11" s="1044"/>
      <c r="H11" s="502"/>
    </row>
    <row r="12" spans="1:8" s="54" customFormat="1" ht="78" customHeight="1">
      <c r="A12" s="499"/>
      <c r="B12" s="499"/>
      <c r="C12" s="200"/>
      <c r="D12" s="61" t="s">
        <v>1277</v>
      </c>
      <c r="E12" s="405"/>
      <c r="F12" s="410"/>
      <c r="G12" s="1044"/>
      <c r="H12" s="502"/>
    </row>
    <row r="13" spans="1:8" s="54" customFormat="1" ht="39.6">
      <c r="A13" s="499"/>
      <c r="B13" s="499"/>
      <c r="C13" s="200"/>
      <c r="D13" s="61" t="s">
        <v>1278</v>
      </c>
      <c r="E13" s="405"/>
      <c r="F13" s="410"/>
      <c r="G13" s="1044"/>
      <c r="H13" s="502"/>
    </row>
    <row r="14" spans="1:8" s="54" customFormat="1" ht="99" customHeight="1">
      <c r="A14" s="499"/>
      <c r="B14" s="499"/>
      <c r="C14" s="200"/>
      <c r="D14" s="61" t="s">
        <v>1279</v>
      </c>
      <c r="E14" s="405"/>
      <c r="F14" s="410"/>
      <c r="G14" s="1044"/>
      <c r="H14" s="502"/>
    </row>
    <row r="15" spans="1:8" s="54" customFormat="1" ht="92.4">
      <c r="A15" s="499"/>
      <c r="B15" s="499"/>
      <c r="C15" s="200"/>
      <c r="D15" s="61" t="s">
        <v>1280</v>
      </c>
      <c r="E15" s="405"/>
      <c r="F15" s="410"/>
      <c r="G15" s="1044"/>
      <c r="H15" s="502"/>
    </row>
    <row r="16" spans="1:8" s="54" customFormat="1">
      <c r="A16" s="499"/>
      <c r="B16" s="499"/>
      <c r="C16" s="200"/>
      <c r="D16" s="97"/>
      <c r="E16" s="405"/>
      <c r="F16" s="410"/>
      <c r="G16" s="1044"/>
      <c r="H16" s="502"/>
    </row>
    <row r="17" spans="1:10" s="54" customFormat="1">
      <c r="A17" s="25" t="s">
        <v>507</v>
      </c>
      <c r="B17" s="25" t="s">
        <v>508</v>
      </c>
      <c r="C17" s="39"/>
      <c r="D17" s="61" t="s">
        <v>504</v>
      </c>
      <c r="E17" s="411" t="s">
        <v>505</v>
      </c>
      <c r="F17" s="169" t="s">
        <v>506</v>
      </c>
      <c r="G17" s="989" t="s">
        <v>509</v>
      </c>
      <c r="H17" s="63" t="s">
        <v>510</v>
      </c>
    </row>
    <row r="18" spans="1:10" s="54" customFormat="1">
      <c r="A18" s="25"/>
      <c r="B18" s="25"/>
      <c r="C18" s="39"/>
      <c r="D18" s="61"/>
      <c r="E18" s="411"/>
      <c r="F18" s="169"/>
      <c r="G18" s="1045"/>
      <c r="H18" s="63"/>
    </row>
    <row r="19" spans="1:10" s="54" customFormat="1" ht="66">
      <c r="A19" s="47" t="s">
        <v>1271</v>
      </c>
      <c r="B19" s="47">
        <v>1</v>
      </c>
      <c r="C19" s="39"/>
      <c r="D19" s="61" t="s">
        <v>1281</v>
      </c>
      <c r="E19" s="411"/>
      <c r="F19" s="169"/>
      <c r="G19" s="1045"/>
      <c r="H19" s="63"/>
    </row>
    <row r="20" spans="1:10" s="54" customFormat="1" ht="132">
      <c r="C20" s="200"/>
      <c r="D20" s="61" t="s">
        <v>1282</v>
      </c>
      <c r="E20" s="418"/>
      <c r="F20" s="104"/>
      <c r="G20" s="1045"/>
      <c r="H20" s="502"/>
      <c r="J20" s="509"/>
    </row>
    <row r="21" spans="1:10" s="54" customFormat="1" ht="279" customHeight="1">
      <c r="A21" s="47"/>
      <c r="B21" s="47"/>
      <c r="C21" s="200"/>
      <c r="D21" s="61" t="s">
        <v>1283</v>
      </c>
      <c r="E21" s="418"/>
      <c r="F21" s="104"/>
      <c r="G21" s="1045"/>
      <c r="H21" s="502"/>
    </row>
    <row r="22" spans="1:10" s="54" customFormat="1" ht="158.4">
      <c r="A22" s="47"/>
      <c r="B22" s="47"/>
      <c r="C22" s="200"/>
      <c r="D22" s="61" t="s">
        <v>1284</v>
      </c>
      <c r="E22" s="418"/>
      <c r="F22" s="104"/>
      <c r="G22" s="1045"/>
      <c r="H22" s="502"/>
    </row>
    <row r="23" spans="1:10" s="54" customFormat="1" ht="134.25" customHeight="1">
      <c r="A23" s="47"/>
      <c r="B23" s="47"/>
      <c r="C23" s="200"/>
      <c r="D23" s="61" t="s">
        <v>1285</v>
      </c>
      <c r="E23" s="418"/>
      <c r="F23" s="104"/>
      <c r="G23" s="1045"/>
      <c r="H23" s="502"/>
    </row>
    <row r="24" spans="1:10" s="54" customFormat="1" ht="109.5" customHeight="1">
      <c r="A24" s="47"/>
      <c r="B24" s="47"/>
      <c r="C24" s="49"/>
      <c r="D24" s="61" t="s">
        <v>1286</v>
      </c>
      <c r="E24" s="418"/>
      <c r="F24" s="98"/>
      <c r="G24" s="1045"/>
      <c r="H24" s="165"/>
    </row>
    <row r="25" spans="1:10" s="54" customFormat="1">
      <c r="A25" s="47"/>
      <c r="B25" s="47"/>
      <c r="C25" s="49"/>
      <c r="D25" s="174" t="s">
        <v>1287</v>
      </c>
      <c r="E25" s="418" t="s">
        <v>391</v>
      </c>
      <c r="F25" s="98">
        <v>1</v>
      </c>
      <c r="G25" s="1046">
        <v>3600</v>
      </c>
      <c r="H25" s="26">
        <f>SUM(F25*G25)</f>
        <v>3600</v>
      </c>
    </row>
    <row r="26" spans="1:10" s="54" customFormat="1">
      <c r="A26" s="47"/>
      <c r="B26" s="47"/>
      <c r="C26" s="49"/>
      <c r="D26" s="174"/>
      <c r="E26" s="418"/>
      <c r="F26" s="98"/>
      <c r="G26" s="1047"/>
      <c r="H26" s="165"/>
    </row>
    <row r="27" spans="1:10" s="54" customFormat="1">
      <c r="A27" s="408"/>
      <c r="B27" s="408"/>
      <c r="C27" s="49"/>
      <c r="D27" s="80"/>
      <c r="E27" s="405"/>
      <c r="F27" s="406"/>
      <c r="G27" s="1047"/>
      <c r="H27" s="165"/>
    </row>
    <row r="28" spans="1:10" s="54" customFormat="1" ht="158.4">
      <c r="A28" s="47" t="s">
        <v>1271</v>
      </c>
      <c r="B28" s="47" t="s">
        <v>231</v>
      </c>
      <c r="C28" s="200"/>
      <c r="D28" s="174" t="s">
        <v>1288</v>
      </c>
      <c r="E28" s="419"/>
      <c r="F28" s="104" t="str">
        <f>IF(ISNUMBER(#REF!),IF(OR(E28="m1",E28="m2",E28="m3",E28="kg"),#REF!*(1+#REF!/100),#REF!),"")</f>
        <v/>
      </c>
      <c r="G28" s="1047"/>
      <c r="H28" s="502"/>
    </row>
    <row r="29" spans="1:10" s="54" customFormat="1" ht="92.4">
      <c r="A29" s="47"/>
      <c r="B29" s="47"/>
      <c r="C29" s="200"/>
      <c r="D29" s="174" t="s">
        <v>1289</v>
      </c>
      <c r="E29" s="419"/>
      <c r="F29" s="104"/>
      <c r="G29" s="1047"/>
      <c r="H29" s="502"/>
    </row>
    <row r="30" spans="1:10" s="54" customFormat="1" ht="108" customHeight="1">
      <c r="A30" s="47"/>
      <c r="B30" s="47"/>
      <c r="C30" s="200"/>
      <c r="D30" s="61" t="s">
        <v>1290</v>
      </c>
      <c r="E30" s="419"/>
      <c r="F30" s="104"/>
      <c r="G30" s="1047"/>
      <c r="H30" s="502"/>
    </row>
    <row r="31" spans="1:10" s="54" customFormat="1">
      <c r="A31" s="177"/>
      <c r="B31" s="177"/>
      <c r="C31" s="200"/>
      <c r="D31" s="174" t="s">
        <v>1291</v>
      </c>
      <c r="G31" s="1045"/>
    </row>
    <row r="32" spans="1:10" s="54" customFormat="1">
      <c r="A32" s="177"/>
      <c r="B32" s="177"/>
      <c r="C32" s="200"/>
      <c r="E32" s="418" t="s">
        <v>391</v>
      </c>
      <c r="F32" s="98">
        <v>2</v>
      </c>
      <c r="G32" s="1046">
        <v>2100</v>
      </c>
      <c r="H32" s="26">
        <f>SUM(F32*G32)</f>
        <v>4200</v>
      </c>
    </row>
    <row r="33" spans="1:10" s="54" customFormat="1">
      <c r="A33" s="177"/>
      <c r="B33" s="177"/>
      <c r="C33" s="200"/>
      <c r="D33" s="510"/>
      <c r="E33" s="418"/>
      <c r="F33" s="98"/>
      <c r="G33" s="1047"/>
      <c r="H33" s="26"/>
    </row>
    <row r="34" spans="1:10" s="54" customFormat="1" ht="132">
      <c r="A34" s="47" t="s">
        <v>1271</v>
      </c>
      <c r="B34" s="47" t="s">
        <v>93</v>
      </c>
      <c r="C34" s="200"/>
      <c r="D34" s="174" t="s">
        <v>1292</v>
      </c>
      <c r="E34" s="418"/>
      <c r="F34" s="98"/>
      <c r="G34" s="1047"/>
      <c r="H34" s="26"/>
    </row>
    <row r="35" spans="1:10" s="54" customFormat="1" ht="104.25" customHeight="1">
      <c r="A35" s="47"/>
      <c r="B35" s="47"/>
      <c r="C35" s="200"/>
      <c r="D35" s="174" t="s">
        <v>1289</v>
      </c>
      <c r="E35" s="418"/>
      <c r="F35" s="98"/>
      <c r="G35" s="1047"/>
      <c r="H35" s="26"/>
    </row>
    <row r="36" spans="1:10" s="54" customFormat="1" ht="105.75" customHeight="1">
      <c r="A36" s="177"/>
      <c r="B36" s="177"/>
      <c r="C36" s="200"/>
      <c r="D36" s="61" t="s">
        <v>1290</v>
      </c>
      <c r="E36" s="418"/>
      <c r="F36" s="98"/>
      <c r="G36" s="1047"/>
      <c r="H36" s="26"/>
    </row>
    <row r="37" spans="1:10" s="54" customFormat="1">
      <c r="A37" s="177"/>
      <c r="B37" s="177"/>
      <c r="C37" s="200"/>
      <c r="D37" s="174" t="s">
        <v>1293</v>
      </c>
      <c r="G37" s="1047"/>
    </row>
    <row r="38" spans="1:10" s="54" customFormat="1">
      <c r="A38" s="177"/>
      <c r="B38" s="177"/>
      <c r="C38" s="200"/>
      <c r="D38" s="174"/>
      <c r="E38" s="418" t="s">
        <v>391</v>
      </c>
      <c r="F38" s="98">
        <v>1</v>
      </c>
      <c r="G38" s="1046">
        <v>1200</v>
      </c>
      <c r="H38" s="26">
        <f>SUM(F38*G38)</f>
        <v>1200</v>
      </c>
    </row>
    <row r="39" spans="1:10" s="54" customFormat="1">
      <c r="A39" s="177"/>
      <c r="B39" s="177"/>
      <c r="C39" s="200"/>
      <c r="D39" s="174"/>
      <c r="E39" s="418"/>
      <c r="F39" s="98"/>
      <c r="G39" s="1047"/>
      <c r="H39" s="26"/>
    </row>
    <row r="40" spans="1:10" s="54" customFormat="1">
      <c r="A40" s="177"/>
      <c r="B40" s="177"/>
      <c r="C40" s="200"/>
      <c r="D40" s="61" t="s">
        <v>1294</v>
      </c>
      <c r="E40" s="419"/>
      <c r="F40" s="507"/>
      <c r="G40" s="1047"/>
      <c r="H40" s="502"/>
    </row>
    <row r="41" spans="1:10" s="54" customFormat="1" ht="39.6">
      <c r="A41" s="47" t="s">
        <v>1271</v>
      </c>
      <c r="B41" s="47" t="s">
        <v>320</v>
      </c>
      <c r="C41" s="200"/>
      <c r="D41" s="61" t="s">
        <v>1295</v>
      </c>
      <c r="E41" s="419"/>
      <c r="F41" s="507"/>
      <c r="G41" s="1047"/>
      <c r="H41" s="502"/>
    </row>
    <row r="42" spans="1:10" s="54" customFormat="1" ht="79.2">
      <c r="A42" s="177"/>
      <c r="B42" s="177"/>
      <c r="C42" s="200"/>
      <c r="D42" s="61" t="s">
        <v>1296</v>
      </c>
      <c r="E42" s="419"/>
      <c r="F42" s="507"/>
      <c r="G42" s="1047"/>
      <c r="H42" s="502"/>
    </row>
    <row r="43" spans="1:10" s="54" customFormat="1" ht="126" customHeight="1">
      <c r="A43" s="177"/>
      <c r="B43" s="177"/>
      <c r="C43" s="200"/>
      <c r="D43" s="61" t="s">
        <v>1297</v>
      </c>
      <c r="E43" s="419"/>
      <c r="F43" s="507"/>
      <c r="G43" s="1045"/>
      <c r="H43" s="502"/>
    </row>
    <row r="44" spans="1:10" s="54" customFormat="1" ht="92.4">
      <c r="A44" s="177"/>
      <c r="B44" s="177"/>
      <c r="C44" s="200"/>
      <c r="D44" s="511" t="s">
        <v>1298</v>
      </c>
      <c r="E44" s="419"/>
      <c r="F44" s="507"/>
      <c r="G44" s="1045"/>
      <c r="H44" s="502"/>
    </row>
    <row r="45" spans="1:10" s="54" customFormat="1" ht="52.8">
      <c r="A45" s="177"/>
      <c r="B45" s="177"/>
      <c r="C45" s="200"/>
      <c r="D45" s="511" t="s">
        <v>1299</v>
      </c>
      <c r="E45" s="419"/>
      <c r="F45" s="507"/>
      <c r="G45" s="1045"/>
      <c r="H45" s="502"/>
    </row>
    <row r="46" spans="1:10" s="54" customFormat="1" ht="92.4">
      <c r="A46" s="177"/>
      <c r="B46" s="177"/>
      <c r="C46" s="200"/>
      <c r="D46" s="61" t="s">
        <v>1300</v>
      </c>
      <c r="E46" s="419"/>
      <c r="F46" s="507"/>
      <c r="G46" s="1045"/>
      <c r="H46" s="502"/>
    </row>
    <row r="47" spans="1:10" s="54" customFormat="1">
      <c r="A47" s="177"/>
      <c r="B47" s="177"/>
      <c r="C47" s="200"/>
      <c r="D47" s="174" t="s">
        <v>1301</v>
      </c>
      <c r="G47" s="1045"/>
    </row>
    <row r="48" spans="1:10" s="54" customFormat="1" ht="15">
      <c r="A48" s="177"/>
      <c r="B48" s="177"/>
      <c r="C48" s="49"/>
      <c r="D48" s="174"/>
      <c r="E48" s="418" t="s">
        <v>391</v>
      </c>
      <c r="F48" s="98">
        <v>22</v>
      </c>
      <c r="G48" s="1046">
        <v>200</v>
      </c>
      <c r="H48" s="26">
        <f>SUM(F48*G48)</f>
        <v>4400</v>
      </c>
      <c r="J48" s="512"/>
    </row>
    <row r="49" spans="1:10" s="54" customFormat="1" ht="15">
      <c r="A49" s="177"/>
      <c r="B49" s="177"/>
      <c r="C49" s="49"/>
      <c r="D49" s="174"/>
      <c r="E49" s="418"/>
      <c r="F49" s="98"/>
      <c r="G49" s="1047"/>
      <c r="H49" s="26"/>
      <c r="J49" s="512"/>
    </row>
    <row r="50" spans="1:10" s="54" customFormat="1" ht="39.6">
      <c r="A50" s="47" t="s">
        <v>1271</v>
      </c>
      <c r="B50" s="47" t="s">
        <v>326</v>
      </c>
      <c r="C50" s="49"/>
      <c r="D50" s="61" t="s">
        <v>1302</v>
      </c>
      <c r="E50" s="418"/>
      <c r="F50" s="98"/>
      <c r="G50" s="1047"/>
      <c r="H50" s="26"/>
      <c r="J50" s="512"/>
    </row>
    <row r="51" spans="1:10" s="54" customFormat="1" ht="92.4">
      <c r="A51" s="177"/>
      <c r="B51" s="177"/>
      <c r="C51" s="49"/>
      <c r="D51" s="61" t="s">
        <v>1303</v>
      </c>
      <c r="E51" s="418"/>
      <c r="F51" s="98"/>
      <c r="G51" s="1047"/>
      <c r="H51" s="26"/>
      <c r="J51" s="512"/>
    </row>
    <row r="52" spans="1:10" s="54" customFormat="1" ht="26.4">
      <c r="A52" s="177"/>
      <c r="B52" s="177"/>
      <c r="C52" s="49"/>
      <c r="D52" s="61" t="s">
        <v>1304</v>
      </c>
      <c r="E52" s="418"/>
      <c r="F52" s="98"/>
      <c r="G52" s="1047"/>
      <c r="H52" s="26"/>
      <c r="J52" s="512"/>
    </row>
    <row r="53" spans="1:10" s="54" customFormat="1" ht="15">
      <c r="A53" s="177"/>
      <c r="B53" s="177"/>
      <c r="C53" s="49"/>
      <c r="D53" s="174" t="s">
        <v>1305</v>
      </c>
      <c r="E53" s="418"/>
      <c r="F53" s="98"/>
      <c r="G53" s="1047"/>
      <c r="H53" s="26"/>
      <c r="J53" s="512"/>
    </row>
    <row r="54" spans="1:10" s="54" customFormat="1" ht="15">
      <c r="A54" s="177"/>
      <c r="B54" s="177"/>
      <c r="C54" s="49"/>
      <c r="D54" s="174"/>
      <c r="E54" s="418" t="s">
        <v>391</v>
      </c>
      <c r="F54" s="98">
        <v>2</v>
      </c>
      <c r="G54" s="1046">
        <v>200</v>
      </c>
      <c r="H54" s="26">
        <f>SUM(F54*G54)</f>
        <v>400</v>
      </c>
      <c r="J54" s="512"/>
    </row>
    <row r="55" spans="1:10" s="54" customFormat="1" ht="15">
      <c r="A55" s="177"/>
      <c r="B55" s="177"/>
      <c r="C55" s="49"/>
      <c r="D55" s="174"/>
      <c r="E55" s="418"/>
      <c r="F55" s="98"/>
      <c r="G55" s="1047"/>
      <c r="H55" s="26"/>
      <c r="J55" s="512"/>
    </row>
    <row r="56" spans="1:10" s="54" customFormat="1" ht="26.4">
      <c r="A56" s="47" t="s">
        <v>1271</v>
      </c>
      <c r="B56" s="47" t="s">
        <v>284</v>
      </c>
      <c r="C56" s="200"/>
      <c r="D56" s="61" t="s">
        <v>1306</v>
      </c>
      <c r="E56" s="418"/>
      <c r="F56" s="98"/>
      <c r="G56" s="1047"/>
      <c r="H56" s="26"/>
      <c r="J56" s="512"/>
    </row>
    <row r="57" spans="1:10" s="54" customFormat="1" ht="26.4">
      <c r="A57" s="177"/>
      <c r="B57" s="177"/>
      <c r="C57" s="200"/>
      <c r="D57" s="61" t="s">
        <v>1304</v>
      </c>
      <c r="E57" s="418"/>
      <c r="F57" s="98"/>
      <c r="G57" s="1047"/>
      <c r="H57" s="26"/>
      <c r="J57" s="512"/>
    </row>
    <row r="58" spans="1:10" s="54" customFormat="1" ht="15">
      <c r="A58" s="177"/>
      <c r="B58" s="177"/>
      <c r="C58" s="200"/>
      <c r="D58" s="174" t="s">
        <v>1307</v>
      </c>
      <c r="E58" s="418"/>
      <c r="F58" s="98"/>
      <c r="G58" s="1047"/>
      <c r="H58" s="26"/>
      <c r="J58" s="512"/>
    </row>
    <row r="59" spans="1:10" s="54" customFormat="1" ht="15">
      <c r="A59" s="177"/>
      <c r="B59" s="177"/>
      <c r="C59" s="200"/>
      <c r="D59" s="174"/>
      <c r="E59" s="418" t="s">
        <v>391</v>
      </c>
      <c r="F59" s="98">
        <v>2</v>
      </c>
      <c r="G59" s="1046">
        <v>200</v>
      </c>
      <c r="H59" s="26">
        <f>SUM(F59*G59)</f>
        <v>400</v>
      </c>
      <c r="J59" s="512"/>
    </row>
    <row r="60" spans="1:10" s="54" customFormat="1" ht="39.6">
      <c r="A60" s="47" t="s">
        <v>1271</v>
      </c>
      <c r="B60" s="47" t="s">
        <v>461</v>
      </c>
      <c r="C60" s="200"/>
      <c r="D60" s="61" t="s">
        <v>1308</v>
      </c>
      <c r="E60" s="418"/>
      <c r="F60" s="98"/>
      <c r="G60" s="1045"/>
      <c r="H60" s="26"/>
    </row>
    <row r="61" spans="1:10" s="54" customFormat="1" ht="26.4">
      <c r="A61" s="177"/>
      <c r="B61" s="177"/>
      <c r="C61" s="200"/>
      <c r="D61" s="61" t="s">
        <v>1304</v>
      </c>
      <c r="E61" s="418"/>
      <c r="F61" s="98"/>
      <c r="G61" s="1045"/>
      <c r="H61" s="26"/>
    </row>
    <row r="62" spans="1:10" s="54" customFormat="1">
      <c r="A62" s="177"/>
      <c r="B62" s="177"/>
      <c r="C62" s="200"/>
      <c r="D62" s="174" t="s">
        <v>1309</v>
      </c>
      <c r="E62" s="418"/>
      <c r="F62" s="98"/>
      <c r="G62" s="1045"/>
      <c r="H62" s="26"/>
    </row>
    <row r="63" spans="1:10" s="54" customFormat="1" ht="15">
      <c r="A63" s="177"/>
      <c r="B63" s="177"/>
      <c r="C63" s="200"/>
      <c r="D63" s="174"/>
      <c r="E63" s="418" t="s">
        <v>391</v>
      </c>
      <c r="F63" s="98">
        <v>18</v>
      </c>
      <c r="G63" s="1046">
        <v>350</v>
      </c>
      <c r="H63" s="26">
        <f>SUM(F63*G63)</f>
        <v>6300</v>
      </c>
      <c r="J63" s="512"/>
    </row>
    <row r="64" spans="1:10" s="54" customFormat="1">
      <c r="A64" s="177"/>
      <c r="B64" s="177"/>
      <c r="C64" s="200"/>
      <c r="D64" s="61"/>
      <c r="E64" s="419"/>
      <c r="F64" s="507"/>
      <c r="G64" s="1047"/>
      <c r="H64" s="502"/>
    </row>
    <row r="65" spans="1:10" s="54" customFormat="1" ht="66">
      <c r="A65" s="47" t="s">
        <v>1271</v>
      </c>
      <c r="B65" s="47" t="s">
        <v>4</v>
      </c>
      <c r="C65" s="200"/>
      <c r="D65" s="61" t="s">
        <v>1310</v>
      </c>
      <c r="E65" s="418"/>
      <c r="F65" s="104"/>
      <c r="G65" s="1047"/>
      <c r="H65" s="502"/>
    </row>
    <row r="66" spans="1:10" s="54" customFormat="1" ht="79.2">
      <c r="A66" s="47"/>
      <c r="B66" s="47"/>
      <c r="C66" s="200"/>
      <c r="D66" s="61" t="s">
        <v>1296</v>
      </c>
      <c r="E66" s="418"/>
      <c r="F66" s="104"/>
      <c r="G66" s="1047"/>
      <c r="H66" s="502"/>
    </row>
    <row r="67" spans="1:10" s="54" customFormat="1" ht="125.25" customHeight="1">
      <c r="A67" s="47"/>
      <c r="B67" s="47"/>
      <c r="C67" s="200"/>
      <c r="D67" s="61" t="s">
        <v>1480</v>
      </c>
      <c r="E67" s="418"/>
      <c r="F67" s="104"/>
      <c r="G67" s="1047"/>
      <c r="H67" s="502"/>
    </row>
    <row r="68" spans="1:10" s="54" customFormat="1" ht="120.75" customHeight="1">
      <c r="A68" s="47"/>
      <c r="B68" s="47"/>
      <c r="C68" s="200"/>
      <c r="D68" s="61" t="s">
        <v>1481</v>
      </c>
      <c r="E68" s="418"/>
      <c r="F68" s="104"/>
      <c r="G68" s="1047"/>
      <c r="H68" s="502"/>
    </row>
    <row r="69" spans="1:10" s="54" customFormat="1" ht="26.4">
      <c r="A69" s="47"/>
      <c r="B69" s="47"/>
      <c r="C69" s="200"/>
      <c r="D69" s="61" t="s">
        <v>1304</v>
      </c>
      <c r="E69" s="418"/>
      <c r="F69" s="104"/>
      <c r="G69" s="1045"/>
      <c r="H69" s="502"/>
    </row>
    <row r="70" spans="1:10" s="54" customFormat="1">
      <c r="A70" s="47"/>
      <c r="B70" s="47"/>
      <c r="C70" s="401"/>
      <c r="D70" s="174" t="s">
        <v>1311</v>
      </c>
      <c r="E70" s="418"/>
      <c r="F70" s="98"/>
      <c r="G70" s="1045"/>
      <c r="H70" s="26"/>
    </row>
    <row r="71" spans="1:10" s="54" customFormat="1" ht="15">
      <c r="A71" s="47"/>
      <c r="B71" s="47"/>
      <c r="C71" s="401"/>
      <c r="D71" s="174"/>
      <c r="E71" s="418" t="s">
        <v>391</v>
      </c>
      <c r="F71" s="98">
        <v>10</v>
      </c>
      <c r="G71" s="1046">
        <v>1500</v>
      </c>
      <c r="H71" s="26">
        <f>SUM(F71*G71)</f>
        <v>15000</v>
      </c>
      <c r="J71" s="512"/>
    </row>
    <row r="72" spans="1:10" s="54" customFormat="1">
      <c r="A72" s="47"/>
      <c r="B72" s="47"/>
      <c r="C72" s="401"/>
      <c r="D72" s="80"/>
      <c r="E72" s="418"/>
      <c r="F72" s="98"/>
      <c r="G72" s="1047"/>
      <c r="H72" s="175"/>
    </row>
    <row r="73" spans="1:10" s="54" customFormat="1" ht="66">
      <c r="A73" s="47" t="s">
        <v>1271</v>
      </c>
      <c r="B73" s="47" t="s">
        <v>402</v>
      </c>
      <c r="C73" s="200"/>
      <c r="D73" s="61" t="s">
        <v>1310</v>
      </c>
      <c r="E73" s="418"/>
      <c r="F73" s="104"/>
      <c r="G73" s="1047"/>
      <c r="H73" s="502"/>
    </row>
    <row r="74" spans="1:10" s="54" customFormat="1" ht="26.4">
      <c r="A74" s="47"/>
      <c r="B74" s="47"/>
      <c r="C74" s="200"/>
      <c r="D74" s="61" t="s">
        <v>1312</v>
      </c>
      <c r="E74" s="418"/>
      <c r="F74" s="104"/>
      <c r="G74" s="1047"/>
      <c r="H74" s="502"/>
    </row>
    <row r="75" spans="1:10" s="54" customFormat="1" ht="15">
      <c r="A75" s="47"/>
      <c r="B75" s="47"/>
      <c r="C75" s="401"/>
      <c r="D75" s="174" t="s">
        <v>1313</v>
      </c>
      <c r="E75" s="418" t="s">
        <v>391</v>
      </c>
      <c r="F75" s="98">
        <v>8</v>
      </c>
      <c r="G75" s="1046">
        <v>1500</v>
      </c>
      <c r="H75" s="26">
        <f>SUM(F75*G75)</f>
        <v>12000</v>
      </c>
      <c r="J75" s="512"/>
    </row>
    <row r="76" spans="1:10" s="54" customFormat="1">
      <c r="A76" s="47"/>
      <c r="B76" s="47"/>
      <c r="C76" s="401"/>
      <c r="D76" s="174"/>
      <c r="E76" s="418"/>
      <c r="F76" s="98"/>
      <c r="G76" s="1045"/>
      <c r="H76" s="26"/>
    </row>
    <row r="77" spans="1:10" s="54" customFormat="1" ht="39.6">
      <c r="A77" s="47" t="s">
        <v>1271</v>
      </c>
      <c r="B77" s="47" t="s">
        <v>43</v>
      </c>
      <c r="C77" s="401"/>
      <c r="D77" s="174" t="s">
        <v>1314</v>
      </c>
      <c r="E77" s="418"/>
      <c r="F77" s="98"/>
      <c r="G77" s="1045"/>
      <c r="H77" s="26"/>
    </row>
    <row r="78" spans="1:10" s="54" customFormat="1" ht="26.4">
      <c r="A78" s="47"/>
      <c r="B78" s="47"/>
      <c r="C78" s="401"/>
      <c r="D78" s="61" t="s">
        <v>1304</v>
      </c>
      <c r="E78" s="418"/>
      <c r="F78" s="104"/>
      <c r="G78" s="1047"/>
      <c r="H78" s="502"/>
      <c r="J78" s="512"/>
    </row>
    <row r="79" spans="1:10" s="54" customFormat="1">
      <c r="A79" s="47"/>
      <c r="B79" s="47"/>
      <c r="C79" s="401"/>
      <c r="D79" s="174" t="s">
        <v>1315</v>
      </c>
      <c r="E79" s="418" t="s">
        <v>391</v>
      </c>
      <c r="F79" s="98">
        <v>15</v>
      </c>
      <c r="G79" s="1046">
        <v>600</v>
      </c>
      <c r="H79" s="26">
        <f>SUM(F79*G79)</f>
        <v>9000</v>
      </c>
    </row>
    <row r="80" spans="1:10" s="54" customFormat="1">
      <c r="A80" s="47"/>
      <c r="B80" s="47"/>
      <c r="C80" s="401"/>
      <c r="D80" s="174"/>
      <c r="E80" s="418"/>
      <c r="F80" s="98"/>
      <c r="G80" s="1047"/>
      <c r="H80" s="26"/>
    </row>
    <row r="81" spans="1:10" s="54" customFormat="1" ht="39.6">
      <c r="A81" s="47" t="s">
        <v>1271</v>
      </c>
      <c r="B81" s="47" t="s">
        <v>185</v>
      </c>
      <c r="C81" s="401"/>
      <c r="D81" s="174" t="s">
        <v>1314</v>
      </c>
      <c r="E81" s="418"/>
      <c r="F81" s="98"/>
      <c r="G81" s="1047"/>
      <c r="H81" s="26"/>
    </row>
    <row r="82" spans="1:10" s="54" customFormat="1" ht="26.4">
      <c r="A82" s="47"/>
      <c r="B82" s="47"/>
      <c r="C82" s="401"/>
      <c r="D82" s="61" t="s">
        <v>1304</v>
      </c>
      <c r="E82" s="418"/>
      <c r="F82" s="104"/>
      <c r="G82" s="1047"/>
      <c r="H82" s="502"/>
    </row>
    <row r="83" spans="1:10" s="54" customFormat="1" ht="15">
      <c r="A83" s="47"/>
      <c r="B83" s="47"/>
      <c r="C83" s="401"/>
      <c r="D83" s="174" t="s">
        <v>1316</v>
      </c>
      <c r="E83" s="418" t="s">
        <v>391</v>
      </c>
      <c r="F83" s="98">
        <v>16</v>
      </c>
      <c r="G83" s="1046">
        <v>600</v>
      </c>
      <c r="H83" s="26">
        <f>SUM(F83*G83)</f>
        <v>9600</v>
      </c>
      <c r="J83" s="512"/>
    </row>
    <row r="84" spans="1:10" s="54" customFormat="1">
      <c r="A84" s="47"/>
      <c r="B84" s="47"/>
      <c r="C84" s="401"/>
      <c r="D84" s="174"/>
      <c r="E84" s="418"/>
      <c r="F84" s="98"/>
      <c r="G84" s="1045"/>
      <c r="H84" s="26"/>
    </row>
    <row r="85" spans="1:10" s="54" customFormat="1">
      <c r="A85" s="177"/>
      <c r="B85" s="177"/>
      <c r="C85" s="200"/>
      <c r="D85" s="195"/>
      <c r="E85" s="418"/>
      <c r="F85" s="104"/>
      <c r="G85" s="1045"/>
      <c r="H85" s="502"/>
    </row>
    <row r="86" spans="1:10" s="54" customFormat="1" ht="39.6">
      <c r="A86" s="47" t="s">
        <v>1271</v>
      </c>
      <c r="B86" s="47" t="s">
        <v>397</v>
      </c>
      <c r="C86" s="200"/>
      <c r="D86" s="61" t="s">
        <v>1317</v>
      </c>
      <c r="E86" s="418"/>
      <c r="F86" s="98"/>
      <c r="G86" s="1045"/>
      <c r="H86" s="26"/>
    </row>
    <row r="87" spans="1:10" s="54" customFormat="1" ht="26.4">
      <c r="A87" s="47"/>
      <c r="B87" s="47"/>
      <c r="C87" s="200"/>
      <c r="D87" s="61" t="s">
        <v>1304</v>
      </c>
      <c r="E87" s="418"/>
      <c r="F87" s="98"/>
      <c r="G87" s="1045"/>
      <c r="H87" s="26"/>
    </row>
    <row r="88" spans="1:10" s="54" customFormat="1">
      <c r="A88" s="47"/>
      <c r="B88" s="47"/>
      <c r="C88" s="401"/>
      <c r="D88" s="174" t="s">
        <v>1318</v>
      </c>
      <c r="E88" s="418"/>
      <c r="F88" s="98"/>
      <c r="G88" s="1045"/>
      <c r="H88" s="26"/>
    </row>
    <row r="89" spans="1:10" s="54" customFormat="1">
      <c r="A89" s="47"/>
      <c r="B89" s="47"/>
      <c r="C89" s="401"/>
      <c r="D89" s="174"/>
      <c r="E89" s="418" t="s">
        <v>391</v>
      </c>
      <c r="F89" s="98">
        <v>14</v>
      </c>
      <c r="G89" s="1046">
        <v>400</v>
      </c>
      <c r="H89" s="26">
        <f>SUM(F89*G89)</f>
        <v>5600</v>
      </c>
    </row>
    <row r="90" spans="1:10" s="54" customFormat="1" ht="15">
      <c r="A90" s="47"/>
      <c r="B90" s="47"/>
      <c r="C90" s="401"/>
      <c r="D90" s="80"/>
      <c r="E90" s="418"/>
      <c r="F90" s="98"/>
      <c r="G90" s="1045"/>
      <c r="H90" s="26"/>
      <c r="J90" s="512"/>
    </row>
    <row r="91" spans="1:10" s="54" customFormat="1" ht="39.6">
      <c r="A91" s="47" t="s">
        <v>1271</v>
      </c>
      <c r="B91" s="47" t="s">
        <v>109</v>
      </c>
      <c r="C91" s="401"/>
      <c r="D91" s="61" t="s">
        <v>1319</v>
      </c>
      <c r="E91" s="418"/>
      <c r="F91" s="98"/>
      <c r="G91" s="1045"/>
      <c r="H91" s="26"/>
    </row>
    <row r="92" spans="1:10" s="54" customFormat="1" ht="26.4">
      <c r="A92" s="47"/>
      <c r="B92" s="47"/>
      <c r="C92" s="401"/>
      <c r="D92" s="61" t="s">
        <v>1304</v>
      </c>
      <c r="E92" s="418"/>
      <c r="F92" s="98"/>
      <c r="G92" s="1045"/>
      <c r="H92" s="26"/>
    </row>
    <row r="93" spans="1:10" s="54" customFormat="1">
      <c r="A93" s="47"/>
      <c r="B93" s="47"/>
      <c r="C93" s="401"/>
      <c r="D93" s="174" t="s">
        <v>1320</v>
      </c>
      <c r="E93" s="418"/>
      <c r="F93" s="98"/>
      <c r="G93" s="1045"/>
      <c r="H93" s="26"/>
    </row>
    <row r="94" spans="1:10" s="54" customFormat="1" ht="15">
      <c r="A94" s="47"/>
      <c r="B94" s="47"/>
      <c r="C94" s="401"/>
      <c r="D94" s="174"/>
      <c r="E94" s="418" t="s">
        <v>391</v>
      </c>
      <c r="F94" s="98">
        <v>15</v>
      </c>
      <c r="G94" s="1046">
        <v>200</v>
      </c>
      <c r="H94" s="26">
        <f>SUM(F94*G94)</f>
        <v>3000</v>
      </c>
      <c r="J94" s="512"/>
    </row>
    <row r="95" spans="1:10" s="54" customFormat="1" ht="15">
      <c r="A95" s="47"/>
      <c r="B95" s="47"/>
      <c r="C95" s="401"/>
      <c r="D95" s="174"/>
      <c r="E95" s="418"/>
      <c r="F95" s="98"/>
      <c r="G95" s="1048"/>
      <c r="H95" s="26"/>
      <c r="J95" s="512"/>
    </row>
    <row r="96" spans="1:10" s="54" customFormat="1" ht="39.6">
      <c r="A96" s="47" t="s">
        <v>1271</v>
      </c>
      <c r="B96" s="47" t="s">
        <v>511</v>
      </c>
      <c r="C96" s="401"/>
      <c r="D96" s="61" t="s">
        <v>1321</v>
      </c>
      <c r="E96" s="418"/>
      <c r="F96" s="98"/>
      <c r="G96" s="1045"/>
      <c r="H96" s="26"/>
      <c r="J96" s="512"/>
    </row>
    <row r="97" spans="1:10" s="54" customFormat="1" ht="26.4">
      <c r="A97" s="47"/>
      <c r="B97" s="47"/>
      <c r="C97" s="401"/>
      <c r="D97" s="61" t="s">
        <v>1304</v>
      </c>
      <c r="E97" s="418"/>
      <c r="F97" s="98"/>
      <c r="G97" s="1045"/>
      <c r="H97" s="26"/>
      <c r="J97" s="512"/>
    </row>
    <row r="98" spans="1:10" s="54" customFormat="1">
      <c r="A98" s="47"/>
      <c r="B98" s="47"/>
      <c r="C98" s="401"/>
      <c r="D98" s="174" t="s">
        <v>1322</v>
      </c>
      <c r="E98" s="418"/>
      <c r="F98" s="98"/>
      <c r="G98" s="1045"/>
      <c r="H98" s="26"/>
    </row>
    <row r="99" spans="1:10" s="54" customFormat="1">
      <c r="A99" s="47"/>
      <c r="B99" s="47"/>
      <c r="C99" s="401"/>
      <c r="D99" s="174"/>
      <c r="E99" s="418" t="s">
        <v>391</v>
      </c>
      <c r="F99" s="98">
        <v>15</v>
      </c>
      <c r="G99" s="1046">
        <v>260</v>
      </c>
      <c r="H99" s="26">
        <f>SUM(F99*G99)</f>
        <v>3900</v>
      </c>
    </row>
    <row r="100" spans="1:10" s="54" customFormat="1">
      <c r="A100" s="47"/>
      <c r="B100" s="47"/>
      <c r="C100" s="401"/>
      <c r="D100" s="174"/>
      <c r="E100" s="418"/>
      <c r="F100" s="98"/>
      <c r="G100" s="1047"/>
      <c r="H100" s="26"/>
    </row>
    <row r="101" spans="1:10" s="54" customFormat="1" ht="39.6">
      <c r="A101" s="47" t="s">
        <v>1271</v>
      </c>
      <c r="B101" s="47" t="s">
        <v>512</v>
      </c>
      <c r="C101" s="49"/>
      <c r="D101" s="61" t="s">
        <v>1323</v>
      </c>
      <c r="E101" s="418"/>
      <c r="F101" s="98"/>
      <c r="G101" s="1045"/>
      <c r="H101" s="26"/>
    </row>
    <row r="102" spans="1:10" s="54" customFormat="1" ht="92.4">
      <c r="A102" s="177"/>
      <c r="B102" s="177"/>
      <c r="C102" s="49"/>
      <c r="D102" s="61" t="s">
        <v>1303</v>
      </c>
      <c r="E102" s="418"/>
      <c r="F102" s="98"/>
      <c r="G102" s="1045"/>
      <c r="H102" s="26"/>
    </row>
    <row r="103" spans="1:10" s="54" customFormat="1" ht="26.4">
      <c r="A103" s="177"/>
      <c r="B103" s="177"/>
      <c r="C103" s="49"/>
      <c r="D103" s="61" t="s">
        <v>1304</v>
      </c>
      <c r="E103" s="418"/>
      <c r="F103" s="98"/>
      <c r="G103" s="1045"/>
      <c r="H103" s="26"/>
    </row>
    <row r="104" spans="1:10" s="54" customFormat="1">
      <c r="A104" s="177"/>
      <c r="B104" s="177"/>
      <c r="C104" s="49"/>
      <c r="D104" s="174" t="s">
        <v>1324</v>
      </c>
      <c r="E104" s="418"/>
      <c r="F104" s="98"/>
      <c r="G104" s="1045"/>
      <c r="H104" s="26"/>
    </row>
    <row r="105" spans="1:10" s="54" customFormat="1">
      <c r="A105" s="177"/>
      <c r="B105" s="177"/>
      <c r="C105" s="49"/>
      <c r="D105" s="174"/>
      <c r="E105" s="418" t="s">
        <v>391</v>
      </c>
      <c r="F105" s="98">
        <v>4</v>
      </c>
      <c r="G105" s="1046">
        <v>200</v>
      </c>
      <c r="H105" s="26">
        <f>SUM(F105*G105)</f>
        <v>800</v>
      </c>
    </row>
    <row r="106" spans="1:10" s="54" customFormat="1">
      <c r="A106" s="47"/>
      <c r="B106" s="47"/>
      <c r="C106" s="401"/>
      <c r="D106" s="174"/>
      <c r="E106" s="418"/>
      <c r="F106" s="98"/>
      <c r="G106" s="1048"/>
      <c r="H106" s="26"/>
    </row>
    <row r="107" spans="1:10" s="54" customFormat="1" ht="39.6">
      <c r="A107" s="47" t="s">
        <v>1271</v>
      </c>
      <c r="B107" s="47" t="s">
        <v>513</v>
      </c>
      <c r="C107" s="401"/>
      <c r="D107" s="61" t="s">
        <v>1325</v>
      </c>
      <c r="E107" s="418"/>
      <c r="F107" s="98"/>
      <c r="G107" s="1048"/>
      <c r="H107" s="26"/>
    </row>
    <row r="108" spans="1:10" s="54" customFormat="1" ht="26.4">
      <c r="A108" s="47"/>
      <c r="B108" s="47"/>
      <c r="C108" s="401"/>
      <c r="D108" s="61" t="s">
        <v>1304</v>
      </c>
      <c r="E108" s="418"/>
      <c r="F108" s="98"/>
      <c r="G108" s="1045"/>
      <c r="H108" s="26"/>
    </row>
    <row r="109" spans="1:10" s="54" customFormat="1">
      <c r="A109" s="47"/>
      <c r="B109" s="47"/>
      <c r="C109" s="401"/>
      <c r="D109" s="174" t="s">
        <v>1326</v>
      </c>
      <c r="E109" s="418"/>
      <c r="F109" s="98"/>
      <c r="G109" s="1045"/>
      <c r="H109" s="26"/>
    </row>
    <row r="110" spans="1:10" s="54" customFormat="1">
      <c r="A110" s="47"/>
      <c r="B110" s="47"/>
      <c r="C110" s="401"/>
      <c r="D110" s="174"/>
      <c r="E110" s="418" t="s">
        <v>391</v>
      </c>
      <c r="F110" s="98">
        <v>8</v>
      </c>
      <c r="G110" s="1046">
        <v>300</v>
      </c>
      <c r="H110" s="26">
        <f>SUM(F110*G110)</f>
        <v>2400</v>
      </c>
    </row>
    <row r="111" spans="1:10" s="54" customFormat="1">
      <c r="A111" s="47"/>
      <c r="B111" s="47"/>
      <c r="C111" s="401"/>
      <c r="D111" s="174"/>
      <c r="E111" s="418"/>
      <c r="F111" s="98"/>
      <c r="G111" s="1048"/>
      <c r="H111" s="26"/>
    </row>
    <row r="112" spans="1:10" s="54" customFormat="1" ht="39.6">
      <c r="A112" s="47" t="s">
        <v>1271</v>
      </c>
      <c r="B112" s="47" t="s">
        <v>514</v>
      </c>
      <c r="C112" s="401"/>
      <c r="D112" s="61" t="s">
        <v>1327</v>
      </c>
      <c r="E112" s="418"/>
      <c r="F112" s="98"/>
      <c r="G112" s="1048"/>
      <c r="H112" s="26"/>
    </row>
    <row r="113" spans="1:10" s="54" customFormat="1" ht="26.4">
      <c r="A113" s="47"/>
      <c r="B113" s="47"/>
      <c r="C113" s="401"/>
      <c r="D113" s="61" t="s">
        <v>1304</v>
      </c>
      <c r="E113" s="418"/>
      <c r="F113" s="98"/>
      <c r="G113" s="1045"/>
      <c r="H113" s="26"/>
    </row>
    <row r="114" spans="1:10" s="54" customFormat="1">
      <c r="A114" s="47"/>
      <c r="B114" s="47"/>
      <c r="C114" s="401"/>
      <c r="D114" s="174" t="s">
        <v>1328</v>
      </c>
      <c r="E114" s="418"/>
      <c r="F114" s="98"/>
      <c r="G114" s="1045"/>
      <c r="H114" s="26"/>
    </row>
    <row r="115" spans="1:10" s="54" customFormat="1">
      <c r="A115" s="47"/>
      <c r="B115" s="47"/>
      <c r="C115" s="401"/>
      <c r="D115" s="174"/>
      <c r="E115" s="418" t="s">
        <v>391</v>
      </c>
      <c r="F115" s="98">
        <v>4</v>
      </c>
      <c r="G115" s="1046">
        <v>350</v>
      </c>
      <c r="H115" s="26">
        <f>SUM(F115*G115)</f>
        <v>1400</v>
      </c>
    </row>
    <row r="116" spans="1:10" s="54" customFormat="1">
      <c r="A116" s="47"/>
      <c r="B116" s="47"/>
      <c r="C116" s="401"/>
      <c r="D116" s="174"/>
      <c r="E116" s="418"/>
      <c r="F116" s="98"/>
      <c r="G116" s="1047"/>
      <c r="H116" s="26"/>
    </row>
    <row r="117" spans="1:10" s="54" customFormat="1" ht="179.25" customHeight="1">
      <c r="A117" s="47" t="s">
        <v>1271</v>
      </c>
      <c r="B117" s="47" t="s">
        <v>515</v>
      </c>
      <c r="C117" s="401"/>
      <c r="D117" s="61" t="s">
        <v>1329</v>
      </c>
      <c r="E117" s="418"/>
      <c r="F117" s="98"/>
      <c r="G117" s="1047"/>
      <c r="H117" s="26"/>
      <c r="J117" s="512"/>
    </row>
    <row r="118" spans="1:10" s="54" customFormat="1">
      <c r="A118" s="47"/>
      <c r="B118" s="47"/>
      <c r="C118" s="401" t="s">
        <v>240</v>
      </c>
      <c r="D118" s="202" t="s">
        <v>1330</v>
      </c>
      <c r="E118" s="418" t="s">
        <v>391</v>
      </c>
      <c r="F118" s="98">
        <v>18</v>
      </c>
      <c r="G118" s="1046">
        <v>250</v>
      </c>
      <c r="H118" s="26">
        <f t="shared" ref="H118:H123" si="0">SUM(F118*G118)</f>
        <v>4500</v>
      </c>
    </row>
    <row r="119" spans="1:10" s="54" customFormat="1">
      <c r="A119" s="47"/>
      <c r="B119" s="47"/>
      <c r="C119" s="401" t="s">
        <v>241</v>
      </c>
      <c r="D119" s="202" t="s">
        <v>1331</v>
      </c>
      <c r="E119" s="418" t="s">
        <v>391</v>
      </c>
      <c r="F119" s="98">
        <v>18</v>
      </c>
      <c r="G119" s="1046">
        <v>400</v>
      </c>
      <c r="H119" s="26">
        <f t="shared" si="0"/>
        <v>7200</v>
      </c>
    </row>
    <row r="120" spans="1:10" s="54" customFormat="1">
      <c r="A120" s="47"/>
      <c r="B120" s="47"/>
      <c r="C120" s="401" t="s">
        <v>242</v>
      </c>
      <c r="D120" s="202" t="s">
        <v>1332</v>
      </c>
      <c r="E120" s="418" t="s">
        <v>391</v>
      </c>
      <c r="F120" s="98">
        <v>31</v>
      </c>
      <c r="G120" s="1046">
        <v>300</v>
      </c>
      <c r="H120" s="26">
        <f t="shared" si="0"/>
        <v>9300</v>
      </c>
    </row>
    <row r="121" spans="1:10" s="54" customFormat="1">
      <c r="A121" s="47"/>
      <c r="B121" s="47"/>
      <c r="C121" s="401" t="s">
        <v>221</v>
      </c>
      <c r="D121" s="202" t="s">
        <v>1333</v>
      </c>
      <c r="E121" s="418" t="s">
        <v>391</v>
      </c>
      <c r="F121" s="98">
        <v>4</v>
      </c>
      <c r="G121" s="1046">
        <v>150</v>
      </c>
      <c r="H121" s="26">
        <f t="shared" si="0"/>
        <v>600</v>
      </c>
    </row>
    <row r="122" spans="1:10" s="54" customFormat="1">
      <c r="A122" s="47"/>
      <c r="B122" s="47"/>
      <c r="C122" s="401" t="s">
        <v>525</v>
      </c>
      <c r="D122" s="202" t="s">
        <v>1334</v>
      </c>
      <c r="E122" s="418" t="s">
        <v>391</v>
      </c>
      <c r="F122" s="98">
        <v>8</v>
      </c>
      <c r="G122" s="1046">
        <v>160</v>
      </c>
      <c r="H122" s="26">
        <f t="shared" si="0"/>
        <v>1280</v>
      </c>
    </row>
    <row r="123" spans="1:10" s="54" customFormat="1">
      <c r="A123" s="47"/>
      <c r="B123" s="47"/>
      <c r="C123" s="401" t="s">
        <v>914</v>
      </c>
      <c r="D123" s="202" t="s">
        <v>1335</v>
      </c>
      <c r="E123" s="418" t="s">
        <v>391</v>
      </c>
      <c r="F123" s="98">
        <v>4</v>
      </c>
      <c r="G123" s="1046">
        <v>200</v>
      </c>
      <c r="H123" s="26">
        <f t="shared" si="0"/>
        <v>800</v>
      </c>
    </row>
    <row r="124" spans="1:10" s="54" customFormat="1" ht="13.8" thickBot="1">
      <c r="A124" s="152"/>
      <c r="B124" s="152"/>
      <c r="C124" s="412"/>
      <c r="D124" s="513"/>
      <c r="E124" s="413"/>
      <c r="F124" s="414"/>
      <c r="G124" s="1049"/>
      <c r="H124" s="162"/>
    </row>
    <row r="125" spans="1:10" s="54" customFormat="1" ht="24.75" customHeight="1">
      <c r="A125" s="47" t="s">
        <v>1271</v>
      </c>
      <c r="B125" s="47"/>
      <c r="C125" s="168"/>
      <c r="D125" s="1152" t="s">
        <v>1336</v>
      </c>
      <c r="E125" s="1153"/>
      <c r="F125" s="1153"/>
      <c r="G125" s="1050"/>
      <c r="H125" s="26">
        <f>SUM(H21:H123)</f>
        <v>106880</v>
      </c>
    </row>
    <row r="126" spans="1:10" s="54" customFormat="1">
      <c r="A126" s="177"/>
      <c r="B126" s="177"/>
      <c r="C126" s="514"/>
      <c r="D126" s="505"/>
      <c r="E126" s="515"/>
      <c r="F126" s="104"/>
      <c r="G126" s="1050"/>
      <c r="H126" s="516"/>
    </row>
  </sheetData>
  <mergeCells count="1">
    <mergeCell ref="D125:F125"/>
  </mergeCells>
  <pageMargins left="0.74803149606299202" right="0.55118110236220497" top="1.02362204724409" bottom="0.78740157480314998" header="0.43307086614173201" footer="0.511811023622047"/>
  <pageSetup paperSize="9" orientation="portrait" horizontalDpi="4294967293" verticalDpi="4294967293"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E5B1-6AB2-4180-8C46-66B6DC2479E9}">
  <sheetPr>
    <tabColor rgb="FF92D050"/>
  </sheetPr>
  <dimension ref="A1:H66"/>
  <sheetViews>
    <sheetView view="pageBreakPreview" topLeftCell="A58" zoomScaleNormal="100" zoomScaleSheetLayoutView="100" zoomScalePageLayoutView="90" workbookViewId="0">
      <selection activeCell="G23" sqref="G23"/>
    </sheetView>
  </sheetViews>
  <sheetFormatPr defaultColWidth="8.54296875" defaultRowHeight="13.2"/>
  <cols>
    <col min="1" max="1" width="4.08984375" style="197" bestFit="1" customWidth="1"/>
    <col min="2" max="2" width="2.81640625" style="198" customWidth="1"/>
    <col min="3" max="3" width="1.90625" style="16" customWidth="1"/>
    <col min="4" max="4" width="31.1796875" style="199" customWidth="1"/>
    <col min="5" max="5" width="4.54296875" style="15" customWidth="1"/>
    <col min="6" max="6" width="7.90625" style="517" customWidth="1"/>
    <col min="7" max="7" width="10.08984375" style="1036" customWidth="1"/>
    <col min="8" max="8" width="11.453125" style="179" customWidth="1"/>
    <col min="9" max="16384" width="8.54296875" style="16"/>
  </cols>
  <sheetData>
    <row r="1" spans="1:8" s="54" customFormat="1" ht="15.6">
      <c r="A1" s="518"/>
      <c r="B1" s="519"/>
      <c r="C1" s="520"/>
      <c r="D1" s="500"/>
      <c r="E1" s="521"/>
      <c r="F1" s="522"/>
      <c r="G1" s="1051"/>
      <c r="H1" s="523"/>
    </row>
    <row r="2" spans="1:8" s="13" customFormat="1" ht="13.8" thickBot="1">
      <c r="A2" s="137" t="s">
        <v>1338</v>
      </c>
      <c r="B2" s="137"/>
      <c r="C2" s="138"/>
      <c r="D2" s="148" t="s">
        <v>547</v>
      </c>
      <c r="E2" s="149"/>
      <c r="F2" s="159"/>
      <c r="G2" s="999"/>
      <c r="H2" s="150"/>
    </row>
    <row r="3" spans="1:8" s="54" customFormat="1" ht="15">
      <c r="A3" s="503"/>
      <c r="B3" s="524"/>
      <c r="C3" s="520"/>
      <c r="D3" s="505"/>
      <c r="E3" s="405"/>
      <c r="F3" s="410"/>
      <c r="G3" s="1044"/>
      <c r="H3" s="523"/>
    </row>
    <row r="4" spans="1:8" s="514" customFormat="1" ht="15">
      <c r="A4" s="525"/>
      <c r="B4" s="525"/>
      <c r="C4" s="526"/>
      <c r="D4" s="166" t="s">
        <v>314</v>
      </c>
      <c r="E4" s="194"/>
      <c r="F4" s="527"/>
      <c r="G4" s="1052"/>
      <c r="H4" s="528"/>
    </row>
    <row r="5" spans="1:8" s="514" customFormat="1" ht="52.8">
      <c r="A5" s="525"/>
      <c r="B5" s="525"/>
      <c r="C5" s="526"/>
      <c r="D5" s="166" t="s">
        <v>518</v>
      </c>
      <c r="E5" s="194"/>
      <c r="F5" s="527"/>
      <c r="G5" s="1052"/>
      <c r="H5" s="528"/>
    </row>
    <row r="6" spans="1:8" s="54" customFormat="1" ht="54" customHeight="1">
      <c r="A6" s="518"/>
      <c r="B6" s="519"/>
      <c r="C6" s="520"/>
      <c r="D6" s="529" t="s">
        <v>1273</v>
      </c>
      <c r="E6" s="405"/>
      <c r="F6" s="507"/>
      <c r="G6" s="1044"/>
      <c r="H6" s="523"/>
    </row>
    <row r="7" spans="1:8" s="54" customFormat="1" ht="175.5" customHeight="1">
      <c r="A7" s="518"/>
      <c r="B7" s="519"/>
      <c r="C7" s="520"/>
      <c r="D7" s="166" t="s">
        <v>1339</v>
      </c>
      <c r="E7" s="405"/>
      <c r="F7" s="507"/>
      <c r="G7" s="1044"/>
      <c r="H7" s="523"/>
    </row>
    <row r="8" spans="1:8" s="54" customFormat="1" ht="132">
      <c r="A8" s="518"/>
      <c r="B8" s="519"/>
      <c r="C8" s="520"/>
      <c r="D8" s="166" t="s">
        <v>1340</v>
      </c>
      <c r="E8" s="405"/>
      <c r="F8" s="507"/>
      <c r="G8" s="1044"/>
      <c r="H8" s="528"/>
    </row>
    <row r="9" spans="1:8" s="54" customFormat="1" ht="69.75" customHeight="1">
      <c r="A9" s="518"/>
      <c r="B9" s="519"/>
      <c r="C9" s="520"/>
      <c r="D9" s="166" t="s">
        <v>1341</v>
      </c>
      <c r="E9" s="405"/>
      <c r="F9" s="507"/>
      <c r="G9" s="1044"/>
      <c r="H9" s="523"/>
    </row>
    <row r="10" spans="1:8" s="54" customFormat="1" ht="39.6">
      <c r="A10" s="518"/>
      <c r="B10" s="519"/>
      <c r="C10" s="520"/>
      <c r="D10" s="166" t="s">
        <v>1342</v>
      </c>
      <c r="E10" s="405"/>
      <c r="F10" s="507"/>
      <c r="G10" s="1044"/>
      <c r="H10" s="523"/>
    </row>
    <row r="11" spans="1:8" s="54" customFormat="1" ht="118.8">
      <c r="A11" s="519"/>
      <c r="B11" s="519"/>
      <c r="C11" s="520"/>
      <c r="D11" s="80" t="s">
        <v>1343</v>
      </c>
      <c r="E11" s="405"/>
      <c r="F11" s="410"/>
      <c r="G11" s="1044"/>
      <c r="H11" s="523"/>
    </row>
    <row r="12" spans="1:8" s="54" customFormat="1" ht="39.6">
      <c r="A12" s="519"/>
      <c r="B12" s="519"/>
      <c r="C12" s="520"/>
      <c r="D12" s="157" t="s">
        <v>1344</v>
      </c>
      <c r="E12" s="405"/>
      <c r="F12" s="410"/>
      <c r="G12" s="1044"/>
      <c r="H12" s="523"/>
    </row>
    <row r="13" spans="1:8" s="54" customFormat="1" ht="39.6">
      <c r="A13" s="519"/>
      <c r="B13" s="519"/>
      <c r="C13" s="520"/>
      <c r="D13" s="157" t="s">
        <v>1345</v>
      </c>
      <c r="E13" s="405"/>
      <c r="F13" s="410"/>
      <c r="G13" s="1044"/>
      <c r="H13" s="523"/>
    </row>
    <row r="14" spans="1:8" s="54" customFormat="1" ht="39.6">
      <c r="A14" s="519"/>
      <c r="B14" s="519"/>
      <c r="C14" s="520"/>
      <c r="D14" s="97" t="s">
        <v>1278</v>
      </c>
      <c r="E14" s="405"/>
      <c r="F14" s="410"/>
      <c r="G14" s="1044"/>
      <c r="H14" s="523"/>
    </row>
    <row r="15" spans="1:8" s="54" customFormat="1" ht="15">
      <c r="A15" s="519"/>
      <c r="B15" s="519"/>
      <c r="C15" s="520"/>
      <c r="D15" s="427"/>
      <c r="E15" s="405"/>
      <c r="F15" s="410"/>
      <c r="G15" s="1044"/>
      <c r="H15" s="523"/>
    </row>
    <row r="16" spans="1:8" s="54" customFormat="1">
      <c r="A16" s="25" t="s">
        <v>507</v>
      </c>
      <c r="B16" s="25" t="s">
        <v>508</v>
      </c>
      <c r="C16" s="39"/>
      <c r="D16" s="61" t="s">
        <v>504</v>
      </c>
      <c r="E16" s="411" t="s">
        <v>505</v>
      </c>
      <c r="F16" s="169" t="s">
        <v>506</v>
      </c>
      <c r="G16" s="1039" t="s">
        <v>509</v>
      </c>
      <c r="H16" s="63" t="s">
        <v>510</v>
      </c>
    </row>
    <row r="17" spans="1:8" s="54" customFormat="1" ht="15">
      <c r="A17" s="519"/>
      <c r="B17" s="519"/>
      <c r="C17" s="520"/>
      <c r="D17" s="195"/>
      <c r="E17" s="405"/>
      <c r="F17" s="410"/>
      <c r="G17" s="1044"/>
      <c r="H17" s="523"/>
    </row>
    <row r="18" spans="1:8" s="54" customFormat="1" ht="92.4">
      <c r="A18" s="47" t="s">
        <v>1338</v>
      </c>
      <c r="B18" s="47" t="s">
        <v>128</v>
      </c>
      <c r="C18" s="520"/>
      <c r="D18" s="151" t="s">
        <v>1346</v>
      </c>
      <c r="E18" s="405"/>
      <c r="F18" s="410"/>
      <c r="G18" s="1044"/>
      <c r="H18" s="523"/>
    </row>
    <row r="19" spans="1:8" s="54" customFormat="1" ht="200.25" customHeight="1">
      <c r="A19" s="519"/>
      <c r="B19" s="519"/>
      <c r="C19" s="520"/>
      <c r="D19" s="151" t="s">
        <v>1347</v>
      </c>
      <c r="E19" s="405"/>
      <c r="F19" s="410"/>
      <c r="G19" s="1044"/>
      <c r="H19" s="523"/>
    </row>
    <row r="20" spans="1:8" s="54" customFormat="1" ht="92.4">
      <c r="A20" s="519"/>
      <c r="B20" s="519"/>
      <c r="C20" s="520"/>
      <c r="D20" s="61" t="s">
        <v>1348</v>
      </c>
      <c r="E20" s="405"/>
      <c r="F20" s="410"/>
      <c r="G20" s="1044"/>
      <c r="H20" s="523"/>
    </row>
    <row r="21" spans="1:8" s="54" customFormat="1" ht="15">
      <c r="A21" s="519"/>
      <c r="B21" s="519"/>
      <c r="C21" s="520"/>
      <c r="D21" s="151" t="s">
        <v>1349</v>
      </c>
      <c r="E21" s="405"/>
      <c r="F21" s="410"/>
      <c r="G21" s="1044"/>
      <c r="H21" s="523"/>
    </row>
    <row r="22" spans="1:8" s="54" customFormat="1" ht="15">
      <c r="A22" s="519"/>
      <c r="B22" s="519"/>
      <c r="C22" s="520"/>
      <c r="D22" s="195"/>
      <c r="E22" s="418" t="s">
        <v>391</v>
      </c>
      <c r="F22" s="98">
        <v>1</v>
      </c>
      <c r="G22" s="1046">
        <v>3000</v>
      </c>
      <c r="H22" s="26">
        <f>SUM(F22*G22)</f>
        <v>3000</v>
      </c>
    </row>
    <row r="23" spans="1:8" s="54" customFormat="1" ht="15">
      <c r="A23" s="519"/>
      <c r="B23" s="519"/>
      <c r="C23" s="520"/>
      <c r="D23" s="195"/>
      <c r="E23" s="405"/>
      <c r="F23" s="410"/>
      <c r="G23" s="1044"/>
      <c r="H23" s="523"/>
    </row>
    <row r="24" spans="1:8" s="54" customFormat="1" ht="95.25" customHeight="1">
      <c r="A24" s="47" t="s">
        <v>1338</v>
      </c>
      <c r="B24" s="47" t="s">
        <v>231</v>
      </c>
      <c r="C24" s="520"/>
      <c r="D24" s="151" t="s">
        <v>1372</v>
      </c>
      <c r="E24" s="405"/>
      <c r="F24" s="410"/>
      <c r="G24" s="1044"/>
      <c r="H24" s="523"/>
    </row>
    <row r="25" spans="1:8" s="54" customFormat="1" ht="165" customHeight="1">
      <c r="A25" s="519"/>
      <c r="B25" s="519"/>
      <c r="C25" s="520"/>
      <c r="D25" s="80" t="s">
        <v>1350</v>
      </c>
      <c r="E25" s="405"/>
      <c r="F25" s="410"/>
      <c r="G25" s="1044"/>
      <c r="H25" s="523"/>
    </row>
    <row r="26" spans="1:8" s="54" customFormat="1" ht="132">
      <c r="A26" s="519"/>
      <c r="B26" s="519"/>
      <c r="C26" s="520"/>
      <c r="D26" s="80" t="s">
        <v>1351</v>
      </c>
      <c r="E26" s="405"/>
      <c r="F26" s="410"/>
      <c r="G26" s="1044"/>
      <c r="H26" s="523"/>
    </row>
    <row r="27" spans="1:8" s="54" customFormat="1" ht="54.75" customHeight="1">
      <c r="A27" s="47"/>
      <c r="B27" s="47"/>
      <c r="C27" s="520"/>
      <c r="D27" s="80" t="s">
        <v>1352</v>
      </c>
      <c r="E27" s="405"/>
      <c r="F27" s="410"/>
      <c r="G27" s="1044"/>
      <c r="H27" s="523"/>
    </row>
    <row r="28" spans="1:8" s="54" customFormat="1" ht="15">
      <c r="A28" s="47"/>
      <c r="B28" s="47"/>
      <c r="C28" s="520"/>
      <c r="D28" s="151" t="s">
        <v>1353</v>
      </c>
      <c r="E28" s="405"/>
      <c r="F28" s="410"/>
      <c r="G28" s="1044"/>
      <c r="H28" s="523"/>
    </row>
    <row r="29" spans="1:8" s="54" customFormat="1" ht="15">
      <c r="A29" s="519"/>
      <c r="B29" s="519"/>
      <c r="C29" s="520"/>
      <c r="D29" s="195"/>
      <c r="E29" s="418" t="s">
        <v>391</v>
      </c>
      <c r="F29" s="98">
        <v>3</v>
      </c>
      <c r="G29" s="1046">
        <v>1500</v>
      </c>
      <c r="H29" s="26">
        <f>SUM(F29*G29)</f>
        <v>4500</v>
      </c>
    </row>
    <row r="30" spans="1:8" s="54" customFormat="1" ht="15">
      <c r="A30" s="519"/>
      <c r="B30" s="519"/>
      <c r="C30" s="520"/>
      <c r="D30" s="195"/>
      <c r="E30" s="405"/>
      <c r="F30" s="410"/>
      <c r="G30" s="1044"/>
      <c r="H30" s="523"/>
    </row>
    <row r="31" spans="1:8" s="54" customFormat="1" ht="70.5" customHeight="1">
      <c r="A31" s="47" t="s">
        <v>1338</v>
      </c>
      <c r="B31" s="47" t="s">
        <v>93</v>
      </c>
      <c r="C31" s="520"/>
      <c r="D31" s="61" t="s">
        <v>1354</v>
      </c>
      <c r="E31" s="419"/>
      <c r="F31" s="507"/>
      <c r="G31" s="1050"/>
      <c r="H31" s="523"/>
    </row>
    <row r="32" spans="1:8" s="54" customFormat="1" ht="152.25" customHeight="1">
      <c r="A32" s="177"/>
      <c r="B32" s="177"/>
      <c r="C32" s="520"/>
      <c r="D32" s="61" t="s">
        <v>1355</v>
      </c>
      <c r="E32" s="419"/>
      <c r="F32" s="507"/>
      <c r="G32" s="1045"/>
      <c r="H32" s="523"/>
    </row>
    <row r="33" spans="1:8" s="54" customFormat="1" ht="39.6">
      <c r="A33" s="177"/>
      <c r="B33" s="177"/>
      <c r="C33" s="520"/>
      <c r="D33" s="61" t="s">
        <v>1356</v>
      </c>
      <c r="E33" s="419"/>
      <c r="F33" s="507"/>
      <c r="G33" s="1045"/>
      <c r="H33" s="523"/>
    </row>
    <row r="34" spans="1:8" s="54" customFormat="1" ht="105.6">
      <c r="A34" s="177"/>
      <c r="B34" s="177"/>
      <c r="C34" s="520"/>
      <c r="D34" s="80" t="s">
        <v>1357</v>
      </c>
      <c r="E34" s="419"/>
      <c r="F34" s="507"/>
      <c r="G34" s="1045"/>
      <c r="H34" s="523"/>
    </row>
    <row r="35" spans="1:8" s="54" customFormat="1" ht="15">
      <c r="A35" s="177"/>
      <c r="B35" s="177"/>
      <c r="C35" s="520"/>
      <c r="D35" s="80" t="s">
        <v>1358</v>
      </c>
      <c r="E35" s="419"/>
      <c r="F35" s="507"/>
      <c r="G35" s="1045"/>
      <c r="H35" s="523"/>
    </row>
    <row r="36" spans="1:8" s="54" customFormat="1" ht="15">
      <c r="A36" s="177" t="s">
        <v>330</v>
      </c>
      <c r="B36" s="177" t="s">
        <v>330</v>
      </c>
      <c r="C36" s="520"/>
      <c r="D36" s="97" t="s">
        <v>1259</v>
      </c>
      <c r="E36" s="418" t="s">
        <v>391</v>
      </c>
      <c r="F36" s="98">
        <v>1</v>
      </c>
      <c r="G36" s="1041">
        <v>1500</v>
      </c>
      <c r="H36" s="26">
        <f>SUM(F36*G36)</f>
        <v>1500</v>
      </c>
    </row>
    <row r="37" spans="1:8" s="54" customFormat="1" ht="15">
      <c r="A37" s="177"/>
      <c r="B37" s="177"/>
      <c r="C37" s="520"/>
      <c r="D37" s="97"/>
      <c r="E37" s="418"/>
      <c r="F37" s="98"/>
      <c r="G37" s="1045"/>
      <c r="H37" s="26"/>
    </row>
    <row r="38" spans="1:8" s="54" customFormat="1" ht="70.5" customHeight="1">
      <c r="A38" s="47" t="s">
        <v>1338</v>
      </c>
      <c r="B38" s="47" t="s">
        <v>320</v>
      </c>
      <c r="C38" s="520"/>
      <c r="D38" s="61" t="s">
        <v>1359</v>
      </c>
      <c r="E38" s="418"/>
      <c r="F38" s="98"/>
      <c r="G38" s="1045"/>
      <c r="H38" s="26"/>
    </row>
    <row r="39" spans="1:8" s="54" customFormat="1" ht="15">
      <c r="A39" s="47"/>
      <c r="B39" s="47"/>
      <c r="C39" s="520"/>
      <c r="D39" s="97" t="s">
        <v>1360</v>
      </c>
      <c r="E39" s="418"/>
      <c r="F39" s="98"/>
      <c r="G39" s="1045"/>
      <c r="H39" s="26"/>
    </row>
    <row r="40" spans="1:8" s="54" customFormat="1" ht="15">
      <c r="A40" s="47"/>
      <c r="B40" s="47"/>
      <c r="C40" s="520"/>
      <c r="D40" s="151" t="s">
        <v>1361</v>
      </c>
      <c r="E40" s="418"/>
      <c r="F40" s="98"/>
      <c r="G40" s="1045"/>
      <c r="H40" s="26"/>
    </row>
    <row r="41" spans="1:8" s="54" customFormat="1" ht="13.5" customHeight="1">
      <c r="A41" s="47"/>
      <c r="B41" s="47"/>
      <c r="C41" s="482" t="s">
        <v>240</v>
      </c>
      <c r="D41" s="124" t="s">
        <v>1258</v>
      </c>
      <c r="E41" s="125" t="s">
        <v>391</v>
      </c>
      <c r="F41" s="126">
        <v>8</v>
      </c>
      <c r="G41" s="1041">
        <v>1500</v>
      </c>
      <c r="H41" s="530">
        <f>SUM(F41*G41)</f>
        <v>12000</v>
      </c>
    </row>
    <row r="42" spans="1:8" s="54" customFormat="1" ht="14.25" customHeight="1">
      <c r="A42" s="47"/>
      <c r="B42" s="47"/>
      <c r="C42" s="482" t="s">
        <v>241</v>
      </c>
      <c r="D42" s="124" t="s">
        <v>1259</v>
      </c>
      <c r="E42" s="125" t="s">
        <v>391</v>
      </c>
      <c r="F42" s="126">
        <v>9</v>
      </c>
      <c r="G42" s="1041">
        <v>1500</v>
      </c>
      <c r="H42" s="530">
        <f>SUM(F42*G42)</f>
        <v>13500</v>
      </c>
    </row>
    <row r="43" spans="1:8" s="54" customFormat="1">
      <c r="A43" s="47"/>
      <c r="B43" s="47"/>
      <c r="C43" s="482"/>
      <c r="D43" s="124"/>
      <c r="E43" s="125"/>
      <c r="F43" s="126"/>
      <c r="G43" s="1045"/>
      <c r="H43" s="26"/>
    </row>
    <row r="44" spans="1:8" s="54" customFormat="1" ht="92.4">
      <c r="A44" s="47" t="s">
        <v>1338</v>
      </c>
      <c r="B44" s="47" t="s">
        <v>326</v>
      </c>
      <c r="C44" s="482"/>
      <c r="D44" s="460" t="s">
        <v>1362</v>
      </c>
      <c r="E44" s="125"/>
      <c r="F44" s="126"/>
      <c r="G44" s="1045"/>
      <c r="H44" s="26"/>
    </row>
    <row r="45" spans="1:8" s="54" customFormat="1" ht="135.75" customHeight="1">
      <c r="A45" s="47"/>
      <c r="B45" s="47"/>
      <c r="C45" s="482"/>
      <c r="D45" s="460" t="s">
        <v>1363</v>
      </c>
      <c r="E45" s="125"/>
      <c r="F45" s="126"/>
      <c r="G45" s="1045"/>
      <c r="H45" s="26"/>
    </row>
    <row r="46" spans="1:8" s="54" customFormat="1">
      <c r="A46" s="47"/>
      <c r="B46" s="47"/>
      <c r="C46" s="482"/>
      <c r="D46" s="151" t="s">
        <v>1364</v>
      </c>
      <c r="E46" s="125"/>
      <c r="F46" s="126"/>
      <c r="G46" s="1045"/>
      <c r="H46" s="26"/>
    </row>
    <row r="47" spans="1:8" s="54" customFormat="1">
      <c r="A47" s="47"/>
      <c r="B47" s="47"/>
      <c r="C47" s="482"/>
      <c r="D47" s="124"/>
      <c r="E47" s="125" t="s">
        <v>391</v>
      </c>
      <c r="F47" s="126">
        <v>1</v>
      </c>
      <c r="G47" s="1045">
        <v>1000</v>
      </c>
      <c r="H47" s="26">
        <f>SUM(F47*G47)</f>
        <v>1000</v>
      </c>
    </row>
    <row r="48" spans="1:8" s="54" customFormat="1">
      <c r="A48" s="47"/>
      <c r="B48" s="47"/>
      <c r="C48" s="482"/>
      <c r="D48" s="124"/>
      <c r="E48" s="125"/>
      <c r="F48" s="126"/>
      <c r="G48" s="1045"/>
      <c r="H48" s="26"/>
    </row>
    <row r="49" spans="1:8" s="54" customFormat="1" ht="83.25" customHeight="1">
      <c r="A49" s="47" t="s">
        <v>1338</v>
      </c>
      <c r="B49" s="47" t="s">
        <v>284</v>
      </c>
      <c r="C49" s="482"/>
      <c r="D49" s="80" t="s">
        <v>1365</v>
      </c>
      <c r="E49" s="125"/>
      <c r="F49" s="126"/>
      <c r="G49" s="1045"/>
      <c r="H49" s="26"/>
    </row>
    <row r="50" spans="1:8" s="54" customFormat="1" ht="52.8">
      <c r="A50" s="47"/>
      <c r="B50" s="47"/>
      <c r="C50" s="482"/>
      <c r="D50" s="80" t="s">
        <v>1366</v>
      </c>
      <c r="E50" s="125"/>
      <c r="F50" s="126"/>
      <c r="G50" s="1045"/>
      <c r="H50" s="26"/>
    </row>
    <row r="51" spans="1:8" s="54" customFormat="1" ht="66">
      <c r="A51" s="47"/>
      <c r="B51" s="47"/>
      <c r="C51" s="482"/>
      <c r="D51" s="80" t="s">
        <v>1367</v>
      </c>
      <c r="E51" s="125"/>
      <c r="F51" s="126"/>
      <c r="G51" s="1045"/>
      <c r="H51" s="26"/>
    </row>
    <row r="52" spans="1:8" s="54" customFormat="1" ht="96.75" customHeight="1">
      <c r="A52" s="47"/>
      <c r="B52" s="47"/>
      <c r="C52" s="482"/>
      <c r="D52" s="80" t="s">
        <v>1368</v>
      </c>
      <c r="E52" s="125"/>
      <c r="F52" s="126"/>
      <c r="G52" s="1045"/>
      <c r="H52" s="26"/>
    </row>
    <row r="53" spans="1:8" s="54" customFormat="1" ht="159" customHeight="1">
      <c r="A53" s="47"/>
      <c r="B53" s="47"/>
      <c r="C53" s="482"/>
      <c r="D53" s="61" t="s">
        <v>1369</v>
      </c>
      <c r="E53" s="125"/>
      <c r="F53" s="126"/>
      <c r="G53" s="1045"/>
      <c r="H53" s="26"/>
    </row>
    <row r="54" spans="1:8" s="54" customFormat="1">
      <c r="A54" s="47"/>
      <c r="B54" s="47"/>
      <c r="C54" s="482"/>
      <c r="D54" s="151" t="s">
        <v>1370</v>
      </c>
      <c r="E54" s="125"/>
      <c r="F54" s="126"/>
      <c r="G54" s="1045"/>
      <c r="H54" s="26"/>
    </row>
    <row r="55" spans="1:8" s="54" customFormat="1">
      <c r="A55" s="47"/>
      <c r="B55" s="47"/>
      <c r="C55" s="482"/>
      <c r="D55" s="61"/>
      <c r="E55" s="190" t="s">
        <v>391</v>
      </c>
      <c r="F55" s="98">
        <v>1</v>
      </c>
      <c r="G55" s="531">
        <v>1300</v>
      </c>
      <c r="H55" s="52">
        <f>SUM(F55*G55)</f>
        <v>1300</v>
      </c>
    </row>
    <row r="56" spans="1:8" s="54" customFormat="1">
      <c r="A56" s="47"/>
      <c r="B56" s="47"/>
      <c r="C56" s="482"/>
      <c r="D56" s="61"/>
      <c r="E56" s="190"/>
      <c r="F56" s="98"/>
      <c r="G56" s="531"/>
      <c r="H56" s="52"/>
    </row>
    <row r="57" spans="1:8" s="54" customFormat="1" ht="92.4">
      <c r="A57" s="47" t="s">
        <v>1338</v>
      </c>
      <c r="B57" s="47" t="s">
        <v>461</v>
      </c>
      <c r="C57" s="520"/>
      <c r="D57" s="151" t="s">
        <v>2267</v>
      </c>
      <c r="E57" s="190"/>
      <c r="F57" s="98"/>
      <c r="G57" s="531"/>
      <c r="H57" s="52"/>
    </row>
    <row r="58" spans="1:8" s="54" customFormat="1" ht="158.4">
      <c r="A58" s="519"/>
      <c r="B58" s="519"/>
      <c r="C58" s="520"/>
      <c r="D58" s="80" t="s">
        <v>1350</v>
      </c>
      <c r="E58" s="190"/>
      <c r="F58" s="98"/>
      <c r="G58" s="531"/>
      <c r="H58" s="52"/>
    </row>
    <row r="59" spans="1:8" s="54" customFormat="1" ht="132">
      <c r="A59" s="519"/>
      <c r="B59" s="519"/>
      <c r="C59" s="520"/>
      <c r="D59" s="80" t="s">
        <v>1351</v>
      </c>
      <c r="E59" s="418"/>
      <c r="F59" s="98"/>
      <c r="G59" s="1050"/>
      <c r="H59" s="1127"/>
    </row>
    <row r="60" spans="1:8" s="54" customFormat="1" ht="52.8">
      <c r="A60" s="519"/>
      <c r="B60" s="519"/>
      <c r="C60" s="520"/>
      <c r="D60" s="80" t="s">
        <v>1352</v>
      </c>
      <c r="E60" s="418"/>
      <c r="F60" s="98"/>
      <c r="G60" s="1050"/>
      <c r="H60" s="1127"/>
    </row>
    <row r="61" spans="1:8" s="54" customFormat="1" ht="15">
      <c r="A61" s="519"/>
      <c r="B61" s="519"/>
      <c r="C61" s="520"/>
      <c r="D61" s="151" t="s">
        <v>2266</v>
      </c>
      <c r="E61" s="405"/>
      <c r="F61" s="410"/>
      <c r="G61" s="1044"/>
      <c r="H61" s="523"/>
    </row>
    <row r="62" spans="1:8" s="54" customFormat="1" ht="15">
      <c r="A62" s="519"/>
      <c r="B62" s="519"/>
      <c r="C62" s="520"/>
      <c r="D62" s="195"/>
      <c r="E62" s="418" t="s">
        <v>391</v>
      </c>
      <c r="F62" s="98">
        <v>2</v>
      </c>
      <c r="G62" s="1046">
        <v>3000</v>
      </c>
      <c r="H62" s="26">
        <f>SUM(F62*G62)</f>
        <v>6000</v>
      </c>
    </row>
    <row r="63" spans="1:8" s="54" customFormat="1" ht="13.8" thickBot="1">
      <c r="A63" s="413"/>
      <c r="B63" s="413"/>
      <c r="C63" s="413"/>
      <c r="D63" s="413"/>
      <c r="E63" s="413"/>
      <c r="F63" s="414"/>
      <c r="G63" s="1053"/>
      <c r="H63" s="532"/>
    </row>
    <row r="64" spans="1:8" s="54" customFormat="1" ht="26.4">
      <c r="A64" s="403" t="s">
        <v>1338</v>
      </c>
      <c r="B64" s="533"/>
      <c r="C64"/>
      <c r="D64" s="60" t="s">
        <v>1371</v>
      </c>
      <c r="E64" s="515"/>
      <c r="F64" s="534"/>
      <c r="G64" s="1054"/>
      <c r="H64" s="26">
        <f>SUM(H22:H63)</f>
        <v>42800</v>
      </c>
    </row>
    <row r="65" spans="1:8" ht="17.399999999999999">
      <c r="D65" s="535"/>
      <c r="E65" s="536"/>
      <c r="F65" s="537"/>
    </row>
    <row r="66" spans="1:8" ht="15.6">
      <c r="A66" s="518"/>
      <c r="B66" s="519"/>
      <c r="C66" s="520"/>
      <c r="D66" s="538"/>
      <c r="E66" s="57"/>
      <c r="F66" s="101"/>
      <c r="G66" s="1055"/>
      <c r="H66" s="516"/>
    </row>
  </sheetData>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583D2-E061-47DD-9915-BFC692DDE20D}">
  <sheetPr>
    <tabColor rgb="FF92D050"/>
  </sheetPr>
  <dimension ref="A2:J126"/>
  <sheetViews>
    <sheetView view="pageBreakPreview" topLeftCell="A43" zoomScale="115" zoomScaleNormal="100" zoomScaleSheetLayoutView="115" zoomScalePageLayoutView="90" workbookViewId="0">
      <selection activeCell="G15" sqref="G15:G19"/>
    </sheetView>
  </sheetViews>
  <sheetFormatPr defaultColWidth="8.54296875" defaultRowHeight="13.2"/>
  <cols>
    <col min="1" max="1" width="4.54296875" style="186" customWidth="1"/>
    <col min="2" max="2" width="2.6328125" style="186" customWidth="1"/>
    <col min="3" max="3" width="1.90625" style="182" customWidth="1"/>
    <col min="4" max="4" width="31.1796875" style="184" customWidth="1"/>
    <col min="5" max="5" width="4.54296875" style="178" customWidth="1"/>
    <col min="6" max="6" width="7.90625" style="132" customWidth="1"/>
    <col min="7" max="7" width="10.08984375" style="1061" customWidth="1"/>
    <col min="8" max="8" width="11.453125" style="541" customWidth="1"/>
    <col min="9" max="14" width="8.54296875" style="132"/>
    <col min="15" max="15" width="37.08984375" style="132" customWidth="1"/>
    <col min="16" max="16384" width="8.54296875" style="132"/>
  </cols>
  <sheetData>
    <row r="2" spans="1:8" s="13" customFormat="1" ht="13.8" thickBot="1">
      <c r="A2" s="137" t="s">
        <v>1398</v>
      </c>
      <c r="B2" s="137"/>
      <c r="C2" s="138"/>
      <c r="D2" s="148" t="s">
        <v>548</v>
      </c>
      <c r="E2" s="149"/>
      <c r="F2" s="159"/>
      <c r="G2" s="999"/>
      <c r="H2" s="150"/>
    </row>
    <row r="3" spans="1:8">
      <c r="F3" s="539"/>
      <c r="G3" s="1056"/>
    </row>
    <row r="4" spans="1:8">
      <c r="D4" s="184" t="s">
        <v>314</v>
      </c>
      <c r="F4" s="187"/>
      <c r="G4" s="1057"/>
    </row>
    <row r="5" spans="1:8" ht="52.8">
      <c r="D5" s="184" t="s">
        <v>518</v>
      </c>
      <c r="F5" s="187"/>
      <c r="G5" s="1057"/>
    </row>
    <row r="6" spans="1:8" ht="184.8">
      <c r="D6" s="184" t="s">
        <v>1399</v>
      </c>
      <c r="F6" s="187"/>
      <c r="G6" s="1057"/>
    </row>
    <row r="7" spans="1:8" ht="92.4">
      <c r="D7" s="184" t="s">
        <v>1280</v>
      </c>
      <c r="F7" s="187"/>
      <c r="G7" s="1057"/>
    </row>
    <row r="8" spans="1:8" ht="66">
      <c r="D8" s="184" t="s">
        <v>1400</v>
      </c>
      <c r="F8" s="187"/>
      <c r="G8" s="1057"/>
    </row>
    <row r="9" spans="1:8">
      <c r="F9" s="187"/>
      <c r="G9" s="1057"/>
    </row>
    <row r="10" spans="1:8" s="128" customFormat="1">
      <c r="A10" s="25" t="s">
        <v>507</v>
      </c>
      <c r="B10" s="25" t="s">
        <v>508</v>
      </c>
      <c r="C10" s="38"/>
      <c r="D10" s="184" t="s">
        <v>504</v>
      </c>
      <c r="E10" s="43" t="s">
        <v>505</v>
      </c>
      <c r="F10" s="188" t="s">
        <v>506</v>
      </c>
      <c r="G10" s="1039" t="s">
        <v>509</v>
      </c>
      <c r="H10" s="189" t="s">
        <v>510</v>
      </c>
    </row>
    <row r="11" spans="1:8" s="128" customFormat="1">
      <c r="A11" s="25"/>
      <c r="B11" s="25"/>
      <c r="C11" s="38"/>
      <c r="D11" s="184"/>
      <c r="E11" s="43"/>
      <c r="F11" s="188"/>
      <c r="G11" s="1058"/>
      <c r="H11" s="189"/>
    </row>
    <row r="12" spans="1:8" ht="161.25" customHeight="1">
      <c r="A12" s="41" t="s">
        <v>1398</v>
      </c>
      <c r="B12" s="41" t="s">
        <v>128</v>
      </c>
      <c r="D12" s="61" t="s">
        <v>1401</v>
      </c>
      <c r="F12" s="187"/>
      <c r="G12" s="1045"/>
    </row>
    <row r="13" spans="1:8" ht="79.2">
      <c r="A13" s="41"/>
      <c r="B13" s="41"/>
      <c r="D13" s="61" t="s">
        <v>1402</v>
      </c>
      <c r="F13" s="187"/>
      <c r="G13" s="1045"/>
    </row>
    <row r="14" spans="1:8">
      <c r="A14" s="41"/>
      <c r="B14" s="41"/>
      <c r="D14" s="174" t="s">
        <v>1403</v>
      </c>
      <c r="E14" s="190"/>
      <c r="F14" s="187"/>
      <c r="G14" s="1045"/>
    </row>
    <row r="15" spans="1:8">
      <c r="A15" s="41"/>
      <c r="B15" s="41"/>
      <c r="C15" s="38" t="s">
        <v>240</v>
      </c>
      <c r="D15" s="174" t="s">
        <v>1404</v>
      </c>
      <c r="E15" s="190" t="s">
        <v>344</v>
      </c>
      <c r="F15" s="126">
        <v>3.7</v>
      </c>
      <c r="G15" s="1041">
        <v>180</v>
      </c>
      <c r="H15" s="26">
        <f>SUM(F15*G15)</f>
        <v>666</v>
      </c>
    </row>
    <row r="16" spans="1:8">
      <c r="A16" s="41"/>
      <c r="B16" s="41"/>
      <c r="C16" s="38" t="s">
        <v>241</v>
      </c>
      <c r="D16" s="174" t="s">
        <v>1405</v>
      </c>
      <c r="E16" s="190" t="s">
        <v>344</v>
      </c>
      <c r="F16" s="126">
        <v>2.2000000000000002</v>
      </c>
      <c r="G16" s="1041">
        <v>180</v>
      </c>
      <c r="H16" s="26">
        <f>SUM(F16*G16)</f>
        <v>396.00000000000006</v>
      </c>
    </row>
    <row r="17" spans="1:10">
      <c r="A17" s="41"/>
      <c r="B17" s="41"/>
      <c r="C17" s="38" t="s">
        <v>242</v>
      </c>
      <c r="D17" s="174" t="s">
        <v>1406</v>
      </c>
      <c r="E17" s="190" t="s">
        <v>344</v>
      </c>
      <c r="F17" s="126">
        <v>3.7</v>
      </c>
      <c r="G17" s="1041">
        <v>180</v>
      </c>
      <c r="H17" s="26">
        <f>SUM(F17*G17)</f>
        <v>666</v>
      </c>
    </row>
    <row r="18" spans="1:10">
      <c r="A18" s="41"/>
      <c r="B18" s="41"/>
      <c r="C18" s="38" t="s">
        <v>221</v>
      </c>
      <c r="D18" s="174" t="s">
        <v>1407</v>
      </c>
      <c r="E18" s="190" t="s">
        <v>344</v>
      </c>
      <c r="F18" s="126">
        <v>1.1000000000000001</v>
      </c>
      <c r="G18" s="1041">
        <v>180</v>
      </c>
      <c r="H18" s="26">
        <f>SUM(F18*G18)</f>
        <v>198.00000000000003</v>
      </c>
    </row>
    <row r="19" spans="1:10">
      <c r="A19" s="41"/>
      <c r="B19" s="41"/>
      <c r="C19" s="38" t="s">
        <v>525</v>
      </c>
      <c r="D19" s="174" t="s">
        <v>1408</v>
      </c>
      <c r="E19" s="190" t="s">
        <v>344</v>
      </c>
      <c r="F19" s="126">
        <v>2.25</v>
      </c>
      <c r="G19" s="1041">
        <v>180</v>
      </c>
      <c r="H19" s="26">
        <f>SUM(F19*G19)</f>
        <v>405</v>
      </c>
    </row>
    <row r="20" spans="1:10">
      <c r="A20" s="41"/>
      <c r="B20" s="41"/>
      <c r="C20" s="38"/>
      <c r="D20" s="171"/>
      <c r="E20" s="43"/>
      <c r="F20" s="188"/>
      <c r="G20" s="1045"/>
      <c r="H20" s="189"/>
    </row>
    <row r="21" spans="1:10" ht="92.4">
      <c r="A21" s="41" t="s">
        <v>1398</v>
      </c>
      <c r="B21" s="41" t="s">
        <v>231</v>
      </c>
      <c r="D21" s="80" t="s">
        <v>1428</v>
      </c>
      <c r="F21" s="187"/>
      <c r="G21" s="1045"/>
    </row>
    <row r="22" spans="1:10" ht="290.25" customHeight="1">
      <c r="A22" s="41"/>
      <c r="B22" s="41"/>
      <c r="D22" s="80" t="s">
        <v>1429</v>
      </c>
      <c r="F22" s="187"/>
      <c r="G22" s="1045"/>
    </row>
    <row r="23" spans="1:10">
      <c r="D23" s="61"/>
      <c r="E23" s="43" t="s">
        <v>391</v>
      </c>
      <c r="F23" s="188">
        <v>1</v>
      </c>
      <c r="G23" s="1041">
        <v>1500</v>
      </c>
      <c r="H23" s="26">
        <f>SUM(F23*G23)</f>
        <v>1500</v>
      </c>
    </row>
    <row r="24" spans="1:10">
      <c r="D24" s="171"/>
      <c r="E24" s="43"/>
      <c r="F24" s="188"/>
      <c r="G24" s="1045"/>
      <c r="H24" s="26"/>
      <c r="J24" s="128"/>
    </row>
    <row r="25" spans="1:10" s="128" customFormat="1" ht="39.6">
      <c r="A25" s="41" t="s">
        <v>1398</v>
      </c>
      <c r="B25" s="41" t="s">
        <v>93</v>
      </c>
      <c r="C25" s="38"/>
      <c r="D25" s="80" t="s">
        <v>1431</v>
      </c>
      <c r="E25" s="418"/>
      <c r="F25" s="98"/>
      <c r="G25" s="1045"/>
      <c r="H25" s="542"/>
      <c r="I25" s="543"/>
    </row>
    <row r="26" spans="1:10" s="128" customFormat="1">
      <c r="A26" s="41"/>
      <c r="B26" s="41"/>
      <c r="C26" s="38"/>
      <c r="D26" s="80" t="s">
        <v>1430</v>
      </c>
      <c r="E26" s="43"/>
      <c r="F26" s="188"/>
      <c r="G26" s="1045"/>
      <c r="H26" s="189"/>
    </row>
    <row r="27" spans="1:10" s="128" customFormat="1">
      <c r="A27" s="41"/>
      <c r="B27" s="41"/>
      <c r="C27" s="38"/>
      <c r="D27" s="171"/>
      <c r="E27" s="43" t="s">
        <v>344</v>
      </c>
      <c r="F27" s="188">
        <v>7.4</v>
      </c>
      <c r="G27" s="1041">
        <v>190</v>
      </c>
      <c r="H27" s="26">
        <f>SUM(F27*G27)</f>
        <v>1406</v>
      </c>
    </row>
    <row r="28" spans="1:10">
      <c r="A28" s="41"/>
      <c r="B28" s="41"/>
      <c r="D28" s="544"/>
      <c r="E28" s="418"/>
      <c r="F28" s="98"/>
      <c r="G28" s="1045"/>
      <c r="H28" s="542"/>
      <c r="I28" s="543"/>
    </row>
    <row r="29" spans="1:10" ht="39.6">
      <c r="A29" s="41" t="s">
        <v>1398</v>
      </c>
      <c r="B29" s="41" t="s">
        <v>320</v>
      </c>
      <c r="D29" s="80" t="s">
        <v>1432</v>
      </c>
      <c r="E29" s="418"/>
      <c r="F29" s="98"/>
      <c r="G29" s="1045"/>
      <c r="H29" s="542"/>
      <c r="I29" s="543"/>
    </row>
    <row r="30" spans="1:10">
      <c r="A30" s="41"/>
      <c r="B30" s="41"/>
      <c r="D30" s="80" t="s">
        <v>1433</v>
      </c>
      <c r="E30" s="43"/>
      <c r="F30" s="188"/>
      <c r="G30" s="1045"/>
      <c r="H30" s="189"/>
      <c r="I30" s="543"/>
    </row>
    <row r="31" spans="1:10">
      <c r="A31" s="41"/>
      <c r="B31" s="41"/>
      <c r="C31" s="38"/>
      <c r="D31" s="171"/>
      <c r="E31" s="43" t="s">
        <v>344</v>
      </c>
      <c r="F31" s="188">
        <v>1.25</v>
      </c>
      <c r="G31" s="1041">
        <v>200</v>
      </c>
      <c r="H31" s="26">
        <f>SUM(F31*G31)</f>
        <v>250</v>
      </c>
      <c r="I31" s="543"/>
    </row>
    <row r="32" spans="1:10">
      <c r="D32" s="178"/>
      <c r="E32" s="418"/>
      <c r="F32" s="98"/>
      <c r="G32" s="1045"/>
      <c r="H32" s="26"/>
    </row>
    <row r="33" spans="1:10" ht="137.25" customHeight="1">
      <c r="A33" s="41" t="s">
        <v>1398</v>
      </c>
      <c r="B33" s="41" t="s">
        <v>326</v>
      </c>
      <c r="D33" s="80" t="s">
        <v>1445</v>
      </c>
      <c r="E33" s="418"/>
      <c r="F33" s="98"/>
      <c r="G33" s="1045"/>
      <c r="H33" s="26"/>
    </row>
    <row r="34" spans="1:10" ht="66">
      <c r="D34" s="80" t="s">
        <v>1440</v>
      </c>
      <c r="E34" s="418"/>
      <c r="F34" s="98"/>
      <c r="G34" s="1045"/>
      <c r="H34" s="26"/>
    </row>
    <row r="35" spans="1:10" ht="66">
      <c r="D35" s="97" t="s">
        <v>1444</v>
      </c>
      <c r="E35" s="418"/>
      <c r="F35" s="98"/>
      <c r="G35" s="1045"/>
      <c r="H35" s="26"/>
    </row>
    <row r="36" spans="1:10" ht="132">
      <c r="D36" s="97" t="s">
        <v>1435</v>
      </c>
      <c r="E36" s="418"/>
      <c r="F36" s="98"/>
      <c r="G36" s="1045"/>
      <c r="H36" s="26"/>
    </row>
    <row r="37" spans="1:10" ht="105.6">
      <c r="D37" s="97" t="s">
        <v>1436</v>
      </c>
      <c r="E37" s="418"/>
      <c r="F37" s="98"/>
      <c r="G37" s="1045"/>
      <c r="H37" s="26"/>
    </row>
    <row r="38" spans="1:10" ht="26.4">
      <c r="D38" s="97" t="s">
        <v>1438</v>
      </c>
      <c r="E38" s="418"/>
      <c r="F38" s="98"/>
      <c r="G38" s="1045"/>
      <c r="H38" s="26"/>
    </row>
    <row r="39" spans="1:10" ht="66">
      <c r="D39" s="97" t="s">
        <v>1446</v>
      </c>
      <c r="E39" s="418"/>
      <c r="F39" s="98"/>
      <c r="G39" s="1045"/>
      <c r="H39" s="26"/>
    </row>
    <row r="40" spans="1:10">
      <c r="D40" s="228" t="s">
        <v>1439</v>
      </c>
      <c r="E40" s="418"/>
      <c r="F40" s="98"/>
      <c r="G40" s="1045"/>
      <c r="H40" s="26"/>
    </row>
    <row r="41" spans="1:10">
      <c r="C41" s="38" t="s">
        <v>240</v>
      </c>
      <c r="D41" s="97" t="s">
        <v>1447</v>
      </c>
      <c r="E41" s="418" t="s">
        <v>344</v>
      </c>
      <c r="F41" s="98">
        <v>4.7</v>
      </c>
      <c r="G41" s="1041">
        <v>160</v>
      </c>
      <c r="H41" s="26">
        <f t="shared" ref="H41:H49" si="0">SUM(F41*G41)</f>
        <v>752</v>
      </c>
    </row>
    <row r="42" spans="1:10">
      <c r="C42" s="38" t="s">
        <v>241</v>
      </c>
      <c r="D42" s="97" t="s">
        <v>1448</v>
      </c>
      <c r="E42" s="418" t="s">
        <v>344</v>
      </c>
      <c r="F42" s="98">
        <v>7</v>
      </c>
      <c r="G42" s="1041">
        <v>160</v>
      </c>
      <c r="H42" s="26">
        <f t="shared" si="0"/>
        <v>1120</v>
      </c>
      <c r="J42" s="540"/>
    </row>
    <row r="43" spans="1:10">
      <c r="C43" s="38" t="s">
        <v>242</v>
      </c>
      <c r="D43" s="97" t="s">
        <v>1449</v>
      </c>
      <c r="E43" s="418" t="s">
        <v>344</v>
      </c>
      <c r="F43" s="98">
        <v>9.1999999999999993</v>
      </c>
      <c r="G43" s="1041">
        <v>160</v>
      </c>
      <c r="H43" s="26">
        <f t="shared" si="0"/>
        <v>1472</v>
      </c>
      <c r="J43" s="540"/>
    </row>
    <row r="44" spans="1:10">
      <c r="C44" s="38" t="s">
        <v>221</v>
      </c>
      <c r="D44" s="97" t="s">
        <v>1450</v>
      </c>
      <c r="E44" s="418" t="s">
        <v>344</v>
      </c>
      <c r="F44" s="98">
        <v>4.9000000000000004</v>
      </c>
      <c r="G44" s="1041">
        <v>160</v>
      </c>
      <c r="H44" s="26">
        <f t="shared" si="0"/>
        <v>784</v>
      </c>
      <c r="J44" s="540"/>
    </row>
    <row r="45" spans="1:10">
      <c r="C45" s="38" t="s">
        <v>525</v>
      </c>
      <c r="D45" s="97" t="s">
        <v>1454</v>
      </c>
      <c r="E45" s="418" t="s">
        <v>344</v>
      </c>
      <c r="F45" s="98">
        <v>4.7</v>
      </c>
      <c r="G45" s="1041">
        <v>160</v>
      </c>
      <c r="H45" s="26">
        <f t="shared" si="0"/>
        <v>752</v>
      </c>
      <c r="J45" s="540"/>
    </row>
    <row r="46" spans="1:10">
      <c r="C46" s="38" t="s">
        <v>914</v>
      </c>
      <c r="D46" s="97" t="s">
        <v>1451</v>
      </c>
      <c r="E46" s="418" t="s">
        <v>344</v>
      </c>
      <c r="F46" s="98">
        <v>11.6</v>
      </c>
      <c r="G46" s="1041">
        <v>160</v>
      </c>
      <c r="H46" s="26">
        <f t="shared" si="0"/>
        <v>1856</v>
      </c>
      <c r="J46" s="540"/>
    </row>
    <row r="47" spans="1:10">
      <c r="C47" s="38" t="s">
        <v>1139</v>
      </c>
      <c r="D47" s="97" t="s">
        <v>1452</v>
      </c>
      <c r="E47" s="418" t="s">
        <v>344</v>
      </c>
      <c r="F47" s="98">
        <v>18.399999999999999</v>
      </c>
      <c r="G47" s="1041">
        <v>160</v>
      </c>
      <c r="H47" s="26">
        <f t="shared" si="0"/>
        <v>2944</v>
      </c>
      <c r="J47" s="540"/>
    </row>
    <row r="48" spans="1:10">
      <c r="C48" s="38" t="s">
        <v>1142</v>
      </c>
      <c r="D48" s="97" t="s">
        <v>1453</v>
      </c>
      <c r="E48" s="418" t="s">
        <v>344</v>
      </c>
      <c r="F48" s="98">
        <v>19.399999999999999</v>
      </c>
      <c r="G48" s="1041">
        <v>160</v>
      </c>
      <c r="H48" s="26">
        <f t="shared" si="0"/>
        <v>3104</v>
      </c>
      <c r="J48" s="540"/>
    </row>
    <row r="49" spans="1:10">
      <c r="C49" s="38" t="s">
        <v>1144</v>
      </c>
      <c r="D49" s="97" t="s">
        <v>1455</v>
      </c>
      <c r="E49" s="418" t="s">
        <v>344</v>
      </c>
      <c r="F49" s="98">
        <v>20.5</v>
      </c>
      <c r="G49" s="1041">
        <v>160</v>
      </c>
      <c r="H49" s="26">
        <f t="shared" si="0"/>
        <v>3280</v>
      </c>
      <c r="J49" s="540"/>
    </row>
    <row r="50" spans="1:10">
      <c r="D50" s="97"/>
      <c r="E50" s="418"/>
      <c r="F50" s="98"/>
      <c r="G50" s="1045"/>
      <c r="H50" s="26"/>
    </row>
    <row r="51" spans="1:10" ht="39.6">
      <c r="A51" s="41" t="s">
        <v>1398</v>
      </c>
      <c r="B51" s="41" t="s">
        <v>284</v>
      </c>
      <c r="C51" s="38"/>
      <c r="D51" s="174" t="s">
        <v>1434</v>
      </c>
      <c r="E51" s="191"/>
      <c r="F51" s="545"/>
      <c r="G51" s="1045"/>
      <c r="H51" s="26"/>
    </row>
    <row r="52" spans="1:10" ht="66">
      <c r="A52" s="41"/>
      <c r="B52" s="41"/>
      <c r="C52" s="38"/>
      <c r="D52" s="80" t="s">
        <v>1441</v>
      </c>
      <c r="E52" s="191"/>
      <c r="F52" s="545"/>
      <c r="G52" s="1045"/>
      <c r="H52" s="26"/>
    </row>
    <row r="53" spans="1:10">
      <c r="A53" s="41"/>
      <c r="B53" s="41"/>
      <c r="C53" s="38"/>
      <c r="D53" s="80" t="s">
        <v>1442</v>
      </c>
      <c r="E53" s="191"/>
      <c r="F53" s="545"/>
      <c r="G53" s="1045"/>
      <c r="H53" s="26"/>
    </row>
    <row r="54" spans="1:10" ht="79.2">
      <c r="A54" s="41"/>
      <c r="B54" s="41"/>
      <c r="C54" s="38"/>
      <c r="D54" s="80" t="s">
        <v>1443</v>
      </c>
      <c r="E54" s="191"/>
      <c r="F54" s="545"/>
      <c r="G54" s="1045"/>
      <c r="H54" s="26"/>
    </row>
    <row r="55" spans="1:10">
      <c r="A55" s="191"/>
      <c r="B55" s="191"/>
      <c r="C55" s="191"/>
      <c r="D55" s="228" t="s">
        <v>1437</v>
      </c>
      <c r="E55" s="191"/>
      <c r="F55" s="191"/>
      <c r="G55" s="1059"/>
      <c r="H55" s="191"/>
    </row>
    <row r="56" spans="1:10">
      <c r="D56" s="178"/>
      <c r="E56" s="418" t="s">
        <v>391</v>
      </c>
      <c r="F56" s="98">
        <v>5</v>
      </c>
      <c r="G56" s="1045">
        <v>1000</v>
      </c>
      <c r="H56" s="26">
        <f>SUM(F56*G56)</f>
        <v>5000</v>
      </c>
    </row>
    <row r="57" spans="1:10">
      <c r="D57" s="97"/>
      <c r="E57" s="418"/>
      <c r="F57" s="98"/>
      <c r="G57" s="1045"/>
      <c r="H57" s="26"/>
    </row>
    <row r="58" spans="1:10" ht="13.8" thickBot="1">
      <c r="A58" s="178"/>
      <c r="D58" s="174"/>
      <c r="F58" s="187"/>
      <c r="G58" s="1057"/>
      <c r="H58" s="187"/>
    </row>
    <row r="59" spans="1:10">
      <c r="A59" s="192" t="s">
        <v>1398</v>
      </c>
      <c r="B59" s="192"/>
      <c r="C59" s="546"/>
      <c r="D59" s="547" t="s">
        <v>1409</v>
      </c>
      <c r="E59" s="548"/>
      <c r="F59" s="549"/>
      <c r="G59" s="1060"/>
      <c r="H59" s="550">
        <f>SUM(H14:H58)</f>
        <v>26551</v>
      </c>
    </row>
    <row r="60" spans="1:10" s="128" customFormat="1">
      <c r="A60" s="41"/>
      <c r="B60" s="41"/>
      <c r="C60" s="38"/>
      <c r="D60" s="184"/>
      <c r="E60" s="492"/>
      <c r="F60" s="176"/>
      <c r="G60" s="1045"/>
      <c r="H60" s="189"/>
    </row>
    <row r="61" spans="1:10">
      <c r="F61" s="187"/>
      <c r="G61" s="1045"/>
    </row>
    <row r="62" spans="1:10">
      <c r="A62" s="41"/>
      <c r="B62" s="41"/>
      <c r="D62" s="132"/>
      <c r="F62" s="187"/>
      <c r="G62" s="1045"/>
    </row>
    <row r="63" spans="1:10" s="128" customFormat="1">
      <c r="A63" s="41"/>
      <c r="B63" s="41"/>
      <c r="C63" s="38"/>
      <c r="D63" s="184"/>
      <c r="E63" s="492"/>
      <c r="F63" s="176"/>
      <c r="G63" s="1045"/>
      <c r="H63" s="189"/>
    </row>
    <row r="64" spans="1:10">
      <c r="F64" s="187"/>
      <c r="G64" s="1045"/>
    </row>
    <row r="65" spans="1:9">
      <c r="A65" s="41"/>
      <c r="B65" s="41"/>
      <c r="F65" s="187"/>
      <c r="G65" s="1045"/>
    </row>
    <row r="66" spans="1:9" s="128" customFormat="1">
      <c r="A66" s="41"/>
      <c r="B66" s="41"/>
      <c r="C66" s="38"/>
      <c r="D66" s="184"/>
      <c r="E66" s="492"/>
      <c r="F66" s="176"/>
      <c r="G66" s="1045"/>
      <c r="H66" s="189"/>
    </row>
    <row r="67" spans="1:9">
      <c r="F67" s="187"/>
      <c r="G67" s="1045"/>
    </row>
    <row r="68" spans="1:9">
      <c r="A68" s="41"/>
      <c r="B68" s="41"/>
      <c r="F68" s="187"/>
      <c r="G68" s="1045"/>
    </row>
    <row r="69" spans="1:9">
      <c r="A69" s="41"/>
      <c r="B69" s="41"/>
      <c r="F69" s="187"/>
      <c r="G69" s="1045"/>
    </row>
    <row r="70" spans="1:9" s="128" customFormat="1">
      <c r="A70" s="41"/>
      <c r="B70" s="41"/>
      <c r="C70" s="38"/>
      <c r="D70" s="184"/>
      <c r="E70" s="491"/>
      <c r="F70" s="176"/>
      <c r="G70" s="1045"/>
      <c r="H70" s="189"/>
    </row>
    <row r="71" spans="1:9">
      <c r="F71" s="187"/>
      <c r="G71" s="1045"/>
    </row>
    <row r="72" spans="1:9">
      <c r="A72" s="41"/>
      <c r="B72" s="41"/>
      <c r="F72" s="187"/>
      <c r="G72" s="1045"/>
      <c r="I72" s="551"/>
    </row>
    <row r="73" spans="1:9" s="128" customFormat="1">
      <c r="A73" s="41"/>
      <c r="B73" s="41"/>
      <c r="C73" s="38"/>
      <c r="D73" s="184"/>
      <c r="E73" s="492"/>
      <c r="F73" s="176"/>
      <c r="G73" s="1045"/>
      <c r="H73" s="189"/>
    </row>
    <row r="74" spans="1:9">
      <c r="F74" s="187"/>
      <c r="G74" s="1045"/>
    </row>
    <row r="75" spans="1:9">
      <c r="A75" s="41"/>
      <c r="B75" s="41"/>
      <c r="F75" s="187"/>
      <c r="G75" s="1045"/>
    </row>
    <row r="76" spans="1:9" s="128" customFormat="1">
      <c r="A76" s="41"/>
      <c r="B76" s="41"/>
      <c r="C76" s="38"/>
      <c r="D76" s="184"/>
      <c r="E76" s="492"/>
      <c r="F76" s="176"/>
      <c r="G76" s="1045"/>
      <c r="H76" s="189"/>
    </row>
    <row r="77" spans="1:9">
      <c r="F77" s="187"/>
      <c r="G77" s="1045"/>
    </row>
    <row r="78" spans="1:9">
      <c r="A78" s="41"/>
      <c r="B78" s="41"/>
      <c r="F78" s="187"/>
      <c r="G78" s="1045"/>
    </row>
    <row r="79" spans="1:9" s="128" customFormat="1">
      <c r="A79" s="41"/>
      <c r="B79" s="41"/>
      <c r="C79" s="38"/>
      <c r="D79" s="184"/>
      <c r="E79" s="492"/>
      <c r="F79" s="176"/>
      <c r="G79" s="1058"/>
      <c r="H79" s="189"/>
    </row>
    <row r="80" spans="1:9">
      <c r="F80" s="187"/>
      <c r="G80" s="1057"/>
    </row>
    <row r="81" spans="1:8">
      <c r="A81" s="41"/>
      <c r="B81" s="41"/>
      <c r="F81" s="187"/>
      <c r="G81" s="1057"/>
    </row>
    <row r="82" spans="1:8" s="128" customFormat="1">
      <c r="A82" s="41"/>
      <c r="B82" s="41"/>
      <c r="C82" s="38"/>
      <c r="D82" s="184"/>
      <c r="E82" s="492"/>
      <c r="F82" s="176"/>
      <c r="G82" s="1058"/>
      <c r="H82" s="189"/>
    </row>
    <row r="83" spans="1:8" s="128" customFormat="1">
      <c r="A83" s="41"/>
      <c r="B83" s="41"/>
      <c r="C83" s="38"/>
      <c r="D83" s="184"/>
      <c r="E83" s="492"/>
      <c r="F83" s="176"/>
      <c r="G83" s="1058"/>
      <c r="H83" s="189"/>
    </row>
    <row r="84" spans="1:8" s="128" customFormat="1">
      <c r="A84" s="41"/>
      <c r="B84" s="41"/>
      <c r="C84" s="38"/>
      <c r="D84" s="184"/>
      <c r="E84" s="492"/>
      <c r="F84" s="176"/>
      <c r="G84" s="1058"/>
      <c r="H84" s="189"/>
    </row>
    <row r="85" spans="1:8" s="128" customFormat="1">
      <c r="A85" s="41"/>
      <c r="B85" s="41"/>
      <c r="C85" s="38"/>
      <c r="D85" s="184"/>
      <c r="E85" s="492"/>
      <c r="F85" s="176"/>
      <c r="G85" s="1058"/>
      <c r="H85" s="189"/>
    </row>
    <row r="86" spans="1:8" s="128" customFormat="1">
      <c r="A86" s="41"/>
      <c r="B86" s="41"/>
      <c r="C86" s="38"/>
      <c r="D86" s="184"/>
      <c r="E86" s="492"/>
      <c r="F86" s="176"/>
      <c r="G86" s="1058"/>
      <c r="H86" s="189"/>
    </row>
    <row r="87" spans="1:8" s="128" customFormat="1">
      <c r="A87" s="41"/>
      <c r="B87" s="41"/>
      <c r="C87" s="38"/>
      <c r="D87" s="184"/>
      <c r="E87" s="492"/>
      <c r="F87" s="176"/>
      <c r="G87" s="1058"/>
      <c r="H87" s="189"/>
    </row>
    <row r="88" spans="1:8">
      <c r="F88" s="187"/>
      <c r="G88" s="1057"/>
    </row>
    <row r="89" spans="1:8">
      <c r="F89" s="187"/>
      <c r="G89" s="1057"/>
    </row>
    <row r="90" spans="1:8">
      <c r="A90" s="41"/>
      <c r="B90" s="41"/>
      <c r="F90" s="552"/>
      <c r="G90" s="1057"/>
    </row>
    <row r="91" spans="1:8">
      <c r="E91" s="553"/>
      <c r="F91" s="552"/>
      <c r="G91" s="1056"/>
    </row>
    <row r="92" spans="1:8">
      <c r="E92" s="553"/>
      <c r="F92" s="552"/>
      <c r="G92" s="1056"/>
    </row>
    <row r="93" spans="1:8">
      <c r="E93" s="554"/>
      <c r="F93" s="552"/>
      <c r="G93" s="1057"/>
    </row>
    <row r="94" spans="1:8">
      <c r="A94" s="41"/>
      <c r="B94" s="41"/>
      <c r="E94" s="554"/>
      <c r="F94" s="552"/>
      <c r="G94" s="1057"/>
    </row>
    <row r="95" spans="1:8">
      <c r="E95" s="553"/>
      <c r="F95" s="552"/>
      <c r="G95" s="1056"/>
    </row>
    <row r="96" spans="1:8">
      <c r="E96" s="553"/>
      <c r="F96" s="552"/>
      <c r="G96" s="1056"/>
    </row>
    <row r="97" spans="1:8">
      <c r="E97" s="553"/>
      <c r="F97" s="552"/>
      <c r="G97" s="1056"/>
    </row>
    <row r="98" spans="1:8">
      <c r="A98" s="41"/>
      <c r="B98" s="41"/>
      <c r="E98" s="553"/>
      <c r="F98" s="552"/>
      <c r="G98" s="1056"/>
    </row>
    <row r="99" spans="1:8">
      <c r="E99" s="553"/>
      <c r="F99" s="552"/>
      <c r="G99" s="1056"/>
    </row>
    <row r="100" spans="1:8">
      <c r="H100" s="132"/>
    </row>
    <row r="101" spans="1:8">
      <c r="E101" s="553"/>
      <c r="F101" s="552"/>
      <c r="G101" s="1056"/>
    </row>
    <row r="102" spans="1:8">
      <c r="E102" s="553"/>
      <c r="F102" s="552"/>
      <c r="H102" s="540"/>
    </row>
    <row r="103" spans="1:8">
      <c r="E103" s="553"/>
      <c r="F103" s="552"/>
      <c r="G103" s="1056"/>
    </row>
    <row r="104" spans="1:8" s="128" customFormat="1">
      <c r="A104" s="41"/>
      <c r="B104" s="41"/>
      <c r="C104" s="38"/>
      <c r="D104" s="184"/>
      <c r="E104" s="492"/>
      <c r="F104" s="176"/>
      <c r="G104" s="1062"/>
      <c r="H104" s="189"/>
    </row>
    <row r="105" spans="1:8" s="128" customFormat="1">
      <c r="A105" s="41"/>
      <c r="B105" s="41"/>
      <c r="C105" s="38"/>
      <c r="D105" s="184"/>
      <c r="E105" s="492"/>
      <c r="F105" s="176"/>
      <c r="G105" s="1058"/>
      <c r="H105" s="189"/>
    </row>
    <row r="106" spans="1:8" s="128" customFormat="1">
      <c r="A106" s="41"/>
      <c r="B106" s="41"/>
      <c r="C106" s="38"/>
      <c r="D106" s="184"/>
      <c r="E106" s="492"/>
      <c r="F106" s="176"/>
      <c r="G106" s="1058"/>
      <c r="H106" s="189"/>
    </row>
    <row r="107" spans="1:8" s="128" customFormat="1">
      <c r="A107" s="41"/>
      <c r="B107" s="41"/>
      <c r="C107" s="38"/>
      <c r="D107" s="184"/>
      <c r="E107" s="492"/>
      <c r="F107" s="176"/>
      <c r="G107" s="1058"/>
      <c r="H107" s="189"/>
    </row>
    <row r="108" spans="1:8" s="128" customFormat="1">
      <c r="A108" s="41"/>
      <c r="B108" s="41"/>
      <c r="C108" s="38"/>
      <c r="D108" s="184"/>
      <c r="E108" s="492"/>
      <c r="F108" s="176"/>
      <c r="G108" s="1058"/>
      <c r="H108" s="189"/>
    </row>
    <row r="109" spans="1:8" s="128" customFormat="1">
      <c r="A109" s="41"/>
      <c r="B109" s="41"/>
      <c r="C109" s="38"/>
      <c r="D109" s="184"/>
      <c r="E109" s="492"/>
      <c r="F109" s="176"/>
      <c r="G109" s="1058"/>
      <c r="H109" s="189"/>
    </row>
    <row r="110" spans="1:8" s="128" customFormat="1">
      <c r="A110" s="41"/>
      <c r="B110" s="41"/>
      <c r="C110" s="38"/>
      <c r="D110" s="184"/>
      <c r="E110" s="555"/>
      <c r="F110" s="176"/>
      <c r="G110" s="1058"/>
      <c r="H110" s="189"/>
    </row>
    <row r="111" spans="1:8" s="128" customFormat="1">
      <c r="A111" s="41"/>
      <c r="B111" s="41"/>
      <c r="C111" s="38"/>
      <c r="D111" s="184"/>
      <c r="E111" s="492"/>
      <c r="F111" s="176"/>
      <c r="G111" s="1058"/>
      <c r="H111" s="189"/>
    </row>
    <row r="112" spans="1:8" s="128" customFormat="1">
      <c r="A112" s="41"/>
      <c r="B112" s="41"/>
      <c r="C112" s="38"/>
      <c r="D112" s="184"/>
      <c r="E112" s="492"/>
      <c r="F112" s="176"/>
      <c r="G112" s="1058"/>
      <c r="H112" s="189"/>
    </row>
    <row r="113" spans="1:8" s="128" customFormat="1">
      <c r="A113" s="41"/>
      <c r="B113" s="41"/>
      <c r="C113" s="38"/>
      <c r="D113" s="184"/>
      <c r="E113" s="555"/>
      <c r="F113" s="176"/>
      <c r="G113" s="1058"/>
      <c r="H113" s="189"/>
    </row>
    <row r="114" spans="1:8" s="128" customFormat="1">
      <c r="A114" s="41"/>
      <c r="B114" s="41"/>
      <c r="C114" s="38"/>
      <c r="D114" s="184"/>
      <c r="E114" s="492"/>
      <c r="F114" s="176"/>
      <c r="G114" s="1058"/>
      <c r="H114" s="189"/>
    </row>
    <row r="115" spans="1:8" s="128" customFormat="1">
      <c r="A115" s="41"/>
      <c r="B115" s="41"/>
      <c r="C115" s="38"/>
      <c r="D115" s="184"/>
      <c r="E115" s="555"/>
      <c r="F115" s="176"/>
      <c r="G115" s="1058"/>
      <c r="H115" s="189"/>
    </row>
    <row r="116" spans="1:8" s="128" customFormat="1">
      <c r="A116" s="41"/>
      <c r="B116" s="41"/>
      <c r="C116" s="38"/>
      <c r="D116" s="184"/>
      <c r="E116" s="555"/>
      <c r="F116" s="176"/>
      <c r="G116" s="1058"/>
      <c r="H116" s="189"/>
    </row>
    <row r="117" spans="1:8" s="128" customFormat="1">
      <c r="A117" s="41"/>
      <c r="B117" s="41"/>
      <c r="C117" s="38"/>
      <c r="D117" s="184"/>
      <c r="E117" s="555"/>
      <c r="F117" s="176"/>
      <c r="G117" s="1062"/>
      <c r="H117" s="189"/>
    </row>
    <row r="118" spans="1:8">
      <c r="E118" s="554"/>
      <c r="F118" s="552"/>
      <c r="G118" s="1056"/>
    </row>
    <row r="119" spans="1:8">
      <c r="E119" s="554"/>
      <c r="F119" s="552"/>
      <c r="G119" s="1056"/>
    </row>
    <row r="120" spans="1:8">
      <c r="E120" s="554"/>
      <c r="F120" s="552"/>
      <c r="G120" s="1056"/>
    </row>
    <row r="121" spans="1:8">
      <c r="E121" s="553"/>
      <c r="F121" s="552"/>
      <c r="G121" s="1057"/>
    </row>
    <row r="122" spans="1:8">
      <c r="E122" s="554"/>
      <c r="F122" s="552"/>
      <c r="G122" s="1057"/>
    </row>
    <row r="123" spans="1:8">
      <c r="E123" s="554"/>
      <c r="F123" s="552"/>
      <c r="G123" s="1057"/>
    </row>
    <row r="124" spans="1:8">
      <c r="E124" s="554"/>
      <c r="F124" s="552"/>
      <c r="G124" s="1057"/>
    </row>
    <row r="125" spans="1:8">
      <c r="E125" s="554"/>
      <c r="F125" s="552"/>
      <c r="G125" s="1057"/>
    </row>
    <row r="126" spans="1:8">
      <c r="F126" s="552"/>
      <c r="G126" s="1057"/>
    </row>
  </sheetData>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6669-11E4-4451-A774-746723715C09}">
  <sheetPr>
    <tabColor rgb="FF92D050"/>
  </sheetPr>
  <dimension ref="A1:K40"/>
  <sheetViews>
    <sheetView view="pageBreakPreview" topLeftCell="A21" zoomScaleNormal="100" zoomScaleSheetLayoutView="100" zoomScalePageLayoutView="90" workbookViewId="0">
      <selection activeCell="G28" sqref="G28"/>
    </sheetView>
  </sheetViews>
  <sheetFormatPr defaultColWidth="8.6328125" defaultRowHeight="13.2"/>
  <cols>
    <col min="1" max="2" width="3.36328125" style="177" customWidth="1"/>
    <col min="3" max="3" width="1.90625" style="132" customWidth="1"/>
    <col min="4" max="4" width="31.453125" style="560" customWidth="1"/>
    <col min="5" max="5" width="4.6328125" style="183" customWidth="1"/>
    <col min="6" max="6" width="8" style="16" customWidth="1"/>
    <col min="7" max="7" width="10.1796875" style="1036" customWidth="1"/>
    <col min="8" max="8" width="11.54296875" style="179" customWidth="1"/>
    <col min="9" max="16384" width="8.6328125" style="16"/>
  </cols>
  <sheetData>
    <row r="1" spans="1:11">
      <c r="D1" s="184"/>
      <c r="E1" s="178"/>
    </row>
    <row r="2" spans="1:11" s="13" customFormat="1" ht="13.8" thickBot="1">
      <c r="A2" s="137" t="s">
        <v>185</v>
      </c>
      <c r="B2" s="137"/>
      <c r="C2" s="138"/>
      <c r="D2" s="148" t="s">
        <v>534</v>
      </c>
      <c r="E2" s="149"/>
      <c r="F2" s="159"/>
      <c r="G2" s="999"/>
      <c r="H2" s="150"/>
      <c r="J2" s="16"/>
    </row>
    <row r="3" spans="1:11" s="53" customFormat="1">
      <c r="A3" s="177"/>
      <c r="B3" s="177" t="s">
        <v>330</v>
      </c>
      <c r="C3" s="132"/>
      <c r="D3" s="184"/>
      <c r="E3" s="178"/>
      <c r="F3" s="114"/>
      <c r="G3" s="1063"/>
      <c r="H3" s="179"/>
      <c r="I3" s="16"/>
      <c r="J3" s="16"/>
    </row>
    <row r="4" spans="1:11" s="53" customFormat="1">
      <c r="A4" s="131"/>
      <c r="B4" s="131"/>
      <c r="C4" s="132"/>
      <c r="D4" s="184" t="s">
        <v>314</v>
      </c>
      <c r="E4" s="178"/>
      <c r="F4" s="180"/>
      <c r="G4" s="986"/>
      <c r="H4" s="179"/>
      <c r="I4" s="16"/>
      <c r="J4" s="16"/>
    </row>
    <row r="5" spans="1:11" s="53" customFormat="1" ht="52.8">
      <c r="A5" s="131"/>
      <c r="B5" s="131"/>
      <c r="C5" s="132"/>
      <c r="D5" s="184" t="s">
        <v>518</v>
      </c>
      <c r="E5" s="178"/>
      <c r="F5" s="180"/>
      <c r="G5" s="986"/>
      <c r="H5" s="179"/>
      <c r="I5" s="16"/>
      <c r="J5" s="16"/>
    </row>
    <row r="6" spans="1:11" s="53" customFormat="1" ht="118.8">
      <c r="A6" s="131"/>
      <c r="B6" s="131"/>
      <c r="C6" s="132"/>
      <c r="D6" s="80" t="s">
        <v>1410</v>
      </c>
      <c r="E6" s="178"/>
      <c r="F6" s="180"/>
      <c r="G6" s="986"/>
      <c r="H6" s="179"/>
      <c r="I6" s="16"/>
      <c r="J6" s="16"/>
    </row>
    <row r="7" spans="1:11" s="53" customFormat="1">
      <c r="A7" s="131"/>
      <c r="B7" s="131"/>
      <c r="C7" s="132"/>
      <c r="D7" s="184"/>
      <c r="E7" s="178"/>
      <c r="F7" s="180"/>
      <c r="G7" s="986"/>
      <c r="H7" s="179"/>
      <c r="I7" s="16"/>
      <c r="J7" s="16"/>
    </row>
    <row r="8" spans="1:11" s="53" customFormat="1">
      <c r="A8" s="25" t="s">
        <v>507</v>
      </c>
      <c r="B8" s="25" t="s">
        <v>508</v>
      </c>
      <c r="C8" s="39"/>
      <c r="D8" s="184" t="s">
        <v>504</v>
      </c>
      <c r="E8" s="43" t="s">
        <v>505</v>
      </c>
      <c r="F8" s="14" t="s">
        <v>506</v>
      </c>
      <c r="G8" s="1039" t="s">
        <v>509</v>
      </c>
      <c r="H8" s="63" t="s">
        <v>510</v>
      </c>
      <c r="I8" s="13"/>
      <c r="J8" s="16"/>
    </row>
    <row r="9" spans="1:11" s="53" customFormat="1">
      <c r="A9" s="25"/>
      <c r="B9" s="25"/>
      <c r="C9" s="39"/>
      <c r="D9" s="184"/>
      <c r="E9" s="43"/>
      <c r="F9" s="14"/>
      <c r="G9" s="989"/>
      <c r="H9" s="63"/>
      <c r="I9" s="13"/>
      <c r="J9" s="16"/>
    </row>
    <row r="10" spans="1:11" ht="118.8">
      <c r="A10" s="41" t="s">
        <v>185</v>
      </c>
      <c r="B10" s="47" t="s">
        <v>102</v>
      </c>
      <c r="C10" s="181"/>
      <c r="D10" s="80" t="s">
        <v>1411</v>
      </c>
      <c r="E10" s="178"/>
      <c r="F10" s="180"/>
      <c r="G10" s="986"/>
    </row>
    <row r="11" spans="1:11" ht="240.75" customHeight="1">
      <c r="A11" s="41"/>
      <c r="B11" s="47"/>
      <c r="C11" s="181"/>
      <c r="D11" s="80" t="s">
        <v>1412</v>
      </c>
      <c r="E11" s="178"/>
      <c r="F11" s="180"/>
      <c r="G11" s="986"/>
    </row>
    <row r="12" spans="1:11" ht="79.2">
      <c r="A12" s="47"/>
      <c r="B12" s="47"/>
      <c r="C12" s="128"/>
      <c r="D12" s="80" t="s">
        <v>1413</v>
      </c>
      <c r="E12" s="184"/>
      <c r="F12" s="98"/>
      <c r="G12" s="989"/>
      <c r="H12" s="63"/>
      <c r="I12" s="13"/>
    </row>
    <row r="13" spans="1:11">
      <c r="A13" s="47"/>
      <c r="B13" s="47"/>
      <c r="C13" s="128"/>
      <c r="D13" s="184" t="s">
        <v>1414</v>
      </c>
      <c r="E13" s="492"/>
      <c r="F13" s="98"/>
      <c r="G13" s="989"/>
      <c r="H13" s="63"/>
      <c r="I13" s="13"/>
    </row>
    <row r="14" spans="1:11">
      <c r="A14" s="47"/>
      <c r="B14" s="47"/>
      <c r="C14" s="39" t="s">
        <v>240</v>
      </c>
      <c r="D14" s="563" t="s">
        <v>1415</v>
      </c>
      <c r="E14" s="43" t="s">
        <v>503</v>
      </c>
      <c r="F14" s="98">
        <v>110</v>
      </c>
      <c r="G14" s="1046">
        <v>60</v>
      </c>
      <c r="H14" s="26">
        <f>SUM(F14*G14)</f>
        <v>6600</v>
      </c>
      <c r="I14" s="13"/>
    </row>
    <row r="15" spans="1:11" ht="15">
      <c r="A15" s="131"/>
      <c r="B15" s="131"/>
      <c r="C15" s="39" t="s">
        <v>241</v>
      </c>
      <c r="D15" s="563" t="s">
        <v>1416</v>
      </c>
      <c r="E15" s="43" t="s">
        <v>503</v>
      </c>
      <c r="F15" s="98">
        <v>50</v>
      </c>
      <c r="G15" s="1046">
        <v>60</v>
      </c>
      <c r="H15" s="26">
        <f>SUM(F15*G15)</f>
        <v>3000</v>
      </c>
      <c r="I15" s="13"/>
      <c r="K15" s="556"/>
    </row>
    <row r="16" spans="1:11">
      <c r="A16" s="47"/>
      <c r="B16" s="47"/>
      <c r="C16" s="128"/>
      <c r="D16" s="184"/>
      <c r="E16" s="491"/>
      <c r="F16" s="98"/>
      <c r="G16" s="989"/>
      <c r="H16" s="63"/>
      <c r="I16" s="13"/>
    </row>
    <row r="17" spans="1:10" ht="105.6">
      <c r="A17" s="41" t="s">
        <v>185</v>
      </c>
      <c r="B17" s="47" t="s">
        <v>311</v>
      </c>
      <c r="C17" s="39"/>
      <c r="D17" s="80" t="s">
        <v>1417</v>
      </c>
      <c r="E17" s="43"/>
      <c r="F17" s="14"/>
      <c r="G17" s="989"/>
      <c r="H17" s="63"/>
    </row>
    <row r="18" spans="1:10" ht="79.2">
      <c r="A18" s="47"/>
      <c r="B18" s="47"/>
      <c r="C18" s="128"/>
      <c r="D18" s="80" t="s">
        <v>1413</v>
      </c>
      <c r="E18" s="184"/>
      <c r="F18" s="98"/>
      <c r="G18" s="989"/>
      <c r="H18" s="63"/>
      <c r="I18" s="13"/>
    </row>
    <row r="19" spans="1:10" ht="158.4">
      <c r="A19" s="41"/>
      <c r="B19" s="41"/>
      <c r="C19" s="39"/>
      <c r="D19" s="80" t="s">
        <v>1418</v>
      </c>
      <c r="E19" s="43"/>
      <c r="F19" s="14"/>
      <c r="G19" s="989"/>
      <c r="H19" s="63"/>
    </row>
    <row r="20" spans="1:10" ht="105.6">
      <c r="A20" s="47"/>
      <c r="B20" s="47"/>
      <c r="C20" s="39"/>
      <c r="D20" s="80" t="s">
        <v>1419</v>
      </c>
      <c r="E20" s="43"/>
      <c r="F20" s="14"/>
      <c r="G20" s="1040"/>
      <c r="H20" s="63"/>
    </row>
    <row r="21" spans="1:10" ht="105.6">
      <c r="A21" s="47"/>
      <c r="B21" s="47"/>
      <c r="C21" s="128"/>
      <c r="D21" s="80" t="s">
        <v>1420</v>
      </c>
      <c r="E21" s="184"/>
      <c r="F21" s="98"/>
      <c r="G21" s="1040"/>
      <c r="H21" s="63"/>
      <c r="I21" s="13"/>
    </row>
    <row r="22" spans="1:10" ht="92.4">
      <c r="A22" s="47"/>
      <c r="B22" s="47"/>
      <c r="C22" s="128"/>
      <c r="D22" s="80" t="s">
        <v>1421</v>
      </c>
      <c r="E22" s="184"/>
      <c r="F22" s="98"/>
      <c r="G22" s="1040"/>
      <c r="H22" s="63"/>
      <c r="I22" s="13"/>
    </row>
    <row r="23" spans="1:10" ht="132">
      <c r="A23" s="25"/>
      <c r="B23" s="25"/>
      <c r="C23" s="38"/>
      <c r="D23" s="80" t="s">
        <v>1422</v>
      </c>
      <c r="E23" s="15"/>
      <c r="F23" s="130"/>
      <c r="G23" s="1040"/>
      <c r="H23" s="26"/>
      <c r="I23" s="13"/>
      <c r="J23" s="556"/>
    </row>
    <row r="24" spans="1:10" ht="15">
      <c r="A24" s="25"/>
      <c r="B24" s="25"/>
      <c r="C24" s="39" t="s">
        <v>240</v>
      </c>
      <c r="D24" s="563" t="s">
        <v>1423</v>
      </c>
      <c r="E24" s="15" t="s">
        <v>503</v>
      </c>
      <c r="F24" s="130">
        <v>1200</v>
      </c>
      <c r="G24" s="1064">
        <v>65</v>
      </c>
      <c r="H24" s="26">
        <f>SUM(F24*G24)</f>
        <v>78000</v>
      </c>
      <c r="I24" s="13"/>
      <c r="J24" s="556"/>
    </row>
    <row r="25" spans="1:10" ht="15">
      <c r="A25" s="25"/>
      <c r="B25" s="25"/>
      <c r="C25" s="39" t="s">
        <v>241</v>
      </c>
      <c r="D25" s="563" t="s">
        <v>1424</v>
      </c>
      <c r="E25" s="15" t="s">
        <v>503</v>
      </c>
      <c r="F25" s="130">
        <v>360</v>
      </c>
      <c r="G25" s="1064">
        <v>60</v>
      </c>
      <c r="H25" s="26">
        <f>SUM(F25*G25)</f>
        <v>21600</v>
      </c>
      <c r="I25" s="13"/>
      <c r="J25" s="556"/>
    </row>
    <row r="26" spans="1:10" ht="15">
      <c r="A26" s="25"/>
      <c r="B26" s="25"/>
      <c r="C26" s="39" t="s">
        <v>242</v>
      </c>
      <c r="D26" s="563" t="s">
        <v>1425</v>
      </c>
      <c r="E26" s="15" t="s">
        <v>503</v>
      </c>
      <c r="F26" s="130">
        <v>10</v>
      </c>
      <c r="G26" s="1064">
        <v>60</v>
      </c>
      <c r="H26" s="26">
        <f>SUM(F26*G26)</f>
        <v>600</v>
      </c>
      <c r="I26" s="13"/>
      <c r="J26" s="556"/>
    </row>
    <row r="27" spans="1:10" ht="15">
      <c r="A27" s="25"/>
      <c r="B27" s="25"/>
      <c r="C27" s="39" t="s">
        <v>221</v>
      </c>
      <c r="D27" s="563" t="s">
        <v>1426</v>
      </c>
      <c r="E27" s="15" t="s">
        <v>503</v>
      </c>
      <c r="F27" s="130">
        <v>145</v>
      </c>
      <c r="G27" s="1064">
        <v>55</v>
      </c>
      <c r="H27" s="26">
        <f>SUM(F27*G27)</f>
        <v>7975</v>
      </c>
      <c r="I27" s="13"/>
      <c r="J27" s="556"/>
    </row>
    <row r="28" spans="1:10" ht="13.8" thickBot="1">
      <c r="A28" s="47"/>
      <c r="B28" s="47"/>
      <c r="C28" s="128"/>
      <c r="D28" s="427"/>
      <c r="E28" s="15"/>
      <c r="F28" s="13"/>
      <c r="G28" s="1065"/>
      <c r="H28" s="156"/>
    </row>
    <row r="29" spans="1:10">
      <c r="A29" s="158" t="s">
        <v>185</v>
      </c>
      <c r="B29" s="158"/>
      <c r="C29" s="557"/>
      <c r="D29" s="558" t="s">
        <v>1427</v>
      </c>
      <c r="E29" s="163"/>
      <c r="F29" s="559"/>
      <c r="G29" s="1040"/>
      <c r="H29" s="26">
        <f>SUM(H10:H27)</f>
        <v>117775</v>
      </c>
    </row>
    <row r="30" spans="1:10">
      <c r="G30" s="1040"/>
    </row>
    <row r="31" spans="1:10">
      <c r="G31" s="1040"/>
    </row>
    <row r="33" spans="1:9">
      <c r="A33" s="131"/>
      <c r="B33" s="131"/>
      <c r="C33" s="561"/>
      <c r="D33" s="562"/>
      <c r="E33" s="15"/>
      <c r="F33" s="130"/>
      <c r="G33" s="1040"/>
      <c r="H33" s="26"/>
      <c r="I33" s="13"/>
    </row>
    <row r="34" spans="1:9">
      <c r="A34" s="131"/>
      <c r="B34" s="131"/>
      <c r="C34" s="561"/>
      <c r="D34" s="562"/>
      <c r="E34" s="15"/>
      <c r="F34" s="130"/>
      <c r="G34" s="1040"/>
      <c r="H34" s="26"/>
      <c r="I34" s="13"/>
    </row>
    <row r="38" spans="1:9">
      <c r="D38" s="185"/>
    </row>
    <row r="39" spans="1:9">
      <c r="D39" s="185"/>
    </row>
    <row r="40" spans="1:9">
      <c r="A40" s="131"/>
      <c r="B40" s="131"/>
    </row>
  </sheetData>
  <pageMargins left="0.74803149606299213" right="0.55118110236220474" top="1.0236220472440944" bottom="0.78740157480314965" header="0.43307086614173229" footer="0.51181102362204722"/>
  <pageSetup paperSize="9" orientation="portrait" horizontalDpi="4294967293" verticalDpi="4294967293"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6328-EEBA-4B4A-856A-7E66478D59F7}">
  <sheetPr>
    <tabColor rgb="FF92D050"/>
  </sheetPr>
  <dimension ref="A1:L38"/>
  <sheetViews>
    <sheetView view="pageBreakPreview" topLeftCell="A22" zoomScaleNormal="100" zoomScaleSheetLayoutView="100" zoomScalePageLayoutView="70" workbookViewId="0">
      <selection activeCell="G21" sqref="G21"/>
    </sheetView>
  </sheetViews>
  <sheetFormatPr defaultColWidth="8.54296875" defaultRowHeight="13.2"/>
  <cols>
    <col min="1" max="1" width="3.36328125" style="131" customWidth="1"/>
    <col min="2" max="2" width="2.36328125" style="131" customWidth="1"/>
    <col min="3" max="3" width="2" style="16" customWidth="1"/>
    <col min="4" max="4" width="31.1796875" style="61" customWidth="1"/>
    <col min="5" max="5" width="4.6328125" style="183" customWidth="1"/>
    <col min="6" max="6" width="7.90625" style="16" customWidth="1"/>
    <col min="7" max="7" width="10.08984375" style="1061" customWidth="1"/>
    <col min="8" max="8" width="11.453125" style="179" customWidth="1"/>
    <col min="9" max="9" width="8.54296875" style="16"/>
    <col min="10" max="10" width="8.54296875" style="54"/>
    <col min="11" max="16384" width="8.54296875" style="16"/>
  </cols>
  <sheetData>
    <row r="1" spans="1:11">
      <c r="A1" s="177"/>
      <c r="B1" s="177"/>
      <c r="C1" s="132"/>
      <c r="E1" s="178"/>
      <c r="G1" s="1036"/>
    </row>
    <row r="2" spans="1:11" s="13" customFormat="1" ht="13.8" thickBot="1">
      <c r="A2" s="137" t="s">
        <v>397</v>
      </c>
      <c r="B2" s="137"/>
      <c r="C2" s="138"/>
      <c r="D2" s="148" t="s">
        <v>558</v>
      </c>
      <c r="E2" s="149"/>
      <c r="F2" s="159"/>
      <c r="G2" s="999"/>
      <c r="H2" s="150"/>
      <c r="J2" s="54"/>
    </row>
    <row r="3" spans="1:11" s="13" customFormat="1">
      <c r="A3" s="177"/>
      <c r="B3" s="177"/>
      <c r="C3" s="132"/>
      <c r="D3" s="61"/>
      <c r="E3" s="178"/>
      <c r="F3" s="114"/>
      <c r="G3" s="1063"/>
      <c r="H3" s="179"/>
      <c r="I3" s="16"/>
      <c r="J3" s="54"/>
      <c r="K3" s="16"/>
    </row>
    <row r="4" spans="1:11" s="13" customFormat="1">
      <c r="A4" s="131" t="s">
        <v>330</v>
      </c>
      <c r="B4" s="131" t="s">
        <v>330</v>
      </c>
      <c r="C4" s="132"/>
      <c r="D4" s="61" t="s">
        <v>314</v>
      </c>
      <c r="E4" s="178"/>
      <c r="F4" s="180"/>
      <c r="G4" s="986"/>
      <c r="H4" s="179"/>
      <c r="I4" s="16"/>
      <c r="J4" s="54"/>
      <c r="K4" s="16"/>
    </row>
    <row r="5" spans="1:11" s="13" customFormat="1" ht="52.8">
      <c r="A5" s="131"/>
      <c r="B5" s="131"/>
      <c r="C5" s="132"/>
      <c r="D5" s="61" t="s">
        <v>518</v>
      </c>
      <c r="E5" s="178"/>
      <c r="F5" s="180"/>
      <c r="G5" s="986"/>
      <c r="H5" s="179"/>
      <c r="I5" s="16"/>
      <c r="J5" s="54"/>
      <c r="K5" s="16"/>
    </row>
    <row r="6" spans="1:11" s="13" customFormat="1">
      <c r="A6" s="131"/>
      <c r="B6" s="131"/>
      <c r="C6" s="132"/>
      <c r="D6" s="61" t="s">
        <v>546</v>
      </c>
      <c r="E6" s="178"/>
      <c r="F6" s="180"/>
      <c r="G6" s="986"/>
      <c r="H6" s="179"/>
      <c r="I6" s="16"/>
      <c r="J6" s="54"/>
      <c r="K6" s="16"/>
    </row>
    <row r="7" spans="1:11" s="13" customFormat="1" ht="228.75" customHeight="1">
      <c r="A7" s="131"/>
      <c r="B7" s="131"/>
      <c r="C7" s="132"/>
      <c r="D7" s="61" t="s">
        <v>559</v>
      </c>
      <c r="E7" s="178"/>
      <c r="F7" s="180"/>
      <c r="G7" s="986"/>
      <c r="H7" s="179"/>
      <c r="I7" s="16"/>
      <c r="J7" s="54"/>
      <c r="K7" s="16"/>
    </row>
    <row r="8" spans="1:11" s="13" customFormat="1">
      <c r="A8" s="25"/>
      <c r="B8" s="25"/>
      <c r="C8" s="39"/>
      <c r="D8" s="61"/>
      <c r="E8" s="43"/>
      <c r="F8" s="14"/>
      <c r="G8" s="989"/>
      <c r="H8" s="63"/>
      <c r="J8" s="54"/>
    </row>
    <row r="9" spans="1:11" s="13" customFormat="1">
      <c r="A9" s="25" t="s">
        <v>507</v>
      </c>
      <c r="B9" s="25" t="s">
        <v>508</v>
      </c>
      <c r="C9" s="39"/>
      <c r="D9" s="61" t="s">
        <v>504</v>
      </c>
      <c r="E9" s="43" t="s">
        <v>505</v>
      </c>
      <c r="F9" s="14" t="s">
        <v>506</v>
      </c>
      <c r="G9" s="989" t="s">
        <v>509</v>
      </c>
      <c r="H9" s="63" t="s">
        <v>510</v>
      </c>
      <c r="J9" s="54"/>
    </row>
    <row r="10" spans="1:11">
      <c r="A10" s="131" t="s">
        <v>330</v>
      </c>
      <c r="B10" s="131" t="s">
        <v>330</v>
      </c>
      <c r="C10" s="181"/>
      <c r="E10" s="178"/>
      <c r="F10" s="180" t="str">
        <f>IF(ISNUMBER(#REF!),IF(OR(E10="m1",E10="m2",E10="m3",E10="kg"),#REF!*(1+#REF!/100),#REF!),"")</f>
        <v/>
      </c>
      <c r="G10" s="986"/>
    </row>
    <row r="11" spans="1:11" ht="203.4" customHeight="1">
      <c r="A11" s="47" t="s">
        <v>397</v>
      </c>
      <c r="B11" s="47" t="s">
        <v>102</v>
      </c>
      <c r="C11" s="181"/>
      <c r="D11" s="61" t="s">
        <v>1065</v>
      </c>
      <c r="E11" s="15"/>
      <c r="F11" s="489"/>
      <c r="G11" s="997"/>
      <c r="H11" s="63"/>
    </row>
    <row r="12" spans="1:11">
      <c r="C12" s="39" t="s">
        <v>240</v>
      </c>
      <c r="D12" s="56" t="s">
        <v>549</v>
      </c>
      <c r="E12" s="57" t="s">
        <v>503</v>
      </c>
      <c r="F12" s="64">
        <v>2950</v>
      </c>
      <c r="G12" s="1128">
        <v>5</v>
      </c>
      <c r="H12" s="26">
        <f>SUM(F12*G12)</f>
        <v>14750</v>
      </c>
    </row>
    <row r="13" spans="1:11" ht="26.4">
      <c r="C13" s="39" t="s">
        <v>241</v>
      </c>
      <c r="D13" s="56" t="s">
        <v>581</v>
      </c>
      <c r="E13" s="57" t="s">
        <v>503</v>
      </c>
      <c r="F13" s="64">
        <v>1550</v>
      </c>
      <c r="G13" s="1128">
        <v>5</v>
      </c>
      <c r="H13" s="26">
        <f>SUM(F13*G13)</f>
        <v>7750</v>
      </c>
    </row>
    <row r="14" spans="1:11">
      <c r="C14" s="39"/>
      <c r="D14" s="56"/>
      <c r="E14" s="57"/>
      <c r="F14" s="64"/>
      <c r="G14" s="1128"/>
      <c r="H14" s="26"/>
    </row>
    <row r="15" spans="1:11" ht="137.25" customHeight="1">
      <c r="A15" s="47" t="s">
        <v>397</v>
      </c>
      <c r="B15" s="47" t="s">
        <v>311</v>
      </c>
      <c r="C15" s="39"/>
      <c r="D15" s="61" t="s">
        <v>1117</v>
      </c>
      <c r="E15" s="57"/>
      <c r="F15" s="64"/>
      <c r="G15" s="1128"/>
      <c r="H15" s="26"/>
    </row>
    <row r="16" spans="1:11">
      <c r="C16" s="39"/>
      <c r="D16" s="56"/>
      <c r="E16" s="57" t="s">
        <v>503</v>
      </c>
      <c r="F16" s="64">
        <v>1025</v>
      </c>
      <c r="G16" s="1128">
        <v>10</v>
      </c>
      <c r="H16" s="26">
        <f>SUM(F16*G16)</f>
        <v>10250</v>
      </c>
    </row>
    <row r="17" spans="1:12">
      <c r="C17" s="181"/>
      <c r="E17" s="178"/>
      <c r="F17" s="180"/>
      <c r="G17" s="1129"/>
    </row>
    <row r="18" spans="1:12" s="13" customFormat="1" ht="135" customHeight="1">
      <c r="A18" s="47" t="s">
        <v>397</v>
      </c>
      <c r="B18" s="47" t="s">
        <v>243</v>
      </c>
      <c r="C18" s="181"/>
      <c r="D18" s="61" t="s">
        <v>963</v>
      </c>
      <c r="E18" s="178"/>
      <c r="F18" s="180"/>
      <c r="G18" s="1129"/>
      <c r="H18" s="179"/>
      <c r="I18" s="490"/>
      <c r="J18" s="54"/>
      <c r="K18" s="16"/>
    </row>
    <row r="19" spans="1:12" s="13" customFormat="1" ht="15">
      <c r="A19" s="47"/>
      <c r="B19" s="47"/>
      <c r="C19" s="53" t="s">
        <v>240</v>
      </c>
      <c r="D19" s="61" t="s">
        <v>560</v>
      </c>
      <c r="E19" s="491" t="s">
        <v>503</v>
      </c>
      <c r="F19" s="14">
        <f>F16+F12</f>
        <v>3975</v>
      </c>
      <c r="G19" s="1130">
        <v>7</v>
      </c>
      <c r="H19" s="52">
        <f>F19*G19</f>
        <v>27825</v>
      </c>
      <c r="I19" s="53"/>
      <c r="J19" s="64"/>
      <c r="K19" s="122"/>
      <c r="L19" s="14"/>
    </row>
    <row r="20" spans="1:12" s="13" customFormat="1" ht="15">
      <c r="A20" s="25"/>
      <c r="B20" s="25"/>
      <c r="C20" s="39" t="s">
        <v>241</v>
      </c>
      <c r="D20" s="61" t="s">
        <v>561</v>
      </c>
      <c r="E20" s="43" t="s">
        <v>503</v>
      </c>
      <c r="F20" s="64">
        <f>F13</f>
        <v>1550</v>
      </c>
      <c r="G20" s="1130">
        <v>7</v>
      </c>
      <c r="H20" s="52">
        <f>F20*G20</f>
        <v>10850</v>
      </c>
      <c r="J20" s="64"/>
      <c r="K20" s="122"/>
    </row>
    <row r="21" spans="1:12">
      <c r="A21" s="47"/>
      <c r="B21" s="47"/>
      <c r="C21" s="128"/>
      <c r="E21" s="492"/>
      <c r="F21" s="98"/>
      <c r="G21" s="989"/>
      <c r="H21" s="63"/>
      <c r="I21" s="13"/>
      <c r="K21" s="13"/>
    </row>
    <row r="22" spans="1:12" s="13" customFormat="1" ht="163.19999999999999" customHeight="1">
      <c r="A22" s="47" t="s">
        <v>397</v>
      </c>
      <c r="B22" s="41" t="s">
        <v>582</v>
      </c>
      <c r="C22" s="181"/>
      <c r="D22" s="61" t="s">
        <v>962</v>
      </c>
      <c r="E22" s="178"/>
      <c r="F22" s="180" t="str">
        <f>IF(ISNUMBER(#REF!),IF(OR(E22="m1",E22="m2",E22="m3",E22="kg"),#REF!*(1+#REF!/100),#REF!),"")</f>
        <v/>
      </c>
      <c r="G22" s="986"/>
      <c r="H22" s="179"/>
      <c r="I22" s="16"/>
      <c r="J22" s="54"/>
      <c r="K22" s="16"/>
    </row>
    <row r="23" spans="1:12" s="13" customFormat="1" ht="15">
      <c r="A23" s="47" t="s">
        <v>330</v>
      </c>
      <c r="B23" s="47" t="s">
        <v>330</v>
      </c>
      <c r="C23" s="39" t="s">
        <v>240</v>
      </c>
      <c r="D23" s="61" t="s">
        <v>560</v>
      </c>
      <c r="E23" s="43" t="s">
        <v>503</v>
      </c>
      <c r="F23" s="44">
        <v>55</v>
      </c>
      <c r="G23" s="989">
        <v>12</v>
      </c>
      <c r="H23" s="52">
        <f>F23*G23</f>
        <v>660</v>
      </c>
      <c r="I23" s="16"/>
      <c r="J23" s="54"/>
      <c r="K23" s="122"/>
    </row>
    <row r="24" spans="1:12" s="13" customFormat="1">
      <c r="A24" s="47"/>
      <c r="B24" s="47"/>
      <c r="C24" s="181"/>
      <c r="D24" s="61"/>
      <c r="E24" s="178"/>
      <c r="F24" s="180"/>
      <c r="G24" s="986"/>
      <c r="H24" s="179"/>
      <c r="I24" s="16"/>
      <c r="J24" s="54"/>
      <c r="K24" s="16"/>
    </row>
    <row r="25" spans="1:12" s="13" customFormat="1">
      <c r="A25" s="47"/>
      <c r="B25" s="47"/>
      <c r="C25" s="181"/>
      <c r="D25" s="61"/>
      <c r="E25" s="178"/>
      <c r="F25" s="180"/>
      <c r="G25" s="986"/>
      <c r="H25" s="179"/>
      <c r="I25" s="16"/>
      <c r="J25" s="54"/>
      <c r="K25" s="16"/>
    </row>
    <row r="26" spans="1:12" s="13" customFormat="1" ht="119.25" customHeight="1">
      <c r="A26" s="47" t="s">
        <v>397</v>
      </c>
      <c r="B26" s="47" t="s">
        <v>331</v>
      </c>
      <c r="C26" s="128"/>
      <c r="D26" s="61" t="s">
        <v>961</v>
      </c>
      <c r="E26" s="492"/>
      <c r="F26" s="98" t="str">
        <f>IF(ISNUMBER(#REF!),IF(OR(E26="m1",E26="m2",E26="m3",E26="kg"),#REF!*(1+#REF!/100),#REF!),"")</f>
        <v/>
      </c>
      <c r="G26" s="989"/>
      <c r="H26" s="63"/>
      <c r="J26" s="54"/>
    </row>
    <row r="27" spans="1:12" s="13" customFormat="1">
      <c r="A27" s="131" t="s">
        <v>330</v>
      </c>
      <c r="B27" s="131" t="s">
        <v>330</v>
      </c>
      <c r="C27" s="181"/>
      <c r="D27" s="61"/>
      <c r="E27" s="43" t="s">
        <v>503</v>
      </c>
      <c r="F27" s="14">
        <v>10</v>
      </c>
      <c r="G27" s="989">
        <v>20</v>
      </c>
      <c r="H27" s="52">
        <f>F27*G27</f>
        <v>200</v>
      </c>
      <c r="I27" s="16"/>
      <c r="J27" s="16"/>
      <c r="K27" s="16"/>
    </row>
    <row r="28" spans="1:12" ht="15.6" thickBot="1">
      <c r="A28" s="152"/>
      <c r="B28" s="152"/>
      <c r="C28" s="493"/>
      <c r="D28" s="395"/>
      <c r="E28" s="494"/>
      <c r="F28" s="495"/>
      <c r="G28" s="1066"/>
      <c r="H28" s="496"/>
      <c r="K28" s="122"/>
    </row>
    <row r="29" spans="1:12" ht="26.4">
      <c r="A29" s="47" t="s">
        <v>397</v>
      </c>
      <c r="B29" s="47"/>
      <c r="C29" s="128"/>
      <c r="D29" s="171" t="s">
        <v>562</v>
      </c>
      <c r="E29" s="492"/>
      <c r="F29" s="98"/>
      <c r="G29" s="989"/>
      <c r="H29" s="52">
        <f>SUM(H10:H28)</f>
        <v>72285</v>
      </c>
      <c r="I29" s="13"/>
      <c r="K29" s="13"/>
    </row>
    <row r="30" spans="1:12">
      <c r="A30" s="177"/>
      <c r="B30" s="177"/>
      <c r="C30" s="182"/>
      <c r="F30" s="104"/>
    </row>
    <row r="31" spans="1:12">
      <c r="A31" s="177"/>
      <c r="B31" s="177"/>
      <c r="C31" s="182"/>
      <c r="F31" s="104"/>
    </row>
    <row r="32" spans="1:12">
      <c r="A32" s="177"/>
      <c r="B32" s="177"/>
      <c r="C32" s="182"/>
      <c r="F32" s="104"/>
    </row>
    <row r="33" spans="1:6">
      <c r="A33" s="177"/>
      <c r="B33" s="177"/>
      <c r="C33" s="182"/>
      <c r="F33" s="104"/>
    </row>
    <row r="34" spans="1:6">
      <c r="A34" s="177"/>
      <c r="B34" s="177"/>
      <c r="C34" s="182"/>
      <c r="F34" s="104"/>
    </row>
    <row r="35" spans="1:6">
      <c r="A35" s="177"/>
      <c r="B35" s="177"/>
      <c r="C35" s="182"/>
      <c r="F35" s="104"/>
    </row>
    <row r="36" spans="1:6">
      <c r="A36" s="177"/>
      <c r="B36" s="177"/>
      <c r="C36" s="182"/>
      <c r="F36" s="104"/>
    </row>
    <row r="37" spans="1:6">
      <c r="A37" s="177"/>
      <c r="B37" s="177"/>
      <c r="C37" s="182"/>
      <c r="F37" s="104"/>
    </row>
    <row r="38" spans="1:6">
      <c r="A38" s="177"/>
      <c r="B38" s="177"/>
      <c r="C38" s="182"/>
      <c r="F38" s="104"/>
    </row>
  </sheetData>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2:J28"/>
  <sheetViews>
    <sheetView view="pageBreakPreview" topLeftCell="A10" zoomScaleNormal="100" zoomScaleSheetLayoutView="100" zoomScalePageLayoutView="90" workbookViewId="0">
      <selection activeCell="D10" sqref="D10"/>
    </sheetView>
  </sheetViews>
  <sheetFormatPr defaultColWidth="8.90625" defaultRowHeight="13.2"/>
  <cols>
    <col min="1" max="1" width="3.453125" style="131" customWidth="1"/>
    <col min="2" max="2" width="2.6328125" style="131" customWidth="1"/>
    <col min="3" max="3" width="2.36328125" style="16" customWidth="1"/>
    <col min="4" max="4" width="31.1796875" style="61" customWidth="1"/>
    <col min="5" max="5" width="4.54296875" style="386" customWidth="1"/>
    <col min="6" max="6" width="7.90625" style="387" customWidth="1"/>
    <col min="7" max="7" width="10.08984375" style="1067" customWidth="1"/>
    <col min="8" max="8" width="11.453125" style="386" customWidth="1"/>
    <col min="9" max="9" width="8.90625" style="388"/>
    <col min="10" max="10" width="8.90625" style="389"/>
    <col min="11" max="16384" width="8.90625" style="388"/>
  </cols>
  <sheetData>
    <row r="2" spans="1:10" s="13" customFormat="1" ht="13.8" thickBot="1">
      <c r="A2" s="137" t="s">
        <v>109</v>
      </c>
      <c r="B2" s="137"/>
      <c r="C2" s="138"/>
      <c r="D2" s="148" t="s">
        <v>563</v>
      </c>
      <c r="E2" s="149"/>
      <c r="F2" s="159"/>
      <c r="G2" s="999"/>
      <c r="H2" s="150"/>
      <c r="J2" s="54"/>
    </row>
    <row r="3" spans="1:10">
      <c r="A3" s="177"/>
    </row>
    <row r="4" spans="1:10">
      <c r="A4" s="177"/>
      <c r="D4" s="61" t="s">
        <v>314</v>
      </c>
    </row>
    <row r="5" spans="1:10" ht="52.8">
      <c r="A5" s="177"/>
      <c r="D5" s="61" t="s">
        <v>518</v>
      </c>
    </row>
    <row r="6" spans="1:10" s="13" customFormat="1" ht="39.6">
      <c r="A6" s="47"/>
      <c r="B6" s="25"/>
      <c r="D6" s="61" t="s">
        <v>1183</v>
      </c>
      <c r="G6" s="1035"/>
      <c r="H6" s="63"/>
      <c r="J6" s="54"/>
    </row>
    <row r="7" spans="1:10">
      <c r="A7" s="177"/>
    </row>
    <row r="8" spans="1:10">
      <c r="A8" s="25" t="s">
        <v>507</v>
      </c>
      <c r="B8" s="25" t="s">
        <v>508</v>
      </c>
      <c r="C8" s="39"/>
      <c r="D8" s="61" t="s">
        <v>504</v>
      </c>
      <c r="E8" s="386" t="s">
        <v>505</v>
      </c>
      <c r="F8" s="387" t="s">
        <v>506</v>
      </c>
      <c r="G8" s="1067" t="s">
        <v>509</v>
      </c>
      <c r="H8" s="386" t="s">
        <v>510</v>
      </c>
    </row>
    <row r="9" spans="1:10">
      <c r="A9" s="41"/>
      <c r="B9" s="25"/>
      <c r="C9" s="13"/>
    </row>
    <row r="10" spans="1:10" ht="315.75" customHeight="1">
      <c r="A10" s="41" t="s">
        <v>109</v>
      </c>
      <c r="B10" s="41" t="s">
        <v>102</v>
      </c>
      <c r="C10" s="13"/>
      <c r="D10" s="97" t="s">
        <v>1184</v>
      </c>
      <c r="I10" s="390"/>
    </row>
    <row r="11" spans="1:10" s="167" customFormat="1">
      <c r="A11" s="47" t="s">
        <v>330</v>
      </c>
      <c r="B11" s="47" t="s">
        <v>330</v>
      </c>
      <c r="C11" s="53"/>
      <c r="D11" s="61"/>
      <c r="E11" s="391" t="s">
        <v>503</v>
      </c>
      <c r="F11" s="392">
        <v>868</v>
      </c>
      <c r="G11" s="1032">
        <v>50</v>
      </c>
      <c r="H11" s="52">
        <f>F11*G11</f>
        <v>43400</v>
      </c>
      <c r="J11" s="13"/>
    </row>
    <row r="12" spans="1:10" s="167" customFormat="1">
      <c r="A12" s="47"/>
      <c r="B12" s="47"/>
      <c r="C12" s="53"/>
      <c r="D12" s="61"/>
      <c r="E12" s="391"/>
      <c r="F12" s="392"/>
      <c r="G12" s="1068"/>
      <c r="H12" s="391"/>
      <c r="J12" s="389"/>
    </row>
    <row r="13" spans="1:10" s="167" customFormat="1" ht="118.8">
      <c r="A13" s="47" t="s">
        <v>109</v>
      </c>
      <c r="B13" s="47" t="s">
        <v>311</v>
      </c>
      <c r="C13" s="53"/>
      <c r="D13" s="61" t="s">
        <v>1185</v>
      </c>
      <c r="E13" s="391"/>
      <c r="F13" s="392"/>
      <c r="G13" s="1068"/>
      <c r="H13" s="391"/>
      <c r="J13" s="389"/>
    </row>
    <row r="14" spans="1:10" s="167" customFormat="1">
      <c r="A14" s="47" t="s">
        <v>330</v>
      </c>
      <c r="B14" s="47" t="s">
        <v>330</v>
      </c>
      <c r="C14" s="53"/>
      <c r="D14" s="61"/>
      <c r="E14" s="391" t="s">
        <v>344</v>
      </c>
      <c r="F14" s="392">
        <v>866</v>
      </c>
      <c r="G14" s="1032">
        <v>10</v>
      </c>
      <c r="H14" s="52">
        <f>F14*G14</f>
        <v>8660</v>
      </c>
      <c r="J14" s="13"/>
    </row>
    <row r="15" spans="1:10" ht="13.8" thickBot="1">
      <c r="A15" s="393"/>
      <c r="B15" s="393"/>
      <c r="C15" s="394"/>
      <c r="D15" s="395"/>
      <c r="E15" s="396"/>
      <c r="F15" s="397"/>
      <c r="G15" s="1069"/>
      <c r="H15" s="396"/>
    </row>
    <row r="16" spans="1:10">
      <c r="A16" s="398" t="s">
        <v>109</v>
      </c>
      <c r="B16" s="177"/>
      <c r="D16" s="171" t="s">
        <v>1186</v>
      </c>
      <c r="H16" s="52">
        <f>SUM(H10:H15)</f>
        <v>52060</v>
      </c>
    </row>
    <row r="17" spans="1:3">
      <c r="A17" s="177"/>
      <c r="B17" s="177"/>
    </row>
    <row r="18" spans="1:3">
      <c r="A18" s="177"/>
      <c r="B18" s="177"/>
    </row>
    <row r="19" spans="1:3">
      <c r="A19" s="177"/>
      <c r="B19" s="177"/>
      <c r="C19" s="399"/>
    </row>
    <row r="20" spans="1:3">
      <c r="A20" s="177"/>
      <c r="B20" s="177"/>
      <c r="C20" s="399"/>
    </row>
    <row r="21" spans="1:3">
      <c r="A21" s="177"/>
      <c r="B21" s="177"/>
      <c r="C21" s="399"/>
    </row>
    <row r="22" spans="1:3">
      <c r="A22" s="177"/>
      <c r="B22" s="177"/>
      <c r="C22" s="399"/>
    </row>
    <row r="23" spans="1:3">
      <c r="A23" s="177"/>
      <c r="B23" s="177"/>
      <c r="C23" s="399"/>
    </row>
    <row r="24" spans="1:3">
      <c r="A24" s="177"/>
      <c r="B24" s="177"/>
      <c r="C24" s="399"/>
    </row>
    <row r="25" spans="1:3">
      <c r="A25" s="177"/>
      <c r="B25" s="177"/>
    </row>
    <row r="26" spans="1:3">
      <c r="A26" s="177"/>
      <c r="B26" s="177"/>
    </row>
    <row r="27" spans="1:3">
      <c r="A27" s="177"/>
      <c r="B27" s="177"/>
      <c r="C27" s="173"/>
    </row>
    <row r="28" spans="1:3">
      <c r="A28" s="177"/>
      <c r="B28" s="177"/>
    </row>
  </sheetData>
  <pageMargins left="0.74803149606299213" right="0.55118110236220474" top="1.0236220472440944" bottom="0.78740157480314965" header="0.43307086614173229" footer="0.51181102362204722"/>
  <pageSetup paperSize="9" orientation="portrait" r:id="rId1"/>
  <headerFooter differentFirst="1" alignWithMargins="0">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E475-DA43-46AD-B64E-AF128726D117}">
  <sheetPr>
    <tabColor rgb="FF92D050"/>
  </sheetPr>
  <dimension ref="A1:K51"/>
  <sheetViews>
    <sheetView view="pageBreakPreview" topLeftCell="A31" zoomScale="115" zoomScaleNormal="100" zoomScaleSheetLayoutView="115" workbookViewId="0">
      <selection activeCell="G35" sqref="G35"/>
    </sheetView>
  </sheetViews>
  <sheetFormatPr defaultColWidth="8.54296875" defaultRowHeight="13.2"/>
  <cols>
    <col min="1" max="1" width="4.08984375" style="420" bestFit="1" customWidth="1"/>
    <col min="2" max="2" width="2.81640625" style="421" customWidth="1"/>
    <col min="3" max="3" width="1.90625" style="128" customWidth="1"/>
    <col min="4" max="4" width="31.1796875" style="151" customWidth="1"/>
    <col min="5" max="5" width="4.54296875" style="15" customWidth="1"/>
    <col min="6" max="6" width="7.90625" style="422" customWidth="1"/>
    <col min="7" max="7" width="10.08984375" style="1035" customWidth="1"/>
    <col min="8" max="8" width="11.453125" style="63" customWidth="1"/>
    <col min="9" max="9" width="8.54296875" style="13"/>
    <col min="10" max="10" width="8.54296875" style="54"/>
    <col min="11" max="16384" width="8.54296875" style="13"/>
  </cols>
  <sheetData>
    <row r="1" spans="1:11">
      <c r="A1" s="400"/>
      <c r="B1" s="400"/>
      <c r="C1" s="401"/>
      <c r="D1" s="402"/>
      <c r="E1" s="57"/>
      <c r="F1" s="100"/>
      <c r="G1" s="1070"/>
      <c r="H1" s="164"/>
    </row>
    <row r="2" spans="1:11" ht="13.8" thickBot="1">
      <c r="A2" s="137" t="s">
        <v>511</v>
      </c>
      <c r="B2" s="137"/>
      <c r="C2" s="138"/>
      <c r="D2" s="148" t="s">
        <v>126</v>
      </c>
      <c r="E2" s="149"/>
      <c r="F2" s="159"/>
      <c r="G2" s="999"/>
      <c r="H2" s="150"/>
    </row>
    <row r="3" spans="1:11" s="53" customFormat="1">
      <c r="A3" s="403"/>
      <c r="B3" s="404"/>
      <c r="C3" s="401"/>
      <c r="D3" s="60"/>
      <c r="E3" s="405"/>
      <c r="F3" s="406"/>
      <c r="G3" s="1010"/>
      <c r="H3" s="165"/>
      <c r="J3" s="54"/>
    </row>
    <row r="4" spans="1:11" s="53" customFormat="1">
      <c r="A4" s="400"/>
      <c r="B4" s="400"/>
      <c r="C4" s="401"/>
      <c r="D4" s="166" t="s">
        <v>314</v>
      </c>
      <c r="E4" s="405"/>
      <c r="F4" s="406"/>
      <c r="G4" s="1010"/>
      <c r="H4" s="165"/>
      <c r="J4" s="54"/>
    </row>
    <row r="5" spans="1:11" s="53" customFormat="1" ht="52.8">
      <c r="A5" s="400"/>
      <c r="B5" s="400"/>
      <c r="C5" s="401"/>
      <c r="D5" s="166" t="s">
        <v>518</v>
      </c>
      <c r="E5" s="405"/>
      <c r="F5" s="406"/>
      <c r="G5" s="1010"/>
      <c r="H5" s="497"/>
      <c r="J5" s="54"/>
    </row>
    <row r="6" spans="1:11" s="53" customFormat="1" ht="92.4">
      <c r="A6" s="400"/>
      <c r="B6" s="400"/>
      <c r="C6" s="401"/>
      <c r="D6" s="166" t="s">
        <v>1187</v>
      </c>
      <c r="E6" s="405"/>
      <c r="F6" s="407"/>
      <c r="G6" s="1010"/>
      <c r="H6" s="165"/>
      <c r="J6" s="54"/>
    </row>
    <row r="7" spans="1:11" s="53" customFormat="1">
      <c r="A7" s="400"/>
      <c r="B7" s="400"/>
      <c r="C7" s="401"/>
      <c r="D7" s="157"/>
      <c r="E7" s="405"/>
      <c r="F7" s="406"/>
      <c r="G7" s="1010"/>
      <c r="H7" s="165"/>
      <c r="J7" s="54"/>
    </row>
    <row r="8" spans="1:11" s="53" customFormat="1">
      <c r="A8" s="408" t="s">
        <v>507</v>
      </c>
      <c r="B8" s="408" t="s">
        <v>508</v>
      </c>
      <c r="C8" s="401"/>
      <c r="D8" s="157" t="s">
        <v>504</v>
      </c>
      <c r="E8" s="405" t="s">
        <v>505</v>
      </c>
      <c r="F8" s="406" t="s">
        <v>506</v>
      </c>
      <c r="G8" s="1067" t="s">
        <v>509</v>
      </c>
      <c r="H8" s="165" t="s">
        <v>510</v>
      </c>
      <c r="J8" s="54"/>
    </row>
    <row r="9" spans="1:11" s="53" customFormat="1">
      <c r="A9" s="400"/>
      <c r="B9" s="400"/>
      <c r="C9" s="401"/>
      <c r="D9" s="157"/>
      <c r="E9" s="405"/>
      <c r="F9" s="406"/>
      <c r="G9" s="1010"/>
      <c r="H9" s="165"/>
      <c r="J9" s="54"/>
    </row>
    <row r="10" spans="1:11" s="53" customFormat="1" ht="235.5" customHeight="1">
      <c r="A10" s="48" t="s">
        <v>511</v>
      </c>
      <c r="B10" s="48" t="s">
        <v>102</v>
      </c>
      <c r="C10" s="401"/>
      <c r="D10" s="157" t="s">
        <v>1188</v>
      </c>
      <c r="E10" s="405"/>
      <c r="F10" s="406" t="str">
        <f>IF(ISNUMBER(#REF!),IF(OR(E10="m1",E10="m2",E10="m3",E10="kg"),INT(#REF!*(1+#REF!/100)+0.999),INT(#REF!+0.999)),"")</f>
        <v/>
      </c>
      <c r="G10" s="1010"/>
      <c r="H10" s="165"/>
      <c r="J10" s="54"/>
    </row>
    <row r="11" spans="1:11" s="53" customFormat="1">
      <c r="A11" s="400" t="s">
        <v>330</v>
      </c>
      <c r="B11" s="400" t="s">
        <v>330</v>
      </c>
      <c r="C11" s="409" t="s">
        <v>240</v>
      </c>
      <c r="D11" s="157" t="s">
        <v>1189</v>
      </c>
      <c r="E11" s="405"/>
      <c r="F11" s="406"/>
      <c r="G11" s="1071"/>
      <c r="H11" s="26"/>
      <c r="J11" s="54"/>
    </row>
    <row r="12" spans="1:11" s="53" customFormat="1">
      <c r="A12" s="400"/>
      <c r="B12" s="400"/>
      <c r="C12" s="409"/>
      <c r="D12" s="157" t="s">
        <v>1190</v>
      </c>
      <c r="E12" s="405" t="s">
        <v>520</v>
      </c>
      <c r="F12" s="406">
        <v>220</v>
      </c>
      <c r="G12" s="1072">
        <v>55</v>
      </c>
      <c r="H12" s="26">
        <f>SUM(F12*G12)</f>
        <v>12100</v>
      </c>
      <c r="J12" s="54"/>
      <c r="K12" s="167"/>
    </row>
    <row r="13" spans="1:11" s="53" customFormat="1">
      <c r="A13" s="400"/>
      <c r="B13" s="400"/>
      <c r="C13" s="409"/>
      <c r="D13" s="157" t="s">
        <v>1191</v>
      </c>
      <c r="E13" s="405" t="s">
        <v>1192</v>
      </c>
      <c r="F13" s="406">
        <v>250</v>
      </c>
      <c r="G13" s="1072">
        <v>15</v>
      </c>
      <c r="H13" s="26">
        <f>SUM(F13*G13)</f>
        <v>3750</v>
      </c>
      <c r="J13" s="54"/>
      <c r="K13" s="167"/>
    </row>
    <row r="14" spans="1:11" s="53" customFormat="1">
      <c r="A14" s="400"/>
      <c r="B14" s="400"/>
      <c r="C14" s="409" t="s">
        <v>241</v>
      </c>
      <c r="D14" s="97" t="s">
        <v>1193</v>
      </c>
      <c r="E14" s="405"/>
      <c r="F14" s="410"/>
      <c r="G14" s="1072"/>
      <c r="H14" s="26"/>
      <c r="J14" s="54"/>
    </row>
    <row r="15" spans="1:11" s="53" customFormat="1">
      <c r="A15" s="400"/>
      <c r="B15" s="400"/>
      <c r="C15" s="409"/>
      <c r="D15" s="97" t="s">
        <v>1194</v>
      </c>
      <c r="E15" s="405" t="s">
        <v>520</v>
      </c>
      <c r="F15" s="406">
        <v>27.52</v>
      </c>
      <c r="G15" s="1072">
        <v>100</v>
      </c>
      <c r="H15" s="26">
        <f>SUM(F15*G15)</f>
        <v>2752</v>
      </c>
      <c r="J15" s="54"/>
      <c r="K15" s="167"/>
    </row>
    <row r="16" spans="1:11" s="53" customFormat="1">
      <c r="A16" s="400"/>
      <c r="B16" s="400"/>
      <c r="C16" s="409"/>
      <c r="D16" s="157" t="s">
        <v>1195</v>
      </c>
      <c r="E16" s="405" t="s">
        <v>1192</v>
      </c>
      <c r="F16" s="406">
        <v>10.4</v>
      </c>
      <c r="G16" s="1072">
        <v>30</v>
      </c>
      <c r="H16" s="26">
        <f>SUM(F16*G16)</f>
        <v>312</v>
      </c>
      <c r="J16" s="54"/>
      <c r="K16" s="167"/>
    </row>
    <row r="17" spans="1:11" s="53" customFormat="1">
      <c r="A17" s="400" t="s">
        <v>330</v>
      </c>
      <c r="B17" s="400" t="s">
        <v>330</v>
      </c>
      <c r="C17" s="401"/>
      <c r="D17" s="168"/>
      <c r="E17" s="405"/>
      <c r="F17" s="406" t="str">
        <f>IF(ISNUMBER(#REF!),IF(OR(E17="m1",E17="m2",E17="m3",E17="kg"),INT(#REF!*(1+#REF!/100)+0.999),INT(#REF!+0.999)),"")</f>
        <v/>
      </c>
      <c r="G17" s="1010"/>
      <c r="H17" s="165"/>
      <c r="J17" s="54"/>
    </row>
    <row r="18" spans="1:11" s="53" customFormat="1" ht="121.5" customHeight="1">
      <c r="A18" s="48" t="s">
        <v>511</v>
      </c>
      <c r="B18" s="48" t="s">
        <v>311</v>
      </c>
      <c r="C18" s="401"/>
      <c r="D18" s="564" t="s">
        <v>1483</v>
      </c>
      <c r="E18" s="405"/>
      <c r="F18" s="406"/>
      <c r="G18" s="1010"/>
      <c r="H18" s="165"/>
      <c r="J18" s="54"/>
    </row>
    <row r="19" spans="1:11" s="53" customFormat="1" ht="92.4">
      <c r="A19" s="48"/>
      <c r="B19" s="48"/>
      <c r="C19" s="401"/>
      <c r="D19" s="157" t="s">
        <v>1482</v>
      </c>
      <c r="E19" s="405"/>
      <c r="F19" s="406" t="str">
        <f>IF(ISNUMBER(#REF!),IF(OR(E19="m1",E19="m2",E19="m3",E19="kg"),INT(#REF!*(1+#REF!/100)+0.999),INT(#REF!+0.999)),"")</f>
        <v/>
      </c>
      <c r="G19" s="1010"/>
      <c r="H19" s="165"/>
      <c r="J19" s="54"/>
    </row>
    <row r="20" spans="1:11" s="53" customFormat="1">
      <c r="A20" s="400"/>
      <c r="B20" s="400"/>
      <c r="C20" s="409"/>
      <c r="D20" s="157" t="s">
        <v>1190</v>
      </c>
      <c r="E20" s="405" t="s">
        <v>520</v>
      </c>
      <c r="F20" s="406">
        <v>90</v>
      </c>
      <c r="G20" s="1072">
        <v>50</v>
      </c>
      <c r="H20" s="26">
        <f>SUM(F20*G20)</f>
        <v>4500</v>
      </c>
      <c r="J20" s="54"/>
      <c r="K20" s="167"/>
    </row>
    <row r="21" spans="1:11" s="53" customFormat="1">
      <c r="A21" s="400"/>
      <c r="B21" s="400"/>
      <c r="C21" s="409"/>
      <c r="D21" s="97"/>
      <c r="E21" s="405"/>
      <c r="F21" s="406"/>
      <c r="G21" s="1072"/>
      <c r="H21" s="26"/>
      <c r="J21" s="54"/>
    </row>
    <row r="22" spans="1:11" s="53" customFormat="1" ht="211.2">
      <c r="A22" s="48" t="s">
        <v>511</v>
      </c>
      <c r="B22" s="48" t="s">
        <v>243</v>
      </c>
      <c r="C22" s="401"/>
      <c r="D22" s="157" t="s">
        <v>1196</v>
      </c>
      <c r="E22" s="405"/>
      <c r="F22" s="406" t="str">
        <f>IF(ISNUMBER(#REF!),IF(OR(E22="m1",E22="m2",E22="m3",E22="kg"),INT(#REF!*(1+#REF!/100)+0.999),INT(#REF!+0.999)),"")</f>
        <v/>
      </c>
      <c r="G22" s="1072"/>
      <c r="H22" s="165"/>
      <c r="J22" s="54"/>
    </row>
    <row r="23" spans="1:11" s="53" customFormat="1">
      <c r="A23" s="400"/>
      <c r="B23" s="400"/>
      <c r="C23" s="409"/>
      <c r="D23" s="157" t="s">
        <v>1190</v>
      </c>
      <c r="E23" s="405" t="s">
        <v>520</v>
      </c>
      <c r="F23" s="406">
        <v>85</v>
      </c>
      <c r="G23" s="1072">
        <v>50</v>
      </c>
      <c r="H23" s="26">
        <f>SUM(F23*G23)</f>
        <v>4250</v>
      </c>
      <c r="J23" s="54"/>
      <c r="K23" s="167"/>
    </row>
    <row r="24" spans="1:11" s="53" customFormat="1">
      <c r="A24" s="400"/>
      <c r="B24" s="400"/>
      <c r="C24" s="409"/>
      <c r="D24" s="157" t="s">
        <v>1191</v>
      </c>
      <c r="E24" s="405" t="s">
        <v>1192</v>
      </c>
      <c r="F24" s="406">
        <v>110</v>
      </c>
      <c r="G24" s="1072">
        <v>15</v>
      </c>
      <c r="H24" s="26">
        <f>SUM(F24*G24)</f>
        <v>1650</v>
      </c>
      <c r="J24" s="54"/>
      <c r="K24" s="167"/>
    </row>
    <row r="25" spans="1:11" s="53" customFormat="1">
      <c r="A25" s="400"/>
      <c r="B25" s="400"/>
      <c r="C25" s="409"/>
      <c r="D25" s="157"/>
      <c r="E25" s="405"/>
      <c r="F25" s="406"/>
      <c r="G25" s="1071"/>
      <c r="H25" s="26"/>
      <c r="J25" s="54"/>
    </row>
    <row r="26" spans="1:11" s="53" customFormat="1" ht="237.6">
      <c r="A26" s="48" t="s">
        <v>511</v>
      </c>
      <c r="B26" s="48" t="s">
        <v>582</v>
      </c>
      <c r="C26" s="401"/>
      <c r="D26" s="157" t="s">
        <v>1197</v>
      </c>
      <c r="E26" s="405"/>
      <c r="F26" s="406" t="str">
        <f>IF(ISNUMBER(#REF!),IF(OR(E26="m1",E26="m2",E26="m3",E26="kg"),INT(#REF!*(1+#REF!/100)+0.999),INT(#REF!+0.999)),"")</f>
        <v/>
      </c>
      <c r="G26" s="1010"/>
      <c r="H26" s="165"/>
      <c r="J26" s="54"/>
    </row>
    <row r="27" spans="1:11" s="53" customFormat="1">
      <c r="A27" s="400"/>
      <c r="B27" s="400"/>
      <c r="C27" s="409"/>
      <c r="D27" s="157" t="s">
        <v>1190</v>
      </c>
      <c r="E27" s="405" t="s">
        <v>520</v>
      </c>
      <c r="F27" s="406">
        <v>162</v>
      </c>
      <c r="G27" s="1072">
        <v>60</v>
      </c>
      <c r="H27" s="26">
        <f>SUM(F27*G27)</f>
        <v>9720</v>
      </c>
      <c r="J27" s="54"/>
      <c r="K27" s="167"/>
    </row>
    <row r="28" spans="1:11" s="53" customFormat="1">
      <c r="A28" s="400"/>
      <c r="B28" s="400"/>
      <c r="C28" s="409"/>
      <c r="D28" s="157" t="s">
        <v>1191</v>
      </c>
      <c r="E28" s="405" t="s">
        <v>1192</v>
      </c>
      <c r="F28" s="406">
        <v>80</v>
      </c>
      <c r="G28" s="1072">
        <v>20</v>
      </c>
      <c r="H28" s="26">
        <f>SUM(F28*G28)</f>
        <v>1600</v>
      </c>
      <c r="J28" s="54"/>
      <c r="K28" s="167"/>
    </row>
    <row r="29" spans="1:11" s="53" customFormat="1">
      <c r="A29" s="400" t="s">
        <v>330</v>
      </c>
      <c r="B29" s="400" t="s">
        <v>330</v>
      </c>
      <c r="C29" s="401"/>
      <c r="D29" s="168"/>
      <c r="E29" s="405"/>
      <c r="F29" s="406" t="str">
        <f>IF(ISNUMBER(#REF!),IF(OR(E29="m1",E29="m2",E29="m3",E29="kg"),INT(#REF!*(1+#REF!/100)+0.999),INT(#REF!+0.999)),"")</f>
        <v/>
      </c>
      <c r="G29" s="1072"/>
      <c r="H29" s="165"/>
      <c r="J29" s="54"/>
    </row>
    <row r="30" spans="1:11" s="53" customFormat="1" ht="211.2">
      <c r="A30" s="41" t="s">
        <v>511</v>
      </c>
      <c r="B30" s="41" t="s">
        <v>331</v>
      </c>
      <c r="C30" s="39"/>
      <c r="D30" s="61" t="s">
        <v>1198</v>
      </c>
      <c r="E30" s="411"/>
      <c r="F30" s="169" t="str">
        <f>IF(ISNUMBER(#REF!),IF(OR(E30="m1",E30="m2",E30="m3",E30="kg"),INT(#REF!*(1+#REF!/100)+0.999),INT(#REF!+0.999)),"")</f>
        <v/>
      </c>
      <c r="G30" s="1072"/>
      <c r="H30" s="63"/>
      <c r="J30" s="54"/>
    </row>
    <row r="31" spans="1:11" s="53" customFormat="1">
      <c r="A31" s="400" t="s">
        <v>330</v>
      </c>
      <c r="B31" s="400" t="s">
        <v>330</v>
      </c>
      <c r="C31" s="409"/>
      <c r="D31" s="157"/>
      <c r="E31" s="405" t="s">
        <v>520</v>
      </c>
      <c r="F31" s="406">
        <v>600</v>
      </c>
      <c r="G31" s="1072">
        <v>50</v>
      </c>
      <c r="H31" s="26">
        <f>SUM(F31*G31)</f>
        <v>30000</v>
      </c>
      <c r="J31" s="54"/>
      <c r="K31" s="167"/>
    </row>
    <row r="32" spans="1:11" s="53" customFormat="1">
      <c r="A32" s="400"/>
      <c r="B32" s="400"/>
      <c r="C32" s="409"/>
      <c r="D32" s="157"/>
      <c r="E32" s="405"/>
      <c r="F32" s="406"/>
      <c r="G32" s="1071"/>
      <c r="H32" s="26"/>
      <c r="J32" s="54"/>
    </row>
    <row r="33" spans="1:11" s="53" customFormat="1" ht="211.2">
      <c r="A33" s="41" t="s">
        <v>511</v>
      </c>
      <c r="B33" s="41" t="s">
        <v>469</v>
      </c>
      <c r="C33" s="39"/>
      <c r="D33" s="61" t="s">
        <v>1199</v>
      </c>
      <c r="E33" s="411"/>
      <c r="F33" s="169" t="str">
        <f>IF(ISNUMBER(#REF!),IF(OR(E33="m1",E33="m2",E33="m3",E33="kg"),INT(#REF!*(1+#REF!/100)+0.999),INT(#REF!+0.999)),"")</f>
        <v/>
      </c>
      <c r="G33" s="1039"/>
      <c r="H33" s="63"/>
      <c r="J33" s="54"/>
    </row>
    <row r="34" spans="1:11" s="53" customFormat="1">
      <c r="A34" s="400" t="s">
        <v>330</v>
      </c>
      <c r="B34" s="400" t="s">
        <v>330</v>
      </c>
      <c r="C34" s="409"/>
      <c r="D34" s="157"/>
      <c r="E34" s="405" t="s">
        <v>520</v>
      </c>
      <c r="F34" s="406">
        <v>55</v>
      </c>
      <c r="G34" s="1072">
        <v>50</v>
      </c>
      <c r="H34" s="26">
        <f>SUM(F34*G34)</f>
        <v>2750</v>
      </c>
      <c r="J34" s="54"/>
      <c r="K34" s="167"/>
    </row>
    <row r="35" spans="1:11" s="53" customFormat="1" ht="13.8" thickBot="1">
      <c r="A35" s="152"/>
      <c r="B35" s="152"/>
      <c r="C35" s="412"/>
      <c r="D35" s="395"/>
      <c r="E35" s="413"/>
      <c r="F35" s="414"/>
      <c r="G35" s="1073"/>
      <c r="H35" s="415"/>
      <c r="J35" s="54"/>
    </row>
    <row r="36" spans="1:11" s="147" customFormat="1">
      <c r="A36" s="47" t="s">
        <v>511</v>
      </c>
      <c r="B36" s="47"/>
      <c r="C36" s="416"/>
      <c r="D36" s="171" t="s">
        <v>1200</v>
      </c>
      <c r="E36" s="417"/>
      <c r="F36" s="172"/>
      <c r="G36" s="1072"/>
      <c r="H36" s="26">
        <f>SUM(H10:H34)</f>
        <v>73384</v>
      </c>
      <c r="J36" s="173"/>
    </row>
    <row r="37" spans="1:11" s="53" customFormat="1">
      <c r="A37" s="47"/>
      <c r="B37" s="47"/>
      <c r="C37" s="401"/>
      <c r="D37" s="174"/>
      <c r="E37" s="418"/>
      <c r="F37" s="98"/>
      <c r="G37" s="1072"/>
      <c r="H37" s="175"/>
      <c r="J37" s="54"/>
    </row>
    <row r="38" spans="1:11" s="53" customFormat="1">
      <c r="A38" s="47"/>
      <c r="B38" s="47"/>
      <c r="C38" s="401"/>
      <c r="D38" s="174"/>
      <c r="E38" s="418"/>
      <c r="F38" s="98"/>
      <c r="G38" s="1072"/>
      <c r="H38" s="175"/>
      <c r="J38" s="54"/>
    </row>
    <row r="39" spans="1:11" s="53" customFormat="1">
      <c r="A39" s="47"/>
      <c r="B39" s="47"/>
      <c r="C39" s="401"/>
      <c r="D39" s="61"/>
      <c r="E39" s="418"/>
      <c r="F39" s="98"/>
      <c r="G39" s="1020"/>
      <c r="H39" s="175"/>
      <c r="J39" s="54"/>
    </row>
    <row r="40" spans="1:11" s="53" customFormat="1">
      <c r="A40" s="47"/>
      <c r="B40" s="47"/>
      <c r="C40" s="401"/>
      <c r="D40" s="61"/>
      <c r="E40" s="418"/>
      <c r="F40" s="98"/>
      <c r="G40" s="1020"/>
      <c r="H40" s="175"/>
      <c r="J40" s="54"/>
    </row>
    <row r="41" spans="1:11" s="53" customFormat="1">
      <c r="A41" s="47"/>
      <c r="B41" s="47"/>
      <c r="C41" s="401"/>
      <c r="D41" s="174"/>
      <c r="E41" s="418"/>
      <c r="F41" s="98"/>
      <c r="G41" s="1020"/>
      <c r="H41" s="175"/>
      <c r="J41" s="54"/>
    </row>
    <row r="42" spans="1:11" s="53" customFormat="1">
      <c r="A42" s="47"/>
      <c r="B42" s="47"/>
      <c r="C42" s="401"/>
      <c r="D42" s="174"/>
      <c r="E42" s="418"/>
      <c r="F42" s="98"/>
      <c r="G42" s="1020"/>
      <c r="H42" s="175"/>
      <c r="J42" s="54"/>
    </row>
    <row r="43" spans="1:11" s="53" customFormat="1">
      <c r="A43" s="47"/>
      <c r="B43" s="47"/>
      <c r="C43" s="401"/>
      <c r="D43" s="80"/>
      <c r="E43" s="418"/>
      <c r="F43" s="98"/>
      <c r="G43" s="1020"/>
      <c r="H43" s="175"/>
      <c r="J43" s="54"/>
    </row>
    <row r="44" spans="1:11" s="53" customFormat="1">
      <c r="A44" s="47"/>
      <c r="B44" s="47"/>
      <c r="C44" s="401"/>
      <c r="D44" s="80"/>
      <c r="E44" s="419"/>
      <c r="F44" s="176"/>
      <c r="G44" s="1020"/>
      <c r="H44" s="175"/>
      <c r="J44" s="54"/>
    </row>
    <row r="45" spans="1:11" s="53" customFormat="1">
      <c r="A45" s="47"/>
      <c r="B45" s="47"/>
      <c r="C45" s="401"/>
      <c r="D45" s="174"/>
      <c r="E45" s="419"/>
      <c r="F45" s="407"/>
      <c r="G45" s="1020"/>
      <c r="H45" s="175"/>
      <c r="J45" s="54"/>
    </row>
    <row r="46" spans="1:11" s="53" customFormat="1">
      <c r="A46" s="47"/>
      <c r="B46" s="47"/>
      <c r="C46" s="401"/>
      <c r="D46" s="80"/>
      <c r="E46" s="418"/>
      <c r="F46" s="98"/>
      <c r="G46" s="1020"/>
      <c r="H46" s="165"/>
      <c r="J46" s="54"/>
    </row>
    <row r="47" spans="1:11" s="53" customFormat="1">
      <c r="A47" s="47"/>
      <c r="B47" s="47"/>
      <c r="C47" s="401"/>
      <c r="D47" s="80"/>
      <c r="E47" s="418"/>
      <c r="F47" s="98"/>
      <c r="G47" s="1020"/>
      <c r="H47" s="165"/>
      <c r="J47" s="54"/>
    </row>
    <row r="48" spans="1:11" s="53" customFormat="1">
      <c r="A48" s="47"/>
      <c r="B48" s="47"/>
      <c r="C48" s="401"/>
      <c r="D48" s="80"/>
      <c r="E48" s="419"/>
      <c r="F48" s="176"/>
      <c r="G48" s="1020"/>
      <c r="H48" s="165"/>
      <c r="J48" s="54"/>
    </row>
    <row r="49" spans="1:10" s="53" customFormat="1">
      <c r="A49" s="47"/>
      <c r="B49" s="47"/>
      <c r="C49" s="401"/>
      <c r="D49" s="174"/>
      <c r="E49" s="419"/>
      <c r="F49" s="407"/>
      <c r="G49" s="1020"/>
      <c r="H49" s="165"/>
      <c r="J49" s="54"/>
    </row>
    <row r="50" spans="1:10" s="53" customFormat="1">
      <c r="A50" s="47"/>
      <c r="B50" s="47"/>
      <c r="C50" s="401"/>
      <c r="D50" s="80"/>
      <c r="E50" s="418"/>
      <c r="F50" s="98"/>
      <c r="G50" s="1020"/>
      <c r="H50" s="165"/>
      <c r="J50" s="54"/>
    </row>
    <row r="51" spans="1:10" s="53" customFormat="1">
      <c r="A51" s="47"/>
      <c r="B51" s="47"/>
      <c r="C51" s="401"/>
      <c r="D51" s="80"/>
      <c r="E51" s="418"/>
      <c r="F51" s="98"/>
      <c r="G51" s="1020"/>
      <c r="H51" s="165"/>
      <c r="J51" s="54"/>
    </row>
  </sheetData>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2:J34"/>
  <sheetViews>
    <sheetView view="pageBreakPreview" topLeftCell="A14" zoomScaleNormal="100" zoomScaleSheetLayoutView="100" zoomScalePageLayoutView="80" workbookViewId="0">
      <selection activeCell="G21" sqref="G21"/>
    </sheetView>
  </sheetViews>
  <sheetFormatPr defaultColWidth="8.54296875" defaultRowHeight="13.2"/>
  <cols>
    <col min="1" max="1" width="3.453125" style="25" customWidth="1"/>
    <col min="2" max="2" width="2.6328125" style="25" customWidth="1"/>
    <col min="3" max="3" width="2.36328125" style="13" customWidth="1"/>
    <col min="4" max="4" width="31.1796875" style="427" customWidth="1"/>
    <col min="5" max="5" width="4.6328125" style="15" customWidth="1"/>
    <col min="6" max="6" width="7.90625" style="13" customWidth="1"/>
    <col min="7" max="7" width="10.08984375" style="1035" customWidth="1"/>
    <col min="8" max="8" width="11.54296875" style="161" customWidth="1"/>
    <col min="9" max="9" width="8.54296875" style="13"/>
    <col min="10" max="10" width="8.54296875" style="16"/>
    <col min="11" max="16384" width="8.54296875" style="13"/>
  </cols>
  <sheetData>
    <row r="2" spans="1:8" ht="13.8" thickBot="1">
      <c r="A2" s="137" t="s">
        <v>512</v>
      </c>
      <c r="B2" s="137"/>
      <c r="C2" s="138"/>
      <c r="D2" s="148" t="s">
        <v>517</v>
      </c>
      <c r="E2" s="149"/>
      <c r="F2" s="159"/>
      <c r="G2" s="999"/>
      <c r="H2" s="160"/>
    </row>
    <row r="3" spans="1:8">
      <c r="A3" s="47"/>
      <c r="D3" s="61"/>
    </row>
    <row r="4" spans="1:8">
      <c r="A4" s="47"/>
      <c r="D4" s="80" t="s">
        <v>314</v>
      </c>
    </row>
    <row r="5" spans="1:8" ht="52.8">
      <c r="A5" s="47"/>
      <c r="D5" s="157" t="s">
        <v>518</v>
      </c>
    </row>
    <row r="6" spans="1:8" ht="39.6">
      <c r="A6" s="47"/>
      <c r="D6" s="97" t="s">
        <v>1183</v>
      </c>
    </row>
    <row r="7" spans="1:8">
      <c r="A7" s="47"/>
      <c r="D7" s="97"/>
    </row>
    <row r="8" spans="1:8">
      <c r="A8" s="25" t="s">
        <v>507</v>
      </c>
      <c r="B8" s="25" t="s">
        <v>508</v>
      </c>
      <c r="C8" s="39"/>
      <c r="D8" s="61" t="s">
        <v>504</v>
      </c>
      <c r="E8" s="15" t="s">
        <v>505</v>
      </c>
      <c r="F8" s="14" t="s">
        <v>506</v>
      </c>
      <c r="G8" s="989" t="s">
        <v>509</v>
      </c>
      <c r="H8" s="161" t="s">
        <v>510</v>
      </c>
    </row>
    <row r="9" spans="1:8">
      <c r="A9" s="47"/>
      <c r="B9" s="47"/>
      <c r="D9" s="61"/>
      <c r="F9" s="98"/>
      <c r="G9" s="1071"/>
    </row>
    <row r="10" spans="1:8" ht="136.5" customHeight="1">
      <c r="A10" s="47" t="s">
        <v>512</v>
      </c>
      <c r="B10" s="47" t="s">
        <v>102</v>
      </c>
      <c r="D10" s="97" t="s">
        <v>1201</v>
      </c>
      <c r="F10" s="98"/>
    </row>
    <row r="11" spans="1:8" ht="92.4">
      <c r="A11" s="47"/>
      <c r="B11" s="47"/>
      <c r="D11" s="423" t="s">
        <v>1202</v>
      </c>
      <c r="F11" s="98"/>
    </row>
    <row r="12" spans="1:8" ht="54.75" customHeight="1">
      <c r="A12" s="47"/>
      <c r="B12" s="47"/>
      <c r="D12" s="423" t="s">
        <v>1203</v>
      </c>
      <c r="F12" s="98"/>
    </row>
    <row r="13" spans="1:8" ht="92.4">
      <c r="A13" s="47"/>
      <c r="B13" s="47"/>
      <c r="D13" s="423" t="s">
        <v>1204</v>
      </c>
      <c r="F13" s="98"/>
    </row>
    <row r="14" spans="1:8">
      <c r="A14" s="47" t="s">
        <v>330</v>
      </c>
      <c r="B14" s="47" t="s">
        <v>330</v>
      </c>
      <c r="D14" s="61"/>
      <c r="E14" s="15" t="s">
        <v>503</v>
      </c>
      <c r="F14" s="98">
        <v>170</v>
      </c>
      <c r="G14" s="1046">
        <v>60</v>
      </c>
      <c r="H14" s="26">
        <f>SUM(F14*G14)</f>
        <v>10200</v>
      </c>
    </row>
    <row r="15" spans="1:8">
      <c r="A15" s="47"/>
      <c r="B15" s="47"/>
      <c r="D15" s="97"/>
      <c r="F15" s="98"/>
      <c r="G15" s="1046"/>
    </row>
    <row r="16" spans="1:8" ht="52.8">
      <c r="A16" s="47" t="s">
        <v>512</v>
      </c>
      <c r="B16" s="47" t="s">
        <v>311</v>
      </c>
      <c r="D16" s="423" t="s">
        <v>1205</v>
      </c>
      <c r="F16" s="98"/>
      <c r="G16" s="1046"/>
    </row>
    <row r="17" spans="1:8">
      <c r="A17" s="47" t="s">
        <v>330</v>
      </c>
      <c r="B17" s="47" t="s">
        <v>330</v>
      </c>
      <c r="D17" s="61"/>
      <c r="E17" s="15" t="s">
        <v>344</v>
      </c>
      <c r="F17" s="98">
        <v>170</v>
      </c>
      <c r="G17" s="1046">
        <v>20</v>
      </c>
      <c r="H17" s="26">
        <f>SUM(F17*G17)</f>
        <v>3400</v>
      </c>
    </row>
    <row r="18" spans="1:8">
      <c r="A18" s="47"/>
      <c r="B18" s="47"/>
      <c r="D18" s="61"/>
      <c r="F18" s="98"/>
      <c r="G18" s="1045"/>
      <c r="H18" s="26"/>
    </row>
    <row r="19" spans="1:8" ht="186" customHeight="1">
      <c r="A19" s="47" t="s">
        <v>512</v>
      </c>
      <c r="B19" s="47" t="s">
        <v>243</v>
      </c>
      <c r="D19" s="423" t="s">
        <v>1206</v>
      </c>
      <c r="F19" s="98"/>
      <c r="G19" s="1045"/>
      <c r="H19" s="26"/>
    </row>
    <row r="20" spans="1:8">
      <c r="A20" s="47"/>
      <c r="B20" s="47"/>
      <c r="D20" s="61" t="s">
        <v>1207</v>
      </c>
      <c r="E20" s="15" t="s">
        <v>391</v>
      </c>
      <c r="F20" s="98">
        <v>1</v>
      </c>
      <c r="G20" s="1046">
        <v>1500</v>
      </c>
      <c r="H20" s="26">
        <f>SUM(F20*G20)</f>
        <v>1500</v>
      </c>
    </row>
    <row r="21" spans="1:8" ht="13.8" thickBot="1">
      <c r="A21" s="47"/>
      <c r="B21" s="47"/>
      <c r="D21" s="61"/>
      <c r="F21" s="98"/>
      <c r="G21" s="1045"/>
      <c r="H21" s="162"/>
    </row>
    <row r="22" spans="1:8">
      <c r="A22" s="158" t="s">
        <v>512</v>
      </c>
      <c r="B22" s="158"/>
      <c r="C22" s="424"/>
      <c r="D22" s="154" t="s">
        <v>1208</v>
      </c>
      <c r="E22" s="163"/>
      <c r="F22" s="424"/>
      <c r="G22" s="1074"/>
      <c r="H22" s="26">
        <f>SUM(H10:H20)</f>
        <v>15100</v>
      </c>
    </row>
    <row r="23" spans="1:8">
      <c r="A23" s="47"/>
      <c r="B23" s="47"/>
      <c r="D23" s="61"/>
    </row>
    <row r="26" spans="1:8">
      <c r="D26" s="97"/>
    </row>
    <row r="27" spans="1:8">
      <c r="D27" s="423"/>
    </row>
    <row r="28" spans="1:8">
      <c r="D28" s="423"/>
    </row>
    <row r="29" spans="1:8">
      <c r="D29" s="423"/>
    </row>
    <row r="30" spans="1:8">
      <c r="D30" s="97"/>
    </row>
    <row r="31" spans="1:8">
      <c r="D31" s="97"/>
    </row>
    <row r="32" spans="1:8">
      <c r="D32" s="423"/>
    </row>
    <row r="33" spans="4:4">
      <c r="D33" s="97"/>
    </row>
    <row r="34" spans="4:4">
      <c r="D34" s="426"/>
    </row>
  </sheetData>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firstHeader xml:space="preserve">&amp;L&amp;9Višestambena zgrada
na novoformiranoj k.č.br. 1148/4 k.o. Ivanić – Grad u Ivanić – Gradu
(formirana od dijela k.č.br. 1148/1 k.o. Ivanić – Grad)
&amp;R&amp;9TD:  228/24
ZOP:  APN-IG-228/24
 </firstHeader>
    <firstFooter>&amp;L&amp;"Swis721 Lt BT,Light"&amp;8S T U D I O  O B R I S  d.o.o.               STONSKA 1, 10 000 ZAGREB                 info@studio-obris.hr                  www.studio-obris.hr</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J80"/>
  <sheetViews>
    <sheetView view="pageBreakPreview" topLeftCell="A18" zoomScaleNormal="100" zoomScaleSheetLayoutView="100" workbookViewId="0">
      <selection activeCell="G28" sqref="G28"/>
    </sheetView>
  </sheetViews>
  <sheetFormatPr defaultColWidth="8.6328125" defaultRowHeight="13.2"/>
  <cols>
    <col min="1" max="1" width="3.36328125" style="23" customWidth="1"/>
    <col min="2" max="2" width="2.36328125" style="146" customWidth="1"/>
    <col min="3" max="3" width="2" style="147" customWidth="1"/>
    <col min="4" max="4" width="31.453125" style="151" customWidth="1"/>
    <col min="5" max="5" width="4.54296875" style="13" customWidth="1"/>
    <col min="6" max="6" width="8" style="13" customWidth="1"/>
    <col min="7" max="7" width="10.1796875" style="1075" customWidth="1"/>
    <col min="8" max="8" width="11.54296875" style="63" customWidth="1"/>
    <col min="9" max="16384" width="8.6328125" style="13"/>
  </cols>
  <sheetData>
    <row r="1" spans="1:9" ht="17.399999999999999">
      <c r="D1" s="428"/>
      <c r="E1" s="422"/>
      <c r="F1" s="429"/>
    </row>
    <row r="2" spans="1:9" ht="13.8" thickBot="1">
      <c r="A2" s="137" t="s">
        <v>513</v>
      </c>
      <c r="B2" s="137"/>
      <c r="C2" s="138"/>
      <c r="D2" s="148" t="s">
        <v>939</v>
      </c>
      <c r="E2" s="149"/>
      <c r="F2" s="385"/>
      <c r="G2" s="1076"/>
      <c r="H2" s="150"/>
      <c r="I2" s="54"/>
    </row>
    <row r="3" spans="1:9">
      <c r="A3" s="59" t="s">
        <v>330</v>
      </c>
      <c r="B3" s="47" t="s">
        <v>330</v>
      </c>
      <c r="C3" s="36"/>
      <c r="D3" s="61"/>
    </row>
    <row r="4" spans="1:9">
      <c r="A4" s="36"/>
      <c r="B4" s="25"/>
      <c r="C4" s="13"/>
      <c r="D4" s="80" t="s">
        <v>314</v>
      </c>
      <c r="E4" s="43"/>
      <c r="G4" s="1071"/>
      <c r="H4" s="13"/>
    </row>
    <row r="5" spans="1:9" ht="52.8">
      <c r="A5" s="36"/>
      <c r="B5" s="25"/>
      <c r="C5" s="13"/>
      <c r="D5" s="157" t="s">
        <v>518</v>
      </c>
      <c r="E5" s="43"/>
      <c r="G5" s="1071"/>
      <c r="H5" s="13"/>
    </row>
    <row r="6" spans="1:9" ht="39.6">
      <c r="A6" s="36"/>
      <c r="B6" s="25"/>
      <c r="C6" s="13"/>
      <c r="D6" s="97" t="s">
        <v>1183</v>
      </c>
      <c r="E6" s="43"/>
      <c r="G6" s="1071"/>
      <c r="H6" s="13"/>
    </row>
    <row r="7" spans="1:9">
      <c r="A7" s="36"/>
      <c r="B7" s="25"/>
      <c r="C7" s="13"/>
      <c r="D7" s="97"/>
      <c r="E7" s="43"/>
      <c r="G7" s="1071"/>
      <c r="H7" s="13"/>
    </row>
    <row r="8" spans="1:9">
      <c r="A8" s="38" t="s">
        <v>507</v>
      </c>
      <c r="B8" s="25" t="s">
        <v>508</v>
      </c>
      <c r="C8" s="39"/>
      <c r="D8" s="61" t="s">
        <v>504</v>
      </c>
      <c r="E8" s="43" t="s">
        <v>505</v>
      </c>
      <c r="F8" s="14" t="s">
        <v>506</v>
      </c>
      <c r="G8" s="1067" t="s">
        <v>509</v>
      </c>
      <c r="H8" s="63" t="s">
        <v>510</v>
      </c>
    </row>
    <row r="9" spans="1:9">
      <c r="A9" s="36"/>
      <c r="B9" s="25"/>
      <c r="C9" s="13"/>
      <c r="D9" s="61"/>
      <c r="E9" s="43"/>
      <c r="G9" s="1071"/>
      <c r="H9" s="13"/>
    </row>
    <row r="10" spans="1:9" ht="132">
      <c r="A10" s="47" t="s">
        <v>513</v>
      </c>
      <c r="B10" s="47" t="s">
        <v>102</v>
      </c>
      <c r="C10" s="128"/>
      <c r="D10" s="97" t="s">
        <v>1209</v>
      </c>
      <c r="E10" s="43"/>
      <c r="F10" s="14"/>
      <c r="G10" s="989"/>
      <c r="H10" s="26"/>
    </row>
    <row r="11" spans="1:9">
      <c r="A11" s="47"/>
      <c r="B11" s="47"/>
      <c r="C11" s="128"/>
      <c r="D11" s="97"/>
      <c r="E11" s="43" t="s">
        <v>540</v>
      </c>
      <c r="F11" s="14">
        <v>6</v>
      </c>
      <c r="G11" s="989">
        <v>200</v>
      </c>
      <c r="H11" s="26">
        <f>SUM(F11*G11)</f>
        <v>1200</v>
      </c>
    </row>
    <row r="12" spans="1:9">
      <c r="A12" s="47"/>
      <c r="B12" s="47"/>
      <c r="C12" s="128"/>
      <c r="D12" s="97"/>
      <c r="E12" s="43"/>
      <c r="F12" s="14"/>
      <c r="G12" s="989"/>
      <c r="H12" s="26"/>
    </row>
    <row r="13" spans="1:9">
      <c r="A13" s="47"/>
      <c r="B13" s="47"/>
      <c r="C13" s="128"/>
      <c r="D13" s="430"/>
      <c r="E13" s="43"/>
      <c r="F13" s="14"/>
      <c r="G13" s="989"/>
      <c r="H13" s="26"/>
    </row>
    <row r="14" spans="1:9" ht="79.2">
      <c r="A14" s="47" t="s">
        <v>513</v>
      </c>
      <c r="B14" s="47" t="s">
        <v>311</v>
      </c>
      <c r="C14" s="128"/>
      <c r="D14" s="97" t="s">
        <v>1210</v>
      </c>
      <c r="E14" s="43"/>
      <c r="F14" s="14"/>
      <c r="G14" s="989"/>
      <c r="H14" s="26"/>
    </row>
    <row r="15" spans="1:9">
      <c r="A15" s="47"/>
      <c r="B15" s="47"/>
      <c r="C15" s="128"/>
      <c r="D15" s="97"/>
      <c r="E15" s="43" t="s">
        <v>391</v>
      </c>
      <c r="F15" s="14">
        <v>18</v>
      </c>
      <c r="G15" s="989">
        <v>20</v>
      </c>
      <c r="H15" s="26">
        <f>SUM(F15*G15)</f>
        <v>360</v>
      </c>
    </row>
    <row r="16" spans="1:9">
      <c r="A16" s="47"/>
      <c r="B16" s="47"/>
      <c r="C16" s="128"/>
      <c r="D16" s="97"/>
      <c r="E16" s="43"/>
      <c r="F16" s="14"/>
      <c r="G16" s="989"/>
      <c r="H16" s="26"/>
    </row>
    <row r="17" spans="1:9" ht="92.4">
      <c r="A17" s="47" t="s">
        <v>513</v>
      </c>
      <c r="B17" s="47" t="s">
        <v>243</v>
      </c>
      <c r="C17" s="128"/>
      <c r="D17" s="97" t="s">
        <v>1211</v>
      </c>
      <c r="E17" s="43"/>
      <c r="F17" s="14"/>
      <c r="G17" s="989"/>
      <c r="H17" s="26"/>
    </row>
    <row r="18" spans="1:9">
      <c r="A18" s="431"/>
      <c r="B18" s="47"/>
      <c r="C18" s="13"/>
      <c r="D18" s="61"/>
      <c r="E18" s="43" t="s">
        <v>391</v>
      </c>
      <c r="F18" s="14">
        <v>3</v>
      </c>
      <c r="G18" s="989">
        <v>20</v>
      </c>
      <c r="H18" s="26">
        <f>SUM(F18*G18)</f>
        <v>60</v>
      </c>
    </row>
    <row r="19" spans="1:9">
      <c r="A19" s="431"/>
      <c r="B19" s="47"/>
      <c r="C19" s="13"/>
      <c r="D19" s="61"/>
      <c r="E19" s="43"/>
      <c r="F19" s="14"/>
      <c r="G19" s="989"/>
      <c r="H19" s="26"/>
    </row>
    <row r="20" spans="1:9" ht="105.6">
      <c r="A20" s="47" t="s">
        <v>513</v>
      </c>
      <c r="B20" s="47" t="s">
        <v>582</v>
      </c>
      <c r="C20" s="128"/>
      <c r="D20" s="97" t="s">
        <v>1212</v>
      </c>
      <c r="E20" s="43"/>
      <c r="F20" s="14"/>
      <c r="G20" s="989"/>
      <c r="H20" s="26"/>
    </row>
    <row r="21" spans="1:9">
      <c r="A21" s="431"/>
      <c r="B21" s="47"/>
      <c r="C21" s="13"/>
      <c r="D21" s="61"/>
      <c r="E21" s="43" t="s">
        <v>391</v>
      </c>
      <c r="F21" s="14">
        <v>1</v>
      </c>
      <c r="G21" s="989">
        <v>50</v>
      </c>
      <c r="H21" s="26">
        <f>SUM(F21*G21)</f>
        <v>50</v>
      </c>
    </row>
    <row r="22" spans="1:9">
      <c r="A22" s="431"/>
      <c r="B22" s="47"/>
      <c r="C22" s="13"/>
      <c r="D22" s="61"/>
      <c r="E22" s="43"/>
      <c r="F22" s="14"/>
      <c r="G22" s="989"/>
      <c r="H22" s="26"/>
    </row>
    <row r="23" spans="1:9" ht="105.6">
      <c r="A23" s="47" t="s">
        <v>513</v>
      </c>
      <c r="B23" s="47" t="s">
        <v>331</v>
      </c>
      <c r="C23" s="13"/>
      <c r="D23" s="97" t="s">
        <v>1213</v>
      </c>
      <c r="E23" s="43"/>
      <c r="F23" s="14"/>
      <c r="G23" s="989"/>
      <c r="H23" s="26"/>
      <c r="I23" s="17"/>
    </row>
    <row r="24" spans="1:9">
      <c r="A24" s="47"/>
      <c r="B24" s="47"/>
      <c r="C24" s="13"/>
      <c r="D24" s="97"/>
      <c r="E24" s="43" t="s">
        <v>391</v>
      </c>
      <c r="F24" s="14">
        <v>13</v>
      </c>
      <c r="G24" s="989">
        <v>120</v>
      </c>
      <c r="H24" s="26">
        <f>SUM(F24*G24)</f>
        <v>1560</v>
      </c>
    </row>
    <row r="25" spans="1:9">
      <c r="A25" s="47"/>
      <c r="B25" s="47"/>
      <c r="C25" s="13"/>
      <c r="D25" s="97"/>
      <c r="E25" s="43"/>
      <c r="F25" s="14"/>
      <c r="G25" s="989"/>
      <c r="H25" s="26"/>
    </row>
    <row r="26" spans="1:9" ht="66">
      <c r="A26" s="47" t="s">
        <v>513</v>
      </c>
      <c r="B26" s="47" t="s">
        <v>469</v>
      </c>
      <c r="C26" s="13"/>
      <c r="D26" s="97" t="s">
        <v>1214</v>
      </c>
      <c r="E26" s="43"/>
      <c r="F26" s="14"/>
      <c r="G26" s="989"/>
      <c r="H26" s="26"/>
      <c r="I26" s="17"/>
    </row>
    <row r="27" spans="1:9">
      <c r="A27" s="47"/>
      <c r="B27" s="47"/>
      <c r="C27" s="13"/>
      <c r="D27" s="97"/>
      <c r="E27" s="43" t="s">
        <v>540</v>
      </c>
      <c r="F27" s="14">
        <v>18</v>
      </c>
      <c r="G27" s="989">
        <v>30</v>
      </c>
      <c r="H27" s="26">
        <f>SUM(F27*G27)</f>
        <v>540</v>
      </c>
    </row>
    <row r="28" spans="1:9" ht="13.8" thickBot="1">
      <c r="A28" s="432"/>
      <c r="B28" s="47"/>
      <c r="C28" s="13"/>
      <c r="D28" s="61"/>
      <c r="E28" s="43"/>
      <c r="F28" s="63"/>
      <c r="G28" s="1071"/>
      <c r="H28" s="156"/>
    </row>
    <row r="29" spans="1:9">
      <c r="A29" s="47" t="s">
        <v>513</v>
      </c>
      <c r="B29" s="158"/>
      <c r="C29" s="424"/>
      <c r="D29" s="154" t="s">
        <v>1215</v>
      </c>
      <c r="E29" s="433"/>
      <c r="F29" s="425"/>
      <c r="G29" s="1077"/>
      <c r="H29" s="26">
        <f>SUM(H10:H28)</f>
        <v>3770</v>
      </c>
    </row>
    <row r="30" spans="1:9">
      <c r="A30" s="39"/>
      <c r="B30" s="94"/>
      <c r="C30" s="39"/>
      <c r="D30" s="61"/>
      <c r="F30" s="14"/>
    </row>
    <row r="31" spans="1:9">
      <c r="A31" s="39"/>
      <c r="B31" s="94"/>
      <c r="C31" s="39"/>
      <c r="D31" s="61"/>
      <c r="F31" s="14"/>
    </row>
    <row r="32" spans="1:9">
      <c r="A32" s="39"/>
      <c r="B32" s="94"/>
      <c r="C32" s="39"/>
      <c r="D32" s="61"/>
      <c r="F32" s="14"/>
    </row>
    <row r="33" spans="1:8">
      <c r="A33" s="39"/>
      <c r="B33" s="94"/>
      <c r="C33" s="39"/>
      <c r="D33" s="61"/>
      <c r="F33" s="14"/>
    </row>
    <row r="34" spans="1:8">
      <c r="A34" s="39"/>
      <c r="B34" s="94"/>
      <c r="C34" s="39"/>
      <c r="D34" s="61"/>
      <c r="F34" s="14"/>
    </row>
    <row r="35" spans="1:8">
      <c r="A35" s="59"/>
      <c r="B35" s="47"/>
      <c r="C35" s="36"/>
      <c r="D35" s="60"/>
      <c r="F35" s="98"/>
      <c r="H35" s="45"/>
    </row>
    <row r="36" spans="1:8">
      <c r="A36" s="59"/>
      <c r="B36" s="47"/>
      <c r="C36" s="36"/>
      <c r="D36" s="97"/>
      <c r="F36" s="434"/>
    </row>
    <row r="37" spans="1:8">
      <c r="A37" s="59"/>
      <c r="B37" s="47"/>
      <c r="C37" s="36"/>
      <c r="F37" s="98"/>
      <c r="H37" s="45"/>
    </row>
    <row r="38" spans="1:8">
      <c r="A38" s="59"/>
      <c r="B38" s="47"/>
      <c r="C38" s="36"/>
      <c r="F38" s="98"/>
      <c r="H38" s="45"/>
    </row>
    <row r="39" spans="1:8">
      <c r="A39" s="59"/>
      <c r="B39" s="47"/>
      <c r="C39" s="36"/>
      <c r="D39" s="435"/>
      <c r="F39" s="98"/>
      <c r="H39" s="45"/>
    </row>
    <row r="40" spans="1:8">
      <c r="A40" s="59"/>
      <c r="B40" s="47"/>
      <c r="C40" s="36"/>
      <c r="D40" s="97"/>
      <c r="E40" s="372"/>
      <c r="F40" s="98"/>
      <c r="H40" s="45"/>
    </row>
    <row r="41" spans="1:8">
      <c r="A41" s="59"/>
      <c r="B41" s="47"/>
      <c r="C41" s="36"/>
      <c r="D41" s="436"/>
      <c r="E41" s="372"/>
      <c r="F41" s="98"/>
      <c r="H41" s="45"/>
    </row>
    <row r="42" spans="1:8">
      <c r="A42" s="13"/>
      <c r="C42" s="13"/>
      <c r="D42" s="13"/>
      <c r="G42" s="1035"/>
      <c r="H42" s="13"/>
    </row>
    <row r="43" spans="1:8">
      <c r="A43" s="59"/>
      <c r="B43" s="47"/>
      <c r="C43" s="36"/>
      <c r="D43" s="97"/>
      <c r="E43" s="372"/>
      <c r="F43" s="98"/>
      <c r="H43" s="13"/>
    </row>
    <row r="44" spans="1:8">
      <c r="A44" s="59"/>
      <c r="B44" s="47"/>
      <c r="C44" s="36"/>
      <c r="D44" s="436"/>
      <c r="E44" s="372"/>
      <c r="F44" s="98"/>
      <c r="H44" s="45"/>
    </row>
    <row r="45" spans="1:8">
      <c r="A45" s="13"/>
      <c r="C45" s="13"/>
      <c r="D45" s="13"/>
      <c r="G45" s="1035"/>
      <c r="H45" s="13"/>
    </row>
    <row r="46" spans="1:8">
      <c r="A46" s="59"/>
      <c r="B46" s="47"/>
      <c r="C46" s="38"/>
      <c r="D46" s="60"/>
      <c r="F46" s="98"/>
      <c r="H46" s="45"/>
    </row>
    <row r="47" spans="1:8">
      <c r="A47" s="59"/>
      <c r="B47" s="47"/>
      <c r="C47" s="38"/>
      <c r="D47" s="97"/>
      <c r="F47" s="98"/>
      <c r="H47" s="45"/>
    </row>
    <row r="48" spans="1:8">
      <c r="A48" s="59"/>
      <c r="B48" s="47"/>
      <c r="C48" s="38"/>
      <c r="D48" s="97"/>
      <c r="F48" s="98"/>
      <c r="H48" s="45"/>
    </row>
    <row r="49" spans="1:10">
      <c r="A49" s="59"/>
      <c r="B49" s="47"/>
      <c r="C49" s="38"/>
      <c r="D49" s="97"/>
      <c r="F49" s="98"/>
      <c r="H49" s="45"/>
    </row>
    <row r="50" spans="1:10">
      <c r="A50" s="59"/>
      <c r="B50" s="47"/>
      <c r="C50" s="38"/>
      <c r="F50" s="98"/>
      <c r="H50" s="45"/>
    </row>
    <row r="51" spans="1:10">
      <c r="A51" s="59"/>
      <c r="B51" s="47"/>
      <c r="C51" s="38"/>
      <c r="D51" s="97"/>
      <c r="F51" s="98"/>
      <c r="H51" s="45"/>
    </row>
    <row r="52" spans="1:10">
      <c r="A52" s="59"/>
      <c r="B52" s="47"/>
      <c r="C52" s="38"/>
      <c r="F52" s="98"/>
      <c r="H52" s="45"/>
    </row>
    <row r="53" spans="1:10">
      <c r="A53" s="59"/>
      <c r="B53" s="47"/>
      <c r="C53" s="38"/>
      <c r="F53" s="98"/>
      <c r="H53" s="45"/>
    </row>
    <row r="54" spans="1:10">
      <c r="A54" s="59"/>
      <c r="B54" s="47"/>
      <c r="C54" s="38"/>
      <c r="F54" s="98"/>
      <c r="H54" s="45"/>
    </row>
    <row r="55" spans="1:10">
      <c r="A55" s="59"/>
      <c r="B55" s="47"/>
      <c r="C55" s="38"/>
      <c r="F55" s="98"/>
      <c r="H55" s="45"/>
    </row>
    <row r="56" spans="1:10">
      <c r="A56" s="59"/>
      <c r="B56" s="47"/>
      <c r="C56" s="38"/>
      <c r="F56" s="98"/>
      <c r="H56" s="45"/>
    </row>
    <row r="57" spans="1:10">
      <c r="A57" s="59"/>
      <c r="B57" s="47"/>
      <c r="C57" s="38"/>
      <c r="F57" s="98"/>
      <c r="H57" s="45"/>
    </row>
    <row r="58" spans="1:10">
      <c r="C58" s="437"/>
      <c r="D58" s="438"/>
      <c r="E58" s="155"/>
      <c r="F58" s="439"/>
      <c r="G58" s="1078"/>
      <c r="H58" s="437"/>
    </row>
    <row r="59" spans="1:10">
      <c r="A59" s="59"/>
      <c r="B59" s="47"/>
      <c r="C59" s="38"/>
      <c r="D59" s="440"/>
      <c r="E59" s="155"/>
      <c r="F59" s="439"/>
      <c r="G59" s="1078"/>
      <c r="H59" s="437"/>
    </row>
    <row r="60" spans="1:10">
      <c r="C60" s="437"/>
      <c r="D60" s="436"/>
      <c r="E60" s="155"/>
      <c r="F60" s="441"/>
      <c r="G60" s="1078"/>
      <c r="H60" s="45"/>
      <c r="J60" s="437"/>
    </row>
    <row r="61" spans="1:10">
      <c r="C61" s="437"/>
      <c r="D61" s="436"/>
      <c r="E61" s="155"/>
      <c r="F61" s="441"/>
      <c r="G61" s="1078"/>
      <c r="H61" s="437"/>
    </row>
    <row r="62" spans="1:10">
      <c r="A62" s="59"/>
      <c r="B62" s="47"/>
      <c r="C62" s="38"/>
      <c r="D62" s="436"/>
      <c r="E62" s="155"/>
      <c r="F62" s="441"/>
      <c r="G62" s="1078"/>
      <c r="H62" s="437"/>
    </row>
    <row r="63" spans="1:10">
      <c r="C63" s="437"/>
      <c r="D63" s="436"/>
      <c r="I63" s="437"/>
    </row>
    <row r="64" spans="1:10">
      <c r="C64" s="437"/>
      <c r="D64" s="436"/>
      <c r="E64" s="155"/>
      <c r="F64" s="441"/>
      <c r="G64" s="1078"/>
      <c r="H64" s="45"/>
      <c r="I64" s="437"/>
    </row>
    <row r="65" spans="1:10">
      <c r="C65" s="437"/>
      <c r="D65" s="13"/>
      <c r="G65" s="1035"/>
      <c r="H65" s="13"/>
      <c r="I65" s="437"/>
    </row>
    <row r="66" spans="1:10">
      <c r="A66" s="59"/>
      <c r="B66" s="47"/>
      <c r="C66" s="38"/>
      <c r="D66" s="261"/>
      <c r="E66" s="155"/>
      <c r="F66" s="441"/>
      <c r="G66" s="1078"/>
      <c r="H66" s="437"/>
      <c r="I66" s="437"/>
    </row>
    <row r="67" spans="1:10">
      <c r="C67" s="437"/>
      <c r="D67" s="436"/>
      <c r="E67" s="155"/>
      <c r="F67" s="441"/>
      <c r="G67" s="1078"/>
      <c r="H67" s="45"/>
      <c r="I67" s="437"/>
    </row>
    <row r="68" spans="1:10">
      <c r="C68" s="437"/>
      <c r="D68" s="436"/>
      <c r="G68" s="1035"/>
      <c r="H68" s="13"/>
      <c r="I68" s="437"/>
    </row>
    <row r="69" spans="1:10" ht="14.4">
      <c r="A69" s="59"/>
      <c r="B69" s="47"/>
      <c r="C69" s="38"/>
      <c r="D69" s="261"/>
      <c r="E69" s="155"/>
      <c r="F69" s="441"/>
      <c r="G69" s="1078"/>
      <c r="H69" s="437"/>
      <c r="I69" s="437"/>
      <c r="J69" s="442"/>
    </row>
    <row r="70" spans="1:10">
      <c r="C70" s="437"/>
      <c r="D70" s="436"/>
      <c r="E70" s="155"/>
      <c r="F70" s="441"/>
      <c r="G70" s="1078"/>
      <c r="H70" s="45"/>
      <c r="I70" s="45"/>
    </row>
    <row r="71" spans="1:10">
      <c r="C71" s="437"/>
      <c r="D71" s="436"/>
      <c r="G71" s="1035"/>
      <c r="H71" s="13"/>
      <c r="I71" s="437"/>
    </row>
    <row r="72" spans="1:10">
      <c r="A72" s="59"/>
      <c r="B72" s="47"/>
      <c r="C72" s="38"/>
      <c r="D72" s="436"/>
      <c r="E72" s="155"/>
      <c r="F72" s="441"/>
      <c r="G72" s="1078"/>
      <c r="H72" s="437"/>
      <c r="I72" s="437"/>
    </row>
    <row r="73" spans="1:10">
      <c r="C73" s="437"/>
      <c r="D73" s="436"/>
      <c r="E73" s="155"/>
      <c r="F73" s="441"/>
      <c r="G73" s="1078"/>
      <c r="H73" s="45"/>
      <c r="I73" s="437"/>
    </row>
    <row r="74" spans="1:10">
      <c r="C74" s="437"/>
      <c r="D74" s="436"/>
      <c r="E74" s="155"/>
      <c r="F74" s="441"/>
      <c r="G74" s="1078"/>
      <c r="H74" s="45"/>
      <c r="I74" s="437"/>
    </row>
    <row r="75" spans="1:10">
      <c r="C75" s="437"/>
      <c r="D75" s="438"/>
      <c r="E75" s="155"/>
      <c r="F75" s="439"/>
      <c r="G75" s="1078"/>
      <c r="H75" s="437"/>
    </row>
    <row r="76" spans="1:10">
      <c r="A76" s="59"/>
      <c r="B76" s="47"/>
      <c r="C76" s="38"/>
      <c r="D76" s="440"/>
      <c r="E76" s="155"/>
      <c r="F76" s="439"/>
      <c r="G76" s="1078"/>
      <c r="H76" s="437"/>
    </row>
    <row r="77" spans="1:10">
      <c r="C77" s="437"/>
      <c r="D77" s="436"/>
      <c r="E77" s="155"/>
      <c r="F77" s="441"/>
      <c r="G77" s="1078"/>
      <c r="H77" s="45"/>
      <c r="J77" s="437"/>
    </row>
    <row r="78" spans="1:10">
      <c r="I78" s="437"/>
    </row>
    <row r="79" spans="1:10">
      <c r="I79" s="437"/>
    </row>
    <row r="80" spans="1:10">
      <c r="I80" s="437"/>
    </row>
  </sheetData>
  <pageMargins left="0.74803149606299213" right="0.55118110236220474" top="1.0236220472440944" bottom="0.78740157480314965" header="0.43307086614173229" footer="0.51181102362204722"/>
  <pageSetup paperSize="9" orientation="portrait" horizontalDpi="4294967292" verticalDpi="4294967292" r:id="rId1"/>
  <headerFooter alignWithMargins="0">
    <oddHeader xml:space="preserve">&amp;L&amp;9Višestambena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K74"/>
  <sheetViews>
    <sheetView view="pageBreakPreview" topLeftCell="A51" zoomScaleNormal="100" zoomScaleSheetLayoutView="100" zoomScalePageLayoutView="130" workbookViewId="0">
      <selection activeCell="G50" sqref="G50"/>
    </sheetView>
  </sheetViews>
  <sheetFormatPr defaultColWidth="8.6328125" defaultRowHeight="17.399999999999999"/>
  <cols>
    <col min="1" max="1" width="3.36328125" style="23" customWidth="1"/>
    <col min="2" max="2" width="2.36328125" style="146" customWidth="1"/>
    <col min="3" max="3" width="2" style="147" customWidth="1"/>
    <col min="4" max="4" width="31.453125" style="151" customWidth="1"/>
    <col min="5" max="5" width="4.54296875" style="13" customWidth="1"/>
    <col min="6" max="6" width="8" style="13" customWidth="1"/>
    <col min="7" max="7" width="10.1796875" style="1075" customWidth="1"/>
    <col min="8" max="8" width="11.54296875" style="63" customWidth="1"/>
    <col min="9" max="9" width="8.6328125" style="13"/>
    <col min="10" max="10" width="8.6328125" style="16"/>
    <col min="11" max="11" width="39.54296875" style="443" customWidth="1"/>
    <col min="12" max="16384" width="8.6328125" style="13"/>
  </cols>
  <sheetData>
    <row r="1" spans="1:11">
      <c r="D1" s="428"/>
      <c r="E1" s="422"/>
      <c r="F1" s="429"/>
    </row>
    <row r="2" spans="1:11" ht="18" thickBot="1">
      <c r="A2" s="137" t="s">
        <v>514</v>
      </c>
      <c r="B2" s="137"/>
      <c r="C2" s="138"/>
      <c r="D2" s="148" t="s">
        <v>934</v>
      </c>
      <c r="E2" s="149"/>
      <c r="F2" s="385"/>
      <c r="G2" s="1076"/>
      <c r="H2" s="150"/>
      <c r="I2" s="54"/>
    </row>
    <row r="3" spans="1:11">
      <c r="A3" s="59" t="s">
        <v>330</v>
      </c>
      <c r="B3" s="47" t="s">
        <v>330</v>
      </c>
      <c r="C3" s="36"/>
      <c r="D3" s="61"/>
    </row>
    <row r="4" spans="1:11">
      <c r="A4" s="59"/>
      <c r="B4" s="47"/>
      <c r="C4" s="36"/>
      <c r="D4" s="61" t="s">
        <v>314</v>
      </c>
    </row>
    <row r="5" spans="1:11" ht="52.8">
      <c r="A5" s="59"/>
      <c r="B5" s="47"/>
      <c r="C5" s="36"/>
      <c r="D5" s="151" t="s">
        <v>518</v>
      </c>
    </row>
    <row r="6" spans="1:11" ht="39.6">
      <c r="A6" s="59"/>
      <c r="B6" s="47"/>
      <c r="C6" s="36"/>
      <c r="D6" s="444" t="s">
        <v>1216</v>
      </c>
    </row>
    <row r="7" spans="1:11">
      <c r="A7" s="36"/>
      <c r="B7" s="25"/>
      <c r="C7" s="13"/>
      <c r="D7" s="61"/>
      <c r="E7" s="43"/>
      <c r="G7" s="1071"/>
      <c r="H7" s="13"/>
    </row>
    <row r="8" spans="1:11" s="46" customFormat="1">
      <c r="A8" s="1154" t="s">
        <v>1217</v>
      </c>
      <c r="B8" s="1155"/>
      <c r="C8" s="1155"/>
      <c r="D8" s="61" t="s">
        <v>504</v>
      </c>
      <c r="E8" s="445" t="s">
        <v>505</v>
      </c>
      <c r="F8" s="446" t="s">
        <v>506</v>
      </c>
      <c r="G8" s="1067" t="s">
        <v>509</v>
      </c>
      <c r="H8" s="447" t="s">
        <v>510</v>
      </c>
      <c r="J8" s="474"/>
      <c r="K8" s="448"/>
    </row>
    <row r="9" spans="1:11" s="46" customFormat="1">
      <c r="A9" s="39"/>
      <c r="B9" s="449"/>
      <c r="C9" s="449"/>
      <c r="D9" s="61"/>
      <c r="E9" s="445"/>
      <c r="F9" s="446"/>
      <c r="G9" s="1079"/>
      <c r="H9" s="447"/>
      <c r="J9" s="474"/>
      <c r="K9" s="448"/>
    </row>
    <row r="10" spans="1:11" s="46" customFormat="1">
      <c r="A10" s="450"/>
      <c r="B10" s="451"/>
      <c r="C10" s="452"/>
      <c r="D10" s="444" t="s">
        <v>1218</v>
      </c>
      <c r="E10" s="453"/>
      <c r="F10" s="454"/>
      <c r="G10" s="1080"/>
      <c r="H10" s="455"/>
      <c r="J10" s="474"/>
      <c r="K10" s="448"/>
    </row>
    <row r="11" spans="1:11" s="46" customFormat="1" ht="158.4">
      <c r="A11" s="116" t="s">
        <v>514</v>
      </c>
      <c r="B11" s="116" t="s">
        <v>102</v>
      </c>
      <c r="C11" s="453"/>
      <c r="D11" s="444" t="s">
        <v>1219</v>
      </c>
      <c r="E11" s="453"/>
      <c r="F11" s="456"/>
      <c r="G11" s="1081"/>
      <c r="H11" s="455"/>
      <c r="J11" s="474"/>
      <c r="K11" s="448"/>
    </row>
    <row r="12" spans="1:11" s="46" customFormat="1">
      <c r="A12" s="115"/>
      <c r="B12" s="116"/>
      <c r="C12" s="453"/>
      <c r="D12" s="444"/>
      <c r="E12" s="119" t="s">
        <v>503</v>
      </c>
      <c r="F12" s="456">
        <v>737</v>
      </c>
      <c r="G12" s="1082">
        <v>25</v>
      </c>
      <c r="H12" s="103">
        <f>SUM(F12*G12)</f>
        <v>18425</v>
      </c>
      <c r="J12" s="16"/>
      <c r="K12" s="448"/>
    </row>
    <row r="13" spans="1:11" s="46" customFormat="1">
      <c r="A13" s="450"/>
      <c r="B13" s="451"/>
      <c r="C13" s="452"/>
      <c r="D13" s="444"/>
      <c r="E13" s="453"/>
      <c r="F13" s="454"/>
      <c r="G13" s="1080"/>
      <c r="H13" s="455"/>
      <c r="J13" s="474"/>
      <c r="K13" s="448"/>
    </row>
    <row r="14" spans="1:11" s="46" customFormat="1" ht="211.2">
      <c r="A14" s="116" t="s">
        <v>514</v>
      </c>
      <c r="B14" s="116" t="s">
        <v>311</v>
      </c>
      <c r="C14" s="453"/>
      <c r="D14" s="444" t="s">
        <v>1220</v>
      </c>
      <c r="E14" s="453"/>
      <c r="F14" s="456"/>
      <c r="G14" s="1081"/>
      <c r="H14" s="455"/>
      <c r="I14" s="457"/>
      <c r="J14" s="474"/>
      <c r="K14" s="448"/>
    </row>
    <row r="15" spans="1:11" s="46" customFormat="1">
      <c r="A15" s="115"/>
      <c r="B15" s="116"/>
      <c r="C15" s="453"/>
      <c r="D15" s="458"/>
      <c r="E15" s="119" t="s">
        <v>503</v>
      </c>
      <c r="F15" s="456">
        <v>173</v>
      </c>
      <c r="G15" s="1082">
        <v>50</v>
      </c>
      <c r="H15" s="103">
        <f>SUM(F15*G15)</f>
        <v>8650</v>
      </c>
      <c r="J15" s="16"/>
      <c r="K15" s="448"/>
    </row>
    <row r="16" spans="1:11" s="46" customFormat="1">
      <c r="A16" s="115"/>
      <c r="B16" s="116"/>
      <c r="C16" s="453"/>
      <c r="D16" s="444"/>
      <c r="E16" s="459"/>
      <c r="F16" s="456"/>
      <c r="G16" s="1081"/>
      <c r="H16" s="66"/>
      <c r="J16" s="474"/>
      <c r="K16" s="448"/>
    </row>
    <row r="17" spans="1:11" s="46" customFormat="1" ht="184.8">
      <c r="A17" s="116" t="s">
        <v>514</v>
      </c>
      <c r="B17" s="116" t="s">
        <v>243</v>
      </c>
      <c r="C17" s="453"/>
      <c r="D17" s="444" t="s">
        <v>1221</v>
      </c>
      <c r="E17" s="459"/>
      <c r="F17" s="456"/>
      <c r="G17" s="1027"/>
      <c r="H17" s="66"/>
      <c r="J17" s="474"/>
      <c r="K17" s="448"/>
    </row>
    <row r="18" spans="1:11" s="46" customFormat="1">
      <c r="A18" s="116"/>
      <c r="B18" s="116"/>
      <c r="C18" s="453"/>
      <c r="D18" s="453"/>
      <c r="E18" s="119" t="s">
        <v>503</v>
      </c>
      <c r="F18" s="456">
        <v>110</v>
      </c>
      <c r="G18" s="1082">
        <v>60</v>
      </c>
      <c r="H18" s="103">
        <f>SUM(F18*G18)</f>
        <v>6600</v>
      </c>
      <c r="J18" s="16"/>
      <c r="K18" s="448"/>
    </row>
    <row r="19" spans="1:11" s="46" customFormat="1">
      <c r="A19" s="116"/>
      <c r="B19" s="116"/>
      <c r="C19" s="453"/>
      <c r="D19" s="453"/>
      <c r="E19" s="459"/>
      <c r="F19" s="456"/>
      <c r="G19" s="1027"/>
      <c r="H19" s="66"/>
      <c r="J19" s="474"/>
      <c r="K19" s="448"/>
    </row>
    <row r="20" spans="1:11" s="46" customFormat="1" ht="132">
      <c r="A20" s="116" t="s">
        <v>514</v>
      </c>
      <c r="B20" s="116" t="s">
        <v>582</v>
      </c>
      <c r="C20" s="453"/>
      <c r="D20" s="444" t="s">
        <v>1222</v>
      </c>
      <c r="E20" s="459"/>
      <c r="F20" s="456"/>
      <c r="G20" s="1081"/>
      <c r="H20" s="66"/>
      <c r="J20" s="474"/>
      <c r="K20" s="448"/>
    </row>
    <row r="21" spans="1:11" s="46" customFormat="1">
      <c r="A21" s="115"/>
      <c r="B21" s="116"/>
      <c r="C21" s="453"/>
      <c r="D21" s="444"/>
      <c r="E21" s="119" t="s">
        <v>522</v>
      </c>
      <c r="F21" s="456">
        <v>4</v>
      </c>
      <c r="G21" s="1082">
        <v>200</v>
      </c>
      <c r="H21" s="103">
        <f>SUM(F21*G21)</f>
        <v>800</v>
      </c>
      <c r="J21" s="16"/>
      <c r="K21" s="448"/>
    </row>
    <row r="22" spans="1:11" s="46" customFormat="1">
      <c r="A22" s="115"/>
      <c r="B22" s="116"/>
      <c r="C22" s="453"/>
      <c r="D22" s="444"/>
      <c r="E22" s="119"/>
      <c r="F22" s="456"/>
      <c r="G22" s="1082"/>
      <c r="H22" s="103"/>
      <c r="J22" s="474"/>
      <c r="K22" s="448"/>
    </row>
    <row r="23" spans="1:11" s="46" customFormat="1" ht="105.6">
      <c r="A23" s="116" t="s">
        <v>514</v>
      </c>
      <c r="B23" s="116" t="s">
        <v>331</v>
      </c>
      <c r="C23" s="115"/>
      <c r="D23" s="61" t="s">
        <v>1250</v>
      </c>
      <c r="E23" s="110"/>
      <c r="F23" s="81"/>
      <c r="G23" s="1082"/>
      <c r="H23" s="14"/>
      <c r="J23" s="474"/>
      <c r="K23" s="448"/>
    </row>
    <row r="24" spans="1:11" s="46" customFormat="1">
      <c r="A24" s="115"/>
      <c r="B24" s="116"/>
      <c r="C24" s="115"/>
      <c r="D24" s="460"/>
      <c r="E24" s="110" t="s">
        <v>344</v>
      </c>
      <c r="F24" s="62">
        <v>147</v>
      </c>
      <c r="G24" s="1082">
        <v>25</v>
      </c>
      <c r="H24" s="103">
        <f>SUM(F24*G24)</f>
        <v>3675</v>
      </c>
      <c r="J24" s="16"/>
      <c r="K24" s="448"/>
    </row>
    <row r="25" spans="1:11" s="46" customFormat="1">
      <c r="A25" s="115"/>
      <c r="B25" s="116"/>
      <c r="C25" s="115"/>
      <c r="D25" s="460"/>
      <c r="E25" s="110"/>
      <c r="F25" s="62"/>
      <c r="G25" s="1082"/>
      <c r="H25" s="103"/>
      <c r="J25" s="474"/>
      <c r="K25" s="448"/>
    </row>
    <row r="26" spans="1:11" s="46" customFormat="1" ht="79.2">
      <c r="A26" s="116" t="s">
        <v>514</v>
      </c>
      <c r="B26" s="116" t="s">
        <v>469</v>
      </c>
      <c r="C26" s="115"/>
      <c r="D26" s="460" t="s">
        <v>1223</v>
      </c>
      <c r="E26" s="110"/>
      <c r="F26" s="62"/>
      <c r="G26" s="1082"/>
      <c r="H26" s="103"/>
      <c r="J26" s="474"/>
      <c r="K26" s="448"/>
    </row>
    <row r="27" spans="1:11" s="46" customFormat="1">
      <c r="A27" s="115"/>
      <c r="B27" s="116"/>
      <c r="C27" s="115"/>
      <c r="D27" s="460"/>
      <c r="E27" s="110" t="s">
        <v>344</v>
      </c>
      <c r="F27" s="62">
        <v>167</v>
      </c>
      <c r="G27" s="1082">
        <v>35</v>
      </c>
      <c r="H27" s="103">
        <f>SUM(F27*G27)</f>
        <v>5845</v>
      </c>
      <c r="J27" s="16"/>
      <c r="K27" s="448"/>
    </row>
    <row r="28" spans="1:11" s="46" customFormat="1">
      <c r="A28" s="115"/>
      <c r="B28" s="116"/>
      <c r="C28" s="115"/>
      <c r="D28" s="460"/>
      <c r="E28" s="110"/>
      <c r="F28" s="62"/>
      <c r="G28" s="1082"/>
      <c r="H28" s="103"/>
      <c r="J28" s="474"/>
      <c r="K28" s="448"/>
    </row>
    <row r="29" spans="1:11" s="46" customFormat="1" ht="211.2">
      <c r="A29" s="116" t="s">
        <v>514</v>
      </c>
      <c r="B29" s="116" t="s">
        <v>192</v>
      </c>
      <c r="C29" s="453"/>
      <c r="D29" s="444" t="s">
        <v>1224</v>
      </c>
      <c r="E29" s="119"/>
      <c r="F29" s="456"/>
      <c r="G29" s="1082"/>
      <c r="H29" s="66"/>
      <c r="J29" s="474"/>
      <c r="K29" s="448"/>
    </row>
    <row r="30" spans="1:11" s="46" customFormat="1">
      <c r="A30" s="115"/>
      <c r="B30" s="116"/>
      <c r="C30" s="115"/>
      <c r="D30" s="444"/>
      <c r="E30" s="119" t="s">
        <v>503</v>
      </c>
      <c r="F30" s="62">
        <v>1.5</v>
      </c>
      <c r="G30" s="1082">
        <v>500</v>
      </c>
      <c r="H30" s="103">
        <f>SUM(F30*G30)</f>
        <v>750</v>
      </c>
      <c r="J30" s="474"/>
      <c r="K30" s="448"/>
    </row>
    <row r="31" spans="1:11" s="46" customFormat="1">
      <c r="A31" s="115"/>
      <c r="B31" s="116"/>
      <c r="C31" s="115"/>
      <c r="D31" s="444"/>
      <c r="E31" s="119"/>
      <c r="F31" s="62"/>
      <c r="G31" s="1082"/>
      <c r="H31" s="103"/>
      <c r="J31" s="474"/>
      <c r="K31" s="461"/>
    </row>
    <row r="32" spans="1:11" s="46" customFormat="1" ht="54.75" customHeight="1">
      <c r="A32" s="116" t="s">
        <v>514</v>
      </c>
      <c r="B32" s="116" t="s">
        <v>146</v>
      </c>
      <c r="C32" s="115"/>
      <c r="D32" s="444" t="s">
        <v>1225</v>
      </c>
      <c r="E32" s="119"/>
      <c r="F32" s="62"/>
      <c r="G32" s="1082"/>
      <c r="H32" s="103"/>
      <c r="J32" s="474"/>
      <c r="K32" s="461"/>
    </row>
    <row r="33" spans="1:11" s="46" customFormat="1" ht="39.6">
      <c r="A33" s="115"/>
      <c r="B33" s="116"/>
      <c r="C33" s="115"/>
      <c r="D33" s="444" t="s">
        <v>1226</v>
      </c>
      <c r="E33" s="119"/>
      <c r="F33" s="62"/>
      <c r="G33" s="1082"/>
      <c r="H33" s="103"/>
      <c r="J33" s="474"/>
      <c r="K33" s="461"/>
    </row>
    <row r="34" spans="1:11" s="46" customFormat="1" ht="26.4">
      <c r="A34" s="115"/>
      <c r="B34" s="116"/>
      <c r="C34" s="115"/>
      <c r="D34" s="444" t="s">
        <v>1227</v>
      </c>
      <c r="E34" s="119"/>
      <c r="F34" s="62"/>
      <c r="G34" s="1082"/>
      <c r="H34" s="103"/>
      <c r="J34" s="474"/>
      <c r="K34" s="461"/>
    </row>
    <row r="35" spans="1:11" s="46" customFormat="1">
      <c r="A35" s="115"/>
      <c r="B35" s="116"/>
      <c r="C35" s="115"/>
      <c r="D35" s="444" t="s">
        <v>1228</v>
      </c>
      <c r="E35" s="119" t="s">
        <v>344</v>
      </c>
      <c r="F35" s="62">
        <v>100</v>
      </c>
      <c r="G35" s="1082">
        <v>5</v>
      </c>
      <c r="H35" s="103">
        <f>SUM(F35*G35)</f>
        <v>500</v>
      </c>
      <c r="J35" s="474"/>
      <c r="K35" s="448"/>
    </row>
    <row r="36" spans="1:11" s="46" customFormat="1">
      <c r="A36" s="115"/>
      <c r="B36" s="116"/>
      <c r="C36" s="115"/>
      <c r="D36" s="444"/>
      <c r="E36" s="119"/>
      <c r="F36" s="62"/>
      <c r="G36" s="1082"/>
      <c r="H36" s="103"/>
      <c r="J36" s="474"/>
      <c r="K36" s="448"/>
    </row>
    <row r="37" spans="1:11" s="46" customFormat="1" ht="26.4">
      <c r="A37" s="116" t="s">
        <v>514</v>
      </c>
      <c r="B37" s="116" t="s">
        <v>147</v>
      </c>
      <c r="C37" s="115"/>
      <c r="D37" s="444" t="s">
        <v>1229</v>
      </c>
      <c r="E37" s="119"/>
      <c r="F37" s="62"/>
      <c r="G37" s="1082"/>
      <c r="H37" s="103"/>
      <c r="J37" s="474"/>
      <c r="K37" s="448"/>
    </row>
    <row r="38" spans="1:11" s="46" customFormat="1" ht="26.4">
      <c r="A38" s="116"/>
      <c r="B38" s="116"/>
      <c r="C38" s="115"/>
      <c r="D38" s="444" t="s">
        <v>1230</v>
      </c>
      <c r="E38" s="119"/>
      <c r="F38" s="62"/>
      <c r="G38" s="1082"/>
      <c r="H38" s="103"/>
      <c r="J38" s="474"/>
      <c r="K38" s="461"/>
    </row>
    <row r="39" spans="1:11" s="46" customFormat="1" ht="26.4">
      <c r="A39" s="115"/>
      <c r="B39" s="116"/>
      <c r="C39" s="115"/>
      <c r="D39" s="444" t="s">
        <v>1227</v>
      </c>
      <c r="E39" s="119"/>
      <c r="F39" s="62"/>
      <c r="G39" s="1082"/>
      <c r="H39" s="103"/>
      <c r="J39" s="474"/>
      <c r="K39" s="461"/>
    </row>
    <row r="40" spans="1:11" s="46" customFormat="1">
      <c r="A40" s="115"/>
      <c r="B40" s="116"/>
      <c r="C40" s="115"/>
      <c r="D40" s="444" t="s">
        <v>1231</v>
      </c>
      <c r="E40" s="119" t="s">
        <v>344</v>
      </c>
      <c r="F40" s="62">
        <v>6</v>
      </c>
      <c r="G40" s="1082">
        <v>20</v>
      </c>
      <c r="H40" s="103">
        <f>SUM(F40*G40)</f>
        <v>120</v>
      </c>
      <c r="J40" s="474"/>
      <c r="K40" s="448"/>
    </row>
    <row r="41" spans="1:11" s="46" customFormat="1">
      <c r="A41" s="115"/>
      <c r="B41" s="116"/>
      <c r="C41" s="115"/>
      <c r="D41" s="444"/>
      <c r="E41" s="119"/>
      <c r="F41" s="62"/>
      <c r="G41" s="1082"/>
      <c r="H41" s="103"/>
      <c r="J41" s="474"/>
      <c r="K41" s="448"/>
    </row>
    <row r="42" spans="1:11" s="46" customFormat="1" ht="26.4">
      <c r="A42" s="116" t="s">
        <v>514</v>
      </c>
      <c r="B42" s="116" t="s">
        <v>43</v>
      </c>
      <c r="C42" s="115"/>
      <c r="D42" s="444" t="s">
        <v>1232</v>
      </c>
      <c r="E42" s="119"/>
      <c r="F42" s="62"/>
      <c r="G42" s="1082"/>
      <c r="H42" s="103"/>
      <c r="J42" s="474"/>
      <c r="K42" s="461"/>
    </row>
    <row r="43" spans="1:11" s="46" customFormat="1" ht="26.4">
      <c r="A43" s="115"/>
      <c r="B43" s="116"/>
      <c r="C43" s="115"/>
      <c r="D43" s="444" t="s">
        <v>1227</v>
      </c>
      <c r="E43" s="119"/>
      <c r="F43" s="62"/>
      <c r="G43" s="1082"/>
      <c r="H43" s="103"/>
      <c r="J43" s="474"/>
      <c r="K43" s="461"/>
    </row>
    <row r="44" spans="1:11" s="46" customFormat="1">
      <c r="A44" s="115"/>
      <c r="B44" s="116"/>
      <c r="C44" s="115"/>
      <c r="D44" s="444" t="s">
        <v>1233</v>
      </c>
      <c r="E44" s="119" t="s">
        <v>391</v>
      </c>
      <c r="F44" s="62">
        <v>1</v>
      </c>
      <c r="G44" s="1082">
        <v>100</v>
      </c>
      <c r="H44" s="103">
        <f>SUM(F44*G44)</f>
        <v>100</v>
      </c>
      <c r="J44" s="474"/>
      <c r="K44" s="448"/>
    </row>
    <row r="45" spans="1:11" s="46" customFormat="1">
      <c r="A45" s="115"/>
      <c r="B45" s="116"/>
      <c r="C45" s="115"/>
      <c r="D45" s="460"/>
      <c r="E45" s="110"/>
      <c r="F45" s="62"/>
      <c r="G45" s="1082"/>
      <c r="H45" s="103"/>
      <c r="J45" s="474"/>
      <c r="K45" s="448"/>
    </row>
    <row r="46" spans="1:11" s="46" customFormat="1">
      <c r="A46" s="115"/>
      <c r="B46" s="116"/>
      <c r="C46" s="115"/>
      <c r="D46" s="460"/>
      <c r="E46" s="110"/>
      <c r="F46" s="62"/>
      <c r="G46" s="1082"/>
      <c r="H46" s="103"/>
      <c r="J46" s="474"/>
      <c r="K46" s="448"/>
    </row>
    <row r="47" spans="1:11" s="46" customFormat="1">
      <c r="A47" s="115"/>
      <c r="B47" s="116"/>
      <c r="C47" s="115"/>
      <c r="D47" s="460" t="s">
        <v>1234</v>
      </c>
      <c r="E47" s="110"/>
      <c r="F47" s="62"/>
      <c r="G47" s="1082"/>
      <c r="H47" s="103"/>
      <c r="J47" s="474"/>
      <c r="K47" s="448"/>
    </row>
    <row r="48" spans="1:11" s="46" customFormat="1" ht="145.19999999999999">
      <c r="A48" s="116" t="s">
        <v>514</v>
      </c>
      <c r="B48" s="116" t="s">
        <v>185</v>
      </c>
      <c r="C48" s="464"/>
      <c r="D48" s="151" t="s">
        <v>1235</v>
      </c>
      <c r="E48" s="462"/>
      <c r="F48" s="463"/>
      <c r="G48" s="1082"/>
      <c r="J48" s="474"/>
      <c r="K48" s="448"/>
    </row>
    <row r="49" spans="1:11" s="46" customFormat="1">
      <c r="A49" s="115"/>
      <c r="B49" s="116"/>
      <c r="C49" s="464"/>
      <c r="D49" s="427"/>
      <c r="E49" s="459" t="s">
        <v>503</v>
      </c>
      <c r="F49" s="92">
        <v>891</v>
      </c>
      <c r="G49" s="1083">
        <v>6</v>
      </c>
      <c r="H49" s="103">
        <f>SUM(F49*G49)</f>
        <v>5346</v>
      </c>
      <c r="J49" s="474"/>
      <c r="K49" s="448"/>
    </row>
    <row r="50" spans="1:11" s="46" customFormat="1">
      <c r="A50" s="465"/>
      <c r="B50" s="457"/>
      <c r="G50" s="1084"/>
      <c r="J50" s="474"/>
      <c r="K50" s="448"/>
    </row>
    <row r="51" spans="1:11" s="46" customFormat="1" ht="290.39999999999998">
      <c r="A51" s="116" t="s">
        <v>514</v>
      </c>
      <c r="B51" s="116" t="s">
        <v>397</v>
      </c>
      <c r="C51" s="464"/>
      <c r="D51" s="151" t="s">
        <v>1236</v>
      </c>
      <c r="E51" s="459"/>
      <c r="G51" s="1084"/>
      <c r="J51" s="474"/>
      <c r="K51" s="448"/>
    </row>
    <row r="52" spans="1:11" s="46" customFormat="1">
      <c r="A52" s="115"/>
      <c r="B52" s="116"/>
      <c r="C52" s="464"/>
      <c r="D52" s="427"/>
      <c r="E52" s="459" t="s">
        <v>503</v>
      </c>
      <c r="F52" s="92">
        <v>891</v>
      </c>
      <c r="G52" s="1083">
        <v>3</v>
      </c>
      <c r="H52" s="103">
        <f>F52*G52</f>
        <v>2673</v>
      </c>
      <c r="J52" s="474"/>
      <c r="K52" s="448"/>
    </row>
    <row r="53" spans="1:11" ht="18" thickBot="1">
      <c r="A53" s="432"/>
      <c r="B53" s="152"/>
      <c r="C53" s="20"/>
      <c r="D53" s="61"/>
      <c r="E53" s="43"/>
      <c r="F53" s="63"/>
      <c r="G53" s="1071"/>
      <c r="H53" s="156"/>
    </row>
    <row r="54" spans="1:11">
      <c r="A54" s="47" t="s">
        <v>514</v>
      </c>
      <c r="B54" s="47"/>
      <c r="D54" s="154" t="s">
        <v>1237</v>
      </c>
      <c r="E54" s="433"/>
      <c r="F54" s="425"/>
      <c r="G54" s="1077"/>
      <c r="H54" s="475">
        <f>SUM(H10:H53)</f>
        <v>53484</v>
      </c>
    </row>
    <row r="55" spans="1:11">
      <c r="A55" s="39"/>
      <c r="B55" s="94"/>
      <c r="C55" s="39"/>
      <c r="D55" s="61"/>
      <c r="F55" s="14"/>
    </row>
    <row r="58" spans="1:11">
      <c r="D58" s="466"/>
    </row>
    <row r="59" spans="1:11">
      <c r="D59" s="467"/>
    </row>
    <row r="60" spans="1:11">
      <c r="D60" s="468"/>
    </row>
    <row r="61" spans="1:11">
      <c r="D61" s="468"/>
    </row>
    <row r="62" spans="1:11">
      <c r="D62" s="468"/>
    </row>
    <row r="63" spans="1:11">
      <c r="D63" s="466"/>
    </row>
    <row r="64" spans="1:11">
      <c r="D64" s="467"/>
    </row>
    <row r="65" spans="4:4">
      <c r="D65" s="468"/>
    </row>
    <row r="66" spans="4:4">
      <c r="D66" s="468"/>
    </row>
    <row r="67" spans="4:4">
      <c r="D67" s="468"/>
    </row>
    <row r="68" spans="4:4">
      <c r="D68" s="466"/>
    </row>
    <row r="69" spans="4:4">
      <c r="D69" s="467"/>
    </row>
    <row r="70" spans="4:4">
      <c r="D70" s="468"/>
    </row>
    <row r="71" spans="4:4">
      <c r="D71" s="468"/>
    </row>
    <row r="72" spans="4:4">
      <c r="D72" s="468"/>
    </row>
    <row r="73" spans="4:4">
      <c r="D73" s="466"/>
    </row>
    <row r="74" spans="4:4">
      <c r="D74" s="467"/>
    </row>
  </sheetData>
  <mergeCells count="1">
    <mergeCell ref="A8:C8"/>
  </mergeCells>
  <pageMargins left="0.74803149606299213" right="0.55118110236220474" top="1.0236220472440944" bottom="0.78740157480314965" header="0.43307086614173229" footer="0.51181102362204722"/>
  <pageSetup paperSize="9" orientation="portrait" horizontalDpi="4294967292" verticalDpi="4294967292" r:id="rId1"/>
  <headerFooter alignWithMargins="0">
    <oddHeader xml:space="preserve">&amp;L&amp;9Višestambena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headerFooter>
  <rowBreaks count="1" manualBreakCount="1">
    <brk id="46" max="7"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K75"/>
  <sheetViews>
    <sheetView view="pageBreakPreview" topLeftCell="A14" zoomScaleNormal="100" zoomScaleSheetLayoutView="100" zoomScalePageLayoutView="115" workbookViewId="0">
      <selection activeCell="G23" sqref="G23"/>
    </sheetView>
  </sheetViews>
  <sheetFormatPr defaultColWidth="8.6328125" defaultRowHeight="13.2"/>
  <cols>
    <col min="1" max="1" width="3.36328125" style="23" customWidth="1"/>
    <col min="2" max="2" width="2.36328125" style="146" customWidth="1"/>
    <col min="3" max="3" width="2" style="147" customWidth="1"/>
    <col min="4" max="4" width="31.453125" style="151" customWidth="1"/>
    <col min="5" max="5" width="4.54296875" style="13" customWidth="1"/>
    <col min="6" max="6" width="8" style="13" customWidth="1"/>
    <col min="7" max="7" width="10.1796875" style="1075" customWidth="1"/>
    <col min="8" max="8" width="11.54296875" style="63" customWidth="1"/>
    <col min="9" max="10" width="8.6328125" style="13"/>
    <col min="11" max="11" width="58.90625" style="13" customWidth="1"/>
    <col min="12" max="16384" width="8.6328125" style="13"/>
  </cols>
  <sheetData>
    <row r="1" spans="1:11" ht="17.399999999999999">
      <c r="D1" s="428"/>
      <c r="E1" s="422"/>
      <c r="F1" s="429"/>
    </row>
    <row r="2" spans="1:11" ht="13.8" thickBot="1">
      <c r="A2" s="137" t="s">
        <v>515</v>
      </c>
      <c r="B2" s="137"/>
      <c r="C2" s="138"/>
      <c r="D2" s="148" t="s">
        <v>1238</v>
      </c>
      <c r="E2" s="149"/>
      <c r="F2" s="385"/>
      <c r="G2" s="1076"/>
      <c r="H2" s="150"/>
      <c r="I2" s="54"/>
    </row>
    <row r="3" spans="1:11">
      <c r="A3" s="59" t="s">
        <v>330</v>
      </c>
      <c r="B3" s="47" t="s">
        <v>330</v>
      </c>
      <c r="C3" s="36"/>
      <c r="D3" s="61"/>
    </row>
    <row r="4" spans="1:11">
      <c r="A4" s="59"/>
      <c r="B4" s="47"/>
      <c r="C4" s="36"/>
      <c r="D4" s="61" t="s">
        <v>314</v>
      </c>
    </row>
    <row r="5" spans="1:11" ht="52.8">
      <c r="A5" s="59"/>
      <c r="B5" s="47"/>
      <c r="C5" s="36"/>
      <c r="D5" s="151" t="s">
        <v>518</v>
      </c>
    </row>
    <row r="6" spans="1:11" ht="52.8">
      <c r="A6" s="59"/>
      <c r="B6" s="47"/>
      <c r="C6" s="36"/>
      <c r="D6" s="61" t="s">
        <v>1239</v>
      </c>
    </row>
    <row r="7" spans="1:11">
      <c r="A7" s="36"/>
      <c r="B7" s="25"/>
      <c r="C7" s="13"/>
      <c r="D7" s="97"/>
      <c r="E7" s="43"/>
      <c r="G7" s="1071"/>
      <c r="H7" s="13"/>
    </row>
    <row r="8" spans="1:11">
      <c r="A8" s="38" t="s">
        <v>507</v>
      </c>
      <c r="B8" s="25" t="s">
        <v>508</v>
      </c>
      <c r="C8" s="39"/>
      <c r="D8" s="61" t="s">
        <v>504</v>
      </c>
      <c r="E8" s="43" t="s">
        <v>505</v>
      </c>
      <c r="F8" s="14" t="s">
        <v>506</v>
      </c>
      <c r="G8" s="1075" t="s">
        <v>509</v>
      </c>
      <c r="H8" s="63" t="s">
        <v>510</v>
      </c>
    </row>
    <row r="9" spans="1:11">
      <c r="A9" s="36"/>
      <c r="B9" s="25"/>
      <c r="C9" s="13"/>
      <c r="D9" s="61"/>
      <c r="E9" s="43"/>
      <c r="G9" s="1071"/>
      <c r="H9" s="13"/>
    </row>
    <row r="10" spans="1:11" ht="290.39999999999998">
      <c r="A10" s="47" t="s">
        <v>515</v>
      </c>
      <c r="B10" s="47" t="s">
        <v>102</v>
      </c>
      <c r="C10" s="13"/>
      <c r="D10" s="97" t="s">
        <v>1240</v>
      </c>
      <c r="E10" s="43"/>
      <c r="G10" s="1071"/>
      <c r="H10" s="13"/>
    </row>
    <row r="11" spans="1:11" ht="26.4">
      <c r="A11" s="431"/>
      <c r="B11" s="47"/>
      <c r="C11" s="128" t="s">
        <v>240</v>
      </c>
      <c r="D11" s="97" t="s">
        <v>1241</v>
      </c>
      <c r="E11" s="15" t="s">
        <v>540</v>
      </c>
      <c r="F11" s="14">
        <v>1</v>
      </c>
      <c r="G11" s="989">
        <v>1000</v>
      </c>
      <c r="H11" s="26">
        <f>SUM(F11*G11)</f>
        <v>1000</v>
      </c>
    </row>
    <row r="12" spans="1:11" ht="26.4">
      <c r="A12" s="431"/>
      <c r="B12" s="47"/>
      <c r="C12" s="128" t="s">
        <v>241</v>
      </c>
      <c r="D12" s="97" t="s">
        <v>1242</v>
      </c>
      <c r="E12" s="15" t="s">
        <v>540</v>
      </c>
      <c r="F12" s="14">
        <v>1</v>
      </c>
      <c r="G12" s="989">
        <v>1000</v>
      </c>
      <c r="H12" s="26">
        <f>SUM(F12*G12)</f>
        <v>1000</v>
      </c>
    </row>
    <row r="13" spans="1:11">
      <c r="A13" s="431"/>
      <c r="B13" s="47"/>
      <c r="C13" s="128"/>
      <c r="D13" s="97"/>
      <c r="E13" s="15"/>
      <c r="F13" s="14"/>
      <c r="G13" s="989"/>
      <c r="H13" s="26"/>
    </row>
    <row r="14" spans="1:11" s="47" customFormat="1" ht="79.2">
      <c r="A14" s="47" t="s">
        <v>515</v>
      </c>
      <c r="B14" s="47" t="s">
        <v>311</v>
      </c>
      <c r="D14" s="97" t="s">
        <v>1243</v>
      </c>
      <c r="G14" s="1085"/>
    </row>
    <row r="15" spans="1:11" s="47" customFormat="1" ht="26.4">
      <c r="D15" s="97" t="s">
        <v>1244</v>
      </c>
      <c r="G15" s="1085"/>
      <c r="K15" s="469"/>
    </row>
    <row r="16" spans="1:11" s="47" customFormat="1">
      <c r="E16" s="15" t="s">
        <v>540</v>
      </c>
      <c r="F16" s="14">
        <v>1</v>
      </c>
      <c r="G16" s="989">
        <v>1000</v>
      </c>
      <c r="H16" s="26">
        <f>SUM(F16*G16)</f>
        <v>1000</v>
      </c>
    </row>
    <row r="17" spans="1:8" s="47" customFormat="1">
      <c r="E17" s="15"/>
      <c r="F17" s="14"/>
      <c r="G17" s="989"/>
      <c r="H17" s="26"/>
    </row>
    <row r="18" spans="1:8" s="47" customFormat="1" ht="171.6">
      <c r="A18" s="47" t="s">
        <v>515</v>
      </c>
      <c r="B18" s="47" t="s">
        <v>243</v>
      </c>
      <c r="D18" s="118" t="s">
        <v>1245</v>
      </c>
      <c r="E18" s="15"/>
      <c r="F18" s="14"/>
      <c r="G18" s="989"/>
      <c r="H18" s="26"/>
    </row>
    <row r="19" spans="1:8" s="47" customFormat="1" ht="26.4">
      <c r="C19" s="108" t="s">
        <v>240</v>
      </c>
      <c r="D19" s="470" t="s">
        <v>1246</v>
      </c>
      <c r="E19" s="110" t="s">
        <v>942</v>
      </c>
      <c r="F19" s="471">
        <v>1</v>
      </c>
      <c r="G19" s="989">
        <v>1000</v>
      </c>
      <c r="H19" s="472">
        <f>SUM(F19*G19)</f>
        <v>1000</v>
      </c>
    </row>
    <row r="20" spans="1:8" s="47" customFormat="1" ht="26.4">
      <c r="C20" s="108" t="s">
        <v>241</v>
      </c>
      <c r="D20" s="470" t="s">
        <v>1247</v>
      </c>
      <c r="E20" s="110" t="s">
        <v>942</v>
      </c>
      <c r="F20" s="471">
        <v>1</v>
      </c>
      <c r="G20" s="989">
        <v>1000</v>
      </c>
      <c r="H20" s="472">
        <f>SUM(F20*G20)</f>
        <v>1000</v>
      </c>
    </row>
    <row r="21" spans="1:8" s="47" customFormat="1">
      <c r="C21" s="108" t="s">
        <v>242</v>
      </c>
      <c r="D21" s="470" t="s">
        <v>1248</v>
      </c>
      <c r="E21" s="110" t="s">
        <v>942</v>
      </c>
      <c r="F21" s="471">
        <v>1</v>
      </c>
      <c r="G21" s="989">
        <v>1000</v>
      </c>
      <c r="H21" s="472">
        <f>SUM(F21*G21)</f>
        <v>1000</v>
      </c>
    </row>
    <row r="22" spans="1:8" s="47" customFormat="1">
      <c r="C22" s="108" t="s">
        <v>221</v>
      </c>
      <c r="D22" s="470" t="s">
        <v>1249</v>
      </c>
      <c r="E22" s="110" t="s">
        <v>942</v>
      </c>
      <c r="F22" s="471">
        <v>1</v>
      </c>
      <c r="G22" s="989">
        <v>1000</v>
      </c>
      <c r="H22" s="472">
        <f>SUM(F22*G22)</f>
        <v>1000</v>
      </c>
    </row>
    <row r="23" spans="1:8" ht="13.8" thickBot="1">
      <c r="A23" s="432"/>
      <c r="B23" s="152"/>
      <c r="C23" s="108"/>
      <c r="D23" s="470"/>
      <c r="E23" s="110"/>
      <c r="F23" s="471"/>
      <c r="G23" s="473"/>
      <c r="H23" s="156"/>
    </row>
    <row r="24" spans="1:8">
      <c r="A24" s="47" t="s">
        <v>515</v>
      </c>
      <c r="B24" s="47"/>
      <c r="C24" s="424"/>
      <c r="D24" s="154" t="s">
        <v>1622</v>
      </c>
      <c r="E24" s="433"/>
      <c r="F24" s="425"/>
      <c r="G24" s="1077"/>
      <c r="H24" s="26">
        <f>SUM(H10:H23)</f>
        <v>7000</v>
      </c>
    </row>
    <row r="25" spans="1:8">
      <c r="A25" s="39"/>
      <c r="B25" s="94"/>
      <c r="C25" s="39"/>
      <c r="D25" s="61"/>
      <c r="F25" s="14"/>
    </row>
    <row r="26" spans="1:8">
      <c r="A26" s="39"/>
      <c r="B26" s="94"/>
      <c r="C26" s="39"/>
      <c r="D26" s="61"/>
      <c r="F26" s="14"/>
    </row>
    <row r="27" spans="1:8">
      <c r="A27" s="39"/>
      <c r="B27" s="94"/>
      <c r="C27" s="39"/>
      <c r="D27" s="61"/>
      <c r="F27" s="14"/>
    </row>
    <row r="28" spans="1:8">
      <c r="A28" s="39"/>
      <c r="B28" s="94"/>
      <c r="C28" s="39"/>
      <c r="D28" s="61"/>
      <c r="F28" s="14"/>
    </row>
    <row r="29" spans="1:8">
      <c r="A29" s="39"/>
      <c r="B29" s="94"/>
      <c r="C29" s="39"/>
      <c r="D29" s="61"/>
      <c r="F29" s="14"/>
    </row>
    <row r="30" spans="1:8">
      <c r="A30" s="59"/>
      <c r="B30" s="47"/>
      <c r="C30" s="36"/>
      <c r="D30" s="60"/>
      <c r="F30" s="98"/>
      <c r="H30" s="45"/>
    </row>
    <row r="31" spans="1:8">
      <c r="A31" s="59"/>
      <c r="B31" s="47"/>
      <c r="C31" s="36"/>
      <c r="D31" s="97"/>
      <c r="F31" s="434"/>
    </row>
    <row r="32" spans="1:8">
      <c r="A32" s="59"/>
      <c r="B32" s="47"/>
      <c r="C32" s="36"/>
      <c r="F32" s="98"/>
      <c r="H32" s="45"/>
    </row>
    <row r="33" spans="1:8">
      <c r="A33" s="59"/>
      <c r="B33" s="47"/>
      <c r="C33" s="36"/>
      <c r="F33" s="98"/>
      <c r="H33" s="45"/>
    </row>
    <row r="34" spans="1:8">
      <c r="A34" s="59"/>
      <c r="B34" s="47"/>
      <c r="C34" s="36"/>
      <c r="D34" s="435"/>
      <c r="F34" s="98"/>
      <c r="H34" s="45"/>
    </row>
    <row r="35" spans="1:8">
      <c r="A35" s="59"/>
      <c r="B35" s="47"/>
      <c r="C35" s="36"/>
      <c r="D35" s="97"/>
      <c r="E35" s="372"/>
      <c r="F35" s="98"/>
      <c r="H35" s="45"/>
    </row>
    <row r="36" spans="1:8">
      <c r="A36" s="59"/>
      <c r="B36" s="47"/>
      <c r="C36" s="36"/>
      <c r="D36" s="436"/>
      <c r="E36" s="372"/>
      <c r="F36" s="98"/>
      <c r="H36" s="45"/>
    </row>
    <row r="37" spans="1:8">
      <c r="A37" s="13"/>
      <c r="C37" s="13"/>
      <c r="D37" s="13"/>
      <c r="G37" s="1035"/>
      <c r="H37" s="13"/>
    </row>
    <row r="38" spans="1:8">
      <c r="A38" s="59"/>
      <c r="B38" s="47"/>
      <c r="C38" s="36"/>
      <c r="D38" s="97"/>
      <c r="E38" s="372"/>
      <c r="F38" s="98"/>
      <c r="H38" s="13"/>
    </row>
    <row r="39" spans="1:8">
      <c r="A39" s="59"/>
      <c r="B39" s="47"/>
      <c r="C39" s="36"/>
      <c r="D39" s="436"/>
      <c r="E39" s="372"/>
      <c r="F39" s="98"/>
      <c r="H39" s="45"/>
    </row>
    <row r="40" spans="1:8">
      <c r="A40" s="13"/>
      <c r="C40" s="13"/>
      <c r="D40" s="13"/>
      <c r="G40" s="1035"/>
      <c r="H40" s="13"/>
    </row>
    <row r="41" spans="1:8">
      <c r="A41" s="59"/>
      <c r="B41" s="47"/>
      <c r="C41" s="38"/>
      <c r="D41" s="60"/>
      <c r="F41" s="98"/>
      <c r="H41" s="45"/>
    </row>
    <row r="42" spans="1:8">
      <c r="A42" s="59"/>
      <c r="B42" s="47"/>
      <c r="C42" s="38"/>
      <c r="D42" s="97"/>
      <c r="F42" s="98"/>
      <c r="H42" s="45"/>
    </row>
    <row r="43" spans="1:8">
      <c r="A43" s="59"/>
      <c r="B43" s="47"/>
      <c r="C43" s="38"/>
      <c r="D43" s="97"/>
      <c r="F43" s="98"/>
      <c r="H43" s="45"/>
    </row>
    <row r="44" spans="1:8">
      <c r="A44" s="59"/>
      <c r="B44" s="47"/>
      <c r="C44" s="38"/>
      <c r="D44" s="97"/>
      <c r="F44" s="98"/>
      <c r="H44" s="45"/>
    </row>
    <row r="45" spans="1:8">
      <c r="A45" s="59"/>
      <c r="B45" s="47"/>
      <c r="C45" s="38"/>
      <c r="F45" s="98"/>
      <c r="H45" s="45"/>
    </row>
    <row r="46" spans="1:8">
      <c r="A46" s="59"/>
      <c r="B46" s="47"/>
      <c r="C46" s="38"/>
      <c r="D46" s="97"/>
      <c r="F46" s="98"/>
      <c r="H46" s="45"/>
    </row>
    <row r="47" spans="1:8">
      <c r="A47" s="59"/>
      <c r="B47" s="47"/>
      <c r="C47" s="38"/>
      <c r="F47" s="98"/>
      <c r="H47" s="45"/>
    </row>
    <row r="48" spans="1:8">
      <c r="A48" s="59"/>
      <c r="B48" s="47"/>
      <c r="C48" s="38"/>
      <c r="F48" s="98"/>
      <c r="H48" s="45"/>
    </row>
    <row r="49" spans="1:10">
      <c r="A49" s="59"/>
      <c r="B49" s="47"/>
      <c r="C49" s="38"/>
      <c r="F49" s="98"/>
      <c r="H49" s="45"/>
    </row>
    <row r="50" spans="1:10">
      <c r="A50" s="59"/>
      <c r="B50" s="47"/>
      <c r="C50" s="38"/>
      <c r="F50" s="98"/>
      <c r="H50" s="45"/>
    </row>
    <row r="51" spans="1:10">
      <c r="A51" s="59"/>
      <c r="B51" s="47"/>
      <c r="C51" s="38"/>
      <c r="F51" s="98"/>
      <c r="H51" s="45"/>
    </row>
    <row r="52" spans="1:10">
      <c r="A52" s="59"/>
      <c r="B52" s="47"/>
      <c r="C52" s="38"/>
      <c r="F52" s="98"/>
      <c r="H52" s="45"/>
    </row>
    <row r="53" spans="1:10">
      <c r="C53" s="437"/>
      <c r="D53" s="438"/>
      <c r="E53" s="155"/>
      <c r="F53" s="439"/>
      <c r="G53" s="1078"/>
      <c r="H53" s="437"/>
    </row>
    <row r="54" spans="1:10">
      <c r="A54" s="59"/>
      <c r="B54" s="47"/>
      <c r="C54" s="38"/>
      <c r="D54" s="440"/>
      <c r="E54" s="155"/>
      <c r="F54" s="439"/>
      <c r="G54" s="1078"/>
      <c r="H54" s="437"/>
    </row>
    <row r="55" spans="1:10">
      <c r="C55" s="437"/>
      <c r="D55" s="436"/>
      <c r="E55" s="155"/>
      <c r="F55" s="441"/>
      <c r="G55" s="1078"/>
      <c r="H55" s="45"/>
      <c r="J55" s="437"/>
    </row>
    <row r="56" spans="1:10">
      <c r="C56" s="437"/>
      <c r="D56" s="436"/>
      <c r="E56" s="155"/>
      <c r="F56" s="441"/>
      <c r="G56" s="1078"/>
      <c r="H56" s="437"/>
    </row>
    <row r="57" spans="1:10">
      <c r="A57" s="59"/>
      <c r="B57" s="47"/>
      <c r="C57" s="38"/>
      <c r="D57" s="436"/>
      <c r="E57" s="155"/>
      <c r="F57" s="441"/>
      <c r="G57" s="1078"/>
      <c r="H57" s="437"/>
    </row>
    <row r="58" spans="1:10">
      <c r="C58" s="437"/>
      <c r="D58" s="436"/>
      <c r="I58" s="437"/>
    </row>
    <row r="59" spans="1:10">
      <c r="C59" s="437"/>
      <c r="D59" s="436"/>
      <c r="E59" s="155"/>
      <c r="F59" s="441"/>
      <c r="G59" s="1078"/>
      <c r="H59" s="45"/>
      <c r="I59" s="437"/>
    </row>
    <row r="60" spans="1:10">
      <c r="C60" s="437"/>
      <c r="D60" s="13"/>
      <c r="G60" s="1035"/>
      <c r="H60" s="13"/>
      <c r="I60" s="437"/>
    </row>
    <row r="61" spans="1:10">
      <c r="A61" s="59"/>
      <c r="B61" s="47"/>
      <c r="C61" s="38"/>
      <c r="D61" s="261"/>
      <c r="E61" s="155"/>
      <c r="F61" s="441"/>
      <c r="G61" s="1078"/>
      <c r="H61" s="437"/>
      <c r="I61" s="437"/>
    </row>
    <row r="62" spans="1:10">
      <c r="C62" s="437"/>
      <c r="D62" s="436"/>
      <c r="E62" s="155"/>
      <c r="F62" s="441"/>
      <c r="G62" s="1078"/>
      <c r="H62" s="45"/>
      <c r="I62" s="437"/>
    </row>
    <row r="63" spans="1:10">
      <c r="C63" s="437"/>
      <c r="D63" s="436"/>
      <c r="G63" s="1035"/>
      <c r="H63" s="13"/>
      <c r="I63" s="437"/>
    </row>
    <row r="64" spans="1:10" ht="14.4">
      <c r="A64" s="59"/>
      <c r="B64" s="47"/>
      <c r="C64" s="38"/>
      <c r="D64" s="261"/>
      <c r="E64" s="155"/>
      <c r="F64" s="441"/>
      <c r="G64" s="1078"/>
      <c r="H64" s="437"/>
      <c r="I64" s="437"/>
      <c r="J64" s="442"/>
    </row>
    <row r="65" spans="1:10">
      <c r="C65" s="437"/>
      <c r="D65" s="436"/>
      <c r="E65" s="155"/>
      <c r="F65" s="441"/>
      <c r="G65" s="1078"/>
      <c r="H65" s="45"/>
      <c r="I65" s="45"/>
    </row>
    <row r="66" spans="1:10">
      <c r="C66" s="437"/>
      <c r="D66" s="436"/>
      <c r="G66" s="1035"/>
      <c r="H66" s="13"/>
      <c r="I66" s="437"/>
    </row>
    <row r="67" spans="1:10">
      <c r="A67" s="59"/>
      <c r="B67" s="47"/>
      <c r="C67" s="38"/>
      <c r="D67" s="436"/>
      <c r="E67" s="155"/>
      <c r="F67" s="441"/>
      <c r="G67" s="1078"/>
      <c r="H67" s="437"/>
      <c r="I67" s="437"/>
    </row>
    <row r="68" spans="1:10">
      <c r="C68" s="437"/>
      <c r="D68" s="436"/>
      <c r="E68" s="155"/>
      <c r="F68" s="441"/>
      <c r="G68" s="1078"/>
      <c r="H68" s="45"/>
      <c r="I68" s="437"/>
    </row>
    <row r="69" spans="1:10">
      <c r="C69" s="437"/>
      <c r="D69" s="436"/>
      <c r="E69" s="155"/>
      <c r="F69" s="441"/>
      <c r="G69" s="1078"/>
      <c r="H69" s="45"/>
      <c r="I69" s="437"/>
    </row>
    <row r="70" spans="1:10">
      <c r="C70" s="437"/>
      <c r="D70" s="438"/>
      <c r="E70" s="155"/>
      <c r="F70" s="439"/>
      <c r="G70" s="1078"/>
      <c r="H70" s="437"/>
    </row>
    <row r="71" spans="1:10">
      <c r="A71" s="59"/>
      <c r="B71" s="47"/>
      <c r="C71" s="38"/>
      <c r="D71" s="440"/>
      <c r="E71" s="155"/>
      <c r="F71" s="439"/>
      <c r="G71" s="1078"/>
      <c r="H71" s="437"/>
    </row>
    <row r="72" spans="1:10">
      <c r="C72" s="437"/>
      <c r="D72" s="436"/>
      <c r="E72" s="155"/>
      <c r="F72" s="441"/>
      <c r="G72" s="1078"/>
      <c r="H72" s="45"/>
      <c r="J72" s="437"/>
    </row>
    <row r="73" spans="1:10">
      <c r="I73" s="437"/>
    </row>
    <row r="74" spans="1:10">
      <c r="I74" s="437"/>
    </row>
    <row r="75" spans="1:10">
      <c r="I75" s="437"/>
    </row>
  </sheetData>
  <pageMargins left="0.74803149606299213" right="0.55118110236220474" top="1.0236220472440944" bottom="0.78740157480314965" header="0.43307086614173229" footer="0.51181102362204722"/>
  <pageSetup paperSize="9" orientation="portrait" horizontalDpi="4294967292" verticalDpi="4294967292" r:id="rId1"/>
  <headerFooter alignWithMargins="0">
    <oddHeader xml:space="preserve">&amp;L&amp;9Višestambena zgrada
na novoformiranoj k.č.br. 1148/4 k.o. Ivanić – Grad u Ivanić – Gradu
(formirana od dijela k.č.br. 1148/1 k.o. Ivanić – Grad)
&amp;R&amp;9TD:  228/24
ZOP:  APN-IG-228/24
 </oddHeader>
    <oddFooter xml:space="preserve">&amp;L&amp;"Swis721 Lt BT,Light"&amp;8S T U D I O  O B R I S  d.o.o.               STONSKA 1, 10 000 ZAGREB                 info@studio-obris.hr                  www.studio-obris.hr&amp;R&amp;"Arial,Regular"&amp;10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A79FD-C8EF-4C00-9502-67A309224361}">
  <sheetPr>
    <tabColor rgb="FF0070C0"/>
  </sheetPr>
  <dimension ref="A1:S253"/>
  <sheetViews>
    <sheetView showZeros="0" view="pageBreakPreview" topLeftCell="A236" zoomScaleNormal="100" zoomScaleSheetLayoutView="100" workbookViewId="0">
      <selection activeCell="G242" sqref="G242:G248"/>
    </sheetView>
  </sheetViews>
  <sheetFormatPr defaultColWidth="8.6328125" defaultRowHeight="13.2"/>
  <cols>
    <col min="1" max="1" width="3.453125" style="565" customWidth="1"/>
    <col min="2" max="2" width="3.36328125" style="16" customWidth="1"/>
    <col min="3" max="3" width="38.36328125" style="199" customWidth="1"/>
    <col min="4" max="4" width="4.6328125" style="183" customWidth="1"/>
    <col min="5" max="5" width="9.08984375" style="574" customWidth="1"/>
    <col min="6" max="6" width="9.6328125" style="16" customWidth="1"/>
    <col min="7" max="7" width="11.08984375" style="16" customWidth="1"/>
    <col min="8" max="12" width="8.6328125" style="16"/>
    <col min="13" max="13" width="1.54296875" style="16" customWidth="1"/>
    <col min="14" max="17" width="8.6328125" style="16" hidden="1" customWidth="1"/>
    <col min="18" max="16384" width="8.6328125" style="16"/>
  </cols>
  <sheetData>
    <row r="1" spans="1:7" ht="15.6">
      <c r="C1" s="1156" t="s">
        <v>1484</v>
      </c>
      <c r="D1" s="1156"/>
      <c r="E1" s="1156"/>
      <c r="F1" s="1156"/>
      <c r="G1" s="1156"/>
    </row>
    <row r="2" spans="1:7" ht="33" customHeight="1">
      <c r="C2" s="1157" t="s">
        <v>1485</v>
      </c>
      <c r="D2" s="1157"/>
      <c r="E2" s="1157"/>
      <c r="F2" s="1157"/>
      <c r="G2" s="1157"/>
    </row>
    <row r="3" spans="1:7" ht="30" customHeight="1">
      <c r="C3" s="1158" t="s">
        <v>1486</v>
      </c>
      <c r="D3" s="1158"/>
      <c r="E3" s="1158"/>
      <c r="F3" s="1158"/>
      <c r="G3" s="1158"/>
    </row>
    <row r="4" spans="1:7" ht="13.8">
      <c r="C4" s="1159" t="s">
        <v>1487</v>
      </c>
      <c r="D4" s="1159"/>
      <c r="E4" s="1159"/>
      <c r="F4" s="1159"/>
      <c r="G4" s="1159"/>
    </row>
    <row r="5" spans="1:7" ht="105.75" customHeight="1">
      <c r="C5" s="1160" t="s">
        <v>1488</v>
      </c>
      <c r="D5" s="1160"/>
      <c r="E5" s="1160"/>
      <c r="F5" s="1160"/>
      <c r="G5" s="1161"/>
    </row>
    <row r="6" spans="1:7" ht="15" customHeight="1" thickBot="1">
      <c r="A6" s="566"/>
      <c r="B6" s="394"/>
      <c r="C6" s="567"/>
      <c r="D6" s="567"/>
      <c r="E6" s="568"/>
      <c r="F6" s="567"/>
      <c r="G6" s="567"/>
    </row>
    <row r="7" spans="1:7" ht="13.8" thickBot="1">
      <c r="A7" s="569" t="s">
        <v>102</v>
      </c>
      <c r="B7" s="20"/>
      <c r="C7" s="570" t="s">
        <v>1489</v>
      </c>
      <c r="D7" s="571"/>
      <c r="E7" s="572"/>
      <c r="F7" s="394"/>
      <c r="G7" s="573"/>
    </row>
    <row r="8" spans="1:7">
      <c r="C8" s="207"/>
      <c r="D8" s="208"/>
    </row>
    <row r="9" spans="1:7">
      <c r="A9" s="575" t="s">
        <v>507</v>
      </c>
      <c r="B9" s="576" t="s">
        <v>508</v>
      </c>
      <c r="C9" s="577" t="s">
        <v>504</v>
      </c>
      <c r="D9" s="578" t="s">
        <v>505</v>
      </c>
      <c r="E9" s="579" t="s">
        <v>506</v>
      </c>
      <c r="F9" s="580" t="s">
        <v>509</v>
      </c>
      <c r="G9" s="581" t="s">
        <v>1490</v>
      </c>
    </row>
    <row r="10" spans="1:7">
      <c r="A10" s="181"/>
      <c r="B10" s="181"/>
      <c r="C10" s="185"/>
      <c r="F10" s="986"/>
      <c r="G10" s="180"/>
    </row>
    <row r="11" spans="1:7" ht="108" customHeight="1">
      <c r="A11" s="582" t="s">
        <v>102</v>
      </c>
      <c r="B11" s="368" t="s">
        <v>102</v>
      </c>
      <c r="C11" s="61" t="s">
        <v>1491</v>
      </c>
      <c r="D11" s="211"/>
      <c r="F11" s="1036"/>
    </row>
    <row r="12" spans="1:7">
      <c r="A12" s="583"/>
      <c r="B12" s="584"/>
      <c r="C12" s="61" t="s">
        <v>1492</v>
      </c>
      <c r="D12" s="155" t="s">
        <v>344</v>
      </c>
      <c r="E12" s="585">
        <v>15</v>
      </c>
      <c r="F12" s="1086">
        <v>30</v>
      </c>
      <c r="G12" s="472">
        <f>SUM(E12*F12)</f>
        <v>450</v>
      </c>
    </row>
    <row r="13" spans="1:7">
      <c r="A13" s="583"/>
      <c r="B13" s="584"/>
      <c r="C13" s="61"/>
      <c r="D13" s="155"/>
      <c r="E13" s="585"/>
      <c r="F13" s="1086"/>
      <c r="G13" s="586"/>
    </row>
    <row r="14" spans="1:7" ht="184.5" customHeight="1">
      <c r="A14" s="582" t="s">
        <v>102</v>
      </c>
      <c r="B14" s="368" t="s">
        <v>311</v>
      </c>
      <c r="C14" s="587" t="s">
        <v>2265</v>
      </c>
      <c r="D14" s="155"/>
      <c r="E14" s="588"/>
      <c r="F14" s="1087"/>
      <c r="G14" s="589"/>
    </row>
    <row r="15" spans="1:7" ht="15.6">
      <c r="A15" s="583"/>
      <c r="B15" s="584"/>
      <c r="C15" s="590" t="s">
        <v>1493</v>
      </c>
      <c r="D15" s="211"/>
      <c r="E15" s="588"/>
      <c r="F15" s="1087"/>
      <c r="G15" s="589"/>
    </row>
    <row r="16" spans="1:7" ht="15.6">
      <c r="A16" s="583"/>
      <c r="B16" s="584"/>
      <c r="C16" s="591" t="s">
        <v>1494</v>
      </c>
      <c r="D16" s="592" t="s">
        <v>1495</v>
      </c>
      <c r="E16" s="593">
        <v>6</v>
      </c>
      <c r="F16" s="1088">
        <v>40</v>
      </c>
      <c r="G16" s="472">
        <f>SUM(E16*F16)</f>
        <v>240</v>
      </c>
    </row>
    <row r="17" spans="1:8" ht="15.6">
      <c r="C17" s="591" t="s">
        <v>1494</v>
      </c>
      <c r="D17" s="592" t="s">
        <v>1496</v>
      </c>
      <c r="E17" s="593">
        <v>52</v>
      </c>
      <c r="F17" s="1088">
        <v>40</v>
      </c>
      <c r="G17" s="472">
        <f>SUM(E17*F17)</f>
        <v>2080</v>
      </c>
    </row>
    <row r="18" spans="1:8">
      <c r="A18" s="583" t="s">
        <v>330</v>
      </c>
      <c r="B18" s="584" t="s">
        <v>330</v>
      </c>
      <c r="C18" s="594"/>
      <c r="D18" s="595"/>
      <c r="E18" s="596"/>
      <c r="F18" s="1089"/>
      <c r="G18" s="597"/>
      <c r="H18" s="598"/>
    </row>
    <row r="19" spans="1:8" ht="171" customHeight="1">
      <c r="A19" s="582" t="s">
        <v>102</v>
      </c>
      <c r="B19" s="368" t="s">
        <v>243</v>
      </c>
      <c r="C19" s="599" t="s">
        <v>1497</v>
      </c>
      <c r="F19" s="1036"/>
      <c r="G19" s="600"/>
    </row>
    <row r="20" spans="1:8" ht="15.6">
      <c r="A20" s="583" t="s">
        <v>330</v>
      </c>
      <c r="B20" s="584" t="s">
        <v>330</v>
      </c>
      <c r="C20" s="590" t="s">
        <v>1493</v>
      </c>
      <c r="F20" s="1036"/>
      <c r="G20" s="600"/>
    </row>
    <row r="21" spans="1:8">
      <c r="A21" s="16"/>
      <c r="C21" s="590" t="s">
        <v>1498</v>
      </c>
      <c r="D21" s="155" t="s">
        <v>344</v>
      </c>
      <c r="E21" s="585">
        <v>488</v>
      </c>
      <c r="F21" s="1086">
        <v>30</v>
      </c>
      <c r="G21" s="472">
        <f>SUM(E21*F21)</f>
        <v>14640</v>
      </c>
    </row>
    <row r="22" spans="1:8">
      <c r="C22" s="590" t="s">
        <v>1499</v>
      </c>
      <c r="D22" s="155" t="s">
        <v>344</v>
      </c>
      <c r="E22" s="585">
        <v>239</v>
      </c>
      <c r="F22" s="1086">
        <v>35</v>
      </c>
      <c r="G22" s="472">
        <f>SUM(E22*F22)</f>
        <v>8365</v>
      </c>
    </row>
    <row r="23" spans="1:8">
      <c r="F23" s="1035"/>
      <c r="G23" s="601"/>
    </row>
    <row r="24" spans="1:8" ht="67.5" customHeight="1">
      <c r="A24" s="582" t="s">
        <v>102</v>
      </c>
      <c r="B24" s="368" t="s">
        <v>582</v>
      </c>
      <c r="C24" s="151" t="s">
        <v>1500</v>
      </c>
      <c r="F24" s="1035"/>
      <c r="G24" s="601"/>
    </row>
    <row r="25" spans="1:8">
      <c r="C25" s="151" t="s">
        <v>1501</v>
      </c>
      <c r="D25" s="155" t="s">
        <v>391</v>
      </c>
      <c r="E25" s="585">
        <v>18</v>
      </c>
      <c r="F25" s="1086">
        <v>20</v>
      </c>
      <c r="G25" s="472">
        <f>SUM(E25*F25)</f>
        <v>360</v>
      </c>
    </row>
    <row r="26" spans="1:8">
      <c r="A26" s="16"/>
      <c r="C26" s="151" t="s">
        <v>1502</v>
      </c>
      <c r="D26" s="155" t="s">
        <v>391</v>
      </c>
      <c r="E26" s="585">
        <v>2</v>
      </c>
      <c r="F26" s="1086">
        <v>30</v>
      </c>
      <c r="G26" s="472">
        <f>SUM(E26*F26)</f>
        <v>60</v>
      </c>
    </row>
    <row r="27" spans="1:8">
      <c r="A27" s="16"/>
      <c r="C27" s="151" t="s">
        <v>1503</v>
      </c>
      <c r="D27" s="155" t="s">
        <v>391</v>
      </c>
      <c r="E27" s="585">
        <v>1</v>
      </c>
      <c r="F27" s="1086">
        <v>40</v>
      </c>
      <c r="G27" s="472">
        <f>SUM(E27*F27)</f>
        <v>40</v>
      </c>
    </row>
    <row r="28" spans="1:8">
      <c r="C28" s="151"/>
      <c r="D28" s="155"/>
      <c r="E28" s="585"/>
      <c r="F28" s="1086"/>
      <c r="G28" s="586"/>
    </row>
    <row r="29" spans="1:8" ht="55.5" customHeight="1">
      <c r="A29" s="582" t="s">
        <v>102</v>
      </c>
      <c r="B29" s="368" t="s">
        <v>331</v>
      </c>
      <c r="C29" s="151" t="s">
        <v>1504</v>
      </c>
      <c r="F29" s="1035"/>
      <c r="G29" s="601"/>
    </row>
    <row r="30" spans="1:8">
      <c r="A30" s="582"/>
      <c r="B30" s="368"/>
      <c r="C30" s="151" t="s">
        <v>1501</v>
      </c>
      <c r="D30" s="155" t="s">
        <v>391</v>
      </c>
      <c r="E30" s="585">
        <v>18</v>
      </c>
      <c r="F30" s="1086">
        <v>20</v>
      </c>
      <c r="G30" s="472">
        <f>SUM(E30*F30)</f>
        <v>360</v>
      </c>
    </row>
    <row r="31" spans="1:8">
      <c r="A31" s="582"/>
      <c r="B31" s="368"/>
      <c r="C31" s="151" t="s">
        <v>1502</v>
      </c>
      <c r="D31" s="155" t="s">
        <v>391</v>
      </c>
      <c r="E31" s="585">
        <v>2</v>
      </c>
      <c r="F31" s="1086">
        <v>30</v>
      </c>
      <c r="G31" s="472">
        <f>SUM(E31*F31)</f>
        <v>60</v>
      </c>
    </row>
    <row r="32" spans="1:8">
      <c r="A32" s="582"/>
      <c r="B32" s="368"/>
      <c r="C32" s="151" t="s">
        <v>1503</v>
      </c>
      <c r="D32" s="155" t="s">
        <v>391</v>
      </c>
      <c r="E32" s="585">
        <v>1</v>
      </c>
      <c r="F32" s="1086">
        <v>40</v>
      </c>
      <c r="G32" s="472">
        <f>SUM(E32*F32)</f>
        <v>40</v>
      </c>
    </row>
    <row r="33" spans="1:7">
      <c r="F33" s="1035"/>
      <c r="G33" s="601"/>
    </row>
    <row r="34" spans="1:7" ht="44.25" customHeight="1">
      <c r="A34" s="582" t="s">
        <v>102</v>
      </c>
      <c r="B34" s="368" t="s">
        <v>469</v>
      </c>
      <c r="C34" s="151" t="s">
        <v>1505</v>
      </c>
      <c r="F34" s="1035"/>
      <c r="G34" s="601"/>
    </row>
    <row r="35" spans="1:7">
      <c r="C35" s="151" t="s">
        <v>1503</v>
      </c>
      <c r="D35" s="155" t="s">
        <v>391</v>
      </c>
      <c r="E35" s="585">
        <v>1</v>
      </c>
      <c r="F35" s="1086">
        <v>50</v>
      </c>
      <c r="G35" s="472">
        <f>SUM(E35*F35)</f>
        <v>50</v>
      </c>
    </row>
    <row r="36" spans="1:7">
      <c r="C36" s="151" t="s">
        <v>1502</v>
      </c>
      <c r="D36" s="155" t="s">
        <v>391</v>
      </c>
      <c r="E36" s="585">
        <v>1</v>
      </c>
      <c r="F36" s="1086">
        <v>40</v>
      </c>
      <c r="G36" s="472">
        <f>SUM(E36*F36)</f>
        <v>40</v>
      </c>
    </row>
    <row r="37" spans="1:7">
      <c r="F37" s="1035"/>
      <c r="G37" s="601"/>
    </row>
    <row r="38" spans="1:7" ht="31.5" customHeight="1">
      <c r="A38" s="602" t="s">
        <v>102</v>
      </c>
      <c r="B38" s="368" t="s">
        <v>192</v>
      </c>
      <c r="C38" s="151" t="s">
        <v>1506</v>
      </c>
      <c r="F38" s="1035"/>
      <c r="G38" s="601"/>
    </row>
    <row r="39" spans="1:7" ht="12" customHeight="1">
      <c r="A39" s="603"/>
      <c r="B39" s="368"/>
      <c r="C39" s="151" t="s">
        <v>1507</v>
      </c>
      <c r="D39" s="155" t="s">
        <v>391</v>
      </c>
      <c r="E39" s="585">
        <v>74</v>
      </c>
      <c r="F39" s="1086">
        <v>30</v>
      </c>
      <c r="G39" s="472">
        <f>SUM(E39*F39)</f>
        <v>2220</v>
      </c>
    </row>
    <row r="40" spans="1:7" ht="12" customHeight="1">
      <c r="A40" s="583" t="s">
        <v>330</v>
      </c>
      <c r="B40" s="584" t="s">
        <v>330</v>
      </c>
      <c r="C40" s="151" t="s">
        <v>1501</v>
      </c>
      <c r="D40" s="155" t="s">
        <v>391</v>
      </c>
      <c r="E40" s="585">
        <v>54</v>
      </c>
      <c r="F40" s="1086">
        <v>30</v>
      </c>
      <c r="G40" s="472">
        <f>SUM(E40*F40)</f>
        <v>1620</v>
      </c>
    </row>
    <row r="41" spans="1:7">
      <c r="A41" s="583"/>
      <c r="B41" s="584"/>
      <c r="F41" s="1035"/>
      <c r="G41" s="601"/>
    </row>
    <row r="42" spans="1:7" ht="39.6">
      <c r="A42" s="582" t="s">
        <v>102</v>
      </c>
      <c r="B42" s="368" t="s">
        <v>146</v>
      </c>
      <c r="C42" s="151" t="s">
        <v>1508</v>
      </c>
      <c r="F42" s="1036"/>
      <c r="G42" s="600"/>
    </row>
    <row r="43" spans="1:7">
      <c r="A43" s="583"/>
      <c r="B43" s="584"/>
      <c r="D43" s="155" t="s">
        <v>391</v>
      </c>
      <c r="E43" s="585">
        <v>158</v>
      </c>
      <c r="F43" s="1086">
        <v>25</v>
      </c>
      <c r="G43" s="472">
        <f>SUM(E43*F43)</f>
        <v>3950</v>
      </c>
    </row>
    <row r="44" spans="1:7">
      <c r="A44" s="583"/>
      <c r="B44" s="584"/>
      <c r="D44" s="155"/>
      <c r="E44" s="585"/>
      <c r="F44" s="1086"/>
      <c r="G44" s="586"/>
    </row>
    <row r="45" spans="1:7" ht="52.8">
      <c r="A45" s="582" t="s">
        <v>102</v>
      </c>
      <c r="B45" s="368" t="s">
        <v>147</v>
      </c>
      <c r="C45" s="151" t="s">
        <v>1509</v>
      </c>
      <c r="D45" s="155"/>
      <c r="E45" s="585"/>
      <c r="F45" s="1086"/>
      <c r="G45" s="586"/>
    </row>
    <row r="46" spans="1:7">
      <c r="A46" s="583"/>
      <c r="B46" s="584"/>
      <c r="C46" s="151" t="s">
        <v>1510</v>
      </c>
      <c r="D46" s="155" t="s">
        <v>391</v>
      </c>
      <c r="E46" s="585">
        <v>1</v>
      </c>
      <c r="F46" s="1086">
        <v>500</v>
      </c>
      <c r="G46" s="472">
        <f>SUM(E46*F46)</f>
        <v>500</v>
      </c>
    </row>
    <row r="47" spans="1:7">
      <c r="A47" s="583"/>
      <c r="B47" s="584"/>
      <c r="D47" s="155"/>
      <c r="E47" s="585"/>
      <c r="F47" s="1086"/>
      <c r="G47" s="586"/>
    </row>
    <row r="48" spans="1:7" ht="79.5" customHeight="1">
      <c r="A48" s="582" t="s">
        <v>102</v>
      </c>
      <c r="B48" s="368" t="s">
        <v>43</v>
      </c>
      <c r="C48" s="151" t="s">
        <v>1511</v>
      </c>
      <c r="D48" s="155"/>
      <c r="E48" s="585"/>
      <c r="F48" s="1086"/>
      <c r="G48" s="586"/>
    </row>
    <row r="49" spans="1:7">
      <c r="C49" s="151" t="s">
        <v>1512</v>
      </c>
      <c r="D49" s="155" t="s">
        <v>391</v>
      </c>
      <c r="E49" s="585">
        <v>19</v>
      </c>
      <c r="F49" s="1086">
        <v>350</v>
      </c>
      <c r="G49" s="472">
        <f>SUM(E49*F49)</f>
        <v>6650</v>
      </c>
    </row>
    <row r="50" spans="1:7" ht="12" customHeight="1">
      <c r="D50" s="155"/>
      <c r="E50" s="585"/>
      <c r="F50" s="1086"/>
      <c r="G50" s="586"/>
    </row>
    <row r="51" spans="1:7" ht="81" customHeight="1">
      <c r="A51" s="582" t="s">
        <v>102</v>
      </c>
      <c r="B51" s="368" t="s">
        <v>185</v>
      </c>
      <c r="C51" s="151" t="s">
        <v>1513</v>
      </c>
      <c r="F51" s="1035"/>
      <c r="G51" s="601"/>
    </row>
    <row r="52" spans="1:7">
      <c r="C52" s="151" t="s">
        <v>1514</v>
      </c>
      <c r="D52" s="155" t="s">
        <v>391</v>
      </c>
      <c r="E52" s="585">
        <v>1</v>
      </c>
      <c r="F52" s="1086">
        <v>250</v>
      </c>
      <c r="G52" s="472">
        <f>SUM(E52*F52)</f>
        <v>250</v>
      </c>
    </row>
    <row r="53" spans="1:7">
      <c r="A53" s="582"/>
      <c r="B53" s="368"/>
      <c r="C53" s="151" t="s">
        <v>1515</v>
      </c>
      <c r="D53" s="155" t="s">
        <v>391</v>
      </c>
      <c r="E53" s="585">
        <v>3</v>
      </c>
      <c r="F53" s="1086">
        <v>300</v>
      </c>
      <c r="G53" s="472">
        <f>SUM(E53*F53)</f>
        <v>900</v>
      </c>
    </row>
    <row r="54" spans="1:7">
      <c r="C54" s="151" t="s">
        <v>1516</v>
      </c>
      <c r="D54" s="155" t="s">
        <v>391</v>
      </c>
      <c r="E54" s="585">
        <v>2</v>
      </c>
      <c r="F54" s="1086">
        <v>350</v>
      </c>
      <c r="G54" s="472">
        <f>SUM(E54*F54)</f>
        <v>700</v>
      </c>
    </row>
    <row r="55" spans="1:7">
      <c r="F55" s="1035"/>
      <c r="G55" s="601"/>
    </row>
    <row r="56" spans="1:7" ht="39.6">
      <c r="A56" s="582" t="s">
        <v>102</v>
      </c>
      <c r="B56" s="368" t="s">
        <v>397</v>
      </c>
      <c r="C56" s="604" t="s">
        <v>1517</v>
      </c>
      <c r="F56" s="1035"/>
      <c r="G56" s="601"/>
    </row>
    <row r="57" spans="1:7">
      <c r="C57" s="605" t="s">
        <v>1518</v>
      </c>
      <c r="D57" s="155" t="s">
        <v>391</v>
      </c>
      <c r="E57" s="606">
        <v>1</v>
      </c>
      <c r="F57" s="1090">
        <v>800</v>
      </c>
      <c r="G57" s="472">
        <f>SUM(E57*F57)</f>
        <v>800</v>
      </c>
    </row>
    <row r="58" spans="1:7">
      <c r="F58" s="1035"/>
      <c r="G58" s="601"/>
    </row>
    <row r="59" spans="1:7" ht="26.4">
      <c r="A59" s="582" t="s">
        <v>102</v>
      </c>
      <c r="B59" s="368" t="s">
        <v>109</v>
      </c>
      <c r="C59" s="151" t="s">
        <v>1519</v>
      </c>
      <c r="F59" s="1035"/>
      <c r="G59" s="601"/>
    </row>
    <row r="60" spans="1:7">
      <c r="D60" s="155" t="s">
        <v>344</v>
      </c>
      <c r="E60" s="585">
        <f>E12+E16+E17+E21+E22</f>
        <v>800</v>
      </c>
      <c r="F60" s="1086">
        <v>3</v>
      </c>
      <c r="G60" s="472">
        <f>SUM(E60*F60)</f>
        <v>2400</v>
      </c>
    </row>
    <row r="61" spans="1:7">
      <c r="F61" s="1035"/>
      <c r="G61" s="601"/>
    </row>
    <row r="62" spans="1:7" ht="39.6">
      <c r="A62" s="582" t="s">
        <v>102</v>
      </c>
      <c r="B62" s="368" t="s">
        <v>511</v>
      </c>
      <c r="C62" s="151" t="s">
        <v>1520</v>
      </c>
      <c r="F62" s="1035"/>
      <c r="G62" s="601"/>
    </row>
    <row r="63" spans="1:7">
      <c r="D63" s="155" t="s">
        <v>391</v>
      </c>
      <c r="E63" s="585">
        <v>35</v>
      </c>
      <c r="F63" s="1086">
        <v>50</v>
      </c>
      <c r="G63" s="472">
        <f>SUM(E63*F63)</f>
        <v>1750</v>
      </c>
    </row>
    <row r="64" spans="1:7">
      <c r="F64" s="1035"/>
      <c r="G64" s="601"/>
    </row>
    <row r="65" spans="1:7" ht="39.6">
      <c r="A65" s="582" t="s">
        <v>102</v>
      </c>
      <c r="B65" s="368" t="s">
        <v>512</v>
      </c>
      <c r="C65" s="61" t="s">
        <v>1521</v>
      </c>
      <c r="F65" s="1035"/>
      <c r="G65" s="601"/>
    </row>
    <row r="66" spans="1:7">
      <c r="D66" s="155" t="s">
        <v>391</v>
      </c>
      <c r="E66" s="585">
        <v>18</v>
      </c>
      <c r="F66" s="1086">
        <v>100</v>
      </c>
      <c r="G66" s="472">
        <f>SUM(E66*F66)</f>
        <v>1800</v>
      </c>
    </row>
    <row r="67" spans="1:7">
      <c r="E67" s="607"/>
      <c r="F67" s="1035"/>
      <c r="G67" s="601"/>
    </row>
    <row r="68" spans="1:7" ht="79.2">
      <c r="A68" s="582" t="s">
        <v>102</v>
      </c>
      <c r="B68" s="368" t="s">
        <v>513</v>
      </c>
      <c r="C68" s="151" t="s">
        <v>1522</v>
      </c>
      <c r="E68" s="607"/>
      <c r="F68" s="1035"/>
      <c r="G68" s="601"/>
    </row>
    <row r="69" spans="1:7">
      <c r="A69" s="16"/>
      <c r="C69" s="151" t="s">
        <v>1523</v>
      </c>
      <c r="F69" s="1036"/>
      <c r="G69" s="600"/>
    </row>
    <row r="70" spans="1:7">
      <c r="D70" s="155" t="s">
        <v>391</v>
      </c>
      <c r="E70" s="585">
        <v>1</v>
      </c>
      <c r="F70" s="1086">
        <v>5000</v>
      </c>
      <c r="G70" s="472">
        <f>SUM(E70*F70)</f>
        <v>5000</v>
      </c>
    </row>
    <row r="71" spans="1:7">
      <c r="D71" s="155"/>
      <c r="E71" s="585"/>
      <c r="F71" s="1086"/>
      <c r="G71" s="586"/>
    </row>
    <row r="72" spans="1:7" ht="39.6">
      <c r="A72" s="582" t="s">
        <v>102</v>
      </c>
      <c r="B72" s="368" t="s">
        <v>514</v>
      </c>
      <c r="C72" s="151" t="s">
        <v>1524</v>
      </c>
      <c r="E72" s="607"/>
      <c r="F72" s="1035"/>
      <c r="G72" s="601"/>
    </row>
    <row r="73" spans="1:7">
      <c r="D73" s="155" t="s">
        <v>391</v>
      </c>
      <c r="E73" s="585">
        <v>1</v>
      </c>
      <c r="F73" s="1086">
        <v>3000</v>
      </c>
      <c r="G73" s="472">
        <f>SUM(E73*F73)</f>
        <v>3000</v>
      </c>
    </row>
    <row r="74" spans="1:7" ht="13.8" thickBot="1">
      <c r="A74" s="583"/>
      <c r="B74" s="584"/>
      <c r="C74" s="608"/>
      <c r="D74" s="211"/>
      <c r="E74" s="588"/>
      <c r="F74" s="1087"/>
      <c r="G74" s="589"/>
    </row>
    <row r="75" spans="1:7" s="365" customFormat="1">
      <c r="A75" s="609" t="s">
        <v>102</v>
      </c>
      <c r="B75" s="610"/>
      <c r="C75" s="611" t="s">
        <v>1489</v>
      </c>
      <c r="D75" s="612"/>
      <c r="E75" s="613"/>
      <c r="F75" s="1091"/>
      <c r="G75" s="614">
        <f>SUM(G12:G74)</f>
        <v>58325</v>
      </c>
    </row>
    <row r="76" spans="1:7">
      <c r="A76" s="583" t="s">
        <v>330</v>
      </c>
      <c r="B76" s="584" t="s">
        <v>330</v>
      </c>
      <c r="F76" s="1036"/>
    </row>
    <row r="77" spans="1:7">
      <c r="A77" s="615" t="s">
        <v>311</v>
      </c>
      <c r="B77" s="616"/>
      <c r="C77" s="617" t="s">
        <v>1525</v>
      </c>
      <c r="D77" s="618"/>
      <c r="E77" s="619"/>
      <c r="F77" s="1092"/>
      <c r="G77" s="620"/>
    </row>
    <row r="78" spans="1:7">
      <c r="F78" s="1036"/>
    </row>
    <row r="79" spans="1:7" ht="105.6">
      <c r="A79" s="582" t="s">
        <v>311</v>
      </c>
      <c r="B79" s="368" t="s">
        <v>102</v>
      </c>
      <c r="C79" s="151" t="s">
        <v>1526</v>
      </c>
      <c r="E79" s="607"/>
      <c r="F79" s="1036"/>
    </row>
    <row r="80" spans="1:7">
      <c r="A80" s="582"/>
      <c r="B80" s="368"/>
      <c r="C80" s="61" t="s">
        <v>1527</v>
      </c>
      <c r="D80" s="155" t="s">
        <v>344</v>
      </c>
      <c r="E80" s="585">
        <v>24</v>
      </c>
      <c r="F80" s="1086">
        <v>30</v>
      </c>
      <c r="G80" s="472">
        <f>SUM(E80*F80)</f>
        <v>720</v>
      </c>
    </row>
    <row r="81" spans="1:7">
      <c r="C81" s="61" t="s">
        <v>1528</v>
      </c>
      <c r="D81" s="155" t="s">
        <v>344</v>
      </c>
      <c r="E81" s="585">
        <v>115</v>
      </c>
      <c r="F81" s="1086">
        <v>40</v>
      </c>
      <c r="G81" s="472">
        <f>SUM(E81*F81)</f>
        <v>4600</v>
      </c>
    </row>
    <row r="82" spans="1:7">
      <c r="C82" s="61" t="s">
        <v>1529</v>
      </c>
      <c r="D82" s="155" t="s">
        <v>344</v>
      </c>
      <c r="E82" s="585">
        <v>71</v>
      </c>
      <c r="F82" s="1086">
        <v>50</v>
      </c>
      <c r="G82" s="472">
        <f>SUM(E82*F82)</f>
        <v>3550</v>
      </c>
    </row>
    <row r="83" spans="1:7">
      <c r="F83" s="1035"/>
      <c r="G83" s="601"/>
    </row>
    <row r="84" spans="1:7" ht="107.25" customHeight="1">
      <c r="A84" s="582" t="s">
        <v>311</v>
      </c>
      <c r="B84" s="368" t="s">
        <v>311</v>
      </c>
      <c r="C84" s="61" t="s">
        <v>1530</v>
      </c>
      <c r="E84" s="607"/>
      <c r="F84" s="1036"/>
      <c r="G84" s="600"/>
    </row>
    <row r="85" spans="1:7">
      <c r="A85" s="582"/>
      <c r="B85" s="368"/>
      <c r="C85" s="621" t="s">
        <v>1531</v>
      </c>
      <c r="D85" s="427" t="s">
        <v>344</v>
      </c>
      <c r="E85" s="607">
        <v>27</v>
      </c>
      <c r="F85" s="1093">
        <v>10</v>
      </c>
      <c r="G85" s="472">
        <f t="shared" ref="G85:G90" si="0">SUM(E85*F85)</f>
        <v>270</v>
      </c>
    </row>
    <row r="86" spans="1:7" s="13" customFormat="1">
      <c r="A86" s="145"/>
      <c r="C86" s="621" t="s">
        <v>1532</v>
      </c>
      <c r="D86" s="427" t="s">
        <v>344</v>
      </c>
      <c r="E86" s="607">
        <v>268</v>
      </c>
      <c r="F86" s="1093">
        <v>15</v>
      </c>
      <c r="G86" s="472">
        <f t="shared" si="0"/>
        <v>4020</v>
      </c>
    </row>
    <row r="87" spans="1:7" s="13" customFormat="1">
      <c r="A87" s="145"/>
      <c r="C87" s="622" t="s">
        <v>1533</v>
      </c>
      <c r="D87" s="427" t="s">
        <v>344</v>
      </c>
      <c r="E87" s="607">
        <v>53</v>
      </c>
      <c r="F87" s="1093">
        <v>20</v>
      </c>
      <c r="G87" s="472">
        <f t="shared" si="0"/>
        <v>1060</v>
      </c>
    </row>
    <row r="88" spans="1:7" s="13" customFormat="1">
      <c r="A88" s="145"/>
      <c r="C88" s="622" t="s">
        <v>1534</v>
      </c>
      <c r="D88" s="623" t="s">
        <v>344</v>
      </c>
      <c r="E88" s="624">
        <v>130</v>
      </c>
      <c r="F88" s="1094">
        <v>25</v>
      </c>
      <c r="G88" s="472">
        <f t="shared" si="0"/>
        <v>3250</v>
      </c>
    </row>
    <row r="89" spans="1:7" s="13" customFormat="1">
      <c r="A89" s="145"/>
      <c r="C89" s="621" t="s">
        <v>1535</v>
      </c>
      <c r="D89" s="427" t="s">
        <v>344</v>
      </c>
      <c r="E89" s="607">
        <v>184</v>
      </c>
      <c r="F89" s="1083">
        <v>30</v>
      </c>
      <c r="G89" s="472">
        <f t="shared" si="0"/>
        <v>5520</v>
      </c>
    </row>
    <row r="90" spans="1:7">
      <c r="C90" s="621" t="s">
        <v>1536</v>
      </c>
      <c r="D90" s="427" t="s">
        <v>344</v>
      </c>
      <c r="E90" s="607">
        <v>56</v>
      </c>
      <c r="F90" s="1083">
        <v>40</v>
      </c>
      <c r="G90" s="472">
        <f t="shared" si="0"/>
        <v>2240</v>
      </c>
    </row>
    <row r="91" spans="1:7">
      <c r="F91" s="1036"/>
      <c r="G91" s="600"/>
    </row>
    <row r="92" spans="1:7" ht="39.6">
      <c r="A92" s="582" t="s">
        <v>311</v>
      </c>
      <c r="B92" s="368" t="s">
        <v>243</v>
      </c>
      <c r="C92" s="151" t="s">
        <v>1537</v>
      </c>
      <c r="F92" s="1036"/>
      <c r="G92" s="600"/>
    </row>
    <row r="93" spans="1:7" ht="15" customHeight="1">
      <c r="C93" s="61" t="s">
        <v>1538</v>
      </c>
      <c r="D93" s="427" t="s">
        <v>391</v>
      </c>
      <c r="E93" s="607">
        <v>7</v>
      </c>
      <c r="F93" s="1083">
        <v>100</v>
      </c>
      <c r="G93" s="472">
        <f>SUM(E93*F93)</f>
        <v>700</v>
      </c>
    </row>
    <row r="94" spans="1:7" ht="15" customHeight="1">
      <c r="C94" s="61" t="s">
        <v>1539</v>
      </c>
      <c r="D94" s="427" t="s">
        <v>391</v>
      </c>
      <c r="E94" s="607">
        <v>7</v>
      </c>
      <c r="F94" s="1083">
        <v>100</v>
      </c>
      <c r="G94" s="472">
        <f>SUM(E94*F94)</f>
        <v>700</v>
      </c>
    </row>
    <row r="95" spans="1:7">
      <c r="C95" s="61"/>
      <c r="D95" s="427"/>
      <c r="E95" s="607"/>
      <c r="F95" s="1083"/>
      <c r="G95" s="625"/>
    </row>
    <row r="96" spans="1:7" ht="42.75" customHeight="1">
      <c r="A96" s="582" t="s">
        <v>311</v>
      </c>
      <c r="B96" s="368" t="s">
        <v>582</v>
      </c>
      <c r="C96" s="626" t="s">
        <v>1540</v>
      </c>
      <c r="D96" s="627"/>
      <c r="E96" s="624"/>
      <c r="F96" s="1095"/>
      <c r="G96" s="628"/>
    </row>
    <row r="97" spans="1:7">
      <c r="C97" s="629" t="s">
        <v>1538</v>
      </c>
      <c r="D97" s="627" t="s">
        <v>391</v>
      </c>
      <c r="E97" s="607">
        <v>7</v>
      </c>
      <c r="F97" s="1083">
        <v>100</v>
      </c>
      <c r="G97" s="472">
        <f>SUM(E97*F97)</f>
        <v>700</v>
      </c>
    </row>
    <row r="98" spans="1:7">
      <c r="C98" s="629" t="s">
        <v>1538</v>
      </c>
      <c r="D98" s="627" t="s">
        <v>391</v>
      </c>
      <c r="E98" s="607">
        <v>7</v>
      </c>
      <c r="F98" s="1083">
        <v>100</v>
      </c>
      <c r="G98" s="472">
        <f>SUM(E98*F98)</f>
        <v>700</v>
      </c>
    </row>
    <row r="99" spans="1:7">
      <c r="C99" s="629"/>
      <c r="D99" s="627"/>
      <c r="E99" s="607"/>
      <c r="F99" s="1094"/>
      <c r="G99" s="630"/>
    </row>
    <row r="100" spans="1:7" ht="66">
      <c r="A100" s="582" t="s">
        <v>311</v>
      </c>
      <c r="B100" s="368" t="s">
        <v>331</v>
      </c>
      <c r="C100" s="590" t="s">
        <v>1541</v>
      </c>
      <c r="D100" s="627"/>
      <c r="E100" s="607"/>
      <c r="F100" s="1094"/>
      <c r="G100" s="630"/>
    </row>
    <row r="101" spans="1:7">
      <c r="C101" s="629"/>
      <c r="D101" s="631" t="s">
        <v>391</v>
      </c>
      <c r="E101" s="607">
        <v>22</v>
      </c>
      <c r="F101" s="1083">
        <v>100</v>
      </c>
      <c r="G101" s="472">
        <f>SUM(E101*F101)</f>
        <v>2200</v>
      </c>
    </row>
    <row r="102" spans="1:7">
      <c r="C102" s="629"/>
      <c r="D102" s="627"/>
      <c r="E102" s="607"/>
      <c r="F102" s="1094"/>
      <c r="G102" s="630"/>
    </row>
    <row r="103" spans="1:7" ht="79.2">
      <c r="A103" s="582" t="s">
        <v>311</v>
      </c>
      <c r="B103" s="368" t="s">
        <v>469</v>
      </c>
      <c r="C103" s="151" t="s">
        <v>1542</v>
      </c>
      <c r="F103" s="1036"/>
      <c r="G103" s="600"/>
    </row>
    <row r="104" spans="1:7">
      <c r="D104" s="427" t="s">
        <v>391</v>
      </c>
      <c r="E104" s="607">
        <v>49</v>
      </c>
      <c r="F104" s="1083">
        <v>50</v>
      </c>
      <c r="G104" s="472">
        <f>SUM(E104*F104)</f>
        <v>2450</v>
      </c>
    </row>
    <row r="105" spans="1:7">
      <c r="F105" s="1036"/>
      <c r="G105" s="600"/>
    </row>
    <row r="106" spans="1:7" ht="105.6">
      <c r="A106" s="582" t="s">
        <v>311</v>
      </c>
      <c r="B106" s="368" t="s">
        <v>192</v>
      </c>
      <c r="C106" s="61" t="s">
        <v>1543</v>
      </c>
      <c r="F106" s="1036"/>
      <c r="G106" s="600"/>
    </row>
    <row r="107" spans="1:7">
      <c r="D107" s="427" t="s">
        <v>1544</v>
      </c>
      <c r="E107" s="607">
        <v>14</v>
      </c>
      <c r="F107" s="1096">
        <v>200</v>
      </c>
      <c r="G107" s="472">
        <f>SUM(E107*F107)</f>
        <v>2800</v>
      </c>
    </row>
    <row r="108" spans="1:7">
      <c r="F108" s="1036"/>
      <c r="G108" s="600"/>
    </row>
    <row r="109" spans="1:7" ht="42" customHeight="1">
      <c r="A109" s="582" t="s">
        <v>311</v>
      </c>
      <c r="B109" s="368" t="s">
        <v>146</v>
      </c>
      <c r="C109" s="632" t="s">
        <v>1545</v>
      </c>
      <c r="F109" s="1036"/>
      <c r="G109" s="600"/>
    </row>
    <row r="110" spans="1:7">
      <c r="C110" s="633" t="s">
        <v>1546</v>
      </c>
      <c r="D110" s="427" t="s">
        <v>1544</v>
      </c>
      <c r="E110" s="607">
        <v>2</v>
      </c>
      <c r="F110" s="1096">
        <v>200</v>
      </c>
      <c r="G110" s="472">
        <f>SUM(E110*F110)</f>
        <v>400</v>
      </c>
    </row>
    <row r="111" spans="1:7">
      <c r="F111" s="1036"/>
      <c r="G111" s="600"/>
    </row>
    <row r="112" spans="1:7" ht="39.6">
      <c r="A112" s="582" t="s">
        <v>311</v>
      </c>
      <c r="B112" s="368" t="s">
        <v>147</v>
      </c>
      <c r="C112" s="151" t="s">
        <v>1547</v>
      </c>
      <c r="F112" s="1036"/>
      <c r="G112" s="600"/>
    </row>
    <row r="113" spans="1:7">
      <c r="D113" s="427" t="s">
        <v>344</v>
      </c>
      <c r="E113" s="607">
        <f>E80+E81+E85+E86+E87+E88+E89+E90+E82</f>
        <v>928</v>
      </c>
      <c r="F113" s="1083">
        <v>1.5</v>
      </c>
      <c r="G113" s="472">
        <f>SUM(E113*F113)</f>
        <v>1392</v>
      </c>
    </row>
    <row r="114" spans="1:7">
      <c r="F114" s="1036"/>
      <c r="G114" s="600"/>
    </row>
    <row r="115" spans="1:7" ht="118.8">
      <c r="A115" s="582" t="s">
        <v>311</v>
      </c>
      <c r="B115" s="368" t="s">
        <v>43</v>
      </c>
      <c r="C115" s="61" t="s">
        <v>1548</v>
      </c>
      <c r="F115" s="1036"/>
      <c r="G115" s="600"/>
    </row>
    <row r="116" spans="1:7" ht="52.8">
      <c r="C116" s="634" t="s">
        <v>1549</v>
      </c>
      <c r="E116" s="607"/>
      <c r="F116" s="1036"/>
      <c r="G116" s="600"/>
    </row>
    <row r="117" spans="1:7">
      <c r="C117" s="227" t="s">
        <v>372</v>
      </c>
      <c r="E117" s="607"/>
      <c r="F117" s="1036"/>
      <c r="G117" s="600"/>
    </row>
    <row r="118" spans="1:7">
      <c r="C118" s="621" t="s">
        <v>1550</v>
      </c>
      <c r="E118" s="607"/>
      <c r="F118" s="1036"/>
      <c r="G118" s="600"/>
    </row>
    <row r="119" spans="1:7">
      <c r="C119" s="621" t="s">
        <v>1551</v>
      </c>
      <c r="D119" s="427" t="s">
        <v>391</v>
      </c>
      <c r="E119" s="607">
        <v>17</v>
      </c>
      <c r="F119" s="1083">
        <v>50</v>
      </c>
      <c r="G119" s="472">
        <f>SUM(E119*F119)</f>
        <v>850</v>
      </c>
    </row>
    <row r="120" spans="1:7">
      <c r="C120" s="621" t="s">
        <v>1552</v>
      </c>
      <c r="D120" s="427" t="s">
        <v>391</v>
      </c>
      <c r="E120" s="607">
        <v>14</v>
      </c>
      <c r="F120" s="1083">
        <v>50</v>
      </c>
      <c r="G120" s="472">
        <f>SUM(E120*F120)</f>
        <v>700</v>
      </c>
    </row>
    <row r="121" spans="1:7">
      <c r="F121" s="1036"/>
      <c r="G121" s="600"/>
    </row>
    <row r="122" spans="1:7" ht="39.6">
      <c r="A122" s="582" t="s">
        <v>311</v>
      </c>
      <c r="B122" s="368" t="s">
        <v>185</v>
      </c>
      <c r="C122" s="151" t="s">
        <v>1553</v>
      </c>
      <c r="F122" s="1036"/>
      <c r="G122" s="600"/>
    </row>
    <row r="123" spans="1:7">
      <c r="C123" s="151" t="s">
        <v>1554</v>
      </c>
      <c r="D123" s="427" t="s">
        <v>391</v>
      </c>
      <c r="E123" s="607">
        <v>19</v>
      </c>
      <c r="F123" s="1083">
        <v>50</v>
      </c>
      <c r="G123" s="472">
        <f>SUM(E123*F123)</f>
        <v>950</v>
      </c>
    </row>
    <row r="124" spans="1:7">
      <c r="A124" s="16"/>
      <c r="C124" s="151" t="s">
        <v>1555</v>
      </c>
      <c r="D124" s="427" t="s">
        <v>391</v>
      </c>
      <c r="E124" s="607">
        <v>7</v>
      </c>
      <c r="F124" s="1083">
        <v>50</v>
      </c>
      <c r="G124" s="472">
        <f>SUM(E124*F124)</f>
        <v>350</v>
      </c>
    </row>
    <row r="125" spans="1:7">
      <c r="A125" s="16"/>
      <c r="C125" s="151"/>
      <c r="D125" s="427"/>
      <c r="E125" s="607"/>
      <c r="F125" s="1083"/>
      <c r="G125" s="625"/>
    </row>
    <row r="126" spans="1:7" ht="52.8">
      <c r="A126" s="582" t="s">
        <v>311</v>
      </c>
      <c r="B126" s="368" t="s">
        <v>397</v>
      </c>
      <c r="C126" s="151" t="s">
        <v>1556</v>
      </c>
      <c r="F126" s="1036"/>
      <c r="G126" s="600"/>
    </row>
    <row r="127" spans="1:7">
      <c r="D127" s="427" t="s">
        <v>391</v>
      </c>
      <c r="E127" s="607">
        <v>2</v>
      </c>
      <c r="F127" s="1083">
        <v>5000</v>
      </c>
      <c r="G127" s="472">
        <f>SUM(E127*F127)</f>
        <v>10000</v>
      </c>
    </row>
    <row r="128" spans="1:7">
      <c r="D128" s="427"/>
      <c r="E128" s="607"/>
      <c r="F128" s="1083"/>
      <c r="G128" s="625"/>
    </row>
    <row r="129" spans="1:7" ht="26.4">
      <c r="A129" s="582" t="s">
        <v>311</v>
      </c>
      <c r="B129" s="368" t="s">
        <v>109</v>
      </c>
      <c r="C129" s="427" t="s">
        <v>1557</v>
      </c>
      <c r="F129" s="1036"/>
      <c r="G129" s="600"/>
    </row>
    <row r="130" spans="1:7">
      <c r="D130" s="427" t="s">
        <v>391</v>
      </c>
      <c r="E130" s="607">
        <v>10</v>
      </c>
      <c r="F130" s="1083">
        <v>200</v>
      </c>
      <c r="G130" s="472">
        <f>SUM(E130*F130)</f>
        <v>2000</v>
      </c>
    </row>
    <row r="131" spans="1:7">
      <c r="D131" s="427"/>
      <c r="E131" s="607"/>
      <c r="F131" s="1083"/>
      <c r="G131" s="625"/>
    </row>
    <row r="132" spans="1:7" ht="13.8" thickBot="1">
      <c r="F132" s="1036"/>
      <c r="G132" s="600"/>
    </row>
    <row r="133" spans="1:7" s="365" customFormat="1">
      <c r="A133" s="609" t="s">
        <v>311</v>
      </c>
      <c r="B133" s="610"/>
      <c r="C133" s="611" t="s">
        <v>1525</v>
      </c>
      <c r="D133" s="612"/>
      <c r="E133" s="613"/>
      <c r="F133" s="1091"/>
      <c r="G133" s="614">
        <f>SUM(G80:G130)</f>
        <v>52122</v>
      </c>
    </row>
    <row r="134" spans="1:7">
      <c r="F134" s="1036"/>
    </row>
    <row r="135" spans="1:7">
      <c r="A135" s="615" t="s">
        <v>243</v>
      </c>
      <c r="B135" s="616"/>
      <c r="C135" s="617" t="s">
        <v>1558</v>
      </c>
      <c r="D135" s="618"/>
      <c r="E135" s="619"/>
      <c r="F135" s="1092"/>
      <c r="G135" s="620"/>
    </row>
    <row r="136" spans="1:7">
      <c r="F136" s="1036"/>
    </row>
    <row r="137" spans="1:7" ht="26.4">
      <c r="A137" s="582" t="s">
        <v>243</v>
      </c>
      <c r="B137" s="368" t="s">
        <v>102</v>
      </c>
      <c r="C137" s="590" t="s">
        <v>1559</v>
      </c>
      <c r="F137" s="1036"/>
    </row>
    <row r="138" spans="1:7" ht="39.6">
      <c r="C138" s="635" t="s">
        <v>1560</v>
      </c>
      <c r="F138" s="1036"/>
    </row>
    <row r="139" spans="1:7" ht="39.6">
      <c r="C139" s="635" t="s">
        <v>1561</v>
      </c>
      <c r="F139" s="1036"/>
    </row>
    <row r="140" spans="1:7" ht="158.4">
      <c r="C140" s="636" t="s">
        <v>1562</v>
      </c>
      <c r="F140" s="1036"/>
    </row>
    <row r="141" spans="1:7" ht="26.4">
      <c r="C141" s="637" t="s">
        <v>1563</v>
      </c>
      <c r="F141" s="1036"/>
    </row>
    <row r="142" spans="1:7">
      <c r="C142" s="638" t="s">
        <v>1564</v>
      </c>
      <c r="F142" s="1036"/>
    </row>
    <row r="143" spans="1:7">
      <c r="C143" s="638" t="s">
        <v>1565</v>
      </c>
      <c r="F143" s="1036"/>
    </row>
    <row r="144" spans="1:7">
      <c r="C144" s="590" t="s">
        <v>1566</v>
      </c>
      <c r="D144" s="427" t="s">
        <v>1567</v>
      </c>
      <c r="E144" s="607">
        <v>22</v>
      </c>
      <c r="F144" s="1083">
        <v>800</v>
      </c>
      <c r="G144" s="472">
        <f>SUM(E144*F144)</f>
        <v>17600</v>
      </c>
    </row>
    <row r="145" spans="1:19">
      <c r="F145" s="1036"/>
    </row>
    <row r="146" spans="1:19" ht="26.4">
      <c r="A146" s="582" t="s">
        <v>243</v>
      </c>
      <c r="B146" s="368" t="s">
        <v>311</v>
      </c>
      <c r="C146" s="590" t="s">
        <v>1568</v>
      </c>
      <c r="F146" s="1036"/>
    </row>
    <row r="147" spans="1:19" ht="39.6">
      <c r="C147" s="635" t="s">
        <v>1569</v>
      </c>
      <c r="F147" s="1036"/>
    </row>
    <row r="148" spans="1:19" ht="105.6">
      <c r="C148" s="636" t="s">
        <v>1570</v>
      </c>
      <c r="F148" s="1036"/>
    </row>
    <row r="149" spans="1:19" ht="39.6">
      <c r="C149" s="637" t="s">
        <v>1571</v>
      </c>
      <c r="F149" s="1036"/>
    </row>
    <row r="150" spans="1:19" ht="52.8">
      <c r="C150" s="635" t="s">
        <v>1572</v>
      </c>
      <c r="F150" s="1036"/>
    </row>
    <row r="151" spans="1:19">
      <c r="C151" s="635" t="s">
        <v>1573</v>
      </c>
      <c r="F151" s="1036"/>
    </row>
    <row r="152" spans="1:19">
      <c r="C152" s="590" t="s">
        <v>1566</v>
      </c>
      <c r="D152" s="427" t="s">
        <v>1567</v>
      </c>
      <c r="E152" s="607">
        <v>22</v>
      </c>
      <c r="F152" s="1083">
        <v>500</v>
      </c>
      <c r="G152" s="472">
        <f>SUM(E152*F152)</f>
        <v>11000</v>
      </c>
    </row>
    <row r="153" spans="1:19">
      <c r="F153" s="1036"/>
    </row>
    <row r="154" spans="1:19" s="46" customFormat="1" ht="39.6">
      <c r="A154" s="582" t="s">
        <v>243</v>
      </c>
      <c r="B154" s="368" t="s">
        <v>243</v>
      </c>
      <c r="C154" s="639" t="s">
        <v>1574</v>
      </c>
      <c r="D154" s="640"/>
      <c r="E154" s="641"/>
      <c r="F154" s="1097"/>
      <c r="L154" s="642"/>
      <c r="M154" s="642"/>
      <c r="N154" s="642"/>
      <c r="O154" s="642"/>
      <c r="P154" s="642"/>
      <c r="Q154" s="642"/>
      <c r="R154" s="642"/>
      <c r="S154" s="556"/>
    </row>
    <row r="155" spans="1:19" s="46" customFormat="1" ht="26.4">
      <c r="B155" s="643"/>
      <c r="C155" s="644" t="s">
        <v>1575</v>
      </c>
      <c r="D155" s="640"/>
      <c r="E155" s="641"/>
      <c r="F155" s="1097"/>
      <c r="L155" s="642"/>
      <c r="M155" s="642"/>
      <c r="N155" s="642"/>
      <c r="O155" s="642"/>
      <c r="P155" s="642"/>
      <c r="Q155" s="642"/>
      <c r="R155" s="642"/>
      <c r="S155" s="556"/>
    </row>
    <row r="156" spans="1:19" s="46" customFormat="1" ht="15">
      <c r="B156" s="643"/>
      <c r="C156" s="644" t="s">
        <v>1576</v>
      </c>
      <c r="D156" s="640"/>
      <c r="E156" s="641"/>
      <c r="F156" s="1097"/>
      <c r="L156" s="642"/>
      <c r="M156" s="642"/>
      <c r="N156" s="642"/>
      <c r="O156" s="642"/>
      <c r="P156" s="642"/>
      <c r="Q156" s="642"/>
      <c r="R156" s="642"/>
      <c r="S156" s="556"/>
    </row>
    <row r="157" spans="1:19" s="46" customFormat="1" ht="184.8">
      <c r="B157" s="643"/>
      <c r="C157" s="644" t="s">
        <v>1577</v>
      </c>
      <c r="D157" s="640"/>
      <c r="E157" s="641"/>
      <c r="F157" s="1097"/>
      <c r="L157" s="642"/>
      <c r="M157" s="642"/>
      <c r="N157" s="642"/>
      <c r="O157" s="642"/>
      <c r="P157" s="642"/>
      <c r="Q157" s="642"/>
      <c r="R157" s="642"/>
      <c r="S157" s="556"/>
    </row>
    <row r="158" spans="1:19" s="46" customFormat="1" ht="29.25" customHeight="1">
      <c r="B158" s="643"/>
      <c r="C158" s="645" t="s">
        <v>1578</v>
      </c>
      <c r="D158" s="640"/>
      <c r="E158" s="641"/>
      <c r="F158" s="1097"/>
      <c r="L158" s="642"/>
      <c r="M158" s="642"/>
      <c r="N158" s="642"/>
      <c r="O158" s="642"/>
      <c r="P158" s="642"/>
      <c r="Q158" s="642"/>
      <c r="R158" s="642"/>
      <c r="S158" s="556"/>
    </row>
    <row r="159" spans="1:19" s="46" customFormat="1" ht="29.25" customHeight="1">
      <c r="B159" s="643"/>
      <c r="C159" s="645" t="s">
        <v>1579</v>
      </c>
      <c r="D159" s="640"/>
      <c r="E159" s="641"/>
      <c r="F159" s="1097"/>
      <c r="L159" s="642"/>
      <c r="M159" s="642"/>
      <c r="N159" s="642"/>
      <c r="O159" s="642"/>
      <c r="P159" s="642"/>
      <c r="Q159" s="642"/>
      <c r="R159" s="642"/>
      <c r="S159" s="556"/>
    </row>
    <row r="160" spans="1:19" s="46" customFormat="1" ht="26.4">
      <c r="B160" s="643"/>
      <c r="C160" s="645" t="s">
        <v>1580</v>
      </c>
      <c r="D160" s="640"/>
      <c r="E160" s="641"/>
      <c r="F160" s="1097"/>
      <c r="L160" s="642"/>
      <c r="M160" s="642"/>
      <c r="N160" s="642"/>
      <c r="O160" s="642"/>
      <c r="P160" s="642"/>
      <c r="Q160" s="642"/>
      <c r="R160" s="642"/>
      <c r="S160" s="556"/>
    </row>
    <row r="161" spans="1:19" s="46" customFormat="1" ht="26.4">
      <c r="B161" s="643"/>
      <c r="C161" s="646" t="s">
        <v>1581</v>
      </c>
      <c r="D161" s="640"/>
      <c r="E161" s="641"/>
      <c r="F161" s="1097"/>
      <c r="L161" s="642"/>
      <c r="M161" s="642"/>
      <c r="N161" s="642"/>
      <c r="O161" s="642"/>
      <c r="P161" s="642"/>
      <c r="Q161" s="642"/>
      <c r="R161" s="642"/>
      <c r="S161" s="556"/>
    </row>
    <row r="162" spans="1:19" s="46" customFormat="1" ht="26.4">
      <c r="B162" s="643"/>
      <c r="C162" s="646" t="s">
        <v>1582</v>
      </c>
      <c r="D162" s="640"/>
      <c r="E162" s="641"/>
      <c r="F162" s="1097"/>
      <c r="L162" s="642"/>
      <c r="M162" s="642"/>
      <c r="N162" s="642"/>
      <c r="O162" s="642"/>
      <c r="P162" s="642"/>
      <c r="Q162" s="642"/>
      <c r="R162" s="642"/>
      <c r="S162" s="556"/>
    </row>
    <row r="163" spans="1:19" s="46" customFormat="1" ht="15">
      <c r="B163" s="643"/>
      <c r="C163" s="647" t="s">
        <v>1564</v>
      </c>
      <c r="D163" s="640"/>
      <c r="E163" s="641"/>
      <c r="F163" s="1097"/>
      <c r="L163" s="642"/>
      <c r="M163" s="642"/>
      <c r="N163" s="642"/>
      <c r="O163" s="642"/>
      <c r="P163" s="642"/>
      <c r="Q163" s="642"/>
      <c r="R163" s="642"/>
      <c r="S163" s="556"/>
    </row>
    <row r="164" spans="1:19" s="46" customFormat="1" ht="15">
      <c r="B164" s="643"/>
      <c r="C164" s="647" t="s">
        <v>1565</v>
      </c>
      <c r="D164" s="640"/>
      <c r="E164" s="641"/>
      <c r="F164" s="1097"/>
      <c r="L164" s="642"/>
      <c r="M164" s="642"/>
      <c r="N164" s="642"/>
      <c r="O164" s="642"/>
      <c r="P164" s="642"/>
      <c r="Q164" s="642"/>
      <c r="R164" s="642"/>
      <c r="S164" s="556"/>
    </row>
    <row r="165" spans="1:19" s="648" customFormat="1" ht="15" customHeight="1">
      <c r="B165" s="643"/>
      <c r="C165" s="594" t="s">
        <v>1566</v>
      </c>
      <c r="D165" s="151" t="s">
        <v>1567</v>
      </c>
      <c r="E165" s="607">
        <v>1</v>
      </c>
      <c r="F165" s="1098">
        <v>2000</v>
      </c>
      <c r="G165" s="472">
        <f>SUM(E165*F165)</f>
        <v>2000</v>
      </c>
      <c r="H165" s="649"/>
      <c r="I165" s="649"/>
      <c r="J165" s="649"/>
      <c r="K165" s="649"/>
      <c r="L165" s="643"/>
      <c r="M165" s="643"/>
      <c r="N165" s="643"/>
      <c r="O165" s="643"/>
      <c r="P165" s="643"/>
      <c r="Q165" s="643"/>
      <c r="R165" s="643"/>
    </row>
    <row r="166" spans="1:19" s="46" customFormat="1" ht="15" customHeight="1">
      <c r="B166" s="643"/>
      <c r="C166" s="639"/>
      <c r="D166" s="640"/>
      <c r="E166" s="641"/>
      <c r="F166" s="1097"/>
      <c r="G166" s="650"/>
      <c r="H166" s="651"/>
      <c r="I166" s="651"/>
      <c r="J166" s="651"/>
      <c r="K166" s="651"/>
      <c r="L166" s="642"/>
      <c r="M166" s="642"/>
      <c r="N166" s="642"/>
      <c r="O166" s="642"/>
      <c r="P166" s="642"/>
      <c r="Q166" s="642"/>
      <c r="R166" s="642"/>
    </row>
    <row r="167" spans="1:19" s="655" customFormat="1" ht="39.6">
      <c r="A167" s="582" t="s">
        <v>243</v>
      </c>
      <c r="B167" s="368" t="s">
        <v>582</v>
      </c>
      <c r="C167" s="652" t="s">
        <v>1583</v>
      </c>
      <c r="D167" s="653"/>
      <c r="E167" s="654"/>
      <c r="F167" s="1099"/>
    </row>
    <row r="168" spans="1:19" s="655" customFormat="1" ht="26.4">
      <c r="B168" s="656"/>
      <c r="C168" s="657" t="s">
        <v>1584</v>
      </c>
      <c r="D168" s="653"/>
      <c r="E168" s="654"/>
      <c r="F168" s="1099"/>
      <c r="G168" s="652"/>
    </row>
    <row r="169" spans="1:19" s="655" customFormat="1" ht="128.25" customHeight="1">
      <c r="B169" s="656"/>
      <c r="C169" s="658" t="s">
        <v>1585</v>
      </c>
      <c r="D169" s="653"/>
      <c r="E169" s="654"/>
      <c r="F169" s="1099"/>
      <c r="G169" s="652"/>
    </row>
    <row r="170" spans="1:19" s="655" customFormat="1" ht="78" customHeight="1">
      <c r="B170" s="656"/>
      <c r="C170" s="658" t="s">
        <v>1586</v>
      </c>
      <c r="D170" s="653"/>
      <c r="E170" s="654"/>
      <c r="F170" s="1099"/>
    </row>
    <row r="171" spans="1:19" s="655" customFormat="1" ht="26.4">
      <c r="B171" s="656"/>
      <c r="C171" s="659" t="s">
        <v>1587</v>
      </c>
      <c r="D171" s="653"/>
      <c r="E171" s="654"/>
      <c r="F171" s="1099"/>
    </row>
    <row r="172" spans="1:19" s="655" customFormat="1" ht="29.25" customHeight="1">
      <c r="B172" s="656"/>
      <c r="C172" s="660" t="s">
        <v>1588</v>
      </c>
      <c r="D172" s="653"/>
      <c r="E172" s="654"/>
      <c r="F172" s="1099"/>
    </row>
    <row r="173" spans="1:19" s="655" customFormat="1">
      <c r="B173" s="656"/>
      <c r="C173" s="661" t="s">
        <v>1589</v>
      </c>
      <c r="D173" s="653"/>
      <c r="E173" s="654"/>
      <c r="F173" s="1099"/>
    </row>
    <row r="174" spans="1:19" s="655" customFormat="1" ht="15" customHeight="1">
      <c r="B174" s="656"/>
      <c r="C174" s="652" t="s">
        <v>1566</v>
      </c>
      <c r="D174" s="151" t="s">
        <v>1567</v>
      </c>
      <c r="E174" s="607">
        <v>1</v>
      </c>
      <c r="F174" s="1098">
        <v>1000</v>
      </c>
      <c r="G174" s="472">
        <f>SUM(E174*F174)</f>
        <v>1000</v>
      </c>
    </row>
    <row r="175" spans="1:19" s="46" customFormat="1" ht="15" customHeight="1">
      <c r="B175" s="643"/>
      <c r="C175" s="639"/>
      <c r="D175" s="640"/>
      <c r="E175" s="641"/>
      <c r="F175" s="1097"/>
      <c r="G175" s="650"/>
    </row>
    <row r="176" spans="1:19" ht="18" customHeight="1">
      <c r="A176" s="582" t="s">
        <v>243</v>
      </c>
      <c r="B176" s="368" t="s">
        <v>331</v>
      </c>
      <c r="C176" s="590" t="s">
        <v>1590</v>
      </c>
      <c r="F176" s="1036"/>
    </row>
    <row r="177" spans="1:7" ht="29.25" customHeight="1">
      <c r="C177" s="660" t="s">
        <v>1591</v>
      </c>
      <c r="F177" s="1036"/>
    </row>
    <row r="178" spans="1:7">
      <c r="C178" s="660" t="s">
        <v>1592</v>
      </c>
      <c r="F178" s="1036"/>
    </row>
    <row r="179" spans="1:7">
      <c r="C179" s="660" t="s">
        <v>1593</v>
      </c>
      <c r="F179" s="1036"/>
    </row>
    <row r="180" spans="1:7" ht="39.75" customHeight="1">
      <c r="C180" s="659" t="s">
        <v>1594</v>
      </c>
      <c r="F180" s="1036"/>
    </row>
    <row r="181" spans="1:7">
      <c r="C181" s="659" t="s">
        <v>1589</v>
      </c>
      <c r="F181" s="1036"/>
    </row>
    <row r="182" spans="1:7">
      <c r="C182" s="590" t="s">
        <v>1566</v>
      </c>
      <c r="D182" s="427" t="s">
        <v>1567</v>
      </c>
      <c r="E182" s="607">
        <v>1</v>
      </c>
      <c r="F182" s="1083">
        <v>1000</v>
      </c>
      <c r="G182" s="472">
        <f>SUM(E182*F182)</f>
        <v>1000</v>
      </c>
    </row>
    <row r="183" spans="1:7">
      <c r="F183" s="1036"/>
    </row>
    <row r="184" spans="1:7" ht="26.4">
      <c r="A184" s="582" t="s">
        <v>243</v>
      </c>
      <c r="B184" s="368" t="s">
        <v>469</v>
      </c>
      <c r="C184" s="662" t="s">
        <v>1595</v>
      </c>
      <c r="F184" s="1036"/>
    </row>
    <row r="185" spans="1:7" ht="26.4">
      <c r="C185" s="659" t="s">
        <v>1596</v>
      </c>
      <c r="F185" s="1036"/>
    </row>
    <row r="186" spans="1:7">
      <c r="C186" s="659" t="s">
        <v>1597</v>
      </c>
      <c r="F186" s="1036"/>
    </row>
    <row r="187" spans="1:7" ht="52.8">
      <c r="C187" s="660" t="s">
        <v>1598</v>
      </c>
      <c r="F187" s="1036"/>
    </row>
    <row r="188" spans="1:7" ht="40.5" customHeight="1">
      <c r="C188" s="659" t="s">
        <v>1594</v>
      </c>
      <c r="F188" s="1036"/>
    </row>
    <row r="189" spans="1:7">
      <c r="C189" s="659" t="s">
        <v>1589</v>
      </c>
      <c r="F189" s="1036"/>
    </row>
    <row r="190" spans="1:7">
      <c r="C190" s="662" t="s">
        <v>1566</v>
      </c>
      <c r="D190" s="427" t="s">
        <v>1567</v>
      </c>
      <c r="E190" s="607">
        <v>17</v>
      </c>
      <c r="F190" s="1083">
        <v>1000</v>
      </c>
      <c r="G190" s="472">
        <f>SUM(E190*F190)</f>
        <v>17000</v>
      </c>
    </row>
    <row r="191" spans="1:7">
      <c r="C191" s="662"/>
      <c r="F191" s="1036"/>
    </row>
    <row r="192" spans="1:7" ht="66">
      <c r="A192" s="582" t="s">
        <v>243</v>
      </c>
      <c r="B192" s="368" t="s">
        <v>192</v>
      </c>
      <c r="C192" s="151" t="s">
        <v>1599</v>
      </c>
      <c r="F192" s="1036"/>
    </row>
    <row r="193" spans="1:7">
      <c r="D193" s="427" t="s">
        <v>391</v>
      </c>
      <c r="E193" s="607">
        <v>18</v>
      </c>
      <c r="F193" s="1083">
        <v>250</v>
      </c>
      <c r="G193" s="472">
        <f>SUM(E193*F193)</f>
        <v>4500</v>
      </c>
    </row>
    <row r="194" spans="1:7">
      <c r="F194" s="1036"/>
    </row>
    <row r="195" spans="1:7" ht="66">
      <c r="A195" s="582" t="s">
        <v>243</v>
      </c>
      <c r="B195" s="368" t="s">
        <v>146</v>
      </c>
      <c r="C195" s="151" t="s">
        <v>1600</v>
      </c>
      <c r="F195" s="1036"/>
    </row>
    <row r="196" spans="1:7">
      <c r="D196" s="427" t="s">
        <v>391</v>
      </c>
      <c r="E196" s="607">
        <v>18</v>
      </c>
      <c r="F196" s="1083">
        <v>100</v>
      </c>
      <c r="G196" s="472">
        <f>SUM(E196*F196)</f>
        <v>1800</v>
      </c>
    </row>
    <row r="197" spans="1:7">
      <c r="D197" s="427"/>
      <c r="E197" s="607"/>
      <c r="F197" s="1083"/>
      <c r="G197" s="92"/>
    </row>
    <row r="198" spans="1:7" ht="66.75" customHeight="1">
      <c r="A198" s="582" t="s">
        <v>243</v>
      </c>
      <c r="B198" s="368" t="s">
        <v>147</v>
      </c>
      <c r="C198" s="151" t="s">
        <v>1601</v>
      </c>
      <c r="F198" s="1036"/>
    </row>
    <row r="199" spans="1:7">
      <c r="D199" s="427" t="s">
        <v>391</v>
      </c>
      <c r="E199" s="607">
        <v>18</v>
      </c>
      <c r="F199" s="1083">
        <v>100</v>
      </c>
      <c r="G199" s="472">
        <f>SUM(E199*F199)</f>
        <v>1800</v>
      </c>
    </row>
    <row r="200" spans="1:7" ht="52.8">
      <c r="A200" s="582" t="s">
        <v>243</v>
      </c>
      <c r="B200" s="368" t="s">
        <v>43</v>
      </c>
      <c r="C200" s="663" t="s">
        <v>1602</v>
      </c>
      <c r="D200" s="664"/>
      <c r="E200" s="665"/>
      <c r="F200" s="1100"/>
      <c r="G200" s="666"/>
    </row>
    <row r="201" spans="1:7" s="365" customFormat="1">
      <c r="A201" s="667"/>
      <c r="B201" s="668"/>
      <c r="C201" s="374" t="s">
        <v>1603</v>
      </c>
      <c r="D201" s="664"/>
      <c r="E201" s="665"/>
      <c r="F201" s="1100"/>
      <c r="G201" s="666"/>
    </row>
    <row r="202" spans="1:7">
      <c r="A202" s="667"/>
      <c r="B202" s="668"/>
      <c r="C202" s="669" t="s">
        <v>1566</v>
      </c>
      <c r="D202" s="664"/>
      <c r="E202" s="665"/>
      <c r="F202" s="1100"/>
      <c r="G202" s="666"/>
    </row>
    <row r="203" spans="1:7">
      <c r="A203" s="667"/>
      <c r="B203" s="668"/>
      <c r="C203" s="151"/>
      <c r="D203" s="427" t="s">
        <v>1567</v>
      </c>
      <c r="E203" s="607">
        <v>2</v>
      </c>
      <c r="F203" s="1083">
        <v>350</v>
      </c>
      <c r="G203" s="472">
        <f>SUM(E203*F203)</f>
        <v>700</v>
      </c>
    </row>
    <row r="204" spans="1:7">
      <c r="A204" s="667"/>
      <c r="B204" s="668"/>
      <c r="C204" s="151"/>
      <c r="D204" s="427"/>
      <c r="E204" s="607"/>
      <c r="F204" s="1083"/>
      <c r="G204" s="625"/>
    </row>
    <row r="205" spans="1:7" ht="39.6">
      <c r="A205" s="582" t="s">
        <v>243</v>
      </c>
      <c r="B205" s="368" t="s">
        <v>185</v>
      </c>
      <c r="C205" s="632" t="s">
        <v>1604</v>
      </c>
      <c r="D205" s="664"/>
      <c r="E205" s="665"/>
      <c r="F205" s="1100"/>
      <c r="G205" s="666"/>
    </row>
    <row r="206" spans="1:7">
      <c r="A206" s="667"/>
      <c r="B206" s="668"/>
      <c r="C206" s="151"/>
      <c r="D206" s="427" t="s">
        <v>1567</v>
      </c>
      <c r="E206" s="607">
        <v>2</v>
      </c>
      <c r="F206" s="1083">
        <v>50</v>
      </c>
      <c r="G206" s="472">
        <f>SUM(E206*F206)</f>
        <v>100</v>
      </c>
    </row>
    <row r="207" spans="1:7" ht="13.8" thickBot="1">
      <c r="A207" s="582"/>
      <c r="B207" s="368"/>
      <c r="C207" s="670"/>
      <c r="F207" s="1036"/>
    </row>
    <row r="208" spans="1:7">
      <c r="A208" s="609" t="s">
        <v>243</v>
      </c>
      <c r="B208" s="610"/>
      <c r="C208" s="611" t="s">
        <v>1558</v>
      </c>
      <c r="D208" s="612"/>
      <c r="E208" s="613"/>
      <c r="F208" s="1091"/>
      <c r="G208" s="614">
        <f>SUM(G137:G207)</f>
        <v>58500</v>
      </c>
    </row>
    <row r="209" spans="1:7">
      <c r="F209" s="1036"/>
    </row>
    <row r="210" spans="1:7">
      <c r="A210" s="615" t="s">
        <v>582</v>
      </c>
      <c r="B210" s="616"/>
      <c r="C210" s="617" t="s">
        <v>1605</v>
      </c>
      <c r="D210" s="618"/>
      <c r="E210" s="619"/>
      <c r="F210" s="1092"/>
      <c r="G210" s="620"/>
    </row>
    <row r="211" spans="1:7">
      <c r="F211" s="1036"/>
    </row>
    <row r="212" spans="1:7" ht="145.19999999999999">
      <c r="A212" s="582" t="s">
        <v>582</v>
      </c>
      <c r="B212" s="368" t="s">
        <v>102</v>
      </c>
      <c r="C212" s="151" t="s">
        <v>1606</v>
      </c>
      <c r="F212" s="1036"/>
    </row>
    <row r="213" spans="1:7">
      <c r="D213" s="427" t="s">
        <v>382</v>
      </c>
      <c r="E213" s="607">
        <v>234</v>
      </c>
      <c r="F213" s="1083">
        <v>20</v>
      </c>
      <c r="G213" s="472">
        <f>SUM(E213*F213)</f>
        <v>4680</v>
      </c>
    </row>
    <row r="214" spans="1:7">
      <c r="F214" s="1036"/>
    </row>
    <row r="215" spans="1:7" ht="26.4">
      <c r="A215" s="582" t="s">
        <v>582</v>
      </c>
      <c r="B215" s="368" t="s">
        <v>311</v>
      </c>
      <c r="C215" s="151" t="s">
        <v>1607</v>
      </c>
      <c r="F215" s="1036"/>
    </row>
    <row r="216" spans="1:7">
      <c r="D216" s="427" t="s">
        <v>382</v>
      </c>
      <c r="E216" s="607">
        <v>15</v>
      </c>
      <c r="F216" s="1083">
        <v>50</v>
      </c>
      <c r="G216" s="472">
        <f>SUM(E216*F216)</f>
        <v>750</v>
      </c>
    </row>
    <row r="217" spans="1:7">
      <c r="F217" s="1036"/>
    </row>
    <row r="218" spans="1:7" ht="145.19999999999999">
      <c r="A218" s="582" t="s">
        <v>582</v>
      </c>
      <c r="B218" s="368" t="s">
        <v>243</v>
      </c>
      <c r="C218" s="151" t="s">
        <v>1608</v>
      </c>
      <c r="F218" s="1036"/>
    </row>
    <row r="219" spans="1:7">
      <c r="D219" s="427" t="s">
        <v>391</v>
      </c>
      <c r="E219" s="607">
        <v>9</v>
      </c>
      <c r="F219" s="1083">
        <v>1500</v>
      </c>
      <c r="G219" s="472">
        <f>SUM(E219*F219)</f>
        <v>13500</v>
      </c>
    </row>
    <row r="220" spans="1:7">
      <c r="F220" s="1036"/>
    </row>
    <row r="221" spans="1:7" ht="105.6">
      <c r="A221" s="582" t="s">
        <v>582</v>
      </c>
      <c r="B221" s="368" t="s">
        <v>582</v>
      </c>
      <c r="C221" s="151" t="s">
        <v>1609</v>
      </c>
      <c r="F221" s="1036"/>
    </row>
    <row r="222" spans="1:7">
      <c r="D222" s="427" t="s">
        <v>391</v>
      </c>
      <c r="E222" s="607">
        <v>1</v>
      </c>
      <c r="F222" s="1083">
        <v>3000</v>
      </c>
      <c r="G222" s="472">
        <f>SUM(E222*F222)</f>
        <v>3000</v>
      </c>
    </row>
    <row r="223" spans="1:7">
      <c r="D223" s="427"/>
      <c r="E223" s="607"/>
      <c r="F223" s="1083"/>
      <c r="G223" s="92"/>
    </row>
    <row r="224" spans="1:7" ht="66">
      <c r="A224" s="582" t="s">
        <v>582</v>
      </c>
      <c r="B224" s="368" t="s">
        <v>331</v>
      </c>
      <c r="C224" s="151" t="s">
        <v>1610</v>
      </c>
      <c r="F224" s="1036"/>
    </row>
    <row r="225" spans="1:7" s="365" customFormat="1">
      <c r="A225" s="565"/>
      <c r="B225" s="16"/>
      <c r="C225" s="199"/>
      <c r="D225" s="427" t="s">
        <v>382</v>
      </c>
      <c r="E225" s="607">
        <f>E213-E233</f>
        <v>161</v>
      </c>
      <c r="F225" s="1083">
        <v>20</v>
      </c>
      <c r="G225" s="472">
        <f>SUM(E225*F225)</f>
        <v>3220</v>
      </c>
    </row>
    <row r="226" spans="1:7" s="365" customFormat="1" ht="16.5" customHeight="1">
      <c r="A226" s="565"/>
      <c r="B226" s="16"/>
      <c r="C226" s="199"/>
      <c r="D226" s="183"/>
      <c r="E226" s="574"/>
      <c r="F226" s="1036"/>
      <c r="G226" s="16"/>
    </row>
    <row r="227" spans="1:7" s="365" customFormat="1">
      <c r="A227" s="17" t="s">
        <v>582</v>
      </c>
      <c r="B227" s="17" t="s">
        <v>469</v>
      </c>
      <c r="C227" s="151" t="s">
        <v>1611</v>
      </c>
      <c r="D227" s="35"/>
      <c r="E227" s="671"/>
      <c r="F227" s="1101"/>
      <c r="G227" s="672"/>
    </row>
    <row r="228" spans="1:7" s="365" customFormat="1">
      <c r="A228" s="17"/>
      <c r="B228" s="17"/>
      <c r="C228" s="151" t="s">
        <v>1612</v>
      </c>
      <c r="D228" s="35"/>
      <c r="E228" s="671"/>
      <c r="F228" s="1101"/>
      <c r="G228" s="672"/>
    </row>
    <row r="229" spans="1:7" s="365" customFormat="1" ht="105.6">
      <c r="A229" s="17"/>
      <c r="B229" s="17"/>
      <c r="C229" s="151" t="s">
        <v>1613</v>
      </c>
      <c r="D229" s="35"/>
      <c r="E229" s="607"/>
      <c r="F229" s="1101"/>
      <c r="G229" s="672"/>
    </row>
    <row r="230" spans="1:7" s="365" customFormat="1">
      <c r="A230" s="17"/>
      <c r="B230" s="17"/>
      <c r="C230" s="151"/>
      <c r="D230" s="35" t="s">
        <v>391</v>
      </c>
      <c r="E230" s="607">
        <v>2</v>
      </c>
      <c r="F230" s="1102">
        <v>700</v>
      </c>
      <c r="G230" s="472">
        <f>SUM(E230*F230)</f>
        <v>1400</v>
      </c>
    </row>
    <row r="231" spans="1:7" s="365" customFormat="1">
      <c r="A231" s="13"/>
      <c r="B231" s="13"/>
      <c r="C231" s="128"/>
      <c r="D231" s="35"/>
      <c r="E231" s="671"/>
      <c r="F231" s="1101"/>
      <c r="G231" s="672"/>
    </row>
    <row r="232" spans="1:7" ht="52.8">
      <c r="A232" s="582" t="s">
        <v>582</v>
      </c>
      <c r="B232" s="368" t="s">
        <v>192</v>
      </c>
      <c r="C232" s="151" t="s">
        <v>1614</v>
      </c>
      <c r="F232" s="1036"/>
    </row>
    <row r="233" spans="1:7">
      <c r="D233" s="427" t="s">
        <v>382</v>
      </c>
      <c r="E233" s="607">
        <v>73</v>
      </c>
      <c r="F233" s="1083">
        <v>20</v>
      </c>
      <c r="G233" s="472">
        <f>SUM(E233*F233)</f>
        <v>1460</v>
      </c>
    </row>
    <row r="234" spans="1:7" ht="13.8" thickBot="1">
      <c r="F234" s="1036"/>
      <c r="G234" s="396"/>
    </row>
    <row r="235" spans="1:7">
      <c r="A235" s="609" t="s">
        <v>1615</v>
      </c>
      <c r="B235" s="610"/>
      <c r="C235" s="611" t="s">
        <v>1605</v>
      </c>
      <c r="D235" s="612"/>
      <c r="E235" s="613"/>
      <c r="F235" s="1091"/>
      <c r="G235" s="26">
        <f>SUM(G211:G234)</f>
        <v>28010</v>
      </c>
    </row>
    <row r="236" spans="1:7">
      <c r="A236" s="582"/>
      <c r="B236" s="368"/>
      <c r="C236" s="673"/>
      <c r="D236" s="565"/>
      <c r="E236" s="674"/>
      <c r="F236" s="1103"/>
      <c r="G236" s="675"/>
    </row>
    <row r="237" spans="1:7">
      <c r="A237" s="582"/>
      <c r="B237" s="368"/>
      <c r="C237" s="673"/>
      <c r="D237" s="565"/>
      <c r="E237" s="674"/>
      <c r="F237" s="1103"/>
      <c r="G237" s="675"/>
    </row>
    <row r="238" spans="1:7">
      <c r="A238" s="582"/>
      <c r="B238" s="368"/>
      <c r="C238" s="673"/>
      <c r="D238" s="565"/>
      <c r="E238" s="674"/>
      <c r="F238" s="1103"/>
      <c r="G238" s="675"/>
    </row>
    <row r="239" spans="1:7">
      <c r="A239" s="582"/>
      <c r="B239" s="368"/>
      <c r="D239" s="565"/>
      <c r="E239" s="674"/>
      <c r="F239" s="1103"/>
    </row>
    <row r="240" spans="1:7">
      <c r="C240" s="676" t="s">
        <v>1616</v>
      </c>
      <c r="F240" s="1036"/>
      <c r="G240" s="13"/>
    </row>
    <row r="241" spans="1:7">
      <c r="D241" s="13"/>
      <c r="E241" s="607"/>
      <c r="F241" s="1035"/>
    </row>
    <row r="242" spans="1:7">
      <c r="C242" s="673" t="s">
        <v>1617</v>
      </c>
      <c r="F242" s="1036"/>
      <c r="G242" s="472">
        <f>G75</f>
        <v>58325</v>
      </c>
    </row>
    <row r="243" spans="1:7">
      <c r="D243" s="13"/>
      <c r="E243" s="607"/>
      <c r="F243" s="1035"/>
    </row>
    <row r="244" spans="1:7">
      <c r="C244" s="673" t="s">
        <v>1618</v>
      </c>
      <c r="F244" s="1036"/>
      <c r="G244" s="472">
        <f>G133</f>
        <v>52122</v>
      </c>
    </row>
    <row r="245" spans="1:7">
      <c r="D245" s="13"/>
      <c r="E245" s="607"/>
      <c r="F245" s="1035"/>
    </row>
    <row r="246" spans="1:7">
      <c r="C246" s="673" t="s">
        <v>1619</v>
      </c>
      <c r="F246" s="1036"/>
      <c r="G246" s="472">
        <f>G208</f>
        <v>58500</v>
      </c>
    </row>
    <row r="247" spans="1:7">
      <c r="D247" s="13"/>
      <c r="E247" s="607"/>
      <c r="F247" s="1035"/>
    </row>
    <row r="248" spans="1:7">
      <c r="C248" s="673" t="s">
        <v>1620</v>
      </c>
      <c r="F248" s="1036"/>
      <c r="G248" s="472">
        <f>G235</f>
        <v>28010</v>
      </c>
    </row>
    <row r="249" spans="1:7">
      <c r="C249" s="673"/>
      <c r="D249" s="13"/>
      <c r="E249" s="607"/>
      <c r="F249" s="1035"/>
      <c r="G249" s="677"/>
    </row>
    <row r="250" spans="1:7" ht="13.8" thickBot="1">
      <c r="A250" s="566"/>
      <c r="B250" s="394"/>
      <c r="C250" s="678"/>
      <c r="D250" s="20"/>
      <c r="E250" s="679"/>
      <c r="F250" s="1104"/>
      <c r="G250" s="394"/>
    </row>
    <row r="251" spans="1:7">
      <c r="C251" s="673" t="s">
        <v>1621</v>
      </c>
      <c r="F251" s="1036"/>
      <c r="G251" s="26">
        <f>SUM(G242:G250)</f>
        <v>196957</v>
      </c>
    </row>
    <row r="252" spans="1:7">
      <c r="D252" s="13"/>
      <c r="E252" s="607"/>
      <c r="F252" s="1035"/>
    </row>
    <row r="253" spans="1:7">
      <c r="F253" s="1036"/>
    </row>
  </sheetData>
  <mergeCells count="5">
    <mergeCell ref="C1:G1"/>
    <mergeCell ref="C2:G2"/>
    <mergeCell ref="C3:G3"/>
    <mergeCell ref="C4:G4"/>
    <mergeCell ref="C5:G5"/>
  </mergeCells>
  <conditionalFormatting sqref="H165:K166">
    <cfRule type="cellIs" dxfId="2" priority="1" stopIfTrue="1" operator="greaterThan">
      <formula>0</formula>
    </cfRule>
  </conditionalFormatting>
  <pageMargins left="0.25" right="0.25" top="0.75" bottom="0.75" header="0.3" footer="0.3"/>
  <pageSetup paperSize="9" scale="90" orientation="portrait" horizontalDpi="4294967292" verticalDpi="4294967292" r:id="rId1"/>
  <headerFooter alignWithMargins="0">
    <oddHeader>&amp;R&amp;10&amp;P/&amp;N</oddHeader>
  </headerFooter>
  <rowBreaks count="7" manualBreakCount="7">
    <brk id="18" max="6" man="1"/>
    <brk id="46" max="6" man="1"/>
    <brk id="75" max="6" man="1"/>
    <brk id="133" max="6" man="1"/>
    <brk id="153" max="6" man="1"/>
    <brk id="174" max="6" man="1"/>
    <brk id="208" max="6"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EE04-8D34-4195-910F-2C5A881AF8CF}">
  <sheetPr>
    <tabColor indexed="10"/>
  </sheetPr>
  <dimension ref="A1:G53"/>
  <sheetViews>
    <sheetView view="pageBreakPreview" topLeftCell="A26" zoomScaleNormal="100" zoomScaleSheetLayoutView="100" workbookViewId="0">
      <selection activeCell="H56" sqref="H56"/>
    </sheetView>
  </sheetViews>
  <sheetFormatPr defaultColWidth="8.90625" defaultRowHeight="13.2"/>
  <cols>
    <col min="1" max="2" width="6" style="686" customWidth="1"/>
    <col min="3" max="3" width="6" style="682" customWidth="1"/>
    <col min="4" max="4" width="35.54296875" style="686" customWidth="1"/>
    <col min="5" max="7" width="6" style="686" customWidth="1"/>
    <col min="8" max="16384" width="8.90625" style="686"/>
  </cols>
  <sheetData>
    <row r="1" spans="1:7" s="685" customFormat="1" ht="18.75" customHeight="1">
      <c r="A1" s="680" t="s">
        <v>1623</v>
      </c>
      <c r="B1" s="681"/>
      <c r="C1" s="681"/>
      <c r="D1" s="681"/>
      <c r="E1" s="682"/>
      <c r="F1" s="683"/>
      <c r="G1" s="684" t="s">
        <v>1624</v>
      </c>
    </row>
    <row r="2" spans="1:7" s="685" customFormat="1" ht="5.0999999999999996" customHeight="1">
      <c r="A2" s="1162"/>
      <c r="B2" s="1162"/>
      <c r="C2" s="1162"/>
      <c r="D2" s="1162"/>
      <c r="E2" s="1162"/>
      <c r="F2" s="1162"/>
      <c r="G2" s="1162"/>
    </row>
    <row r="3" spans="1:7" ht="5.0999999999999996" customHeight="1">
      <c r="C3" s="686"/>
    </row>
    <row r="5" spans="1:7" ht="14.4">
      <c r="A5" s="687" t="s">
        <v>1625</v>
      </c>
      <c r="B5" s="688"/>
      <c r="C5" s="689"/>
      <c r="D5" s="690" t="s">
        <v>1626</v>
      </c>
    </row>
    <row r="6" spans="1:7" ht="14.4">
      <c r="A6" s="688"/>
      <c r="B6" s="688"/>
      <c r="C6" s="689"/>
      <c r="D6" s="688" t="s">
        <v>1627</v>
      </c>
    </row>
    <row r="7" spans="1:7" ht="14.4">
      <c r="A7" s="688"/>
      <c r="B7" s="688"/>
      <c r="C7" s="689"/>
      <c r="D7" s="688"/>
    </row>
    <row r="8" spans="1:7" ht="14.4">
      <c r="A8" s="687" t="s">
        <v>1628</v>
      </c>
      <c r="B8" s="688"/>
      <c r="C8" s="689"/>
      <c r="D8" s="690" t="s">
        <v>910</v>
      </c>
    </row>
    <row r="9" spans="1:7" ht="14.4">
      <c r="A9" s="688"/>
      <c r="B9" s="688"/>
      <c r="C9" s="689"/>
      <c r="D9" s="688" t="s">
        <v>1629</v>
      </c>
    </row>
    <row r="10" spans="1:7" ht="14.4">
      <c r="C10" s="686"/>
      <c r="D10" s="688" t="s">
        <v>1630</v>
      </c>
    </row>
    <row r="11" spans="1:7" ht="14.4">
      <c r="D11" s="688"/>
    </row>
    <row r="13" spans="1:7" ht="14.4">
      <c r="A13" s="688"/>
      <c r="B13" s="688"/>
      <c r="C13" s="689"/>
      <c r="D13" s="688"/>
    </row>
    <row r="14" spans="1:7" ht="14.4">
      <c r="A14" s="688"/>
      <c r="B14" s="688"/>
      <c r="C14" s="689"/>
      <c r="D14" s="688"/>
    </row>
    <row r="15" spans="1:7" ht="14.4">
      <c r="A15" s="688"/>
      <c r="B15" s="688"/>
      <c r="C15" s="689"/>
      <c r="D15" s="688"/>
    </row>
    <row r="16" spans="1:7" ht="14.4">
      <c r="A16" s="687" t="s">
        <v>1631</v>
      </c>
      <c r="B16" s="688"/>
      <c r="C16" s="689"/>
      <c r="D16" s="691" t="s">
        <v>1632</v>
      </c>
    </row>
    <row r="17" spans="1:4" ht="14.4">
      <c r="A17" s="687"/>
      <c r="B17" s="688"/>
      <c r="C17" s="689"/>
      <c r="D17" s="692"/>
    </row>
    <row r="18" spans="1:4" ht="14.4">
      <c r="A18" s="687" t="s">
        <v>1633</v>
      </c>
      <c r="B18" s="688"/>
      <c r="C18" s="689"/>
      <c r="D18" s="692" t="s">
        <v>1634</v>
      </c>
    </row>
    <row r="25" spans="1:4" ht="17.399999999999999">
      <c r="D25" s="693" t="s">
        <v>1635</v>
      </c>
    </row>
    <row r="33" spans="1:4" ht="14.4">
      <c r="A33" s="688"/>
      <c r="B33" s="688"/>
      <c r="C33" s="689"/>
      <c r="D33" s="694"/>
    </row>
    <row r="34" spans="1:4" ht="14.4">
      <c r="A34" s="688"/>
      <c r="B34" s="688"/>
      <c r="C34" s="689"/>
      <c r="D34" s="688"/>
    </row>
    <row r="35" spans="1:4" ht="14.4">
      <c r="A35" s="688"/>
      <c r="B35" s="688"/>
      <c r="C35" s="689"/>
      <c r="D35" s="688"/>
    </row>
    <row r="36" spans="1:4" ht="14.4">
      <c r="A36" s="688"/>
      <c r="B36" s="688"/>
      <c r="C36" s="689"/>
      <c r="D36" s="688"/>
    </row>
    <row r="37" spans="1:4" ht="14.4">
      <c r="A37" s="688"/>
      <c r="B37" s="688"/>
      <c r="C37" s="689"/>
      <c r="D37" s="688"/>
    </row>
    <row r="38" spans="1:4" ht="14.4">
      <c r="A38" s="687" t="s">
        <v>1636</v>
      </c>
      <c r="B38" s="688"/>
      <c r="C38" s="689"/>
      <c r="D38" s="688" t="s">
        <v>1637</v>
      </c>
    </row>
    <row r="39" spans="1:4" ht="14.4">
      <c r="A39" s="688"/>
      <c r="B39" s="688"/>
      <c r="C39" s="689"/>
      <c r="D39" s="688"/>
    </row>
    <row r="40" spans="1:4" ht="14.4">
      <c r="A40" s="688"/>
      <c r="B40" s="688"/>
      <c r="C40" s="689"/>
      <c r="D40" s="688"/>
    </row>
    <row r="41" spans="1:4" ht="14.4">
      <c r="A41" s="687" t="s">
        <v>1638</v>
      </c>
      <c r="B41" s="688"/>
      <c r="C41" s="689"/>
      <c r="D41" s="695" t="s">
        <v>1639</v>
      </c>
    </row>
    <row r="42" spans="1:4" ht="14.4">
      <c r="A42" s="687"/>
      <c r="B42" s="688"/>
      <c r="C42" s="689"/>
      <c r="D42" s="695"/>
    </row>
    <row r="43" spans="1:4" ht="14.4">
      <c r="A43" s="687"/>
      <c r="B43" s="688"/>
      <c r="C43" s="689"/>
      <c r="D43" s="695"/>
    </row>
    <row r="44" spans="1:4" ht="14.4">
      <c r="A44" s="687" t="s">
        <v>1640</v>
      </c>
      <c r="B44" s="688"/>
      <c r="C44" s="689"/>
      <c r="D44" s="695" t="s">
        <v>1639</v>
      </c>
    </row>
    <row r="45" spans="1:4" ht="14.4">
      <c r="A45" s="687"/>
      <c r="B45" s="688"/>
      <c r="C45" s="689"/>
      <c r="D45" s="688"/>
    </row>
    <row r="46" spans="1:4" ht="14.4">
      <c r="A46" s="687"/>
      <c r="B46" s="688"/>
      <c r="C46" s="689"/>
      <c r="D46" s="688"/>
    </row>
    <row r="47" spans="1:4" ht="14.4">
      <c r="A47" s="687"/>
      <c r="B47" s="688"/>
      <c r="C47" s="689"/>
      <c r="D47" s="688"/>
    </row>
    <row r="48" spans="1:4" ht="14.4">
      <c r="A48" s="687"/>
      <c r="B48" s="688"/>
      <c r="C48" s="689"/>
      <c r="D48" s="688"/>
    </row>
    <row r="50" spans="1:4" ht="14.4">
      <c r="A50" s="687" t="s">
        <v>1641</v>
      </c>
      <c r="B50" s="688"/>
      <c r="C50" s="689"/>
      <c r="D50" s="688" t="s">
        <v>1642</v>
      </c>
    </row>
    <row r="51" spans="1:4" ht="14.4">
      <c r="A51" s="687"/>
      <c r="B51" s="688"/>
      <c r="C51" s="689"/>
      <c r="D51" s="688"/>
    </row>
    <row r="52" spans="1:4" ht="14.4">
      <c r="A52" s="687"/>
      <c r="B52" s="688"/>
      <c r="C52" s="689"/>
      <c r="D52" s="688"/>
    </row>
    <row r="53" spans="1:4" ht="14.4">
      <c r="A53" s="687" t="s">
        <v>1643</v>
      </c>
      <c r="B53" s="688"/>
      <c r="C53" s="689"/>
      <c r="D53" s="692" t="s">
        <v>1644</v>
      </c>
    </row>
  </sheetData>
  <sheetProtection algorithmName="SHA-512" hashValue="MTs8uA65x5jyUS9IEIK0RFnPOCC6jEqZ2+84fHobk+DTvZoPwml04XeAw4Q0ZaZnipF7iihJUxZGgOKauMfxeQ==" saltValue="ay5O9vYU4xmRU97KUH8ocQ==" spinCount="100000" sheet="1" objects="1" scenarios="1"/>
  <mergeCells count="1">
    <mergeCell ref="A2:G2"/>
  </mergeCells>
  <pageMargins left="0.78740157480314965" right="0.39370078740157483" top="0.39370078740157483" bottom="0.59055118110236227" header="0.39370078740157483" footer="0.39370078740157483"/>
  <pageSetup paperSize="9"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3C0A-E599-45C6-89D2-F75591C7A344}">
  <sheetPr>
    <tabColor rgb="FFFF0000"/>
  </sheetPr>
  <dimension ref="A1:C24"/>
  <sheetViews>
    <sheetView view="pageLayout" zoomScaleNormal="100" zoomScaleSheetLayoutView="100" workbookViewId="0">
      <selection activeCell="H56" sqref="H56"/>
    </sheetView>
  </sheetViews>
  <sheetFormatPr defaultColWidth="8.90625" defaultRowHeight="13.2"/>
  <cols>
    <col min="1" max="1" width="2.90625" style="686" customWidth="1"/>
    <col min="2" max="2" width="59.1796875" style="686" customWidth="1"/>
    <col min="3" max="3" width="2.90625" style="686" customWidth="1"/>
    <col min="4" max="16384" width="8.90625" style="686"/>
  </cols>
  <sheetData>
    <row r="1" spans="1:3" s="685" customFormat="1" ht="18" customHeight="1">
      <c r="A1" s="680" t="s">
        <v>1623</v>
      </c>
      <c r="B1" s="681"/>
      <c r="C1" s="684" t="s">
        <v>1624</v>
      </c>
    </row>
    <row r="2" spans="1:3" s="685" customFormat="1" ht="2.25" customHeight="1">
      <c r="A2" s="1163"/>
      <c r="B2" s="1163"/>
      <c r="C2" s="1163"/>
    </row>
    <row r="3" spans="1:3" s="685" customFormat="1">
      <c r="A3" s="696"/>
      <c r="B3" s="697"/>
      <c r="C3" s="697"/>
    </row>
    <row r="4" spans="1:3" ht="14.4">
      <c r="A4" s="698"/>
      <c r="B4" s="699" t="s">
        <v>1645</v>
      </c>
      <c r="C4" s="700"/>
    </row>
    <row r="5" spans="1:3" s="703" customFormat="1" ht="16.2">
      <c r="A5" s="701"/>
      <c r="B5" s="695"/>
      <c r="C5" s="702"/>
    </row>
    <row r="6" spans="1:3" s="703" customFormat="1" ht="165.6">
      <c r="B6" s="704" t="s">
        <v>1646</v>
      </c>
    </row>
    <row r="7" spans="1:3" ht="13.8">
      <c r="A7" s="698"/>
      <c r="B7" s="705" t="s">
        <v>1647</v>
      </c>
      <c r="C7" s="700"/>
    </row>
    <row r="8" spans="1:3" ht="13.8">
      <c r="A8" s="698"/>
      <c r="B8" s="706" t="s">
        <v>1648</v>
      </c>
      <c r="C8" s="700"/>
    </row>
    <row r="9" spans="1:3" ht="13.8">
      <c r="A9" s="707"/>
      <c r="B9" s="706" t="s">
        <v>1649</v>
      </c>
      <c r="C9" s="708"/>
    </row>
    <row r="10" spans="1:3" ht="13.8">
      <c r="A10" s="707"/>
      <c r="B10" s="706" t="s">
        <v>1650</v>
      </c>
      <c r="C10" s="708"/>
    </row>
    <row r="11" spans="1:3" ht="13.8">
      <c r="A11" s="707"/>
      <c r="B11" s="706" t="s">
        <v>1651</v>
      </c>
      <c r="C11" s="708"/>
    </row>
    <row r="12" spans="1:3" ht="13.8">
      <c r="A12" s="707"/>
      <c r="B12" s="706" t="s">
        <v>1652</v>
      </c>
      <c r="C12" s="708"/>
    </row>
    <row r="13" spans="1:3" ht="13.8">
      <c r="A13" s="707"/>
      <c r="B13" s="706" t="s">
        <v>1653</v>
      </c>
      <c r="C13" s="708"/>
    </row>
    <row r="14" spans="1:3" ht="13.8">
      <c r="A14" s="707"/>
      <c r="B14" s="706" t="s">
        <v>1654</v>
      </c>
      <c r="C14" s="708"/>
    </row>
    <row r="15" spans="1:3" ht="13.8">
      <c r="A15" s="707"/>
      <c r="B15" s="706" t="s">
        <v>1655</v>
      </c>
      <c r="C15" s="708"/>
    </row>
    <row r="16" spans="1:3" ht="13.8">
      <c r="A16" s="707"/>
      <c r="B16" s="706" t="s">
        <v>1656</v>
      </c>
      <c r="C16" s="708"/>
    </row>
    <row r="17" spans="1:3" ht="13.8">
      <c r="A17" s="707"/>
      <c r="B17" s="706" t="s">
        <v>1657</v>
      </c>
      <c r="C17" s="708"/>
    </row>
    <row r="18" spans="1:3" ht="13.8">
      <c r="A18" s="707"/>
      <c r="B18" s="706" t="s">
        <v>1658</v>
      </c>
      <c r="C18" s="708"/>
    </row>
    <row r="19" spans="1:3" ht="13.8">
      <c r="A19" s="707"/>
      <c r="B19" s="706" t="s">
        <v>1659</v>
      </c>
      <c r="C19" s="708"/>
    </row>
    <row r="20" spans="1:3" ht="13.8">
      <c r="A20" s="707"/>
      <c r="B20" s="706" t="s">
        <v>1660</v>
      </c>
      <c r="C20" s="708"/>
    </row>
    <row r="21" spans="1:3" ht="13.8">
      <c r="A21" s="707"/>
      <c r="B21" s="706" t="s">
        <v>1661</v>
      </c>
      <c r="C21" s="708"/>
    </row>
    <row r="22" spans="1:3" ht="13.8">
      <c r="A22" s="707"/>
      <c r="B22" s="709"/>
      <c r="C22" s="708"/>
    </row>
    <row r="23" spans="1:3" ht="345">
      <c r="A23" s="707"/>
      <c r="B23" s="704" t="s">
        <v>1662</v>
      </c>
      <c r="C23" s="708"/>
    </row>
    <row r="24" spans="1:3">
      <c r="A24" s="707"/>
      <c r="B24" s="710"/>
      <c r="C24" s="708"/>
    </row>
  </sheetData>
  <sheetProtection algorithmName="SHA-512" hashValue="2zlJ4o2NYLl+E/AcX8tNjPw2Q8l9XyI9qAiP7lcPH/6FsEpPJLK1HFT43TrZaVdi95mvqG+tzB6/nq1x7NIWNw==" saltValue="9YgnBa47/IMXcOLtFQEw4g==" spinCount="100000" sheet="1" objects="1" scenarios="1"/>
  <mergeCells count="1">
    <mergeCell ref="A2:C2"/>
  </mergeCells>
  <printOptions horizontalCentered="1"/>
  <pageMargins left="0.78740157480314965" right="0.39370078740157483" top="0.39370078740157483" bottom="0.59055118110236227" header="0.39370078740157483" footer="0.39370078740157483"/>
  <pageSetup paperSize="9" orientation="portrait" horizontalDpi="300" verticalDpi="300" r:id="rId1"/>
  <headerFooter scaleWithDoc="0">
    <oddFooter>&amp;C&amp;"ISOCPEUR,Regular"&amp;9POS Ivanić – Grad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C8FF-51DE-496D-8B09-4EF926CCA6FE}">
  <sheetPr>
    <tabColor rgb="FFFF0000"/>
  </sheetPr>
  <dimension ref="A1:G75"/>
  <sheetViews>
    <sheetView view="pageBreakPreview" topLeftCell="A60" zoomScaleNormal="100" zoomScaleSheetLayoutView="100" workbookViewId="0">
      <selection activeCell="E71" sqref="E71"/>
    </sheetView>
  </sheetViews>
  <sheetFormatPr defaultColWidth="8.90625" defaultRowHeight="13.2"/>
  <cols>
    <col min="1" max="1" width="4.453125" style="686" customWidth="1"/>
    <col min="2" max="2" width="31.6328125" style="686" customWidth="1"/>
    <col min="3" max="3" width="5" style="686" customWidth="1"/>
    <col min="4" max="4" width="6.81640625" style="686" customWidth="1"/>
    <col min="5" max="5" width="9.90625" style="686" customWidth="1"/>
    <col min="6" max="6" width="13" style="686" customWidth="1"/>
    <col min="7" max="16384" width="8.90625" style="686"/>
  </cols>
  <sheetData>
    <row r="1" spans="1:7" s="685" customFormat="1" ht="17.25" customHeight="1">
      <c r="A1" s="680" t="s">
        <v>1623</v>
      </c>
      <c r="B1" s="681"/>
      <c r="C1" s="681"/>
      <c r="D1" s="681"/>
      <c r="E1" s="682"/>
      <c r="F1" s="684" t="s">
        <v>1624</v>
      </c>
      <c r="G1" s="711"/>
    </row>
    <row r="2" spans="1:7" s="685" customFormat="1" ht="2.25" customHeight="1">
      <c r="A2" s="1163"/>
      <c r="B2" s="1163"/>
      <c r="C2" s="1163"/>
      <c r="D2" s="1163"/>
      <c r="E2" s="1163"/>
      <c r="F2" s="1163"/>
    </row>
    <row r="3" spans="1:7" ht="5.0999999999999996" customHeight="1"/>
    <row r="4" spans="1:7" s="714" customFormat="1" ht="15" customHeight="1">
      <c r="A4" s="712" t="s">
        <v>1663</v>
      </c>
      <c r="B4" s="713" t="s">
        <v>1664</v>
      </c>
      <c r="C4" s="713" t="s">
        <v>1665</v>
      </c>
      <c r="D4" s="713" t="s">
        <v>1666</v>
      </c>
      <c r="E4" s="713" t="s">
        <v>1667</v>
      </c>
      <c r="F4" s="713" t="s">
        <v>1668</v>
      </c>
    </row>
    <row r="5" spans="1:7" s="717" customFormat="1" ht="12">
      <c r="A5" s="715">
        <v>1</v>
      </c>
      <c r="B5" s="716">
        <v>2</v>
      </c>
      <c r="C5" s="716">
        <v>3</v>
      </c>
      <c r="D5" s="716">
        <v>4</v>
      </c>
      <c r="E5" s="716">
        <v>5</v>
      </c>
      <c r="F5" s="716" t="s">
        <v>1669</v>
      </c>
    </row>
    <row r="6" spans="1:7">
      <c r="E6" s="1105"/>
      <c r="F6" s="718" t="str">
        <f>IF(OR(OR(E6=0,E6=" "),OR(D6=0,D6=" "))," ",D6*E6)</f>
        <v xml:space="preserve"> </v>
      </c>
    </row>
    <row r="7" spans="1:7" ht="13.8">
      <c r="A7" s="719" t="s">
        <v>128</v>
      </c>
      <c r="B7" s="720" t="s">
        <v>1670</v>
      </c>
      <c r="C7" s="721"/>
      <c r="D7" s="721"/>
      <c r="E7" s="1106"/>
      <c r="F7" s="721"/>
    </row>
    <row r="8" spans="1:7" ht="13.8">
      <c r="A8" s="722"/>
      <c r="B8" s="723"/>
      <c r="C8" s="724"/>
      <c r="D8" s="721"/>
      <c r="E8" s="1106"/>
      <c r="F8" s="721"/>
    </row>
    <row r="9" spans="1:7" ht="124.2">
      <c r="A9" s="722" t="s">
        <v>128</v>
      </c>
      <c r="B9" s="725" t="s">
        <v>1671</v>
      </c>
      <c r="C9" s="724" t="s">
        <v>572</v>
      </c>
      <c r="D9" s="721">
        <v>1</v>
      </c>
      <c r="E9" s="1107">
        <v>1245</v>
      </c>
      <c r="F9" s="472">
        <f>D9*E9</f>
        <v>1245</v>
      </c>
    </row>
    <row r="10" spans="1:7" ht="41.4">
      <c r="A10" s="722" t="s">
        <v>1672</v>
      </c>
      <c r="B10" s="725" t="s">
        <v>1673</v>
      </c>
      <c r="C10" s="724" t="s">
        <v>391</v>
      </c>
      <c r="D10" s="727">
        <v>3</v>
      </c>
      <c r="E10" s="1105"/>
      <c r="F10" s="726"/>
    </row>
    <row r="11" spans="1:7" ht="27.6">
      <c r="A11" s="722" t="s">
        <v>1672</v>
      </c>
      <c r="B11" s="725" t="s">
        <v>1674</v>
      </c>
      <c r="C11" s="724" t="s">
        <v>391</v>
      </c>
      <c r="D11" s="727">
        <v>3</v>
      </c>
      <c r="E11" s="1106"/>
      <c r="F11" s="726"/>
    </row>
    <row r="12" spans="1:7" ht="13.8">
      <c r="A12" s="722" t="s">
        <v>1672</v>
      </c>
      <c r="B12" s="725" t="s">
        <v>1675</v>
      </c>
      <c r="C12" s="724" t="s">
        <v>391</v>
      </c>
      <c r="D12" s="727">
        <v>2</v>
      </c>
      <c r="E12" s="1106"/>
      <c r="F12" s="726"/>
    </row>
    <row r="13" spans="1:7" ht="27.6">
      <c r="A13" s="722" t="s">
        <v>1672</v>
      </c>
      <c r="B13" s="725" t="s">
        <v>1676</v>
      </c>
      <c r="C13" s="724" t="s">
        <v>391</v>
      </c>
      <c r="D13" s="727">
        <v>1</v>
      </c>
      <c r="E13" s="1107"/>
    </row>
    <row r="14" spans="1:7" ht="82.8">
      <c r="A14" s="722" t="s">
        <v>1672</v>
      </c>
      <c r="B14" s="725" t="s">
        <v>1677</v>
      </c>
      <c r="C14" s="724"/>
      <c r="D14" s="727"/>
      <c r="E14" s="1107"/>
    </row>
    <row r="15" spans="1:7" ht="13.8">
      <c r="A15" s="722"/>
      <c r="B15" s="725"/>
      <c r="C15" s="724"/>
      <c r="D15" s="727"/>
      <c r="E15" s="1107"/>
    </row>
    <row r="16" spans="1:7" ht="124.2">
      <c r="A16" s="728" t="s">
        <v>231</v>
      </c>
      <c r="B16" s="725" t="s">
        <v>1678</v>
      </c>
      <c r="C16" s="724" t="s">
        <v>572</v>
      </c>
      <c r="D16" s="721">
        <v>1</v>
      </c>
      <c r="E16" s="1107">
        <v>2223</v>
      </c>
      <c r="F16" s="472">
        <f>D16*E16</f>
        <v>2223</v>
      </c>
    </row>
    <row r="17" spans="1:6" ht="41.4">
      <c r="A17" s="728" t="s">
        <v>1672</v>
      </c>
      <c r="B17" s="725" t="s">
        <v>1679</v>
      </c>
      <c r="C17" s="724" t="s">
        <v>391</v>
      </c>
      <c r="D17" s="727">
        <v>3</v>
      </c>
      <c r="E17" s="1107"/>
    </row>
    <row r="18" spans="1:6" ht="13.8">
      <c r="A18" s="728" t="s">
        <v>1672</v>
      </c>
      <c r="B18" s="725" t="s">
        <v>1680</v>
      </c>
      <c r="C18" s="724" t="s">
        <v>391</v>
      </c>
      <c r="D18" s="727">
        <v>3</v>
      </c>
      <c r="E18" s="1107"/>
    </row>
    <row r="19" spans="1:6" ht="82.8">
      <c r="A19" s="728" t="s">
        <v>1672</v>
      </c>
      <c r="B19" s="725" t="s">
        <v>1677</v>
      </c>
      <c r="C19" s="724"/>
      <c r="D19" s="721"/>
      <c r="E19" s="1107"/>
    </row>
    <row r="20" spans="1:6" ht="13.8">
      <c r="A20" s="728"/>
      <c r="B20" s="729"/>
      <c r="C20" s="724"/>
      <c r="D20" s="724"/>
      <c r="E20" s="1107"/>
    </row>
    <row r="21" spans="1:6" ht="124.2">
      <c r="A21" s="722" t="s">
        <v>93</v>
      </c>
      <c r="B21" s="725" t="s">
        <v>1681</v>
      </c>
      <c r="C21" s="724" t="s">
        <v>572</v>
      </c>
      <c r="D21" s="721">
        <v>7</v>
      </c>
      <c r="E21" s="1107">
        <v>2199</v>
      </c>
      <c r="F21" s="472">
        <f>D21*E21</f>
        <v>15393</v>
      </c>
    </row>
    <row r="22" spans="1:6" ht="41.4">
      <c r="A22" s="722" t="s">
        <v>1672</v>
      </c>
      <c r="B22" s="725" t="s">
        <v>1679</v>
      </c>
      <c r="C22" s="724" t="s">
        <v>391</v>
      </c>
      <c r="D22" s="727">
        <v>2</v>
      </c>
      <c r="E22" s="1107"/>
    </row>
    <row r="23" spans="1:6" ht="13.8">
      <c r="A23" s="722" t="s">
        <v>1672</v>
      </c>
      <c r="B23" s="725" t="s">
        <v>1680</v>
      </c>
      <c r="C23" s="724" t="s">
        <v>391</v>
      </c>
      <c r="D23" s="727">
        <v>2</v>
      </c>
      <c r="E23" s="1107"/>
    </row>
    <row r="24" spans="1:6" ht="82.8">
      <c r="A24" s="728" t="s">
        <v>1672</v>
      </c>
      <c r="B24" s="725" t="s">
        <v>1677</v>
      </c>
      <c r="C24" s="724"/>
      <c r="D24" s="721"/>
      <c r="E24" s="1107"/>
    </row>
    <row r="25" spans="1:6" ht="13.8">
      <c r="A25" s="722"/>
      <c r="B25" s="725"/>
      <c r="C25" s="724"/>
      <c r="D25" s="727"/>
      <c r="E25" s="1107"/>
    </row>
    <row r="26" spans="1:6" ht="124.2">
      <c r="A26" s="728" t="s">
        <v>320</v>
      </c>
      <c r="B26" s="730" t="s">
        <v>1682</v>
      </c>
      <c r="C26" s="724" t="s">
        <v>572</v>
      </c>
      <c r="D26" s="721">
        <v>1</v>
      </c>
      <c r="E26" s="1107">
        <v>2384</v>
      </c>
      <c r="F26" s="472">
        <f>D26*E26</f>
        <v>2384</v>
      </c>
    </row>
    <row r="27" spans="1:6" ht="27.6">
      <c r="A27" s="728" t="s">
        <v>1672</v>
      </c>
      <c r="B27" s="730" t="s">
        <v>1683</v>
      </c>
      <c r="C27" s="724" t="s">
        <v>391</v>
      </c>
      <c r="D27" s="727">
        <v>2</v>
      </c>
      <c r="E27" s="1107"/>
    </row>
    <row r="28" spans="1:6" ht="27.6">
      <c r="A28" s="728" t="s">
        <v>1672</v>
      </c>
      <c r="B28" s="730" t="s">
        <v>1684</v>
      </c>
      <c r="C28" s="724" t="s">
        <v>391</v>
      </c>
      <c r="D28" s="727">
        <v>1</v>
      </c>
      <c r="E28" s="1107"/>
    </row>
    <row r="29" spans="1:6" ht="13.8">
      <c r="A29" s="728" t="s">
        <v>1672</v>
      </c>
      <c r="B29" s="730" t="s">
        <v>1685</v>
      </c>
      <c r="C29" s="724" t="s">
        <v>391</v>
      </c>
      <c r="D29" s="727">
        <v>1</v>
      </c>
      <c r="E29" s="1107"/>
    </row>
    <row r="30" spans="1:6" ht="13.8">
      <c r="A30" s="728" t="s">
        <v>1672</v>
      </c>
      <c r="B30" s="730" t="s">
        <v>1686</v>
      </c>
      <c r="C30" s="724" t="s">
        <v>391</v>
      </c>
      <c r="D30" s="727">
        <v>1</v>
      </c>
      <c r="E30" s="1107"/>
    </row>
    <row r="31" spans="1:6" ht="13.8">
      <c r="A31" s="728" t="s">
        <v>1672</v>
      </c>
      <c r="B31" s="730" t="s">
        <v>1687</v>
      </c>
      <c r="C31" s="724" t="s">
        <v>391</v>
      </c>
      <c r="D31" s="727">
        <v>2</v>
      </c>
      <c r="E31" s="1107"/>
    </row>
    <row r="32" spans="1:6" ht="27.6">
      <c r="A32" s="728" t="s">
        <v>1672</v>
      </c>
      <c r="B32" s="730" t="s">
        <v>1688</v>
      </c>
      <c r="C32" s="724" t="s">
        <v>391</v>
      </c>
      <c r="D32" s="727">
        <v>2</v>
      </c>
      <c r="E32" s="1105"/>
    </row>
    <row r="33" spans="1:6" ht="27.6">
      <c r="A33" s="728" t="s">
        <v>1672</v>
      </c>
      <c r="B33" s="730" t="s">
        <v>1689</v>
      </c>
      <c r="C33" s="724" t="s">
        <v>391</v>
      </c>
      <c r="D33" s="727">
        <v>2</v>
      </c>
      <c r="E33" s="1106"/>
    </row>
    <row r="34" spans="1:6" ht="27.6">
      <c r="A34" s="728" t="s">
        <v>1672</v>
      </c>
      <c r="B34" s="730" t="s">
        <v>1690</v>
      </c>
      <c r="C34" s="724" t="s">
        <v>391</v>
      </c>
      <c r="D34" s="727">
        <v>15</v>
      </c>
      <c r="E34" s="1106"/>
    </row>
    <row r="35" spans="1:6" ht="27.6">
      <c r="A35" s="728" t="s">
        <v>1672</v>
      </c>
      <c r="B35" s="730" t="s">
        <v>1691</v>
      </c>
      <c r="C35" s="724" t="s">
        <v>391</v>
      </c>
      <c r="D35" s="727">
        <v>1</v>
      </c>
      <c r="E35" s="1105"/>
    </row>
    <row r="36" spans="1:6" ht="13.8">
      <c r="A36" s="728" t="s">
        <v>1672</v>
      </c>
      <c r="B36" s="730" t="s">
        <v>1692</v>
      </c>
      <c r="C36" s="724" t="s">
        <v>391</v>
      </c>
      <c r="D36" s="727">
        <v>8</v>
      </c>
      <c r="E36" s="1106"/>
    </row>
    <row r="37" spans="1:6" ht="13.8">
      <c r="A37" s="728" t="s">
        <v>1672</v>
      </c>
      <c r="B37" s="730" t="s">
        <v>1693</v>
      </c>
      <c r="C37" s="724" t="s">
        <v>391</v>
      </c>
      <c r="D37" s="727">
        <v>1</v>
      </c>
      <c r="E37" s="1106"/>
    </row>
    <row r="38" spans="1:6" ht="13.8">
      <c r="A38" s="728" t="s">
        <v>1672</v>
      </c>
      <c r="B38" s="730" t="s">
        <v>1694</v>
      </c>
      <c r="C38" s="724" t="s">
        <v>391</v>
      </c>
      <c r="D38" s="727">
        <v>1</v>
      </c>
      <c r="E38" s="1106"/>
    </row>
    <row r="39" spans="1:6" ht="13.8">
      <c r="A39" s="728" t="s">
        <v>1672</v>
      </c>
      <c r="B39" s="730" t="s">
        <v>1695</v>
      </c>
      <c r="C39" s="724" t="s">
        <v>391</v>
      </c>
      <c r="D39" s="727">
        <v>1</v>
      </c>
      <c r="E39" s="1106"/>
    </row>
    <row r="40" spans="1:6" ht="69">
      <c r="A40" s="728" t="s">
        <v>1672</v>
      </c>
      <c r="B40" s="730" t="s">
        <v>1696</v>
      </c>
      <c r="C40" s="724" t="s">
        <v>572</v>
      </c>
      <c r="D40" s="731">
        <v>1</v>
      </c>
      <c r="E40" s="1107"/>
    </row>
    <row r="41" spans="1:6" ht="13.8">
      <c r="A41" s="728"/>
      <c r="B41" s="729"/>
      <c r="C41" s="724"/>
      <c r="D41" s="724"/>
      <c r="E41" s="1107"/>
    </row>
    <row r="42" spans="1:6" ht="82.8">
      <c r="A42" s="728" t="s">
        <v>326</v>
      </c>
      <c r="B42" s="725" t="s">
        <v>1697</v>
      </c>
      <c r="C42" s="724" t="s">
        <v>572</v>
      </c>
      <c r="D42" s="721">
        <v>18</v>
      </c>
      <c r="E42" s="1107">
        <v>994</v>
      </c>
      <c r="F42" s="472">
        <f>D42*E42</f>
        <v>17892</v>
      </c>
    </row>
    <row r="43" spans="1:6" ht="27.6">
      <c r="A43" s="728" t="s">
        <v>1672</v>
      </c>
      <c r="B43" s="730" t="s">
        <v>1683</v>
      </c>
      <c r="C43" s="724" t="s">
        <v>391</v>
      </c>
      <c r="D43" s="727">
        <v>2</v>
      </c>
      <c r="E43" s="1107"/>
    </row>
    <row r="44" spans="1:6" ht="27.6">
      <c r="A44" s="728" t="s">
        <v>1672</v>
      </c>
      <c r="B44" s="730" t="s">
        <v>1684</v>
      </c>
      <c r="C44" s="724" t="s">
        <v>391</v>
      </c>
      <c r="D44" s="727">
        <v>1</v>
      </c>
      <c r="E44" s="1107"/>
    </row>
    <row r="45" spans="1:6" ht="13.8">
      <c r="A45" s="728" t="s">
        <v>1672</v>
      </c>
      <c r="B45" s="730" t="s">
        <v>1698</v>
      </c>
      <c r="C45" s="724" t="s">
        <v>391</v>
      </c>
      <c r="D45" s="727">
        <v>1</v>
      </c>
      <c r="E45" s="1107"/>
    </row>
    <row r="46" spans="1:6" ht="13.8">
      <c r="A46" s="728" t="s">
        <v>1672</v>
      </c>
      <c r="B46" s="730" t="s">
        <v>1686</v>
      </c>
      <c r="C46" s="724" t="s">
        <v>391</v>
      </c>
      <c r="D46" s="727">
        <v>1</v>
      </c>
      <c r="E46" s="1107"/>
    </row>
    <row r="47" spans="1:6" ht="13.8">
      <c r="A47" s="728" t="s">
        <v>1672</v>
      </c>
      <c r="B47" s="730" t="s">
        <v>1687</v>
      </c>
      <c r="C47" s="724" t="s">
        <v>391</v>
      </c>
      <c r="D47" s="727">
        <v>2</v>
      </c>
      <c r="E47" s="1107"/>
    </row>
    <row r="48" spans="1:6" ht="27.6">
      <c r="A48" s="728" t="s">
        <v>1672</v>
      </c>
      <c r="B48" s="730" t="s">
        <v>1688</v>
      </c>
      <c r="C48" s="724" t="s">
        <v>391</v>
      </c>
      <c r="D48" s="727">
        <v>2</v>
      </c>
      <c r="E48" s="1107"/>
    </row>
    <row r="49" spans="1:6" ht="27.6">
      <c r="A49" s="728" t="s">
        <v>1672</v>
      </c>
      <c r="B49" s="730" t="s">
        <v>1689</v>
      </c>
      <c r="C49" s="724" t="s">
        <v>391</v>
      </c>
      <c r="D49" s="727">
        <v>8</v>
      </c>
      <c r="E49" s="1107"/>
    </row>
    <row r="50" spans="1:6" ht="27.6">
      <c r="A50" s="728" t="s">
        <v>1672</v>
      </c>
      <c r="B50" s="730" t="s">
        <v>1690</v>
      </c>
      <c r="C50" s="724" t="s">
        <v>391</v>
      </c>
      <c r="D50" s="727">
        <v>6</v>
      </c>
      <c r="E50" s="1107"/>
    </row>
    <row r="51" spans="1:6" ht="69">
      <c r="A51" s="728" t="s">
        <v>1672</v>
      </c>
      <c r="B51" s="730" t="s">
        <v>1696</v>
      </c>
      <c r="C51" s="724" t="s">
        <v>572</v>
      </c>
      <c r="D51" s="731">
        <v>1</v>
      </c>
      <c r="E51" s="1107"/>
    </row>
    <row r="52" spans="1:6" ht="13.8">
      <c r="A52" s="722"/>
      <c r="B52" s="725"/>
      <c r="C52" s="724"/>
      <c r="D52" s="727"/>
      <c r="E52" s="1107"/>
    </row>
    <row r="53" spans="1:6" ht="13.8">
      <c r="A53" s="722" t="s">
        <v>284</v>
      </c>
      <c r="B53" s="730" t="s">
        <v>1699</v>
      </c>
      <c r="E53" s="1107"/>
    </row>
    <row r="54" spans="1:6" ht="13.8">
      <c r="A54" s="722"/>
      <c r="B54" s="732" t="s">
        <v>1700</v>
      </c>
      <c r="C54" s="724" t="s">
        <v>258</v>
      </c>
      <c r="D54" s="724">
        <v>55</v>
      </c>
      <c r="E54" s="1107">
        <v>49.5</v>
      </c>
      <c r="F54" s="472">
        <f>D54*E54</f>
        <v>2722.5</v>
      </c>
    </row>
    <row r="55" spans="1:6" ht="13.8">
      <c r="A55" s="722"/>
      <c r="B55" s="732" t="s">
        <v>1701</v>
      </c>
      <c r="C55" s="724" t="s">
        <v>258</v>
      </c>
      <c r="D55" s="724">
        <v>65</v>
      </c>
      <c r="E55" s="1107">
        <v>41.37</v>
      </c>
      <c r="F55" s="472">
        <f>D55*E55</f>
        <v>2689.0499999999997</v>
      </c>
    </row>
    <row r="56" spans="1:6" ht="13.8">
      <c r="A56" s="722"/>
      <c r="B56" s="732" t="s">
        <v>1702</v>
      </c>
      <c r="C56" s="724" t="s">
        <v>258</v>
      </c>
      <c r="D56" s="724">
        <v>210</v>
      </c>
      <c r="E56" s="1107">
        <v>21</v>
      </c>
      <c r="F56" s="472">
        <f>D56*E56</f>
        <v>4410</v>
      </c>
    </row>
    <row r="57" spans="1:6" ht="13.8">
      <c r="A57" s="722"/>
      <c r="B57" s="732" t="s">
        <v>1703</v>
      </c>
      <c r="C57" s="724" t="s">
        <v>258</v>
      </c>
      <c r="D57" s="724">
        <v>280</v>
      </c>
      <c r="E57" s="1107">
        <v>7.25</v>
      </c>
      <c r="F57" s="472">
        <f>D57*E57</f>
        <v>2030</v>
      </c>
    </row>
    <row r="58" spans="1:6" ht="13.8">
      <c r="A58" s="722"/>
      <c r="B58" s="732" t="s">
        <v>1704</v>
      </c>
      <c r="C58" s="724" t="s">
        <v>258</v>
      </c>
      <c r="D58" s="724">
        <v>30</v>
      </c>
      <c r="E58" s="1107">
        <v>6.44</v>
      </c>
      <c r="F58" s="472">
        <f>D58*E58</f>
        <v>193.20000000000002</v>
      </c>
    </row>
    <row r="59" spans="1:6" ht="13.8">
      <c r="A59" s="722"/>
      <c r="B59" s="725"/>
      <c r="C59" s="724"/>
      <c r="D59" s="727"/>
      <c r="E59" s="1106"/>
      <c r="F59" s="726"/>
    </row>
    <row r="60" spans="1:6" ht="207">
      <c r="A60" s="722" t="s">
        <v>461</v>
      </c>
      <c r="B60" s="730" t="s">
        <v>1705</v>
      </c>
      <c r="C60" s="724" t="s">
        <v>572</v>
      </c>
      <c r="D60" s="724">
        <v>27</v>
      </c>
      <c r="E60" s="1107">
        <v>478</v>
      </c>
      <c r="F60" s="472">
        <f>D60*E60</f>
        <v>12906</v>
      </c>
    </row>
    <row r="61" spans="1:6" ht="13.8">
      <c r="A61" s="722"/>
      <c r="E61" s="1107"/>
      <c r="F61" s="472"/>
    </row>
    <row r="62" spans="1:6" ht="82.8">
      <c r="A62" s="722" t="s">
        <v>4</v>
      </c>
      <c r="B62" s="730" t="s">
        <v>1706</v>
      </c>
      <c r="C62" s="724" t="s">
        <v>522</v>
      </c>
      <c r="D62" s="724">
        <v>48</v>
      </c>
      <c r="E62" s="1107">
        <v>60</v>
      </c>
      <c r="F62" s="472">
        <f>D62*E62</f>
        <v>2880</v>
      </c>
    </row>
    <row r="63" spans="1:6" ht="13.8">
      <c r="B63" s="730"/>
      <c r="C63" s="724"/>
      <c r="D63" s="724"/>
      <c r="E63" s="1107"/>
      <c r="F63" s="472"/>
    </row>
    <row r="64" spans="1:6" ht="41.4">
      <c r="A64" s="722" t="s">
        <v>402</v>
      </c>
      <c r="B64" s="730" t="s">
        <v>1707</v>
      </c>
      <c r="C64" s="724" t="s">
        <v>522</v>
      </c>
      <c r="D64" s="724">
        <v>48</v>
      </c>
      <c r="E64" s="1107">
        <v>20</v>
      </c>
      <c r="F64" s="472">
        <f>D64*E64</f>
        <v>960</v>
      </c>
    </row>
    <row r="65" spans="1:6" ht="13.8">
      <c r="A65" s="722"/>
      <c r="B65" s="730"/>
      <c r="C65" s="724"/>
      <c r="D65" s="724"/>
      <c r="E65" s="1107"/>
    </row>
    <row r="66" spans="1:6" ht="41.4">
      <c r="A66" s="722" t="s">
        <v>43</v>
      </c>
      <c r="B66" s="730" t="s">
        <v>1708</v>
      </c>
      <c r="C66" s="724" t="s">
        <v>522</v>
      </c>
      <c r="D66" s="724">
        <v>12</v>
      </c>
      <c r="E66" s="1107">
        <v>60</v>
      </c>
      <c r="F66" s="472">
        <f>D66*E66</f>
        <v>720</v>
      </c>
    </row>
    <row r="67" spans="1:6" ht="13.8">
      <c r="A67" s="722"/>
      <c r="C67" s="724"/>
      <c r="E67" s="1107"/>
      <c r="F67" s="472"/>
    </row>
    <row r="68" spans="1:6" ht="27.6">
      <c r="A68" s="722" t="s">
        <v>185</v>
      </c>
      <c r="B68" s="730" t="s">
        <v>1709</v>
      </c>
      <c r="C68" s="724" t="s">
        <v>572</v>
      </c>
      <c r="D68" s="724">
        <v>1</v>
      </c>
      <c r="E68" s="1107">
        <v>1500</v>
      </c>
      <c r="F68" s="472">
        <f>D68*E68</f>
        <v>1500</v>
      </c>
    </row>
    <row r="69" spans="1:6" ht="13.8">
      <c r="B69" s="729"/>
      <c r="C69" s="733"/>
      <c r="D69" s="733"/>
      <c r="E69" s="1107"/>
      <c r="F69" s="472"/>
    </row>
    <row r="70" spans="1:6" ht="27.6">
      <c r="A70" s="722" t="s">
        <v>397</v>
      </c>
      <c r="B70" s="730" t="s">
        <v>1710</v>
      </c>
      <c r="C70" s="724" t="s">
        <v>572</v>
      </c>
      <c r="D70" s="724">
        <v>1</v>
      </c>
      <c r="E70" s="1107">
        <v>1000</v>
      </c>
      <c r="F70" s="472">
        <f>D70*E70</f>
        <v>1000</v>
      </c>
    </row>
    <row r="71" spans="1:6" ht="13.8">
      <c r="B71" s="734"/>
      <c r="E71" s="1106"/>
      <c r="F71" s="472"/>
    </row>
    <row r="72" spans="1:6" ht="13.8">
      <c r="A72" s="735"/>
      <c r="B72" s="736"/>
      <c r="C72" s="737"/>
      <c r="D72" s="737"/>
      <c r="E72" s="737"/>
      <c r="F72" s="737"/>
    </row>
    <row r="73" spans="1:6" ht="13.8">
      <c r="A73" s="728" t="s">
        <v>128</v>
      </c>
      <c r="B73" s="723" t="s">
        <v>1711</v>
      </c>
      <c r="E73" s="726"/>
      <c r="F73" s="472">
        <f>SUM(F7:F70)</f>
        <v>71147.75</v>
      </c>
    </row>
    <row r="74" spans="1:6" ht="13.8">
      <c r="A74" s="738"/>
      <c r="B74" s="739"/>
      <c r="C74" s="740"/>
      <c r="D74" s="740"/>
      <c r="E74" s="740"/>
      <c r="F74" s="740"/>
    </row>
    <row r="75" spans="1:6">
      <c r="A75" s="741"/>
      <c r="B75" s="742"/>
      <c r="C75" s="743"/>
      <c r="D75" s="744"/>
      <c r="E75" s="744"/>
      <c r="F75" s="745"/>
    </row>
  </sheetData>
  <mergeCells count="1">
    <mergeCell ref="A2:F2"/>
  </mergeCells>
  <printOptions horizontalCentered="1"/>
  <pageMargins left="0.78740157480314965" right="0.39370078740157483" top="0.39370078740157483" bottom="0.78740157480314965" header="0.39370078740157483" footer="0.39370078740157483"/>
  <pageSetup paperSize="9" orientation="portrait" horizontalDpi="300" verticalDpi="300" r:id="rId1"/>
  <headerFooter scaleWithDoc="0">
    <oddFooter>&amp;C&amp;"ISOCPEUR,Regular"&amp;9POS Ivanić – Grad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EE94-8E52-42C6-8627-48496D52B759}">
  <sheetPr>
    <tabColor rgb="FFFF0000"/>
  </sheetPr>
  <dimension ref="A1:IV79"/>
  <sheetViews>
    <sheetView showZeros="0" topLeftCell="A59" zoomScaleNormal="100" zoomScaleSheetLayoutView="100" zoomScalePageLayoutView="70" workbookViewId="0">
      <selection activeCell="E68" sqref="E68"/>
    </sheetView>
  </sheetViews>
  <sheetFormatPr defaultColWidth="8.90625" defaultRowHeight="13.2"/>
  <cols>
    <col min="1" max="1" width="4.453125" style="686" customWidth="1"/>
    <col min="2" max="2" width="31.6328125" style="686" customWidth="1"/>
    <col min="3" max="3" width="5.1796875" style="686" customWidth="1"/>
    <col min="4" max="4" width="6.81640625" style="686" customWidth="1"/>
    <col min="5" max="5" width="9.90625" style="686" customWidth="1"/>
    <col min="6" max="6" width="13" style="686" customWidth="1"/>
    <col min="7" max="16384" width="8.90625" style="686"/>
  </cols>
  <sheetData>
    <row r="1" spans="1:7" s="685" customFormat="1" ht="18" customHeight="1">
      <c r="A1" s="680" t="s">
        <v>1623</v>
      </c>
      <c r="B1" s="681"/>
      <c r="C1" s="681"/>
      <c r="D1" s="681"/>
      <c r="E1" s="682"/>
      <c r="F1" s="684" t="s">
        <v>1624</v>
      </c>
      <c r="G1" s="711"/>
    </row>
    <row r="2" spans="1:7" s="685" customFormat="1" ht="2.25" customHeight="1">
      <c r="A2" s="1163"/>
      <c r="B2" s="1163"/>
      <c r="C2" s="1163"/>
      <c r="D2" s="1163"/>
      <c r="E2" s="1163"/>
      <c r="F2" s="1163"/>
    </row>
    <row r="3" spans="1:7" ht="5.0999999999999996" customHeight="1"/>
    <row r="4" spans="1:7" s="714" customFormat="1" ht="15" customHeight="1">
      <c r="A4" s="712" t="s">
        <v>1663</v>
      </c>
      <c r="B4" s="713" t="s">
        <v>1664</v>
      </c>
      <c r="C4" s="713" t="s">
        <v>1665</v>
      </c>
      <c r="D4" s="713" t="s">
        <v>1666</v>
      </c>
      <c r="E4" s="713" t="s">
        <v>1667</v>
      </c>
      <c r="F4" s="713" t="s">
        <v>1668</v>
      </c>
    </row>
    <row r="5" spans="1:7" s="717" customFormat="1" ht="12">
      <c r="A5" s="715">
        <v>1</v>
      </c>
      <c r="B5" s="716">
        <v>2</v>
      </c>
      <c r="C5" s="716">
        <v>3</v>
      </c>
      <c r="D5" s="716">
        <v>4</v>
      </c>
      <c r="E5" s="716">
        <v>5</v>
      </c>
      <c r="F5" s="716" t="s">
        <v>1669</v>
      </c>
    </row>
    <row r="7" spans="1:7" ht="13.8">
      <c r="A7" s="719" t="s">
        <v>231</v>
      </c>
      <c r="B7" s="746" t="s">
        <v>1712</v>
      </c>
      <c r="D7" s="726"/>
      <c r="E7" s="1105"/>
      <c r="F7" s="721"/>
    </row>
    <row r="8" spans="1:7" ht="13.8">
      <c r="A8" s="719"/>
      <c r="B8" s="746"/>
      <c r="C8" s="721"/>
      <c r="D8" s="726"/>
      <c r="E8" s="1107"/>
      <c r="F8" s="721"/>
    </row>
    <row r="9" spans="1:7" ht="69">
      <c r="A9" s="719"/>
      <c r="B9" s="730" t="s">
        <v>1713</v>
      </c>
      <c r="C9" s="721"/>
      <c r="D9" s="726"/>
      <c r="E9" s="1107"/>
      <c r="F9" s="721"/>
    </row>
    <row r="10" spans="1:7" ht="13.8">
      <c r="D10" s="726"/>
      <c r="E10" s="1105"/>
      <c r="F10" s="721"/>
    </row>
    <row r="11" spans="1:7" ht="13.8">
      <c r="A11" s="719" t="s">
        <v>1714</v>
      </c>
      <c r="B11" s="746" t="s">
        <v>1715</v>
      </c>
      <c r="C11" s="747"/>
      <c r="D11" s="747"/>
      <c r="E11" s="1108"/>
      <c r="F11" s="721"/>
    </row>
    <row r="12" spans="1:7" ht="55.2">
      <c r="A12" s="748"/>
      <c r="B12" s="730" t="s">
        <v>1716</v>
      </c>
      <c r="C12" s="747"/>
      <c r="D12" s="747"/>
      <c r="E12" s="1107"/>
      <c r="F12" s="721"/>
    </row>
    <row r="13" spans="1:7" ht="69">
      <c r="A13" s="748"/>
      <c r="B13" s="723" t="s">
        <v>1717</v>
      </c>
      <c r="C13" s="747"/>
      <c r="D13" s="747"/>
      <c r="E13" s="1107"/>
      <c r="F13" s="721"/>
    </row>
    <row r="14" spans="1:7" ht="13.8">
      <c r="A14" s="728"/>
      <c r="B14" s="723"/>
      <c r="C14" s="721"/>
      <c r="D14" s="721"/>
      <c r="E14" s="1107"/>
      <c r="F14" s="749"/>
    </row>
    <row r="15" spans="1:7" s="750" customFormat="1" ht="220.8">
      <c r="A15" s="728" t="s">
        <v>128</v>
      </c>
      <c r="B15" s="723" t="s">
        <v>1718</v>
      </c>
      <c r="C15" s="721" t="s">
        <v>391</v>
      </c>
      <c r="D15" s="721">
        <v>36</v>
      </c>
      <c r="E15" s="1109">
        <v>57.5</v>
      </c>
      <c r="F15" s="472">
        <f t="shared" ref="F15:F31" si="0">D15*E15</f>
        <v>2070</v>
      </c>
    </row>
    <row r="16" spans="1:7" ht="220.8">
      <c r="A16" s="728" t="s">
        <v>231</v>
      </c>
      <c r="B16" s="723" t="s">
        <v>1719</v>
      </c>
      <c r="C16" s="721" t="s">
        <v>391</v>
      </c>
      <c r="D16" s="721">
        <v>9</v>
      </c>
      <c r="E16" s="1109">
        <v>50</v>
      </c>
      <c r="F16" s="472">
        <f t="shared" si="0"/>
        <v>450</v>
      </c>
    </row>
    <row r="17" spans="1:6" ht="110.4">
      <c r="A17" s="728" t="s">
        <v>93</v>
      </c>
      <c r="B17" s="723" t="s">
        <v>1720</v>
      </c>
      <c r="C17" s="721" t="s">
        <v>391</v>
      </c>
      <c r="D17" s="721">
        <v>18</v>
      </c>
      <c r="E17" s="1109">
        <v>41</v>
      </c>
      <c r="F17" s="472">
        <f t="shared" si="0"/>
        <v>738</v>
      </c>
    </row>
    <row r="18" spans="1:6" ht="193.2">
      <c r="A18" s="728" t="s">
        <v>320</v>
      </c>
      <c r="B18" s="723" t="s">
        <v>1721</v>
      </c>
      <c r="C18" s="721" t="s">
        <v>391</v>
      </c>
      <c r="D18" s="721">
        <v>22</v>
      </c>
      <c r="E18" s="1109">
        <v>91</v>
      </c>
      <c r="F18" s="472">
        <f t="shared" si="0"/>
        <v>2002</v>
      </c>
    </row>
    <row r="19" spans="1:6" ht="124.2">
      <c r="A19" s="728" t="s">
        <v>326</v>
      </c>
      <c r="B19" s="723" t="s">
        <v>1722</v>
      </c>
      <c r="C19" s="721" t="s">
        <v>391</v>
      </c>
      <c r="D19" s="721">
        <v>9</v>
      </c>
      <c r="E19" s="1109">
        <v>61</v>
      </c>
      <c r="F19" s="472">
        <f t="shared" si="0"/>
        <v>549</v>
      </c>
    </row>
    <row r="20" spans="1:6" ht="138">
      <c r="A20" s="728" t="s">
        <v>284</v>
      </c>
      <c r="B20" s="723" t="s">
        <v>1723</v>
      </c>
      <c r="C20" s="721" t="s">
        <v>391</v>
      </c>
      <c r="D20" s="721">
        <v>7</v>
      </c>
      <c r="E20" s="1109">
        <v>92</v>
      </c>
      <c r="F20" s="472">
        <f t="shared" si="0"/>
        <v>644</v>
      </c>
    </row>
    <row r="21" spans="1:6" ht="138">
      <c r="A21" s="728" t="s">
        <v>461</v>
      </c>
      <c r="B21" s="723" t="s">
        <v>1724</v>
      </c>
      <c r="C21" s="721" t="s">
        <v>391</v>
      </c>
      <c r="D21" s="721">
        <v>11</v>
      </c>
      <c r="E21" s="1109">
        <v>83</v>
      </c>
      <c r="F21" s="472">
        <f t="shared" si="0"/>
        <v>913</v>
      </c>
    </row>
    <row r="22" spans="1:6" ht="124.2">
      <c r="A22" s="728" t="s">
        <v>4</v>
      </c>
      <c r="B22" s="723" t="s">
        <v>1725</v>
      </c>
      <c r="C22" s="721" t="s">
        <v>391</v>
      </c>
      <c r="D22" s="721">
        <v>8</v>
      </c>
      <c r="E22" s="1109">
        <v>61</v>
      </c>
      <c r="F22" s="472">
        <f t="shared" si="0"/>
        <v>488</v>
      </c>
    </row>
    <row r="23" spans="1:6" ht="151.80000000000001">
      <c r="A23" s="728" t="s">
        <v>402</v>
      </c>
      <c r="B23" s="723" t="s">
        <v>1726</v>
      </c>
      <c r="C23" s="721" t="s">
        <v>391</v>
      </c>
      <c r="D23" s="721">
        <v>8</v>
      </c>
      <c r="E23" s="1109">
        <v>80.75</v>
      </c>
      <c r="F23" s="472">
        <f t="shared" si="0"/>
        <v>646</v>
      </c>
    </row>
    <row r="24" spans="1:6" ht="179.4">
      <c r="A24" s="728" t="s">
        <v>43</v>
      </c>
      <c r="B24" s="723" t="s">
        <v>1727</v>
      </c>
      <c r="C24" s="721" t="s">
        <v>391</v>
      </c>
      <c r="D24" s="721">
        <v>11</v>
      </c>
      <c r="E24" s="1109">
        <v>134</v>
      </c>
      <c r="F24" s="472">
        <f t="shared" si="0"/>
        <v>1474</v>
      </c>
    </row>
    <row r="25" spans="1:6" ht="179.4">
      <c r="A25" s="728" t="s">
        <v>185</v>
      </c>
      <c r="B25" s="723" t="s">
        <v>1728</v>
      </c>
      <c r="C25" s="721" t="s">
        <v>391</v>
      </c>
      <c r="D25" s="721">
        <v>4</v>
      </c>
      <c r="E25" s="1109">
        <v>134</v>
      </c>
      <c r="F25" s="472">
        <f t="shared" si="0"/>
        <v>536</v>
      </c>
    </row>
    <row r="26" spans="1:6" ht="13.8">
      <c r="A26" s="728" t="s">
        <v>397</v>
      </c>
      <c r="B26" s="751" t="s">
        <v>1729</v>
      </c>
      <c r="C26" s="721" t="s">
        <v>391</v>
      </c>
      <c r="D26" s="721">
        <v>18</v>
      </c>
      <c r="E26" s="1109">
        <v>39</v>
      </c>
      <c r="F26" s="472">
        <f t="shared" si="0"/>
        <v>702</v>
      </c>
    </row>
    <row r="27" spans="1:6" ht="13.8">
      <c r="A27" s="728" t="s">
        <v>109</v>
      </c>
      <c r="B27" s="751" t="s">
        <v>1730</v>
      </c>
      <c r="C27" s="721" t="s">
        <v>391</v>
      </c>
      <c r="D27" s="721">
        <v>18</v>
      </c>
      <c r="E27" s="1109">
        <v>30</v>
      </c>
      <c r="F27" s="472">
        <f t="shared" si="0"/>
        <v>540</v>
      </c>
    </row>
    <row r="28" spans="1:6" ht="13.8">
      <c r="A28" s="728">
        <v>14</v>
      </c>
      <c r="B28" s="751" t="s">
        <v>1731</v>
      </c>
      <c r="C28" s="721" t="s">
        <v>391</v>
      </c>
      <c r="D28" s="721">
        <v>18</v>
      </c>
      <c r="E28" s="1109">
        <v>90</v>
      </c>
      <c r="F28" s="472">
        <f t="shared" si="0"/>
        <v>1620</v>
      </c>
    </row>
    <row r="29" spans="1:6" ht="13.8">
      <c r="A29" s="728" t="s">
        <v>512</v>
      </c>
      <c r="B29" s="751" t="s">
        <v>1732</v>
      </c>
      <c r="C29" s="721" t="s">
        <v>391</v>
      </c>
      <c r="D29" s="721">
        <v>30</v>
      </c>
      <c r="E29" s="1109">
        <v>71</v>
      </c>
      <c r="F29" s="472">
        <f t="shared" si="0"/>
        <v>2130</v>
      </c>
    </row>
    <row r="30" spans="1:6" ht="13.8">
      <c r="A30" s="728" t="s">
        <v>513</v>
      </c>
      <c r="B30" s="751" t="s">
        <v>1733</v>
      </c>
      <c r="C30" s="721" t="s">
        <v>391</v>
      </c>
      <c r="D30" s="721">
        <v>18</v>
      </c>
      <c r="E30" s="1109">
        <v>80</v>
      </c>
      <c r="F30" s="472">
        <f t="shared" si="0"/>
        <v>1440</v>
      </c>
    </row>
    <row r="31" spans="1:6" ht="13.8">
      <c r="A31" s="728" t="s">
        <v>514</v>
      </c>
      <c r="B31" s="751" t="s">
        <v>1734</v>
      </c>
      <c r="C31" s="721" t="s">
        <v>391</v>
      </c>
      <c r="D31" s="721">
        <v>22</v>
      </c>
      <c r="E31" s="1109">
        <v>39</v>
      </c>
      <c r="F31" s="472">
        <f t="shared" si="0"/>
        <v>858</v>
      </c>
    </row>
    <row r="32" spans="1:6" s="752" customFormat="1" ht="13.8">
      <c r="A32" s="748"/>
      <c r="B32" s="730"/>
      <c r="C32" s="747"/>
      <c r="D32" s="721"/>
      <c r="E32" s="1107"/>
      <c r="F32" s="749"/>
    </row>
    <row r="33" spans="1:256" s="754" customFormat="1" ht="13.8">
      <c r="A33" s="719" t="s">
        <v>1735</v>
      </c>
      <c r="B33" s="753" t="s">
        <v>1736</v>
      </c>
      <c r="C33" s="747"/>
      <c r="D33" s="747"/>
      <c r="E33" s="1107"/>
      <c r="F33" s="749"/>
    </row>
    <row r="34" spans="1:256" s="754" customFormat="1" ht="55.2">
      <c r="A34" s="728">
        <v>1</v>
      </c>
      <c r="B34" s="730" t="s">
        <v>1737</v>
      </c>
      <c r="C34" s="747"/>
      <c r="D34" s="747"/>
      <c r="E34" s="1107"/>
      <c r="F34" s="749"/>
    </row>
    <row r="35" spans="1:256" ht="14.4">
      <c r="A35" s="688"/>
      <c r="B35" s="755" t="s">
        <v>1738</v>
      </c>
      <c r="C35" s="747"/>
      <c r="D35" s="747"/>
      <c r="E35" s="1107"/>
      <c r="F35" s="749"/>
      <c r="G35" s="741"/>
      <c r="H35" s="742"/>
      <c r="I35" s="743"/>
      <c r="J35" s="744"/>
      <c r="K35" s="744"/>
      <c r="L35" s="756"/>
      <c r="M35" s="741"/>
      <c r="N35" s="742"/>
      <c r="O35" s="743"/>
      <c r="P35" s="744"/>
      <c r="Q35" s="744"/>
      <c r="R35" s="756"/>
      <c r="S35" s="741"/>
      <c r="T35" s="742"/>
      <c r="U35" s="743"/>
      <c r="V35" s="744"/>
      <c r="W35" s="744"/>
      <c r="X35" s="756"/>
      <c r="Y35" s="741"/>
      <c r="Z35" s="742"/>
      <c r="AA35" s="743"/>
      <c r="AB35" s="744"/>
      <c r="AC35" s="744"/>
      <c r="AD35" s="756"/>
      <c r="AE35" s="741"/>
      <c r="AF35" s="742"/>
      <c r="AG35" s="743"/>
      <c r="AH35" s="744"/>
      <c r="AI35" s="744"/>
      <c r="AJ35" s="756"/>
      <c r="AK35" s="741"/>
      <c r="AL35" s="742"/>
      <c r="AM35" s="743"/>
      <c r="AN35" s="744"/>
      <c r="AO35" s="744"/>
      <c r="AP35" s="756"/>
      <c r="AQ35" s="741"/>
      <c r="AR35" s="742"/>
      <c r="AS35" s="743"/>
      <c r="AT35" s="744"/>
      <c r="AU35" s="744"/>
      <c r="AV35" s="756"/>
      <c r="AW35" s="741"/>
      <c r="AX35" s="742"/>
      <c r="AY35" s="743"/>
      <c r="AZ35" s="744"/>
      <c r="BA35" s="744"/>
      <c r="BB35" s="756"/>
      <c r="BC35" s="741"/>
      <c r="BD35" s="742"/>
      <c r="BE35" s="743"/>
      <c r="BF35" s="744"/>
      <c r="BG35" s="744"/>
      <c r="BH35" s="756"/>
      <c r="BI35" s="741"/>
      <c r="BJ35" s="742"/>
      <c r="BK35" s="743"/>
      <c r="BL35" s="744"/>
      <c r="BM35" s="744"/>
      <c r="BN35" s="756"/>
      <c r="BO35" s="741"/>
      <c r="BP35" s="742"/>
      <c r="BQ35" s="743"/>
      <c r="BR35" s="744"/>
      <c r="BS35" s="744"/>
      <c r="BT35" s="756"/>
      <c r="BU35" s="741"/>
      <c r="BV35" s="742"/>
      <c r="BW35" s="743"/>
      <c r="BX35" s="744"/>
      <c r="BY35" s="744"/>
      <c r="BZ35" s="756"/>
      <c r="CA35" s="741"/>
      <c r="CB35" s="742"/>
      <c r="CC35" s="743"/>
      <c r="CD35" s="744"/>
      <c r="CE35" s="744"/>
      <c r="CF35" s="756"/>
      <c r="CG35" s="741"/>
      <c r="CH35" s="742"/>
      <c r="CI35" s="743"/>
      <c r="CJ35" s="744"/>
      <c r="CK35" s="744"/>
      <c r="CL35" s="756"/>
      <c r="CM35" s="741"/>
      <c r="CN35" s="742"/>
      <c r="CO35" s="743"/>
      <c r="CP35" s="744"/>
      <c r="CQ35" s="744"/>
      <c r="CR35" s="756"/>
      <c r="CS35" s="741"/>
      <c r="CT35" s="742"/>
      <c r="CU35" s="743"/>
      <c r="CV35" s="744"/>
      <c r="CW35" s="744"/>
      <c r="CX35" s="756"/>
      <c r="CY35" s="741"/>
      <c r="CZ35" s="742"/>
      <c r="DA35" s="743"/>
      <c r="DB35" s="744"/>
      <c r="DC35" s="744"/>
      <c r="DD35" s="756"/>
      <c r="DE35" s="741"/>
      <c r="DF35" s="742"/>
      <c r="DG35" s="743"/>
      <c r="DH35" s="744"/>
      <c r="DI35" s="744"/>
      <c r="DJ35" s="756"/>
      <c r="DK35" s="741"/>
      <c r="DL35" s="742"/>
      <c r="DM35" s="743"/>
      <c r="DN35" s="744"/>
      <c r="DO35" s="744"/>
      <c r="DP35" s="756"/>
      <c r="DQ35" s="741"/>
      <c r="DR35" s="742"/>
      <c r="DS35" s="743"/>
      <c r="DT35" s="744"/>
      <c r="DU35" s="744"/>
      <c r="DV35" s="756"/>
      <c r="DW35" s="741"/>
      <c r="DX35" s="742"/>
      <c r="DY35" s="743"/>
      <c r="DZ35" s="744"/>
      <c r="EA35" s="744"/>
      <c r="EB35" s="756"/>
      <c r="EC35" s="741"/>
      <c r="ED35" s="742"/>
      <c r="EE35" s="743"/>
      <c r="EF35" s="744"/>
      <c r="EG35" s="744"/>
      <c r="EH35" s="756"/>
      <c r="EI35" s="741"/>
      <c r="EJ35" s="742"/>
      <c r="EK35" s="743"/>
      <c r="EL35" s="744"/>
      <c r="EM35" s="744"/>
      <c r="EN35" s="756"/>
      <c r="EO35" s="741"/>
      <c r="EP35" s="742"/>
      <c r="EQ35" s="743"/>
      <c r="ER35" s="744"/>
      <c r="ES35" s="744"/>
      <c r="ET35" s="756"/>
      <c r="EU35" s="741"/>
      <c r="EV35" s="742"/>
      <c r="EW35" s="743"/>
      <c r="EX35" s="744"/>
      <c r="EY35" s="744"/>
      <c r="EZ35" s="756"/>
      <c r="FA35" s="741"/>
      <c r="FB35" s="742"/>
      <c r="FC35" s="743"/>
      <c r="FD35" s="744"/>
      <c r="FE35" s="744"/>
      <c r="FF35" s="756"/>
      <c r="FG35" s="741"/>
      <c r="FH35" s="742"/>
      <c r="FI35" s="743"/>
      <c r="FJ35" s="744"/>
      <c r="FK35" s="744"/>
      <c r="FL35" s="756"/>
      <c r="FM35" s="741"/>
      <c r="FN35" s="742"/>
      <c r="FO35" s="743"/>
      <c r="FP35" s="744"/>
      <c r="FQ35" s="744"/>
      <c r="FR35" s="756"/>
      <c r="FS35" s="741"/>
      <c r="FT35" s="742"/>
      <c r="FU35" s="743"/>
      <c r="FV35" s="744"/>
      <c r="FW35" s="744"/>
      <c r="FX35" s="756"/>
      <c r="FY35" s="741"/>
      <c r="FZ35" s="742"/>
      <c r="GA35" s="743"/>
      <c r="GB35" s="744"/>
      <c r="GC35" s="744"/>
      <c r="GD35" s="756"/>
      <c r="GE35" s="741"/>
      <c r="GF35" s="742"/>
      <c r="GG35" s="743"/>
      <c r="GH35" s="744"/>
      <c r="GI35" s="744"/>
      <c r="GJ35" s="756"/>
      <c r="GK35" s="741"/>
      <c r="GL35" s="742"/>
      <c r="GM35" s="743"/>
      <c r="GN35" s="744"/>
      <c r="GO35" s="744"/>
      <c r="GP35" s="756"/>
      <c r="GQ35" s="741"/>
      <c r="GR35" s="742"/>
      <c r="GS35" s="743"/>
      <c r="GT35" s="744"/>
      <c r="GU35" s="744"/>
      <c r="GV35" s="756"/>
      <c r="GW35" s="741"/>
      <c r="GX35" s="742"/>
      <c r="GY35" s="743"/>
      <c r="GZ35" s="744"/>
      <c r="HA35" s="744"/>
      <c r="HB35" s="756"/>
      <c r="HC35" s="741"/>
      <c r="HD35" s="742"/>
      <c r="HE35" s="743"/>
      <c r="HF35" s="744"/>
      <c r="HG35" s="744"/>
      <c r="HH35" s="756"/>
      <c r="HI35" s="741"/>
      <c r="HJ35" s="742"/>
      <c r="HK35" s="743"/>
      <c r="HL35" s="744"/>
      <c r="HM35" s="744"/>
      <c r="HN35" s="756"/>
      <c r="HO35" s="741"/>
      <c r="HP35" s="742"/>
      <c r="HQ35" s="743"/>
      <c r="HR35" s="744"/>
      <c r="HS35" s="744"/>
      <c r="HT35" s="756"/>
      <c r="HU35" s="741"/>
      <c r="HV35" s="742"/>
      <c r="HW35" s="743"/>
      <c r="HX35" s="744"/>
      <c r="HY35" s="744"/>
      <c r="HZ35" s="756"/>
      <c r="IA35" s="741"/>
      <c r="IB35" s="742"/>
      <c r="IC35" s="743"/>
      <c r="ID35" s="744"/>
      <c r="IE35" s="744"/>
      <c r="IF35" s="756"/>
      <c r="IG35" s="741"/>
      <c r="IH35" s="742"/>
      <c r="II35" s="743"/>
      <c r="IJ35" s="744"/>
      <c r="IK35" s="744"/>
      <c r="IL35" s="756"/>
      <c r="IM35" s="741"/>
      <c r="IN35" s="742"/>
      <c r="IO35" s="743"/>
      <c r="IP35" s="744"/>
      <c r="IQ35" s="744"/>
      <c r="IR35" s="756"/>
      <c r="IS35" s="741"/>
      <c r="IT35" s="742"/>
      <c r="IU35" s="743"/>
      <c r="IV35" s="744"/>
    </row>
    <row r="36" spans="1:256" ht="13.8">
      <c r="A36" s="748"/>
      <c r="B36" s="757" t="s">
        <v>1739</v>
      </c>
      <c r="C36" s="721" t="s">
        <v>431</v>
      </c>
      <c r="D36" s="721">
        <v>22</v>
      </c>
      <c r="E36" s="1107">
        <v>15</v>
      </c>
      <c r="F36" s="472">
        <f t="shared" ref="F36:F43" si="1">D36*E36</f>
        <v>330</v>
      </c>
    </row>
    <row r="37" spans="1:256" ht="13.8">
      <c r="A37" s="748"/>
      <c r="B37" s="757" t="s">
        <v>1740</v>
      </c>
      <c r="C37" s="721" t="s">
        <v>431</v>
      </c>
      <c r="D37" s="721">
        <v>14</v>
      </c>
      <c r="E37" s="1107">
        <v>31</v>
      </c>
      <c r="F37" s="472">
        <f t="shared" si="1"/>
        <v>434</v>
      </c>
    </row>
    <row r="38" spans="1:256" ht="13.8">
      <c r="A38" s="748"/>
      <c r="B38" s="757" t="s">
        <v>1741</v>
      </c>
      <c r="C38" s="721" t="s">
        <v>431</v>
      </c>
      <c r="D38" s="721">
        <v>4</v>
      </c>
      <c r="E38" s="1107">
        <v>32</v>
      </c>
      <c r="F38" s="472">
        <f t="shared" si="1"/>
        <v>128</v>
      </c>
    </row>
    <row r="39" spans="1:256" ht="13.8">
      <c r="A39" s="748"/>
      <c r="B39" s="757" t="s">
        <v>1742</v>
      </c>
      <c r="C39" s="721" t="s">
        <v>431</v>
      </c>
      <c r="D39" s="721">
        <v>96</v>
      </c>
      <c r="E39" s="1107">
        <v>16</v>
      </c>
      <c r="F39" s="472">
        <f t="shared" si="1"/>
        <v>1536</v>
      </c>
    </row>
    <row r="40" spans="1:256" ht="13.8">
      <c r="A40" s="748"/>
      <c r="B40" s="757" t="s">
        <v>1743</v>
      </c>
      <c r="C40" s="721" t="s">
        <v>431</v>
      </c>
      <c r="D40" s="721">
        <v>22</v>
      </c>
      <c r="E40" s="1107">
        <v>32</v>
      </c>
      <c r="F40" s="472">
        <f t="shared" si="1"/>
        <v>704</v>
      </c>
    </row>
    <row r="41" spans="1:256" ht="13.8">
      <c r="A41" s="748"/>
      <c r="B41" s="757" t="s">
        <v>1744</v>
      </c>
      <c r="C41" s="721" t="s">
        <v>431</v>
      </c>
      <c r="D41" s="721">
        <v>18</v>
      </c>
      <c r="E41" s="1107">
        <v>47</v>
      </c>
      <c r="F41" s="472">
        <f t="shared" si="1"/>
        <v>846</v>
      </c>
    </row>
    <row r="42" spans="1:256" ht="13.8">
      <c r="A42" s="748"/>
      <c r="B42" s="757" t="s">
        <v>1745</v>
      </c>
      <c r="C42" s="721" t="s">
        <v>431</v>
      </c>
      <c r="D42" s="721">
        <v>25</v>
      </c>
      <c r="E42" s="1107">
        <v>15</v>
      </c>
      <c r="F42" s="472">
        <f t="shared" si="1"/>
        <v>375</v>
      </c>
    </row>
    <row r="43" spans="1:256" ht="13.8">
      <c r="A43" s="748"/>
      <c r="B43" s="757" t="s">
        <v>1746</v>
      </c>
      <c r="C43" s="721" t="s">
        <v>431</v>
      </c>
      <c r="D43" s="721">
        <v>2</v>
      </c>
      <c r="E43" s="1107">
        <v>89</v>
      </c>
      <c r="F43" s="472">
        <f t="shared" si="1"/>
        <v>178</v>
      </c>
    </row>
    <row r="44" spans="1:256" ht="13.8">
      <c r="A44" s="748"/>
      <c r="B44" s="729"/>
      <c r="C44" s="747"/>
      <c r="D44" s="747"/>
      <c r="E44" s="1105"/>
      <c r="F44" s="749"/>
    </row>
    <row r="45" spans="1:256" ht="14.4">
      <c r="A45" s="719" t="s">
        <v>1747</v>
      </c>
      <c r="B45" s="753" t="s">
        <v>1748</v>
      </c>
      <c r="C45" s="747"/>
      <c r="D45" s="747"/>
      <c r="E45" s="1107"/>
      <c r="F45" s="758"/>
    </row>
    <row r="46" spans="1:256" ht="41.4">
      <c r="A46" s="728">
        <v>1</v>
      </c>
      <c r="B46" s="730" t="s">
        <v>1749</v>
      </c>
      <c r="C46" s="747"/>
      <c r="D46" s="747"/>
      <c r="E46" s="1107"/>
      <c r="F46" s="726"/>
    </row>
    <row r="47" spans="1:256" ht="13.8">
      <c r="A47" s="728" t="s">
        <v>259</v>
      </c>
      <c r="B47" s="755" t="s">
        <v>1750</v>
      </c>
      <c r="C47" s="747"/>
      <c r="D47" s="747"/>
      <c r="E47" s="1107"/>
      <c r="F47" s="726"/>
      <c r="G47" s="741"/>
      <c r="H47" s="742"/>
      <c r="I47" s="743"/>
      <c r="J47" s="744"/>
      <c r="K47" s="744"/>
      <c r="L47" s="756"/>
      <c r="M47" s="741"/>
      <c r="N47" s="742"/>
      <c r="O47" s="743"/>
      <c r="P47" s="744"/>
      <c r="Q47" s="744"/>
      <c r="R47" s="756"/>
      <c r="S47" s="741"/>
      <c r="T47" s="742"/>
      <c r="U47" s="743"/>
      <c r="V47" s="744"/>
      <c r="W47" s="744"/>
      <c r="X47" s="756"/>
      <c r="Y47" s="741"/>
      <c r="Z47" s="742"/>
      <c r="AA47" s="743"/>
      <c r="AB47" s="744"/>
      <c r="AC47" s="744"/>
      <c r="AD47" s="756"/>
      <c r="AE47" s="741"/>
      <c r="AF47" s="742"/>
      <c r="AG47" s="743"/>
      <c r="AH47" s="744"/>
      <c r="AI47" s="744"/>
      <c r="AJ47" s="756"/>
      <c r="AK47" s="741"/>
      <c r="AL47" s="742"/>
      <c r="AM47" s="743"/>
      <c r="AN47" s="744"/>
      <c r="AO47" s="744"/>
      <c r="AP47" s="756"/>
      <c r="AQ47" s="741"/>
      <c r="AR47" s="742"/>
      <c r="AS47" s="743"/>
      <c r="AT47" s="744"/>
      <c r="AU47" s="744"/>
      <c r="AV47" s="756"/>
      <c r="AW47" s="741"/>
      <c r="AX47" s="742"/>
      <c r="AY47" s="743"/>
      <c r="AZ47" s="744"/>
      <c r="BA47" s="744"/>
      <c r="BB47" s="756"/>
      <c r="BC47" s="741"/>
      <c r="BD47" s="742"/>
      <c r="BE47" s="743"/>
      <c r="BF47" s="744"/>
      <c r="BG47" s="744"/>
      <c r="BH47" s="756"/>
      <c r="BI47" s="741"/>
      <c r="BJ47" s="742"/>
      <c r="BK47" s="743"/>
      <c r="BL47" s="744"/>
      <c r="BM47" s="744"/>
      <c r="BN47" s="756"/>
      <c r="BO47" s="741"/>
      <c r="BP47" s="742"/>
      <c r="BQ47" s="743"/>
      <c r="BR47" s="744"/>
      <c r="BS47" s="744"/>
      <c r="BT47" s="756"/>
      <c r="BU47" s="741"/>
      <c r="BV47" s="742"/>
      <c r="BW47" s="743"/>
      <c r="BX47" s="744"/>
      <c r="BY47" s="744"/>
      <c r="BZ47" s="756"/>
      <c r="CA47" s="741"/>
      <c r="CB47" s="742"/>
      <c r="CC47" s="743"/>
      <c r="CD47" s="744"/>
      <c r="CE47" s="744"/>
      <c r="CF47" s="756"/>
      <c r="CG47" s="741"/>
      <c r="CH47" s="742"/>
      <c r="CI47" s="743"/>
      <c r="CJ47" s="744"/>
      <c r="CK47" s="744"/>
      <c r="CL47" s="756"/>
      <c r="CM47" s="741"/>
      <c r="CN47" s="742"/>
      <c r="CO47" s="743"/>
      <c r="CP47" s="744"/>
      <c r="CQ47" s="744"/>
      <c r="CR47" s="756"/>
      <c r="CS47" s="741"/>
      <c r="CT47" s="742"/>
      <c r="CU47" s="743"/>
      <c r="CV47" s="744"/>
      <c r="CW47" s="744"/>
      <c r="CX47" s="756"/>
      <c r="CY47" s="741"/>
      <c r="CZ47" s="742"/>
      <c r="DA47" s="743"/>
      <c r="DB47" s="744"/>
      <c r="DC47" s="744"/>
      <c r="DD47" s="756"/>
      <c r="DE47" s="741"/>
      <c r="DF47" s="742"/>
      <c r="DG47" s="743"/>
      <c r="DH47" s="744"/>
      <c r="DI47" s="744"/>
      <c r="DJ47" s="756"/>
      <c r="DK47" s="741"/>
      <c r="DL47" s="742"/>
      <c r="DM47" s="743"/>
      <c r="DN47" s="744"/>
      <c r="DO47" s="744"/>
      <c r="DP47" s="756"/>
      <c r="DQ47" s="741"/>
      <c r="DR47" s="742"/>
      <c r="DS47" s="743"/>
      <c r="DT47" s="744"/>
      <c r="DU47" s="744"/>
      <c r="DV47" s="756"/>
      <c r="DW47" s="741"/>
      <c r="DX47" s="742"/>
      <c r="DY47" s="743"/>
      <c r="DZ47" s="744"/>
      <c r="EA47" s="744"/>
      <c r="EB47" s="756"/>
      <c r="EC47" s="741"/>
      <c r="ED47" s="742"/>
      <c r="EE47" s="743"/>
      <c r="EF47" s="744"/>
      <c r="EG47" s="744"/>
      <c r="EH47" s="756"/>
      <c r="EI47" s="741"/>
      <c r="EJ47" s="742"/>
      <c r="EK47" s="743"/>
      <c r="EL47" s="744"/>
      <c r="EM47" s="744"/>
      <c r="EN47" s="756"/>
      <c r="EO47" s="741"/>
      <c r="EP47" s="742"/>
      <c r="EQ47" s="743"/>
      <c r="ER47" s="744"/>
      <c r="ES47" s="744"/>
      <c r="ET47" s="756"/>
      <c r="EU47" s="741"/>
      <c r="EV47" s="742"/>
      <c r="EW47" s="743"/>
      <c r="EX47" s="744"/>
      <c r="EY47" s="744"/>
      <c r="EZ47" s="756"/>
      <c r="FA47" s="741"/>
      <c r="FB47" s="742"/>
      <c r="FC47" s="743"/>
      <c r="FD47" s="744"/>
      <c r="FE47" s="744"/>
      <c r="FF47" s="756"/>
      <c r="FG47" s="741"/>
      <c r="FH47" s="742"/>
      <c r="FI47" s="743"/>
      <c r="FJ47" s="744"/>
      <c r="FK47" s="744"/>
      <c r="FL47" s="756"/>
      <c r="FM47" s="741"/>
      <c r="FN47" s="742"/>
      <c r="FO47" s="743"/>
      <c r="FP47" s="744"/>
      <c r="FQ47" s="744"/>
      <c r="FR47" s="756"/>
      <c r="FS47" s="741"/>
      <c r="FT47" s="742"/>
      <c r="FU47" s="743"/>
      <c r="FV47" s="744"/>
      <c r="FW47" s="744"/>
      <c r="FX47" s="756"/>
      <c r="FY47" s="741"/>
      <c r="FZ47" s="742"/>
      <c r="GA47" s="743"/>
      <c r="GB47" s="744"/>
      <c r="GC47" s="744"/>
      <c r="GD47" s="756"/>
      <c r="GE47" s="741"/>
      <c r="GF47" s="742"/>
      <c r="GG47" s="743"/>
      <c r="GH47" s="744"/>
      <c r="GI47" s="744"/>
      <c r="GJ47" s="756"/>
      <c r="GK47" s="741"/>
      <c r="GL47" s="742"/>
      <c r="GM47" s="743"/>
      <c r="GN47" s="744"/>
      <c r="GO47" s="744"/>
      <c r="GP47" s="756"/>
      <c r="GQ47" s="741"/>
      <c r="GR47" s="742"/>
      <c r="GS47" s="743"/>
      <c r="GT47" s="744"/>
      <c r="GU47" s="744"/>
      <c r="GV47" s="756"/>
      <c r="GW47" s="741"/>
      <c r="GX47" s="742"/>
      <c r="GY47" s="743"/>
      <c r="GZ47" s="744"/>
      <c r="HA47" s="744"/>
      <c r="HB47" s="756"/>
      <c r="HC47" s="741"/>
      <c r="HD47" s="742"/>
      <c r="HE47" s="743"/>
      <c r="HF47" s="744"/>
      <c r="HG47" s="744"/>
      <c r="HH47" s="756"/>
      <c r="HI47" s="741"/>
      <c r="HJ47" s="742"/>
      <c r="HK47" s="743"/>
      <c r="HL47" s="744"/>
      <c r="HM47" s="744"/>
      <c r="HN47" s="756"/>
      <c r="HO47" s="741"/>
      <c r="HP47" s="742"/>
      <c r="HQ47" s="743"/>
      <c r="HR47" s="744"/>
      <c r="HS47" s="744"/>
      <c r="HT47" s="756"/>
      <c r="HU47" s="741"/>
      <c r="HV47" s="742"/>
      <c r="HW47" s="743"/>
      <c r="HX47" s="744"/>
      <c r="HY47" s="744"/>
      <c r="HZ47" s="756"/>
      <c r="IA47" s="741"/>
      <c r="IB47" s="742"/>
      <c r="IC47" s="743"/>
      <c r="ID47" s="744"/>
      <c r="IE47" s="744"/>
      <c r="IF47" s="756"/>
      <c r="IG47" s="741"/>
      <c r="IH47" s="742"/>
      <c r="II47" s="743"/>
      <c r="IJ47" s="744"/>
      <c r="IK47" s="744"/>
      <c r="IL47" s="756"/>
      <c r="IM47" s="741"/>
      <c r="IN47" s="742"/>
      <c r="IO47" s="743"/>
      <c r="IP47" s="744"/>
      <c r="IQ47" s="744"/>
      <c r="IR47" s="756"/>
      <c r="IS47" s="741"/>
      <c r="IT47" s="742"/>
      <c r="IU47" s="743"/>
      <c r="IV47" s="744"/>
    </row>
    <row r="48" spans="1:256" ht="13.8">
      <c r="A48" s="728" t="s">
        <v>1672</v>
      </c>
      <c r="B48" s="755" t="s">
        <v>1751</v>
      </c>
      <c r="C48" s="721" t="s">
        <v>431</v>
      </c>
      <c r="D48" s="721">
        <v>200</v>
      </c>
      <c r="E48" s="1107">
        <v>13</v>
      </c>
      <c r="F48" s="472">
        <f>D48*E48</f>
        <v>2600</v>
      </c>
    </row>
    <row r="49" spans="1:256" ht="13.8">
      <c r="A49" s="728" t="s">
        <v>1672</v>
      </c>
      <c r="B49" s="755" t="s">
        <v>1752</v>
      </c>
      <c r="C49" s="721" t="s">
        <v>431</v>
      </c>
      <c r="D49" s="721">
        <v>36</v>
      </c>
      <c r="E49" s="1107">
        <v>14</v>
      </c>
      <c r="F49" s="472">
        <f>D49*E49</f>
        <v>504</v>
      </c>
    </row>
    <row r="50" spans="1:256" ht="13.8">
      <c r="A50" s="728" t="s">
        <v>1672</v>
      </c>
      <c r="B50" s="757" t="s">
        <v>1753</v>
      </c>
      <c r="C50" s="721" t="s">
        <v>431</v>
      </c>
      <c r="D50" s="721">
        <v>114</v>
      </c>
      <c r="E50" s="1107">
        <v>25</v>
      </c>
      <c r="F50" s="472">
        <f>D50*E50</f>
        <v>2850</v>
      </c>
    </row>
    <row r="51" spans="1:256" ht="13.8">
      <c r="A51" s="728" t="s">
        <v>1672</v>
      </c>
      <c r="B51" s="755" t="s">
        <v>1754</v>
      </c>
      <c r="C51" s="721" t="s">
        <v>431</v>
      </c>
      <c r="D51" s="721">
        <v>18</v>
      </c>
      <c r="E51" s="1107">
        <v>38</v>
      </c>
      <c r="F51" s="472">
        <f>D51*E51</f>
        <v>684</v>
      </c>
    </row>
    <row r="52" spans="1:256" ht="13.8">
      <c r="A52" s="728"/>
      <c r="B52" s="755"/>
      <c r="C52" s="721"/>
      <c r="D52" s="721"/>
      <c r="E52" s="1107"/>
      <c r="F52" s="726"/>
    </row>
    <row r="53" spans="1:256" ht="13.8">
      <c r="A53" s="719" t="s">
        <v>1755</v>
      </c>
      <c r="B53" s="753" t="s">
        <v>1756</v>
      </c>
      <c r="C53" s="747"/>
      <c r="D53" s="747"/>
      <c r="E53" s="1105"/>
    </row>
    <row r="54" spans="1:256" ht="69">
      <c r="A54" s="728">
        <v>1</v>
      </c>
      <c r="B54" s="730" t="s">
        <v>1757</v>
      </c>
      <c r="C54" s="747"/>
      <c r="D54" s="747"/>
      <c r="E54" s="1105"/>
    </row>
    <row r="55" spans="1:256" ht="13.8">
      <c r="A55" s="728" t="s">
        <v>1672</v>
      </c>
      <c r="B55" s="755" t="s">
        <v>1758</v>
      </c>
      <c r="C55" s="721" t="s">
        <v>258</v>
      </c>
      <c r="D55" s="721">
        <v>1400</v>
      </c>
      <c r="E55" s="1107">
        <v>3.39</v>
      </c>
      <c r="F55" s="472">
        <f>D55*E55</f>
        <v>4746</v>
      </c>
    </row>
    <row r="56" spans="1:256" ht="13.8">
      <c r="A56" s="728" t="s">
        <v>1672</v>
      </c>
      <c r="B56" s="755" t="s">
        <v>1759</v>
      </c>
      <c r="C56" s="721" t="s">
        <v>258</v>
      </c>
      <c r="D56" s="721">
        <v>700</v>
      </c>
      <c r="E56" s="1107">
        <v>3.59</v>
      </c>
      <c r="F56" s="472">
        <f>D56*E56</f>
        <v>2513</v>
      </c>
    </row>
    <row r="57" spans="1:256" s="759" customFormat="1" ht="13.8">
      <c r="A57" s="728" t="s">
        <v>1672</v>
      </c>
      <c r="B57" s="755" t="s">
        <v>1760</v>
      </c>
      <c r="C57" s="721" t="s">
        <v>258</v>
      </c>
      <c r="D57" s="721">
        <v>200</v>
      </c>
      <c r="E57" s="1107">
        <v>3.2</v>
      </c>
      <c r="F57" s="472">
        <f>D57*E57</f>
        <v>640</v>
      </c>
    </row>
    <row r="58" spans="1:256" s="759" customFormat="1" ht="13.8">
      <c r="A58" s="728" t="s">
        <v>1672</v>
      </c>
      <c r="B58" s="755" t="s">
        <v>1761</v>
      </c>
      <c r="C58" s="721" t="s">
        <v>258</v>
      </c>
      <c r="D58" s="721">
        <v>4200</v>
      </c>
      <c r="E58" s="1107">
        <v>3.72</v>
      </c>
      <c r="F58" s="472">
        <f>D58*E58</f>
        <v>15624</v>
      </c>
    </row>
    <row r="59" spans="1:256">
      <c r="E59" s="1105"/>
    </row>
    <row r="60" spans="1:256" ht="13.8">
      <c r="A60" s="728" t="s">
        <v>231</v>
      </c>
      <c r="B60" s="730" t="s">
        <v>1762</v>
      </c>
      <c r="C60" s="747"/>
      <c r="D60" s="747"/>
      <c r="E60" s="1105"/>
    </row>
    <row r="61" spans="1:256" ht="13.8">
      <c r="A61" s="728" t="s">
        <v>1672</v>
      </c>
      <c r="B61" s="755" t="s">
        <v>1763</v>
      </c>
      <c r="C61" s="721" t="s">
        <v>431</v>
      </c>
      <c r="D61" s="721">
        <v>800</v>
      </c>
      <c r="E61" s="1107">
        <v>5</v>
      </c>
      <c r="F61" s="472">
        <f>D61*E61</f>
        <v>4000</v>
      </c>
    </row>
    <row r="62" spans="1:256" ht="13.8">
      <c r="A62" s="728" t="s">
        <v>1672</v>
      </c>
      <c r="B62" s="755" t="s">
        <v>1764</v>
      </c>
      <c r="C62" s="721" t="s">
        <v>431</v>
      </c>
      <c r="D62" s="721">
        <v>40</v>
      </c>
      <c r="E62" s="1107">
        <v>7</v>
      </c>
      <c r="F62" s="472">
        <f>D62*E62</f>
        <v>280</v>
      </c>
    </row>
    <row r="63" spans="1:256" ht="13.8">
      <c r="A63" s="728" t="s">
        <v>1672</v>
      </c>
      <c r="B63" s="755" t="s">
        <v>1765</v>
      </c>
      <c r="C63" s="721" t="s">
        <v>431</v>
      </c>
      <c r="D63" s="721">
        <v>20</v>
      </c>
      <c r="E63" s="1107">
        <v>8</v>
      </c>
      <c r="F63" s="472">
        <f>D63*E63</f>
        <v>160</v>
      </c>
      <c r="G63" s="741"/>
      <c r="H63" s="742"/>
      <c r="I63" s="743"/>
      <c r="J63" s="744"/>
      <c r="K63" s="744"/>
      <c r="L63" s="756"/>
      <c r="M63" s="741"/>
      <c r="N63" s="742"/>
      <c r="O63" s="743"/>
      <c r="P63" s="744"/>
      <c r="Q63" s="744"/>
      <c r="R63" s="756"/>
      <c r="S63" s="741"/>
      <c r="T63" s="742"/>
      <c r="U63" s="743"/>
      <c r="V63" s="744"/>
      <c r="W63" s="744"/>
      <c r="X63" s="756"/>
      <c r="Y63" s="741"/>
      <c r="Z63" s="742"/>
      <c r="AA63" s="743"/>
      <c r="AB63" s="744"/>
      <c r="AC63" s="744"/>
      <c r="AD63" s="756"/>
      <c r="AE63" s="741"/>
      <c r="AF63" s="742"/>
      <c r="AG63" s="743"/>
      <c r="AH63" s="744"/>
      <c r="AI63" s="744"/>
      <c r="AJ63" s="756"/>
      <c r="AK63" s="741"/>
      <c r="AL63" s="742"/>
      <c r="AM63" s="743"/>
      <c r="AN63" s="744"/>
      <c r="AO63" s="744"/>
      <c r="AP63" s="756"/>
      <c r="AQ63" s="741"/>
      <c r="AR63" s="742"/>
      <c r="AS63" s="743"/>
      <c r="AT63" s="744"/>
      <c r="AU63" s="744"/>
      <c r="AV63" s="756"/>
      <c r="AW63" s="741"/>
      <c r="AX63" s="742"/>
      <c r="AY63" s="743"/>
      <c r="AZ63" s="744"/>
      <c r="BA63" s="744"/>
      <c r="BB63" s="756"/>
      <c r="BC63" s="741"/>
      <c r="BD63" s="742"/>
      <c r="BE63" s="743"/>
      <c r="BF63" s="744"/>
      <c r="BG63" s="744"/>
      <c r="BH63" s="756"/>
      <c r="BI63" s="741"/>
      <c r="BJ63" s="742"/>
      <c r="BK63" s="743"/>
      <c r="BL63" s="744"/>
      <c r="BM63" s="744"/>
      <c r="BN63" s="756"/>
      <c r="BO63" s="741"/>
      <c r="BP63" s="742"/>
      <c r="BQ63" s="743"/>
      <c r="BR63" s="744"/>
      <c r="BS63" s="744"/>
      <c r="BT63" s="756"/>
      <c r="BU63" s="741"/>
      <c r="BV63" s="742"/>
      <c r="BW63" s="743"/>
      <c r="BX63" s="744"/>
      <c r="BY63" s="744"/>
      <c r="BZ63" s="756"/>
      <c r="CA63" s="741"/>
      <c r="CB63" s="742"/>
      <c r="CC63" s="743"/>
      <c r="CD63" s="744"/>
      <c r="CE63" s="744"/>
      <c r="CF63" s="756"/>
      <c r="CG63" s="741"/>
      <c r="CH63" s="742"/>
      <c r="CI63" s="743"/>
      <c r="CJ63" s="744"/>
      <c r="CK63" s="744"/>
      <c r="CL63" s="756"/>
      <c r="CM63" s="741"/>
      <c r="CN63" s="742"/>
      <c r="CO63" s="743"/>
      <c r="CP63" s="744"/>
      <c r="CQ63" s="744"/>
      <c r="CR63" s="756"/>
      <c r="CS63" s="741"/>
      <c r="CT63" s="742"/>
      <c r="CU63" s="743"/>
      <c r="CV63" s="744"/>
      <c r="CW63" s="744"/>
      <c r="CX63" s="756"/>
      <c r="CY63" s="741"/>
      <c r="CZ63" s="742"/>
      <c r="DA63" s="743"/>
      <c r="DB63" s="744"/>
      <c r="DC63" s="744"/>
      <c r="DD63" s="756"/>
      <c r="DE63" s="741"/>
      <c r="DF63" s="742"/>
      <c r="DG63" s="743"/>
      <c r="DH63" s="744"/>
      <c r="DI63" s="744"/>
      <c r="DJ63" s="756"/>
      <c r="DK63" s="741"/>
      <c r="DL63" s="742"/>
      <c r="DM63" s="743"/>
      <c r="DN63" s="744"/>
      <c r="DO63" s="744"/>
      <c r="DP63" s="756"/>
      <c r="DQ63" s="741"/>
      <c r="DR63" s="742"/>
      <c r="DS63" s="743"/>
      <c r="DT63" s="744"/>
      <c r="DU63" s="744"/>
      <c r="DV63" s="756"/>
      <c r="DW63" s="741"/>
      <c r="DX63" s="742"/>
      <c r="DY63" s="743"/>
      <c r="DZ63" s="744"/>
      <c r="EA63" s="744"/>
      <c r="EB63" s="756"/>
      <c r="EC63" s="741"/>
      <c r="ED63" s="742"/>
      <c r="EE63" s="743"/>
      <c r="EF63" s="744"/>
      <c r="EG63" s="744"/>
      <c r="EH63" s="756"/>
      <c r="EI63" s="741"/>
      <c r="EJ63" s="742"/>
      <c r="EK63" s="743"/>
      <c r="EL63" s="744"/>
      <c r="EM63" s="744"/>
      <c r="EN63" s="756"/>
      <c r="EO63" s="741"/>
      <c r="EP63" s="742"/>
      <c r="EQ63" s="743"/>
      <c r="ER63" s="744"/>
      <c r="ES63" s="744"/>
      <c r="ET63" s="756"/>
      <c r="EU63" s="741"/>
      <c r="EV63" s="742"/>
      <c r="EW63" s="743"/>
      <c r="EX63" s="744"/>
      <c r="EY63" s="744"/>
      <c r="EZ63" s="756"/>
      <c r="FA63" s="741"/>
      <c r="FB63" s="742"/>
      <c r="FC63" s="743"/>
      <c r="FD63" s="744"/>
      <c r="FE63" s="744"/>
      <c r="FF63" s="756"/>
      <c r="FG63" s="741"/>
      <c r="FH63" s="742"/>
      <c r="FI63" s="743"/>
      <c r="FJ63" s="744"/>
      <c r="FK63" s="744"/>
      <c r="FL63" s="756"/>
      <c r="FM63" s="741"/>
      <c r="FN63" s="742"/>
      <c r="FO63" s="743"/>
      <c r="FP63" s="744"/>
      <c r="FQ63" s="744"/>
      <c r="FR63" s="756"/>
      <c r="FS63" s="741"/>
      <c r="FT63" s="742"/>
      <c r="FU63" s="743"/>
      <c r="FV63" s="744"/>
      <c r="FW63" s="744"/>
      <c r="FX63" s="756"/>
      <c r="FY63" s="741"/>
      <c r="FZ63" s="742"/>
      <c r="GA63" s="743"/>
      <c r="GB63" s="744"/>
      <c r="GC63" s="744"/>
      <c r="GD63" s="756"/>
      <c r="GE63" s="741"/>
      <c r="GF63" s="742"/>
      <c r="GG63" s="743"/>
      <c r="GH63" s="744"/>
      <c r="GI63" s="744"/>
      <c r="GJ63" s="756"/>
      <c r="GK63" s="741"/>
      <c r="GL63" s="742"/>
      <c r="GM63" s="743"/>
      <c r="GN63" s="744"/>
      <c r="GO63" s="744"/>
      <c r="GP63" s="756"/>
      <c r="GQ63" s="741"/>
      <c r="GR63" s="742"/>
      <c r="GS63" s="743"/>
      <c r="GT63" s="744"/>
      <c r="GU63" s="744"/>
      <c r="GV63" s="756"/>
      <c r="GW63" s="741"/>
      <c r="GX63" s="742"/>
      <c r="GY63" s="743"/>
      <c r="GZ63" s="744"/>
      <c r="HA63" s="744"/>
      <c r="HB63" s="756"/>
      <c r="HC63" s="741"/>
      <c r="HD63" s="742"/>
      <c r="HE63" s="743"/>
      <c r="HF63" s="744"/>
      <c r="HG63" s="744"/>
      <c r="HH63" s="756"/>
      <c r="HI63" s="741"/>
      <c r="HJ63" s="742"/>
      <c r="HK63" s="743"/>
      <c r="HL63" s="744"/>
      <c r="HM63" s="744"/>
      <c r="HN63" s="756"/>
      <c r="HO63" s="741"/>
      <c r="HP63" s="742"/>
      <c r="HQ63" s="743"/>
      <c r="HR63" s="744"/>
      <c r="HS63" s="744"/>
      <c r="HT63" s="756"/>
      <c r="HU63" s="741"/>
      <c r="HV63" s="742"/>
      <c r="HW63" s="743"/>
      <c r="HX63" s="744"/>
      <c r="HY63" s="744"/>
      <c r="HZ63" s="756"/>
      <c r="IA63" s="741"/>
      <c r="IB63" s="742"/>
      <c r="IC63" s="743"/>
      <c r="ID63" s="744"/>
      <c r="IE63" s="744"/>
      <c r="IF63" s="756"/>
      <c r="IG63" s="741"/>
      <c r="IH63" s="742"/>
      <c r="II63" s="743"/>
      <c r="IJ63" s="744"/>
      <c r="IK63" s="744"/>
      <c r="IL63" s="756"/>
      <c r="IM63" s="741"/>
      <c r="IN63" s="742"/>
      <c r="IO63" s="743"/>
      <c r="IP63" s="744"/>
      <c r="IQ63" s="744"/>
      <c r="IR63" s="756"/>
      <c r="IS63" s="741"/>
      <c r="IT63" s="742"/>
      <c r="IU63" s="743"/>
      <c r="IV63" s="744"/>
    </row>
    <row r="64" spans="1:256" ht="14.4">
      <c r="B64" s="730"/>
      <c r="C64" s="760"/>
      <c r="D64" s="721"/>
      <c r="E64" s="1110"/>
    </row>
    <row r="65" spans="1:256" ht="27.6">
      <c r="A65" s="728" t="s">
        <v>93</v>
      </c>
      <c r="B65" s="730" t="s">
        <v>1766</v>
      </c>
      <c r="C65" s="747"/>
      <c r="D65" s="747"/>
      <c r="E65" s="1105"/>
      <c r="F65" s="761"/>
    </row>
    <row r="66" spans="1:256" ht="13.8">
      <c r="A66" s="728" t="s">
        <v>1672</v>
      </c>
      <c r="B66" s="755" t="s">
        <v>1767</v>
      </c>
      <c r="C66" s="721" t="s">
        <v>258</v>
      </c>
      <c r="D66" s="721">
        <v>200</v>
      </c>
      <c r="E66" s="1107">
        <v>11</v>
      </c>
      <c r="F66" s="472">
        <f>D66*E66</f>
        <v>2200</v>
      </c>
    </row>
    <row r="67" spans="1:256" ht="13.8">
      <c r="A67" s="728" t="s">
        <v>1672</v>
      </c>
      <c r="B67" s="755" t="s">
        <v>1768</v>
      </c>
      <c r="C67" s="721" t="s">
        <v>258</v>
      </c>
      <c r="D67" s="721">
        <v>5000</v>
      </c>
      <c r="E67" s="1107">
        <v>3</v>
      </c>
      <c r="F67" s="472">
        <f>D67*E67</f>
        <v>15000</v>
      </c>
    </row>
    <row r="68" spans="1:256" ht="13.8">
      <c r="A68" s="728" t="s">
        <v>1672</v>
      </c>
      <c r="B68" s="755" t="s">
        <v>1769</v>
      </c>
      <c r="C68" s="721" t="s">
        <v>431</v>
      </c>
      <c r="D68" s="721">
        <v>200</v>
      </c>
      <c r="E68" s="1107">
        <v>3</v>
      </c>
      <c r="F68" s="472">
        <f>D68*E68</f>
        <v>600</v>
      </c>
      <c r="G68" s="741"/>
      <c r="H68" s="742"/>
      <c r="I68" s="743"/>
      <c r="J68" s="744"/>
      <c r="K68" s="744"/>
      <c r="L68" s="756"/>
      <c r="M68" s="741"/>
      <c r="N68" s="742"/>
      <c r="O68" s="743"/>
      <c r="P68" s="744"/>
      <c r="Q68" s="744"/>
      <c r="R68" s="756"/>
      <c r="S68" s="741"/>
      <c r="T68" s="742"/>
      <c r="U68" s="743"/>
      <c r="V68" s="744"/>
      <c r="W68" s="744"/>
      <c r="X68" s="756"/>
      <c r="Y68" s="741"/>
      <c r="Z68" s="742"/>
      <c r="AA68" s="743"/>
      <c r="AB68" s="744"/>
      <c r="AC68" s="744"/>
      <c r="AD68" s="756"/>
      <c r="AE68" s="741"/>
      <c r="AF68" s="742"/>
      <c r="AG68" s="743"/>
      <c r="AH68" s="744"/>
      <c r="AI68" s="744"/>
      <c r="AJ68" s="756"/>
      <c r="AK68" s="741"/>
      <c r="AL68" s="742"/>
      <c r="AM68" s="743"/>
      <c r="AN68" s="744"/>
      <c r="AO68" s="744"/>
      <c r="AP68" s="756"/>
      <c r="AQ68" s="741"/>
      <c r="AR68" s="742"/>
      <c r="AS68" s="743"/>
      <c r="AT68" s="744"/>
      <c r="AU68" s="744"/>
      <c r="AV68" s="756"/>
      <c r="AW68" s="741"/>
      <c r="AX68" s="742"/>
      <c r="AY68" s="743"/>
      <c r="AZ68" s="744"/>
      <c r="BA68" s="744"/>
      <c r="BB68" s="756"/>
      <c r="BC68" s="741"/>
      <c r="BD68" s="742"/>
      <c r="BE68" s="743"/>
      <c r="BF68" s="744"/>
      <c r="BG68" s="744"/>
      <c r="BH68" s="756"/>
      <c r="BI68" s="741"/>
      <c r="BJ68" s="742"/>
      <c r="BK68" s="743"/>
      <c r="BL68" s="744"/>
      <c r="BM68" s="744"/>
      <c r="BN68" s="756"/>
      <c r="BO68" s="741"/>
      <c r="BP68" s="742"/>
      <c r="BQ68" s="743"/>
      <c r="BR68" s="744"/>
      <c r="BS68" s="744"/>
      <c r="BT68" s="756"/>
      <c r="BU68" s="741"/>
      <c r="BV68" s="742"/>
      <c r="BW68" s="743"/>
      <c r="BX68" s="744"/>
      <c r="BY68" s="744"/>
      <c r="BZ68" s="756"/>
      <c r="CA68" s="741"/>
      <c r="CB68" s="742"/>
      <c r="CC68" s="743"/>
      <c r="CD68" s="744"/>
      <c r="CE68" s="744"/>
      <c r="CF68" s="756"/>
      <c r="CG68" s="741"/>
      <c r="CH68" s="742"/>
      <c r="CI68" s="743"/>
      <c r="CJ68" s="744"/>
      <c r="CK68" s="744"/>
      <c r="CL68" s="756"/>
      <c r="CM68" s="741"/>
      <c r="CN68" s="742"/>
      <c r="CO68" s="743"/>
      <c r="CP68" s="744"/>
      <c r="CQ68" s="744"/>
      <c r="CR68" s="756"/>
      <c r="CS68" s="741"/>
      <c r="CT68" s="742"/>
      <c r="CU68" s="743"/>
      <c r="CV68" s="744"/>
      <c r="CW68" s="744"/>
      <c r="CX68" s="756"/>
      <c r="CY68" s="741"/>
      <c r="CZ68" s="742"/>
      <c r="DA68" s="743"/>
      <c r="DB68" s="744"/>
      <c r="DC68" s="744"/>
      <c r="DD68" s="756"/>
      <c r="DE68" s="741"/>
      <c r="DF68" s="742"/>
      <c r="DG68" s="743"/>
      <c r="DH68" s="744"/>
      <c r="DI68" s="744"/>
      <c r="DJ68" s="756"/>
      <c r="DK68" s="741"/>
      <c r="DL68" s="742"/>
      <c r="DM68" s="743"/>
      <c r="DN68" s="744"/>
      <c r="DO68" s="744"/>
      <c r="DP68" s="756"/>
      <c r="DQ68" s="741"/>
      <c r="DR68" s="742"/>
      <c r="DS68" s="743"/>
      <c r="DT68" s="744"/>
      <c r="DU68" s="744"/>
      <c r="DV68" s="756"/>
      <c r="DW68" s="741"/>
      <c r="DX68" s="742"/>
      <c r="DY68" s="743"/>
      <c r="DZ68" s="744"/>
      <c r="EA68" s="744"/>
      <c r="EB68" s="756"/>
      <c r="EC68" s="741"/>
      <c r="ED68" s="742"/>
      <c r="EE68" s="743"/>
      <c r="EF68" s="744"/>
      <c r="EG68" s="744"/>
      <c r="EH68" s="756"/>
      <c r="EI68" s="741"/>
      <c r="EJ68" s="742"/>
      <c r="EK68" s="743"/>
      <c r="EL68" s="744"/>
      <c r="EM68" s="744"/>
      <c r="EN68" s="756"/>
      <c r="EO68" s="741"/>
      <c r="EP68" s="742"/>
      <c r="EQ68" s="743"/>
      <c r="ER68" s="744"/>
      <c r="ES68" s="744"/>
      <c r="ET68" s="756"/>
      <c r="EU68" s="741"/>
      <c r="EV68" s="742"/>
      <c r="EW68" s="743"/>
      <c r="EX68" s="744"/>
      <c r="EY68" s="744"/>
      <c r="EZ68" s="756"/>
      <c r="FA68" s="741"/>
      <c r="FB68" s="742"/>
      <c r="FC68" s="743"/>
      <c r="FD68" s="744"/>
      <c r="FE68" s="744"/>
      <c r="FF68" s="756"/>
      <c r="FG68" s="741"/>
      <c r="FH68" s="742"/>
      <c r="FI68" s="743"/>
      <c r="FJ68" s="744"/>
      <c r="FK68" s="744"/>
      <c r="FL68" s="756"/>
      <c r="FM68" s="741"/>
      <c r="FN68" s="742"/>
      <c r="FO68" s="743"/>
      <c r="FP68" s="744"/>
      <c r="FQ68" s="744"/>
      <c r="FR68" s="756"/>
      <c r="FS68" s="741"/>
      <c r="FT68" s="742"/>
      <c r="FU68" s="743"/>
      <c r="FV68" s="744"/>
      <c r="FW68" s="744"/>
      <c r="FX68" s="756"/>
      <c r="FY68" s="741"/>
      <c r="FZ68" s="742"/>
      <c r="GA68" s="743"/>
      <c r="GB68" s="744"/>
      <c r="GC68" s="744"/>
      <c r="GD68" s="756"/>
      <c r="GE68" s="741"/>
      <c r="GF68" s="742"/>
      <c r="GG68" s="743"/>
      <c r="GH68" s="744"/>
      <c r="GI68" s="744"/>
      <c r="GJ68" s="756"/>
      <c r="GK68" s="741"/>
      <c r="GL68" s="742"/>
      <c r="GM68" s="743"/>
      <c r="GN68" s="744"/>
      <c r="GO68" s="744"/>
      <c r="GP68" s="756"/>
      <c r="GQ68" s="741"/>
      <c r="GR68" s="742"/>
      <c r="GS68" s="743"/>
      <c r="GT68" s="744"/>
      <c r="GU68" s="744"/>
      <c r="GV68" s="756"/>
      <c r="GW68" s="741"/>
      <c r="GX68" s="742"/>
      <c r="GY68" s="743"/>
      <c r="GZ68" s="744"/>
      <c r="HA68" s="744"/>
      <c r="HB68" s="756"/>
      <c r="HC68" s="741"/>
      <c r="HD68" s="742"/>
      <c r="HE68" s="743"/>
      <c r="HF68" s="744"/>
      <c r="HG68" s="744"/>
      <c r="HH68" s="756"/>
      <c r="HI68" s="741"/>
      <c r="HJ68" s="742"/>
      <c r="HK68" s="743"/>
      <c r="HL68" s="744"/>
      <c r="HM68" s="744"/>
      <c r="HN68" s="756"/>
      <c r="HO68" s="741"/>
      <c r="HP68" s="742"/>
      <c r="HQ68" s="743"/>
      <c r="HR68" s="744"/>
      <c r="HS68" s="744"/>
      <c r="HT68" s="756"/>
      <c r="HU68" s="741"/>
      <c r="HV68" s="742"/>
      <c r="HW68" s="743"/>
      <c r="HX68" s="744"/>
      <c r="HY68" s="744"/>
      <c r="HZ68" s="756"/>
      <c r="IA68" s="741"/>
      <c r="IB68" s="742"/>
      <c r="IC68" s="743"/>
      <c r="ID68" s="744"/>
      <c r="IE68" s="744"/>
      <c r="IF68" s="756"/>
      <c r="IG68" s="741"/>
      <c r="IH68" s="742"/>
      <c r="II68" s="743"/>
      <c r="IJ68" s="744"/>
      <c r="IK68" s="744"/>
      <c r="IL68" s="756"/>
      <c r="IM68" s="741"/>
      <c r="IN68" s="742"/>
      <c r="IO68" s="743"/>
      <c r="IP68" s="744"/>
      <c r="IQ68" s="744"/>
      <c r="IR68" s="756"/>
      <c r="IS68" s="741"/>
      <c r="IT68" s="742"/>
      <c r="IU68" s="743"/>
      <c r="IV68" s="744"/>
    </row>
    <row r="69" spans="1:256">
      <c r="E69" s="1105"/>
    </row>
    <row r="70" spans="1:256" ht="41.4">
      <c r="A70" s="728" t="s">
        <v>320</v>
      </c>
      <c r="B70" s="730" t="s">
        <v>1770</v>
      </c>
      <c r="C70" s="747"/>
      <c r="D70" s="747"/>
      <c r="E70" s="1105"/>
      <c r="F70" s="761"/>
    </row>
    <row r="71" spans="1:256" ht="13.8">
      <c r="B71" s="755" t="s">
        <v>1771</v>
      </c>
      <c r="C71" s="721" t="s">
        <v>355</v>
      </c>
      <c r="D71" s="721">
        <v>10</v>
      </c>
      <c r="E71" s="1107">
        <v>33</v>
      </c>
      <c r="F71" s="472">
        <f>D71*E71</f>
        <v>330</v>
      </c>
    </row>
    <row r="72" spans="1:256">
      <c r="E72" s="1105"/>
      <c r="G72" s="741"/>
      <c r="H72" s="742"/>
      <c r="I72" s="743"/>
      <c r="J72" s="744"/>
      <c r="K72" s="744"/>
      <c r="L72" s="756"/>
      <c r="M72" s="741"/>
      <c r="N72" s="742"/>
      <c r="O72" s="743"/>
      <c r="P72" s="744"/>
      <c r="Q72" s="744"/>
      <c r="R72" s="756"/>
      <c r="S72" s="741"/>
      <c r="T72" s="742"/>
      <c r="U72" s="743"/>
      <c r="V72" s="744"/>
      <c r="W72" s="744"/>
      <c r="X72" s="756"/>
      <c r="Y72" s="741"/>
      <c r="Z72" s="742"/>
      <c r="AA72" s="743"/>
      <c r="AB72" s="744"/>
      <c r="AC72" s="744"/>
      <c r="AD72" s="756"/>
      <c r="AE72" s="741"/>
      <c r="AF72" s="742"/>
      <c r="AG72" s="743"/>
      <c r="AH72" s="744"/>
      <c r="AI72" s="744"/>
      <c r="AJ72" s="756"/>
      <c r="AK72" s="741"/>
      <c r="AL72" s="742"/>
      <c r="AM72" s="743"/>
      <c r="AN72" s="744"/>
      <c r="AO72" s="744"/>
      <c r="AP72" s="756"/>
      <c r="AQ72" s="741"/>
      <c r="AR72" s="742"/>
      <c r="AS72" s="743"/>
      <c r="AT72" s="744"/>
      <c r="AU72" s="744"/>
      <c r="AV72" s="756"/>
      <c r="AW72" s="741"/>
      <c r="AX72" s="742"/>
      <c r="AY72" s="743"/>
      <c r="AZ72" s="744"/>
      <c r="BA72" s="744"/>
      <c r="BB72" s="756"/>
      <c r="BC72" s="741"/>
      <c r="BD72" s="742"/>
      <c r="BE72" s="743"/>
      <c r="BF72" s="744"/>
      <c r="BG72" s="744"/>
      <c r="BH72" s="756"/>
      <c r="BI72" s="741"/>
      <c r="BJ72" s="742"/>
      <c r="BK72" s="743"/>
      <c r="BL72" s="744"/>
      <c r="BM72" s="744"/>
      <c r="BN72" s="756"/>
      <c r="BO72" s="741"/>
      <c r="BP72" s="742"/>
      <c r="BQ72" s="743"/>
      <c r="BR72" s="744"/>
      <c r="BS72" s="744"/>
      <c r="BT72" s="756"/>
      <c r="BU72" s="741"/>
      <c r="BV72" s="742"/>
      <c r="BW72" s="743"/>
      <c r="BX72" s="744"/>
      <c r="BY72" s="744"/>
      <c r="BZ72" s="756"/>
      <c r="CA72" s="741"/>
      <c r="CB72" s="742"/>
      <c r="CC72" s="743"/>
      <c r="CD72" s="744"/>
      <c r="CE72" s="744"/>
      <c r="CF72" s="756"/>
      <c r="CG72" s="741"/>
      <c r="CH72" s="742"/>
      <c r="CI72" s="743"/>
      <c r="CJ72" s="744"/>
      <c r="CK72" s="744"/>
      <c r="CL72" s="756"/>
      <c r="CM72" s="741"/>
      <c r="CN72" s="742"/>
      <c r="CO72" s="743"/>
      <c r="CP72" s="744"/>
      <c r="CQ72" s="744"/>
      <c r="CR72" s="756"/>
      <c r="CS72" s="741"/>
      <c r="CT72" s="742"/>
      <c r="CU72" s="743"/>
      <c r="CV72" s="744"/>
      <c r="CW72" s="744"/>
      <c r="CX72" s="756"/>
      <c r="CY72" s="741"/>
      <c r="CZ72" s="742"/>
      <c r="DA72" s="743"/>
      <c r="DB72" s="744"/>
      <c r="DC72" s="744"/>
      <c r="DD72" s="756"/>
      <c r="DE72" s="741"/>
      <c r="DF72" s="742"/>
      <c r="DG72" s="743"/>
      <c r="DH72" s="744"/>
      <c r="DI72" s="744"/>
      <c r="DJ72" s="756"/>
      <c r="DK72" s="741"/>
      <c r="DL72" s="742"/>
      <c r="DM72" s="743"/>
      <c r="DN72" s="744"/>
      <c r="DO72" s="744"/>
      <c r="DP72" s="756"/>
      <c r="DQ72" s="741"/>
      <c r="DR72" s="742"/>
      <c r="DS72" s="743"/>
      <c r="DT72" s="744"/>
      <c r="DU72" s="744"/>
      <c r="DV72" s="756"/>
      <c r="DW72" s="741"/>
      <c r="DX72" s="742"/>
      <c r="DY72" s="743"/>
      <c r="DZ72" s="744"/>
      <c r="EA72" s="744"/>
      <c r="EB72" s="756"/>
      <c r="EC72" s="741"/>
      <c r="ED72" s="742"/>
      <c r="EE72" s="743"/>
      <c r="EF72" s="744"/>
      <c r="EG72" s="744"/>
      <c r="EH72" s="756"/>
      <c r="EI72" s="741"/>
      <c r="EJ72" s="742"/>
      <c r="EK72" s="743"/>
      <c r="EL72" s="744"/>
      <c r="EM72" s="744"/>
      <c r="EN72" s="756"/>
      <c r="EO72" s="741"/>
      <c r="EP72" s="742"/>
      <c r="EQ72" s="743"/>
      <c r="ER72" s="744"/>
      <c r="ES72" s="744"/>
      <c r="ET72" s="756"/>
      <c r="EU72" s="741"/>
      <c r="EV72" s="742"/>
      <c r="EW72" s="743"/>
      <c r="EX72" s="744"/>
      <c r="EY72" s="744"/>
      <c r="EZ72" s="756"/>
      <c r="FA72" s="741"/>
      <c r="FB72" s="742"/>
      <c r="FC72" s="743"/>
      <c r="FD72" s="744"/>
      <c r="FE72" s="744"/>
      <c r="FF72" s="756"/>
      <c r="FG72" s="741"/>
      <c r="FH72" s="742"/>
      <c r="FI72" s="743"/>
      <c r="FJ72" s="744"/>
      <c r="FK72" s="744"/>
      <c r="FL72" s="756"/>
      <c r="FM72" s="741"/>
      <c r="FN72" s="742"/>
      <c r="FO72" s="743"/>
      <c r="FP72" s="744"/>
      <c r="FQ72" s="744"/>
      <c r="FR72" s="756"/>
      <c r="FS72" s="741"/>
      <c r="FT72" s="742"/>
      <c r="FU72" s="743"/>
      <c r="FV72" s="744"/>
      <c r="FW72" s="744"/>
      <c r="FX72" s="756"/>
      <c r="FY72" s="741"/>
      <c r="FZ72" s="742"/>
      <c r="GA72" s="743"/>
      <c r="GB72" s="744"/>
      <c r="GC72" s="744"/>
      <c r="GD72" s="756"/>
      <c r="GE72" s="741"/>
      <c r="GF72" s="742"/>
      <c r="GG72" s="743"/>
      <c r="GH72" s="744"/>
      <c r="GI72" s="744"/>
      <c r="GJ72" s="756"/>
      <c r="GK72" s="741"/>
      <c r="GL72" s="742"/>
      <c r="GM72" s="743"/>
      <c r="GN72" s="744"/>
      <c r="GO72" s="744"/>
      <c r="GP72" s="756"/>
      <c r="GQ72" s="741"/>
      <c r="GR72" s="742"/>
      <c r="GS72" s="743"/>
      <c r="GT72" s="744"/>
      <c r="GU72" s="744"/>
      <c r="GV72" s="756"/>
      <c r="GW72" s="741"/>
      <c r="GX72" s="742"/>
      <c r="GY72" s="743"/>
      <c r="GZ72" s="744"/>
      <c r="HA72" s="744"/>
      <c r="HB72" s="756"/>
      <c r="HC72" s="741"/>
      <c r="HD72" s="742"/>
      <c r="HE72" s="743"/>
      <c r="HF72" s="744"/>
      <c r="HG72" s="744"/>
      <c r="HH72" s="756"/>
      <c r="HI72" s="741"/>
      <c r="HJ72" s="742"/>
      <c r="HK72" s="743"/>
      <c r="HL72" s="744"/>
      <c r="HM72" s="744"/>
      <c r="HN72" s="756"/>
      <c r="HO72" s="741"/>
      <c r="HP72" s="742"/>
      <c r="HQ72" s="743"/>
      <c r="HR72" s="744"/>
      <c r="HS72" s="744"/>
      <c r="HT72" s="756"/>
      <c r="HU72" s="741"/>
      <c r="HV72" s="742"/>
      <c r="HW72" s="743"/>
      <c r="HX72" s="744"/>
      <c r="HY72" s="744"/>
      <c r="HZ72" s="756"/>
      <c r="IA72" s="741"/>
      <c r="IB72" s="742"/>
      <c r="IC72" s="743"/>
      <c r="ID72" s="744"/>
      <c r="IE72" s="744"/>
      <c r="IF72" s="756"/>
      <c r="IG72" s="741"/>
      <c r="IH72" s="742"/>
      <c r="II72" s="743"/>
      <c r="IJ72" s="744"/>
      <c r="IK72" s="744"/>
      <c r="IL72" s="756"/>
      <c r="IM72" s="741"/>
      <c r="IN72" s="742"/>
      <c r="IO72" s="743"/>
      <c r="IP72" s="744"/>
      <c r="IQ72" s="744"/>
      <c r="IR72" s="756"/>
      <c r="IS72" s="741"/>
      <c r="IT72" s="742"/>
      <c r="IU72" s="743"/>
      <c r="IV72" s="744"/>
    </row>
    <row r="73" spans="1:256" ht="41.4">
      <c r="A73" s="728" t="s">
        <v>326</v>
      </c>
      <c r="B73" s="730" t="s">
        <v>1772</v>
      </c>
      <c r="C73" s="721" t="s">
        <v>572</v>
      </c>
      <c r="D73" s="721">
        <v>1</v>
      </c>
      <c r="E73" s="1107">
        <v>2600</v>
      </c>
      <c r="F73" s="472">
        <f>D73*E73</f>
        <v>2600</v>
      </c>
    </row>
    <row r="74" spans="1:256" ht="13.8">
      <c r="A74" s="738"/>
      <c r="B74" s="762"/>
      <c r="C74" s="740"/>
      <c r="D74" s="740"/>
      <c r="E74" s="1111"/>
      <c r="F74" s="763"/>
      <c r="G74" s="741"/>
      <c r="H74" s="742"/>
      <c r="I74" s="743"/>
      <c r="J74" s="744"/>
      <c r="K74" s="744"/>
      <c r="L74" s="756"/>
      <c r="M74" s="741"/>
      <c r="N74" s="742"/>
      <c r="O74" s="743"/>
      <c r="P74" s="744"/>
      <c r="Q74" s="744"/>
      <c r="R74" s="756"/>
      <c r="S74" s="741"/>
      <c r="T74" s="742"/>
      <c r="U74" s="743"/>
      <c r="V74" s="744"/>
      <c r="W74" s="744"/>
      <c r="X74" s="756"/>
      <c r="Y74" s="741"/>
      <c r="Z74" s="742"/>
      <c r="AA74" s="743"/>
      <c r="AB74" s="744"/>
      <c r="AC74" s="744"/>
      <c r="AD74" s="756"/>
      <c r="AE74" s="741"/>
      <c r="AF74" s="742"/>
      <c r="AG74" s="743"/>
      <c r="AH74" s="744"/>
      <c r="AI74" s="744"/>
      <c r="AJ74" s="756"/>
      <c r="AK74" s="741"/>
      <c r="AL74" s="742"/>
      <c r="AM74" s="743"/>
      <c r="AN74" s="744"/>
      <c r="AO74" s="744"/>
      <c r="AP74" s="756"/>
      <c r="AQ74" s="741"/>
      <c r="AR74" s="742"/>
      <c r="AS74" s="743"/>
      <c r="AT74" s="744"/>
      <c r="AU74" s="744"/>
      <c r="AV74" s="756"/>
      <c r="AW74" s="741"/>
      <c r="AX74" s="742"/>
      <c r="AY74" s="743"/>
      <c r="AZ74" s="744"/>
      <c r="BA74" s="744"/>
      <c r="BB74" s="756"/>
      <c r="BC74" s="741"/>
      <c r="BD74" s="742"/>
      <c r="BE74" s="743"/>
      <c r="BF74" s="744"/>
      <c r="BG74" s="744"/>
      <c r="BH74" s="756"/>
      <c r="BI74" s="741"/>
      <c r="BJ74" s="742"/>
      <c r="BK74" s="743"/>
      <c r="BL74" s="744"/>
      <c r="BM74" s="744"/>
      <c r="BN74" s="756"/>
      <c r="BO74" s="741"/>
      <c r="BP74" s="742"/>
      <c r="BQ74" s="743"/>
      <c r="BR74" s="744"/>
      <c r="BS74" s="744"/>
      <c r="BT74" s="756"/>
      <c r="BU74" s="741"/>
      <c r="BV74" s="742"/>
      <c r="BW74" s="743"/>
      <c r="BX74" s="744"/>
      <c r="BY74" s="744"/>
      <c r="BZ74" s="756"/>
      <c r="CA74" s="741"/>
      <c r="CB74" s="742"/>
      <c r="CC74" s="743"/>
      <c r="CD74" s="744"/>
      <c r="CE74" s="744"/>
      <c r="CF74" s="756"/>
      <c r="CG74" s="741"/>
      <c r="CH74" s="742"/>
      <c r="CI74" s="743"/>
      <c r="CJ74" s="744"/>
      <c r="CK74" s="744"/>
      <c r="CL74" s="756"/>
      <c r="CM74" s="741"/>
      <c r="CN74" s="742"/>
      <c r="CO74" s="743"/>
      <c r="CP74" s="744"/>
      <c r="CQ74" s="744"/>
      <c r="CR74" s="756"/>
      <c r="CS74" s="741"/>
      <c r="CT74" s="742"/>
      <c r="CU74" s="743"/>
      <c r="CV74" s="744"/>
      <c r="CW74" s="744"/>
      <c r="CX74" s="756"/>
      <c r="CY74" s="741"/>
      <c r="CZ74" s="742"/>
      <c r="DA74" s="743"/>
      <c r="DB74" s="744"/>
      <c r="DC74" s="744"/>
      <c r="DD74" s="756"/>
      <c r="DE74" s="741"/>
      <c r="DF74" s="742"/>
      <c r="DG74" s="743"/>
      <c r="DH74" s="744"/>
      <c r="DI74" s="744"/>
      <c r="DJ74" s="756"/>
      <c r="DK74" s="741"/>
      <c r="DL74" s="742"/>
      <c r="DM74" s="743"/>
      <c r="DN74" s="744"/>
      <c r="DO74" s="744"/>
      <c r="DP74" s="756"/>
      <c r="DQ74" s="741"/>
      <c r="DR74" s="742"/>
      <c r="DS74" s="743"/>
      <c r="DT74" s="744"/>
      <c r="DU74" s="744"/>
      <c r="DV74" s="756"/>
      <c r="DW74" s="741"/>
      <c r="DX74" s="742"/>
      <c r="DY74" s="743"/>
      <c r="DZ74" s="744"/>
      <c r="EA74" s="744"/>
      <c r="EB74" s="756"/>
      <c r="EC74" s="741"/>
      <c r="ED74" s="742"/>
      <c r="EE74" s="743"/>
      <c r="EF74" s="744"/>
      <c r="EG74" s="744"/>
      <c r="EH74" s="756"/>
      <c r="EI74" s="741"/>
      <c r="EJ74" s="742"/>
      <c r="EK74" s="743"/>
      <c r="EL74" s="744"/>
      <c r="EM74" s="744"/>
      <c r="EN74" s="756"/>
      <c r="EO74" s="741"/>
      <c r="EP74" s="742"/>
      <c r="EQ74" s="743"/>
      <c r="ER74" s="744"/>
      <c r="ES74" s="744"/>
      <c r="ET74" s="756"/>
      <c r="EU74" s="741"/>
      <c r="EV74" s="742"/>
      <c r="EW74" s="743"/>
      <c r="EX74" s="744"/>
      <c r="EY74" s="744"/>
      <c r="EZ74" s="756"/>
      <c r="FA74" s="741"/>
      <c r="FB74" s="742"/>
      <c r="FC74" s="743"/>
      <c r="FD74" s="744"/>
      <c r="FE74" s="744"/>
      <c r="FF74" s="756"/>
      <c r="FG74" s="741"/>
      <c r="FH74" s="742"/>
      <c r="FI74" s="743"/>
      <c r="FJ74" s="744"/>
      <c r="FK74" s="744"/>
      <c r="FL74" s="756"/>
      <c r="FM74" s="741"/>
      <c r="FN74" s="742"/>
      <c r="FO74" s="743"/>
      <c r="FP74" s="744"/>
      <c r="FQ74" s="744"/>
      <c r="FR74" s="756"/>
      <c r="FS74" s="741"/>
      <c r="FT74" s="742"/>
      <c r="FU74" s="743"/>
      <c r="FV74" s="744"/>
      <c r="FW74" s="744"/>
      <c r="FX74" s="756"/>
      <c r="FY74" s="741"/>
      <c r="FZ74" s="742"/>
      <c r="GA74" s="743"/>
      <c r="GB74" s="744"/>
      <c r="GC74" s="744"/>
      <c r="GD74" s="756"/>
      <c r="GE74" s="741"/>
      <c r="GF74" s="742"/>
      <c r="GG74" s="743"/>
      <c r="GH74" s="744"/>
      <c r="GI74" s="744"/>
      <c r="GJ74" s="756"/>
      <c r="GK74" s="741"/>
      <c r="GL74" s="742"/>
      <c r="GM74" s="743"/>
      <c r="GN74" s="744"/>
      <c r="GO74" s="744"/>
      <c r="GP74" s="756"/>
      <c r="GQ74" s="741"/>
      <c r="GR74" s="742"/>
      <c r="GS74" s="743"/>
      <c r="GT74" s="744"/>
      <c r="GU74" s="744"/>
      <c r="GV74" s="756"/>
      <c r="GW74" s="741"/>
      <c r="GX74" s="742"/>
      <c r="GY74" s="743"/>
      <c r="GZ74" s="744"/>
      <c r="HA74" s="744"/>
      <c r="HB74" s="756"/>
      <c r="HC74" s="741"/>
      <c r="HD74" s="742"/>
      <c r="HE74" s="743"/>
      <c r="HF74" s="744"/>
      <c r="HG74" s="744"/>
      <c r="HH74" s="756"/>
      <c r="HI74" s="741"/>
      <c r="HJ74" s="742"/>
      <c r="HK74" s="743"/>
      <c r="HL74" s="744"/>
      <c r="HM74" s="744"/>
      <c r="HN74" s="756"/>
      <c r="HO74" s="741"/>
      <c r="HP74" s="742"/>
      <c r="HQ74" s="743"/>
      <c r="HR74" s="744"/>
      <c r="HS74" s="744"/>
      <c r="HT74" s="756"/>
      <c r="HU74" s="741"/>
      <c r="HV74" s="742"/>
      <c r="HW74" s="743"/>
      <c r="HX74" s="744"/>
      <c r="HY74" s="744"/>
      <c r="HZ74" s="756"/>
      <c r="IA74" s="741"/>
      <c r="IB74" s="742"/>
      <c r="IC74" s="743"/>
      <c r="ID74" s="744"/>
      <c r="IE74" s="744"/>
      <c r="IF74" s="756"/>
      <c r="IG74" s="741"/>
      <c r="IH74" s="742"/>
      <c r="II74" s="743"/>
      <c r="IJ74" s="744"/>
      <c r="IK74" s="744"/>
      <c r="IL74" s="756"/>
      <c r="IM74" s="741"/>
      <c r="IN74" s="742"/>
      <c r="IO74" s="743"/>
      <c r="IP74" s="744"/>
      <c r="IQ74" s="744"/>
      <c r="IR74" s="756"/>
      <c r="IS74" s="741"/>
      <c r="IT74" s="742"/>
      <c r="IU74" s="743"/>
      <c r="IV74" s="744"/>
    </row>
    <row r="75" spans="1:256" ht="13.8">
      <c r="A75" s="728"/>
      <c r="B75" s="730"/>
      <c r="C75" s="721"/>
      <c r="D75" s="721"/>
      <c r="E75" s="1105"/>
    </row>
    <row r="76" spans="1:256" ht="13.8">
      <c r="A76" s="728" t="s">
        <v>231</v>
      </c>
      <c r="B76" s="730" t="s">
        <v>1773</v>
      </c>
      <c r="C76" s="721"/>
      <c r="D76" s="721"/>
      <c r="E76" s="1105"/>
      <c r="F76" s="472">
        <f>SUM(F7:F73)</f>
        <v>77662</v>
      </c>
    </row>
    <row r="77" spans="1:256" ht="13.8">
      <c r="E77" s="1106"/>
      <c r="F77" s="721"/>
      <c r="G77" s="741"/>
      <c r="H77" s="742"/>
      <c r="I77" s="743"/>
      <c r="J77" s="744"/>
      <c r="K77" s="744"/>
      <c r="L77" s="756"/>
      <c r="M77" s="741"/>
      <c r="N77" s="742"/>
      <c r="O77" s="743"/>
      <c r="P77" s="744"/>
      <c r="Q77" s="744"/>
      <c r="R77" s="756"/>
      <c r="S77" s="741"/>
      <c r="T77" s="742"/>
      <c r="U77" s="743"/>
      <c r="V77" s="744"/>
      <c r="W77" s="744"/>
      <c r="X77" s="756"/>
      <c r="Y77" s="741"/>
      <c r="Z77" s="742"/>
      <c r="AA77" s="743"/>
      <c r="AB77" s="744"/>
      <c r="AC77" s="744"/>
      <c r="AD77" s="756"/>
      <c r="AE77" s="741"/>
      <c r="AF77" s="742"/>
      <c r="AG77" s="743"/>
      <c r="AH77" s="744"/>
      <c r="AI77" s="744"/>
      <c r="AJ77" s="756"/>
      <c r="AK77" s="741"/>
      <c r="AL77" s="742"/>
      <c r="AM77" s="743"/>
      <c r="AN77" s="744"/>
      <c r="AO77" s="744"/>
      <c r="AP77" s="756"/>
      <c r="AQ77" s="741"/>
      <c r="AR77" s="742"/>
      <c r="AS77" s="743"/>
      <c r="AT77" s="744"/>
      <c r="AU77" s="744"/>
      <c r="AV77" s="756"/>
      <c r="AW77" s="741"/>
      <c r="AX77" s="742"/>
      <c r="AY77" s="743"/>
      <c r="AZ77" s="744"/>
      <c r="BA77" s="744"/>
      <c r="BB77" s="756"/>
      <c r="BC77" s="741"/>
      <c r="BD77" s="742"/>
      <c r="BE77" s="743"/>
      <c r="BF77" s="744"/>
      <c r="BG77" s="744"/>
      <c r="BH77" s="756"/>
      <c r="BI77" s="741"/>
      <c r="BJ77" s="742"/>
      <c r="BK77" s="743"/>
      <c r="BL77" s="744"/>
      <c r="BM77" s="744"/>
      <c r="BN77" s="756"/>
      <c r="BO77" s="741"/>
      <c r="BP77" s="742"/>
      <c r="BQ77" s="743"/>
      <c r="BR77" s="744"/>
      <c r="BS77" s="744"/>
      <c r="BT77" s="756"/>
      <c r="BU77" s="741"/>
      <c r="BV77" s="742"/>
      <c r="BW77" s="743"/>
      <c r="BX77" s="744"/>
      <c r="BY77" s="744"/>
      <c r="BZ77" s="756"/>
      <c r="CA77" s="741"/>
      <c r="CB77" s="742"/>
      <c r="CC77" s="743"/>
      <c r="CD77" s="744"/>
      <c r="CE77" s="744"/>
      <c r="CF77" s="756"/>
      <c r="CG77" s="741"/>
      <c r="CH77" s="742"/>
      <c r="CI77" s="743"/>
      <c r="CJ77" s="744"/>
      <c r="CK77" s="744"/>
      <c r="CL77" s="756"/>
      <c r="CM77" s="741"/>
      <c r="CN77" s="742"/>
      <c r="CO77" s="743"/>
      <c r="CP77" s="744"/>
      <c r="CQ77" s="744"/>
      <c r="CR77" s="756"/>
      <c r="CS77" s="741"/>
      <c r="CT77" s="742"/>
      <c r="CU77" s="743"/>
      <c r="CV77" s="744"/>
      <c r="CW77" s="744"/>
      <c r="CX77" s="756"/>
      <c r="CY77" s="741"/>
      <c r="CZ77" s="742"/>
      <c r="DA77" s="743"/>
      <c r="DB77" s="744"/>
      <c r="DC77" s="744"/>
      <c r="DD77" s="756"/>
      <c r="DE77" s="741"/>
      <c r="DF77" s="742"/>
      <c r="DG77" s="743"/>
      <c r="DH77" s="744"/>
      <c r="DI77" s="744"/>
      <c r="DJ77" s="756"/>
      <c r="DK77" s="741"/>
      <c r="DL77" s="742"/>
      <c r="DM77" s="743"/>
      <c r="DN77" s="744"/>
      <c r="DO77" s="744"/>
      <c r="DP77" s="756"/>
      <c r="DQ77" s="741"/>
      <c r="DR77" s="742"/>
      <c r="DS77" s="743"/>
      <c r="DT77" s="744"/>
      <c r="DU77" s="744"/>
      <c r="DV77" s="756"/>
      <c r="DW77" s="741"/>
      <c r="DX77" s="742"/>
      <c r="DY77" s="743"/>
      <c r="DZ77" s="744"/>
      <c r="EA77" s="744"/>
      <c r="EB77" s="756"/>
      <c r="EC77" s="741"/>
      <c r="ED77" s="742"/>
      <c r="EE77" s="743"/>
      <c r="EF77" s="744"/>
      <c r="EG77" s="744"/>
      <c r="EH77" s="756"/>
      <c r="EI77" s="741"/>
      <c r="EJ77" s="742"/>
      <c r="EK77" s="743"/>
      <c r="EL77" s="744"/>
      <c r="EM77" s="744"/>
      <c r="EN77" s="756"/>
      <c r="EO77" s="741"/>
      <c r="EP77" s="742"/>
      <c r="EQ77" s="743"/>
      <c r="ER77" s="744"/>
      <c r="ES77" s="744"/>
      <c r="ET77" s="756"/>
      <c r="EU77" s="741"/>
      <c r="EV77" s="742"/>
      <c r="EW77" s="743"/>
      <c r="EX77" s="744"/>
      <c r="EY77" s="744"/>
      <c r="EZ77" s="756"/>
      <c r="FA77" s="741"/>
      <c r="FB77" s="742"/>
      <c r="FC77" s="743"/>
      <c r="FD77" s="744"/>
      <c r="FE77" s="744"/>
      <c r="FF77" s="756"/>
      <c r="FG77" s="741"/>
      <c r="FH77" s="742"/>
      <c r="FI77" s="743"/>
      <c r="FJ77" s="744"/>
      <c r="FK77" s="744"/>
      <c r="FL77" s="756"/>
      <c r="FM77" s="741"/>
      <c r="FN77" s="742"/>
      <c r="FO77" s="743"/>
      <c r="FP77" s="744"/>
      <c r="FQ77" s="744"/>
      <c r="FR77" s="756"/>
      <c r="FS77" s="741"/>
      <c r="FT77" s="742"/>
      <c r="FU77" s="743"/>
      <c r="FV77" s="744"/>
      <c r="FW77" s="744"/>
      <c r="FX77" s="756"/>
      <c r="FY77" s="741"/>
      <c r="FZ77" s="742"/>
      <c r="GA77" s="743"/>
      <c r="GB77" s="744"/>
      <c r="GC77" s="744"/>
      <c r="GD77" s="756"/>
      <c r="GE77" s="741"/>
      <c r="GF77" s="742"/>
      <c r="GG77" s="743"/>
      <c r="GH77" s="744"/>
      <c r="GI77" s="744"/>
      <c r="GJ77" s="756"/>
      <c r="GK77" s="741"/>
      <c r="GL77" s="742"/>
      <c r="GM77" s="743"/>
      <c r="GN77" s="744"/>
      <c r="GO77" s="744"/>
      <c r="GP77" s="756"/>
      <c r="GQ77" s="741"/>
      <c r="GR77" s="742"/>
      <c r="GS77" s="743"/>
      <c r="GT77" s="744"/>
      <c r="GU77" s="744"/>
      <c r="GV77" s="756"/>
      <c r="GW77" s="741"/>
      <c r="GX77" s="742"/>
      <c r="GY77" s="743"/>
      <c r="GZ77" s="744"/>
      <c r="HA77" s="744"/>
      <c r="HB77" s="756"/>
      <c r="HC77" s="741"/>
      <c r="HD77" s="742"/>
      <c r="HE77" s="743"/>
      <c r="HF77" s="744"/>
      <c r="HG77" s="744"/>
      <c r="HH77" s="756"/>
      <c r="HI77" s="741"/>
      <c r="HJ77" s="742"/>
      <c r="HK77" s="743"/>
      <c r="HL77" s="744"/>
      <c r="HM77" s="744"/>
      <c r="HN77" s="756"/>
      <c r="HO77" s="741"/>
      <c r="HP77" s="742"/>
      <c r="HQ77" s="743"/>
      <c r="HR77" s="744"/>
      <c r="HS77" s="744"/>
      <c r="HT77" s="756"/>
      <c r="HU77" s="741"/>
      <c r="HV77" s="742"/>
      <c r="HW77" s="743"/>
      <c r="HX77" s="744"/>
      <c r="HY77" s="744"/>
      <c r="HZ77" s="756"/>
      <c r="IA77" s="741"/>
      <c r="IB77" s="742"/>
      <c r="IC77" s="743"/>
      <c r="ID77" s="744"/>
      <c r="IE77" s="744"/>
      <c r="IF77" s="756"/>
      <c r="IG77" s="741"/>
      <c r="IH77" s="742"/>
      <c r="II77" s="743"/>
      <c r="IJ77" s="744"/>
      <c r="IK77" s="744"/>
      <c r="IL77" s="756"/>
      <c r="IM77" s="741"/>
      <c r="IN77" s="742"/>
      <c r="IO77" s="743"/>
      <c r="IP77" s="744"/>
      <c r="IQ77" s="744"/>
      <c r="IR77" s="756"/>
      <c r="IS77" s="741"/>
      <c r="IT77" s="742"/>
      <c r="IU77" s="743"/>
      <c r="IV77" s="744"/>
    </row>
    <row r="78" spans="1:256" ht="13.8">
      <c r="A78" s="764"/>
      <c r="B78" s="765"/>
      <c r="C78" s="737"/>
      <c r="D78" s="737"/>
      <c r="E78" s="766"/>
      <c r="F78" s="766"/>
    </row>
    <row r="79" spans="1:256">
      <c r="A79" s="741"/>
      <c r="B79" s="767"/>
      <c r="D79" s="768"/>
      <c r="E79" s="768"/>
      <c r="F79" s="768"/>
    </row>
  </sheetData>
  <mergeCells count="1">
    <mergeCell ref="A2:F2"/>
  </mergeCells>
  <printOptions horizontalCentered="1"/>
  <pageMargins left="0.78740157480314965" right="0.39370078740157483" top="0.39370078740157483" bottom="0.78740157480314965" header="0.39370078740157483" footer="0.39370078740157483"/>
  <pageSetup paperSize="9" orientation="portrait" horizontalDpi="300" verticalDpi="300" r:id="rId1"/>
  <headerFooter scaleWithDoc="0">
    <oddFooter>&amp;C&amp;"ISOCPEUR,Regular"&amp;9POS Ivanić – Grad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1DD7C-7B72-47E0-8B2A-5EA313441BAF}">
  <sheetPr>
    <tabColor rgb="FFFF0000"/>
  </sheetPr>
  <dimension ref="A1:IV45"/>
  <sheetViews>
    <sheetView showZeros="0" topLeftCell="A32" zoomScaleNormal="100" zoomScaleSheetLayoutView="100" zoomScalePageLayoutView="85" workbookViewId="0">
      <selection activeCell="D37" sqref="D37"/>
    </sheetView>
  </sheetViews>
  <sheetFormatPr defaultColWidth="8.90625" defaultRowHeight="13.2"/>
  <cols>
    <col min="1" max="1" width="4.453125" style="686" customWidth="1"/>
    <col min="2" max="2" width="31.6328125" style="686" customWidth="1"/>
    <col min="3" max="3" width="4.453125" style="686" customWidth="1"/>
    <col min="4" max="4" width="6.81640625" style="686" customWidth="1"/>
    <col min="5" max="5" width="9.90625" style="686" customWidth="1"/>
    <col min="6" max="6" width="13" style="686" customWidth="1"/>
    <col min="7" max="16384" width="8.90625" style="686"/>
  </cols>
  <sheetData>
    <row r="1" spans="1:7" s="685" customFormat="1" ht="17.25" customHeight="1">
      <c r="A1" s="680" t="s">
        <v>1623</v>
      </c>
      <c r="B1" s="681"/>
      <c r="C1" s="681"/>
      <c r="D1" s="681"/>
      <c r="E1" s="682"/>
      <c r="F1" s="684" t="s">
        <v>1624</v>
      </c>
      <c r="G1" s="711"/>
    </row>
    <row r="2" spans="1:7" s="685" customFormat="1" ht="2.25" customHeight="1">
      <c r="A2" s="1163"/>
      <c r="B2" s="1163"/>
      <c r="C2" s="1163"/>
      <c r="D2" s="1163"/>
      <c r="E2" s="1163"/>
      <c r="F2" s="1163"/>
    </row>
    <row r="3" spans="1:7" ht="5.0999999999999996" customHeight="1"/>
    <row r="4" spans="1:7" s="714" customFormat="1" ht="15" customHeight="1">
      <c r="A4" s="712" t="s">
        <v>1663</v>
      </c>
      <c r="B4" s="713" t="s">
        <v>1664</v>
      </c>
      <c r="C4" s="713" t="s">
        <v>1665</v>
      </c>
      <c r="D4" s="713" t="s">
        <v>1666</v>
      </c>
      <c r="E4" s="713" t="s">
        <v>1667</v>
      </c>
      <c r="F4" s="713" t="s">
        <v>1668</v>
      </c>
    </row>
    <row r="5" spans="1:7" s="717" customFormat="1" ht="12">
      <c r="A5" s="715">
        <v>1</v>
      </c>
      <c r="B5" s="716">
        <v>2</v>
      </c>
      <c r="C5" s="716">
        <v>3</v>
      </c>
      <c r="D5" s="716">
        <v>4</v>
      </c>
      <c r="E5" s="716">
        <v>5</v>
      </c>
      <c r="F5" s="716" t="s">
        <v>1669</v>
      </c>
    </row>
    <row r="7" spans="1:7" ht="13.8">
      <c r="A7" s="769" t="s">
        <v>93</v>
      </c>
      <c r="B7" s="720" t="s">
        <v>1774</v>
      </c>
    </row>
    <row r="8" spans="1:7" ht="13.8">
      <c r="A8" s="719"/>
      <c r="B8" s="746"/>
      <c r="C8" s="721"/>
      <c r="D8" s="726"/>
      <c r="E8" s="726"/>
      <c r="F8" s="721"/>
    </row>
    <row r="9" spans="1:7" ht="69">
      <c r="A9" s="722" t="s">
        <v>128</v>
      </c>
      <c r="B9" s="730" t="s">
        <v>1775</v>
      </c>
      <c r="C9" s="724" t="s">
        <v>391</v>
      </c>
      <c r="D9" s="770">
        <v>19</v>
      </c>
      <c r="E9" s="1107">
        <v>65</v>
      </c>
      <c r="F9" s="472">
        <f>D9*E9</f>
        <v>1235</v>
      </c>
    </row>
    <row r="10" spans="1:7" ht="13.8">
      <c r="A10" s="771"/>
      <c r="B10" s="729"/>
      <c r="C10" s="772"/>
      <c r="D10" s="772"/>
      <c r="E10" s="1107"/>
    </row>
    <row r="11" spans="1:7" ht="41.4">
      <c r="A11" s="722" t="s">
        <v>231</v>
      </c>
      <c r="B11" s="730" t="s">
        <v>1776</v>
      </c>
      <c r="C11" s="724" t="s">
        <v>391</v>
      </c>
      <c r="D11" s="770">
        <v>18</v>
      </c>
      <c r="E11" s="1107">
        <v>124</v>
      </c>
      <c r="F11" s="472">
        <f>D11*E11</f>
        <v>2232</v>
      </c>
    </row>
    <row r="12" spans="1:7" ht="13.8">
      <c r="A12" s="771"/>
      <c r="B12" s="729"/>
      <c r="C12" s="772"/>
      <c r="D12" s="772"/>
      <c r="E12" s="1107"/>
      <c r="F12" s="472"/>
    </row>
    <row r="13" spans="1:7" ht="55.2">
      <c r="A13" s="722" t="s">
        <v>93</v>
      </c>
      <c r="B13" s="730" t="s">
        <v>1777</v>
      </c>
      <c r="C13" s="724" t="s">
        <v>391</v>
      </c>
      <c r="D13" s="770">
        <v>44</v>
      </c>
      <c r="E13" s="1107">
        <v>85</v>
      </c>
      <c r="F13" s="472">
        <f>D13*E13</f>
        <v>3740</v>
      </c>
    </row>
    <row r="14" spans="1:7" ht="14.4">
      <c r="A14" s="722"/>
      <c r="B14" s="688"/>
      <c r="C14" s="688"/>
      <c r="D14" s="688"/>
      <c r="E14" s="1107"/>
      <c r="F14" s="724"/>
    </row>
    <row r="15" spans="1:7" ht="56.4">
      <c r="A15" s="722" t="s">
        <v>320</v>
      </c>
      <c r="B15" s="723" t="s">
        <v>1778</v>
      </c>
      <c r="C15" s="724" t="s">
        <v>391</v>
      </c>
      <c r="D15" s="724">
        <v>44</v>
      </c>
      <c r="E15" s="1107">
        <v>111</v>
      </c>
      <c r="F15" s="472">
        <f>D15*E15</f>
        <v>4884</v>
      </c>
    </row>
    <row r="16" spans="1:7" ht="13.8">
      <c r="A16" s="771"/>
      <c r="B16" s="723"/>
      <c r="C16" s="724"/>
      <c r="D16" s="770"/>
      <c r="E16" s="1107"/>
      <c r="F16" s="472"/>
    </row>
    <row r="17" spans="1:6" ht="55.2">
      <c r="A17" s="722" t="s">
        <v>326</v>
      </c>
      <c r="B17" s="730" t="s">
        <v>1779</v>
      </c>
      <c r="C17" s="724" t="s">
        <v>391</v>
      </c>
      <c r="D17" s="770">
        <v>18</v>
      </c>
      <c r="E17" s="1107">
        <v>98</v>
      </c>
      <c r="F17" s="472">
        <f>D17*E17</f>
        <v>1764</v>
      </c>
    </row>
    <row r="18" spans="1:6" ht="13.8">
      <c r="A18" s="722"/>
      <c r="B18" s="774"/>
      <c r="E18" s="1105"/>
      <c r="F18" s="472"/>
    </row>
    <row r="19" spans="1:6" ht="27.6">
      <c r="A19" s="722" t="s">
        <v>284</v>
      </c>
      <c r="B19" s="730" t="s">
        <v>1780</v>
      </c>
      <c r="C19" s="724" t="s">
        <v>355</v>
      </c>
      <c r="D19" s="770">
        <v>5</v>
      </c>
      <c r="E19" s="1107">
        <v>15</v>
      </c>
      <c r="F19" s="472">
        <f>D19*E19</f>
        <v>75</v>
      </c>
    </row>
    <row r="20" spans="1:6" ht="13.8">
      <c r="A20" s="722"/>
      <c r="B20" s="729"/>
      <c r="C20" s="772"/>
      <c r="D20" s="772"/>
      <c r="E20" s="1107"/>
      <c r="F20" s="472"/>
    </row>
    <row r="21" spans="1:6" ht="55.2">
      <c r="A21" s="722" t="s">
        <v>461</v>
      </c>
      <c r="B21" s="730" t="s">
        <v>1781</v>
      </c>
      <c r="C21" s="724" t="s">
        <v>391</v>
      </c>
      <c r="D21" s="770">
        <v>18</v>
      </c>
      <c r="E21" s="1107">
        <v>18</v>
      </c>
      <c r="F21" s="472">
        <f>D21*E21</f>
        <v>324</v>
      </c>
    </row>
    <row r="22" spans="1:6" ht="13.8">
      <c r="A22" s="722"/>
      <c r="B22" s="730"/>
      <c r="C22" s="724"/>
      <c r="D22" s="770"/>
      <c r="E22" s="1107"/>
      <c r="F22" s="773"/>
    </row>
    <row r="23" spans="1:6" ht="41.4">
      <c r="A23" s="722" t="s">
        <v>4</v>
      </c>
      <c r="B23" s="775" t="s">
        <v>1782</v>
      </c>
      <c r="E23" s="1105"/>
      <c r="F23" s="773"/>
    </row>
    <row r="24" spans="1:6" ht="13.8">
      <c r="A24" s="728"/>
      <c r="B24" s="775" t="s">
        <v>1783</v>
      </c>
      <c r="C24" s="776"/>
      <c r="D24" s="776"/>
      <c r="E24" s="1112"/>
      <c r="F24" s="773"/>
    </row>
    <row r="25" spans="1:6" ht="110.4">
      <c r="A25" s="777" t="s">
        <v>1784</v>
      </c>
      <c r="B25" s="775" t="s">
        <v>1785</v>
      </c>
      <c r="C25" s="778" t="s">
        <v>391</v>
      </c>
      <c r="D25" s="778">
        <v>1</v>
      </c>
      <c r="E25" s="1112">
        <v>2100</v>
      </c>
      <c r="F25" s="472">
        <f>D25*E25</f>
        <v>2100</v>
      </c>
    </row>
    <row r="26" spans="1:6" ht="13.8">
      <c r="A26" s="776"/>
      <c r="B26" s="775"/>
      <c r="C26" s="776"/>
      <c r="D26" s="776"/>
      <c r="E26" s="1112"/>
      <c r="F26" s="472"/>
    </row>
    <row r="27" spans="1:6" ht="13.8">
      <c r="A27" s="779" t="s">
        <v>1786</v>
      </c>
      <c r="B27" s="775" t="s">
        <v>1787</v>
      </c>
      <c r="C27" s="778" t="s">
        <v>391</v>
      </c>
      <c r="D27" s="778">
        <v>1</v>
      </c>
      <c r="E27" s="1112">
        <v>150</v>
      </c>
      <c r="F27" s="472">
        <f>D27*E27</f>
        <v>150</v>
      </c>
    </row>
    <row r="28" spans="1:6" ht="13.8">
      <c r="A28" s="776"/>
      <c r="B28" s="776"/>
      <c r="C28" s="776"/>
      <c r="D28" s="776"/>
      <c r="E28" s="1112"/>
      <c r="F28" s="724"/>
    </row>
    <row r="29" spans="1:6" s="750" customFormat="1" ht="13.8">
      <c r="A29" s="776"/>
      <c r="B29" s="775" t="s">
        <v>1788</v>
      </c>
      <c r="C29" s="776"/>
      <c r="D29" s="776"/>
      <c r="E29" s="1112"/>
      <c r="F29" s="773"/>
    </row>
    <row r="30" spans="1:6" s="781" customFormat="1" ht="262.2">
      <c r="A30" s="780" t="s">
        <v>1789</v>
      </c>
      <c r="B30" s="775" t="s">
        <v>1790</v>
      </c>
      <c r="C30" s="778" t="s">
        <v>391</v>
      </c>
      <c r="D30" s="778">
        <v>1</v>
      </c>
      <c r="E30" s="1112">
        <v>2195</v>
      </c>
      <c r="F30" s="472">
        <f>D30*E30</f>
        <v>2195</v>
      </c>
    </row>
    <row r="31" spans="1:6" s="781" customFormat="1" ht="13.8">
      <c r="A31" s="776"/>
      <c r="B31" s="775"/>
      <c r="C31" s="776"/>
      <c r="D31" s="776"/>
      <c r="E31" s="1112"/>
    </row>
    <row r="32" spans="1:6" s="781" customFormat="1" ht="82.8">
      <c r="A32" s="780" t="s">
        <v>1791</v>
      </c>
      <c r="B32" s="775" t="s">
        <v>1792</v>
      </c>
      <c r="C32" s="778" t="s">
        <v>391</v>
      </c>
      <c r="D32" s="778">
        <v>2</v>
      </c>
      <c r="E32" s="1112">
        <v>150</v>
      </c>
      <c r="F32" s="472">
        <f>D32*E32</f>
        <v>300</v>
      </c>
    </row>
    <row r="33" spans="1:256" s="781" customFormat="1" ht="13.8">
      <c r="A33" s="776"/>
      <c r="B33" s="775"/>
      <c r="C33" s="776"/>
      <c r="D33" s="776"/>
      <c r="E33" s="1112"/>
      <c r="F33" s="472"/>
    </row>
    <row r="34" spans="1:256" s="781" customFormat="1" ht="82.8">
      <c r="A34" s="780" t="s">
        <v>1793</v>
      </c>
      <c r="B34" s="775" t="s">
        <v>1794</v>
      </c>
      <c r="C34" s="778" t="s">
        <v>391</v>
      </c>
      <c r="D34" s="778">
        <v>2</v>
      </c>
      <c r="E34" s="1112">
        <v>74</v>
      </c>
      <c r="F34" s="472">
        <f>D34*E34</f>
        <v>148</v>
      </c>
    </row>
    <row r="35" spans="1:256" s="781" customFormat="1" ht="13.8">
      <c r="A35" s="776"/>
      <c r="B35" s="775"/>
      <c r="C35" s="776"/>
      <c r="D35" s="776"/>
      <c r="E35" s="1112"/>
      <c r="F35" s="472"/>
    </row>
    <row r="36" spans="1:256" s="781" customFormat="1" ht="13.8">
      <c r="A36" s="780" t="s">
        <v>1795</v>
      </c>
      <c r="B36" s="775" t="s">
        <v>1699</v>
      </c>
      <c r="C36" s="776"/>
      <c r="D36" s="776"/>
      <c r="E36" s="1112"/>
      <c r="F36" s="472"/>
    </row>
    <row r="37" spans="1:256" s="781" customFormat="1" ht="27.6">
      <c r="A37" s="780"/>
      <c r="B37" s="782" t="s">
        <v>1796</v>
      </c>
      <c r="C37" s="724" t="s">
        <v>355</v>
      </c>
      <c r="D37" s="770">
        <v>30</v>
      </c>
      <c r="E37" s="1107">
        <v>9</v>
      </c>
      <c r="F37" s="472">
        <f>D37*E37</f>
        <v>270</v>
      </c>
    </row>
    <row r="38" spans="1:256" s="781" customFormat="1" ht="27.6">
      <c r="A38" s="780"/>
      <c r="B38" s="782" t="s">
        <v>1797</v>
      </c>
      <c r="C38" s="724" t="s">
        <v>355</v>
      </c>
      <c r="D38" s="770">
        <v>10</v>
      </c>
      <c r="E38" s="1107">
        <v>9</v>
      </c>
      <c r="F38" s="472">
        <f>D38*E38</f>
        <v>90</v>
      </c>
    </row>
    <row r="39" spans="1:256" ht="27.6">
      <c r="A39" s="776"/>
      <c r="B39" s="783" t="s">
        <v>1798</v>
      </c>
      <c r="C39" s="724" t="s">
        <v>355</v>
      </c>
      <c r="D39" s="770">
        <v>60</v>
      </c>
      <c r="E39" s="1107">
        <v>7</v>
      </c>
      <c r="F39" s="472">
        <f>D39*E39</f>
        <v>420</v>
      </c>
    </row>
    <row r="40" spans="1:256" ht="13.8">
      <c r="A40" s="784"/>
      <c r="B40" s="723"/>
      <c r="C40" s="785"/>
      <c r="D40" s="786"/>
      <c r="E40" s="1113"/>
      <c r="F40" s="786"/>
      <c r="G40" s="741"/>
      <c r="H40" s="742"/>
      <c r="I40" s="743"/>
      <c r="J40" s="744"/>
      <c r="K40" s="744"/>
      <c r="L40" s="756"/>
      <c r="M40" s="741"/>
      <c r="N40" s="742"/>
      <c r="O40" s="743"/>
      <c r="P40" s="744"/>
      <c r="Q40" s="744"/>
      <c r="R40" s="756"/>
      <c r="S40" s="741"/>
      <c r="T40" s="742"/>
      <c r="U40" s="743"/>
      <c r="V40" s="744"/>
      <c r="W40" s="744"/>
      <c r="X40" s="756"/>
      <c r="Y40" s="741"/>
      <c r="Z40" s="742"/>
      <c r="AA40" s="743"/>
      <c r="AB40" s="744"/>
      <c r="AC40" s="744"/>
      <c r="AD40" s="756"/>
      <c r="AE40" s="741"/>
      <c r="AF40" s="742"/>
      <c r="AG40" s="743"/>
      <c r="AH40" s="744"/>
      <c r="AI40" s="744"/>
      <c r="AJ40" s="756"/>
      <c r="AK40" s="741"/>
      <c r="AL40" s="742"/>
      <c r="AM40" s="743"/>
      <c r="AN40" s="744"/>
      <c r="AO40" s="744"/>
      <c r="AP40" s="756"/>
      <c r="AQ40" s="741"/>
      <c r="AR40" s="742"/>
      <c r="AS40" s="743"/>
      <c r="AT40" s="744"/>
      <c r="AU40" s="744"/>
      <c r="AV40" s="756"/>
      <c r="AW40" s="741"/>
      <c r="AX40" s="742"/>
      <c r="AY40" s="743"/>
      <c r="AZ40" s="744"/>
      <c r="BA40" s="744"/>
      <c r="BB40" s="756"/>
      <c r="BC40" s="741"/>
      <c r="BD40" s="742"/>
      <c r="BE40" s="743"/>
      <c r="BF40" s="744"/>
      <c r="BG40" s="744"/>
      <c r="BH40" s="756"/>
      <c r="BI40" s="741"/>
      <c r="BJ40" s="742"/>
      <c r="BK40" s="743"/>
      <c r="BL40" s="744"/>
      <c r="BM40" s="744"/>
      <c r="BN40" s="756"/>
      <c r="BO40" s="741"/>
      <c r="BP40" s="742"/>
      <c r="BQ40" s="743"/>
      <c r="BR40" s="744"/>
      <c r="BS40" s="744"/>
      <c r="BT40" s="756"/>
      <c r="BU40" s="741"/>
      <c r="BV40" s="742"/>
      <c r="BW40" s="743"/>
      <c r="BX40" s="744"/>
      <c r="BY40" s="744"/>
      <c r="BZ40" s="756"/>
      <c r="CA40" s="741"/>
      <c r="CB40" s="742"/>
      <c r="CC40" s="743"/>
      <c r="CD40" s="744"/>
      <c r="CE40" s="744"/>
      <c r="CF40" s="756"/>
      <c r="CG40" s="741"/>
      <c r="CH40" s="742"/>
      <c r="CI40" s="743"/>
      <c r="CJ40" s="744"/>
      <c r="CK40" s="744"/>
      <c r="CL40" s="756"/>
      <c r="CM40" s="741"/>
      <c r="CN40" s="742"/>
      <c r="CO40" s="743"/>
      <c r="CP40" s="744"/>
      <c r="CQ40" s="744"/>
      <c r="CR40" s="756"/>
      <c r="CS40" s="741"/>
      <c r="CT40" s="742"/>
      <c r="CU40" s="743"/>
      <c r="CV40" s="744"/>
      <c r="CW40" s="744"/>
      <c r="CX40" s="756"/>
      <c r="CY40" s="741"/>
      <c r="CZ40" s="742"/>
      <c r="DA40" s="743"/>
      <c r="DB40" s="744"/>
      <c r="DC40" s="744"/>
      <c r="DD40" s="756"/>
      <c r="DE40" s="741"/>
      <c r="DF40" s="742"/>
      <c r="DG40" s="743"/>
      <c r="DH40" s="744"/>
      <c r="DI40" s="744"/>
      <c r="DJ40" s="756"/>
      <c r="DK40" s="741"/>
      <c r="DL40" s="742"/>
      <c r="DM40" s="743"/>
      <c r="DN40" s="744"/>
      <c r="DO40" s="744"/>
      <c r="DP40" s="756"/>
      <c r="DQ40" s="741"/>
      <c r="DR40" s="742"/>
      <c r="DS40" s="743"/>
      <c r="DT40" s="744"/>
      <c r="DU40" s="744"/>
      <c r="DV40" s="756"/>
      <c r="DW40" s="741"/>
      <c r="DX40" s="742"/>
      <c r="DY40" s="743"/>
      <c r="DZ40" s="744"/>
      <c r="EA40" s="744"/>
      <c r="EB40" s="756"/>
      <c r="EC40" s="741"/>
      <c r="ED40" s="742"/>
      <c r="EE40" s="743"/>
      <c r="EF40" s="744"/>
      <c r="EG40" s="744"/>
      <c r="EH40" s="756"/>
      <c r="EI40" s="741"/>
      <c r="EJ40" s="742"/>
      <c r="EK40" s="743"/>
      <c r="EL40" s="744"/>
      <c r="EM40" s="744"/>
      <c r="EN40" s="756"/>
      <c r="EO40" s="741"/>
      <c r="EP40" s="742"/>
      <c r="EQ40" s="743"/>
      <c r="ER40" s="744"/>
      <c r="ES40" s="744"/>
      <c r="ET40" s="756"/>
      <c r="EU40" s="741"/>
      <c r="EV40" s="742"/>
      <c r="EW40" s="743"/>
      <c r="EX40" s="744"/>
      <c r="EY40" s="744"/>
      <c r="EZ40" s="756"/>
      <c r="FA40" s="741"/>
      <c r="FB40" s="742"/>
      <c r="FC40" s="743"/>
      <c r="FD40" s="744"/>
      <c r="FE40" s="744"/>
      <c r="FF40" s="756"/>
      <c r="FG40" s="741"/>
      <c r="FH40" s="742"/>
      <c r="FI40" s="743"/>
      <c r="FJ40" s="744"/>
      <c r="FK40" s="744"/>
      <c r="FL40" s="756"/>
      <c r="FM40" s="741"/>
      <c r="FN40" s="742"/>
      <c r="FO40" s="743"/>
      <c r="FP40" s="744"/>
      <c r="FQ40" s="744"/>
      <c r="FR40" s="756"/>
      <c r="FS40" s="741"/>
      <c r="FT40" s="742"/>
      <c r="FU40" s="743"/>
      <c r="FV40" s="744"/>
      <c r="FW40" s="744"/>
      <c r="FX40" s="756"/>
      <c r="FY40" s="741"/>
      <c r="FZ40" s="742"/>
      <c r="GA40" s="743"/>
      <c r="GB40" s="744"/>
      <c r="GC40" s="744"/>
      <c r="GD40" s="756"/>
      <c r="GE40" s="741"/>
      <c r="GF40" s="742"/>
      <c r="GG40" s="743"/>
      <c r="GH40" s="744"/>
      <c r="GI40" s="744"/>
      <c r="GJ40" s="756"/>
      <c r="GK40" s="741"/>
      <c r="GL40" s="742"/>
      <c r="GM40" s="743"/>
      <c r="GN40" s="744"/>
      <c r="GO40" s="744"/>
      <c r="GP40" s="756"/>
      <c r="GQ40" s="741"/>
      <c r="GR40" s="742"/>
      <c r="GS40" s="743"/>
      <c r="GT40" s="744"/>
      <c r="GU40" s="744"/>
      <c r="GV40" s="756"/>
      <c r="GW40" s="741"/>
      <c r="GX40" s="742"/>
      <c r="GY40" s="743"/>
      <c r="GZ40" s="744"/>
      <c r="HA40" s="744"/>
      <c r="HB40" s="756"/>
      <c r="HC40" s="741"/>
      <c r="HD40" s="742"/>
      <c r="HE40" s="743"/>
      <c r="HF40" s="744"/>
      <c r="HG40" s="744"/>
      <c r="HH40" s="756"/>
      <c r="HI40" s="741"/>
      <c r="HJ40" s="742"/>
      <c r="HK40" s="743"/>
      <c r="HL40" s="744"/>
      <c r="HM40" s="744"/>
      <c r="HN40" s="756"/>
      <c r="HO40" s="741"/>
      <c r="HP40" s="742"/>
      <c r="HQ40" s="743"/>
      <c r="HR40" s="744"/>
      <c r="HS40" s="744"/>
      <c r="HT40" s="756"/>
      <c r="HU40" s="741"/>
      <c r="HV40" s="742"/>
      <c r="HW40" s="743"/>
      <c r="HX40" s="744"/>
      <c r="HY40" s="744"/>
      <c r="HZ40" s="756"/>
      <c r="IA40" s="741"/>
      <c r="IB40" s="742"/>
      <c r="IC40" s="743"/>
      <c r="ID40" s="744"/>
      <c r="IE40" s="744"/>
      <c r="IF40" s="756"/>
      <c r="IG40" s="741"/>
      <c r="IH40" s="742"/>
      <c r="II40" s="743"/>
      <c r="IJ40" s="744"/>
      <c r="IK40" s="744"/>
      <c r="IL40" s="756"/>
      <c r="IM40" s="741"/>
      <c r="IN40" s="742"/>
      <c r="IO40" s="743"/>
      <c r="IP40" s="744"/>
      <c r="IQ40" s="744"/>
      <c r="IR40" s="756"/>
      <c r="IS40" s="741"/>
      <c r="IT40" s="742"/>
      <c r="IU40" s="743"/>
      <c r="IV40" s="744"/>
    </row>
    <row r="41" spans="1:256" ht="13.8">
      <c r="B41" s="736"/>
      <c r="E41" s="1105"/>
    </row>
    <row r="42" spans="1:256" ht="13.8">
      <c r="A42" s="722" t="s">
        <v>93</v>
      </c>
      <c r="B42" s="723" t="s">
        <v>1799</v>
      </c>
      <c r="E42" s="1114"/>
      <c r="F42" s="472">
        <f>SUM(F7:F39)</f>
        <v>19927</v>
      </c>
    </row>
    <row r="43" spans="1:256" ht="13.8">
      <c r="A43" s="784"/>
      <c r="B43" s="739"/>
      <c r="C43" s="785"/>
      <c r="D43" s="786"/>
      <c r="E43" s="786"/>
      <c r="F43" s="786"/>
    </row>
    <row r="44" spans="1:256" ht="13.8">
      <c r="B44" s="723"/>
      <c r="G44" s="741"/>
      <c r="H44" s="742"/>
      <c r="I44" s="743"/>
      <c r="J44" s="744"/>
      <c r="K44" s="744"/>
      <c r="L44" s="756"/>
      <c r="M44" s="741"/>
      <c r="N44" s="742"/>
      <c r="O44" s="743"/>
      <c r="P44" s="744"/>
      <c r="Q44" s="744"/>
      <c r="R44" s="756"/>
      <c r="S44" s="741"/>
      <c r="T44" s="742"/>
      <c r="U44" s="743"/>
      <c r="V44" s="744"/>
      <c r="W44" s="744"/>
      <c r="X44" s="756"/>
      <c r="Y44" s="741"/>
      <c r="Z44" s="742"/>
      <c r="AA44" s="743"/>
      <c r="AB44" s="744"/>
      <c r="AC44" s="744"/>
      <c r="AD44" s="756"/>
      <c r="AE44" s="741"/>
      <c r="AF44" s="742"/>
      <c r="AG44" s="743"/>
      <c r="AH44" s="744"/>
      <c r="AI44" s="744"/>
      <c r="AJ44" s="756"/>
      <c r="AK44" s="741"/>
      <c r="AL44" s="742"/>
      <c r="AM44" s="743"/>
      <c r="AN44" s="744"/>
      <c r="AO44" s="744"/>
      <c r="AP44" s="756"/>
      <c r="AQ44" s="741"/>
      <c r="AR44" s="742"/>
      <c r="AS44" s="743"/>
      <c r="AT44" s="744"/>
      <c r="AU44" s="744"/>
      <c r="AV44" s="756"/>
      <c r="AW44" s="741"/>
      <c r="AX44" s="742"/>
      <c r="AY44" s="743"/>
      <c r="AZ44" s="744"/>
      <c r="BA44" s="744"/>
      <c r="BB44" s="756"/>
      <c r="BC44" s="741"/>
      <c r="BD44" s="742"/>
      <c r="BE44" s="743"/>
      <c r="BF44" s="744"/>
      <c r="BG44" s="744"/>
      <c r="BH44" s="756"/>
      <c r="BI44" s="741"/>
      <c r="BJ44" s="742"/>
      <c r="BK44" s="743"/>
      <c r="BL44" s="744"/>
      <c r="BM44" s="744"/>
      <c r="BN44" s="756"/>
      <c r="BO44" s="741"/>
      <c r="BP44" s="742"/>
      <c r="BQ44" s="743"/>
      <c r="BR44" s="744"/>
      <c r="BS44" s="744"/>
      <c r="BT44" s="756"/>
      <c r="BU44" s="741"/>
      <c r="BV44" s="742"/>
      <c r="BW44" s="743"/>
      <c r="BX44" s="744"/>
      <c r="BY44" s="744"/>
      <c r="BZ44" s="756"/>
      <c r="CA44" s="741"/>
      <c r="CB44" s="742"/>
      <c r="CC44" s="743"/>
      <c r="CD44" s="744"/>
      <c r="CE44" s="744"/>
      <c r="CF44" s="756"/>
      <c r="CG44" s="741"/>
      <c r="CH44" s="742"/>
      <c r="CI44" s="743"/>
      <c r="CJ44" s="744"/>
      <c r="CK44" s="744"/>
      <c r="CL44" s="756"/>
      <c r="CM44" s="741"/>
      <c r="CN44" s="742"/>
      <c r="CO44" s="743"/>
      <c r="CP44" s="744"/>
      <c r="CQ44" s="744"/>
      <c r="CR44" s="756"/>
      <c r="CS44" s="741"/>
      <c r="CT44" s="742"/>
      <c r="CU44" s="743"/>
      <c r="CV44" s="744"/>
      <c r="CW44" s="744"/>
      <c r="CX44" s="756"/>
      <c r="CY44" s="741"/>
      <c r="CZ44" s="742"/>
      <c r="DA44" s="743"/>
      <c r="DB44" s="744"/>
      <c r="DC44" s="744"/>
      <c r="DD44" s="756"/>
      <c r="DE44" s="741"/>
      <c r="DF44" s="742"/>
      <c r="DG44" s="743"/>
      <c r="DH44" s="744"/>
      <c r="DI44" s="744"/>
      <c r="DJ44" s="756"/>
      <c r="DK44" s="741"/>
      <c r="DL44" s="742"/>
      <c r="DM44" s="743"/>
      <c r="DN44" s="744"/>
      <c r="DO44" s="744"/>
      <c r="DP44" s="756"/>
      <c r="DQ44" s="741"/>
      <c r="DR44" s="742"/>
      <c r="DS44" s="743"/>
      <c r="DT44" s="744"/>
      <c r="DU44" s="744"/>
      <c r="DV44" s="756"/>
      <c r="DW44" s="741"/>
      <c r="DX44" s="742"/>
      <c r="DY44" s="743"/>
      <c r="DZ44" s="744"/>
      <c r="EA44" s="744"/>
      <c r="EB44" s="756"/>
      <c r="EC44" s="741"/>
      <c r="ED44" s="742"/>
      <c r="EE44" s="743"/>
      <c r="EF44" s="744"/>
      <c r="EG44" s="744"/>
      <c r="EH44" s="756"/>
      <c r="EI44" s="741"/>
      <c r="EJ44" s="742"/>
      <c r="EK44" s="743"/>
      <c r="EL44" s="744"/>
      <c r="EM44" s="744"/>
      <c r="EN44" s="756"/>
      <c r="EO44" s="741"/>
      <c r="EP44" s="742"/>
      <c r="EQ44" s="743"/>
      <c r="ER44" s="744"/>
      <c r="ES44" s="744"/>
      <c r="ET44" s="756"/>
      <c r="EU44" s="741"/>
      <c r="EV44" s="742"/>
      <c r="EW44" s="743"/>
      <c r="EX44" s="744"/>
      <c r="EY44" s="744"/>
      <c r="EZ44" s="756"/>
      <c r="FA44" s="741"/>
      <c r="FB44" s="742"/>
      <c r="FC44" s="743"/>
      <c r="FD44" s="744"/>
      <c r="FE44" s="744"/>
      <c r="FF44" s="756"/>
      <c r="FG44" s="741"/>
      <c r="FH44" s="742"/>
      <c r="FI44" s="743"/>
      <c r="FJ44" s="744"/>
      <c r="FK44" s="744"/>
      <c r="FL44" s="756"/>
      <c r="FM44" s="741"/>
      <c r="FN44" s="742"/>
      <c r="FO44" s="743"/>
      <c r="FP44" s="744"/>
      <c r="FQ44" s="744"/>
      <c r="FR44" s="756"/>
      <c r="FS44" s="741"/>
      <c r="FT44" s="742"/>
      <c r="FU44" s="743"/>
      <c r="FV44" s="744"/>
      <c r="FW44" s="744"/>
      <c r="FX44" s="756"/>
      <c r="FY44" s="741"/>
      <c r="FZ44" s="742"/>
      <c r="GA44" s="743"/>
      <c r="GB44" s="744"/>
      <c r="GC44" s="744"/>
      <c r="GD44" s="756"/>
      <c r="GE44" s="741"/>
      <c r="GF44" s="742"/>
      <c r="GG44" s="743"/>
      <c r="GH44" s="744"/>
      <c r="GI44" s="744"/>
      <c r="GJ44" s="756"/>
      <c r="GK44" s="741"/>
      <c r="GL44" s="742"/>
      <c r="GM44" s="743"/>
      <c r="GN44" s="744"/>
      <c r="GO44" s="744"/>
      <c r="GP44" s="756"/>
      <c r="GQ44" s="741"/>
      <c r="GR44" s="742"/>
      <c r="GS44" s="743"/>
      <c r="GT44" s="744"/>
      <c r="GU44" s="744"/>
      <c r="GV44" s="756"/>
      <c r="GW44" s="741"/>
      <c r="GX44" s="742"/>
      <c r="GY44" s="743"/>
      <c r="GZ44" s="744"/>
      <c r="HA44" s="744"/>
      <c r="HB44" s="756"/>
      <c r="HC44" s="741"/>
      <c r="HD44" s="742"/>
      <c r="HE44" s="743"/>
      <c r="HF44" s="744"/>
      <c r="HG44" s="744"/>
      <c r="HH44" s="756"/>
      <c r="HI44" s="741"/>
      <c r="HJ44" s="742"/>
      <c r="HK44" s="743"/>
      <c r="HL44" s="744"/>
      <c r="HM44" s="744"/>
      <c r="HN44" s="756"/>
      <c r="HO44" s="741"/>
      <c r="HP44" s="742"/>
      <c r="HQ44" s="743"/>
      <c r="HR44" s="744"/>
      <c r="HS44" s="744"/>
      <c r="HT44" s="756"/>
      <c r="HU44" s="741"/>
      <c r="HV44" s="742"/>
      <c r="HW44" s="743"/>
      <c r="HX44" s="744"/>
      <c r="HY44" s="744"/>
      <c r="HZ44" s="756"/>
      <c r="IA44" s="741"/>
      <c r="IB44" s="742"/>
      <c r="IC44" s="743"/>
      <c r="ID44" s="744"/>
      <c r="IE44" s="744"/>
      <c r="IF44" s="756"/>
      <c r="IG44" s="741"/>
      <c r="IH44" s="742"/>
      <c r="II44" s="743"/>
      <c r="IJ44" s="744"/>
      <c r="IK44" s="744"/>
      <c r="IL44" s="756"/>
      <c r="IM44" s="741"/>
      <c r="IN44" s="742"/>
      <c r="IO44" s="743"/>
      <c r="IP44" s="744"/>
      <c r="IQ44" s="744"/>
      <c r="IR44" s="756"/>
      <c r="IS44" s="741"/>
      <c r="IT44" s="742"/>
      <c r="IU44" s="743"/>
      <c r="IV44" s="744"/>
    </row>
    <row r="45" spans="1:256">
      <c r="A45" s="741"/>
      <c r="B45" s="767"/>
      <c r="D45" s="768"/>
      <c r="E45" s="768"/>
      <c r="F45" s="768"/>
    </row>
  </sheetData>
  <mergeCells count="1">
    <mergeCell ref="A2:F2"/>
  </mergeCells>
  <printOptions horizontalCentered="1"/>
  <pageMargins left="0.78740157480314965" right="0.39370078740157483" top="0.39370078740157483" bottom="0.78740157480314965" header="0.39370078740157483" footer="0.39370078740157483"/>
  <pageSetup paperSize="9" orientation="portrait" horizontalDpi="300" verticalDpi="300" r:id="rId1"/>
  <headerFooter scaleWithDoc="0">
    <oddFooter>&amp;C&amp;"ISOCPEUR,Regular"&amp;9POS Ivanić – Grad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2DF5-4576-49A0-B548-6F7CEC0D322A}">
  <sheetPr>
    <tabColor rgb="FFFF0000"/>
  </sheetPr>
  <dimension ref="A1:IV53"/>
  <sheetViews>
    <sheetView showZeros="0" view="pageLayout" topLeftCell="A45" zoomScaleNormal="100" zoomScaleSheetLayoutView="100" workbookViewId="0">
      <selection activeCell="D43" sqref="D43"/>
    </sheetView>
  </sheetViews>
  <sheetFormatPr defaultColWidth="8.90625" defaultRowHeight="13.2"/>
  <cols>
    <col min="1" max="1" width="4.453125" style="686" customWidth="1"/>
    <col min="2" max="2" width="31.6328125" style="686" customWidth="1"/>
    <col min="3" max="3" width="5" style="686" customWidth="1"/>
    <col min="4" max="4" width="6.81640625" style="686" customWidth="1"/>
    <col min="5" max="5" width="9.90625" style="686" customWidth="1"/>
    <col min="6" max="6" width="13" style="686" customWidth="1"/>
    <col min="7" max="16384" width="8.90625" style="686"/>
  </cols>
  <sheetData>
    <row r="1" spans="1:7" s="685" customFormat="1" ht="17.25" customHeight="1">
      <c r="A1" s="680" t="s">
        <v>1623</v>
      </c>
      <c r="B1" s="681"/>
      <c r="C1" s="681"/>
      <c r="D1" s="681"/>
      <c r="E1" s="682"/>
      <c r="F1" s="684" t="s">
        <v>1624</v>
      </c>
      <c r="G1" s="711"/>
    </row>
    <row r="2" spans="1:7" s="685" customFormat="1" ht="2.25" customHeight="1">
      <c r="A2" s="1163"/>
      <c r="B2" s="1163"/>
      <c r="C2" s="1163"/>
      <c r="D2" s="1163"/>
      <c r="E2" s="1163"/>
      <c r="F2" s="1163"/>
    </row>
    <row r="3" spans="1:7" ht="5.0999999999999996" customHeight="1"/>
    <row r="4" spans="1:7" s="714" customFormat="1" ht="15" customHeight="1">
      <c r="A4" s="712" t="s">
        <v>1663</v>
      </c>
      <c r="B4" s="713" t="s">
        <v>1664</v>
      </c>
      <c r="C4" s="713" t="s">
        <v>1665</v>
      </c>
      <c r="D4" s="713" t="s">
        <v>1666</v>
      </c>
      <c r="E4" s="713" t="s">
        <v>1667</v>
      </c>
      <c r="F4" s="713" t="s">
        <v>1668</v>
      </c>
    </row>
    <row r="5" spans="1:7" s="717" customFormat="1" ht="12">
      <c r="A5" s="715">
        <v>1</v>
      </c>
      <c r="B5" s="716">
        <v>2</v>
      </c>
      <c r="C5" s="716">
        <v>3</v>
      </c>
      <c r="D5" s="716">
        <v>4</v>
      </c>
      <c r="E5" s="716">
        <v>5</v>
      </c>
      <c r="F5" s="716" t="s">
        <v>1669</v>
      </c>
    </row>
    <row r="7" spans="1:7" ht="13.8">
      <c r="A7" s="719" t="s">
        <v>320</v>
      </c>
      <c r="B7" s="787" t="s">
        <v>1800</v>
      </c>
      <c r="C7" s="721"/>
      <c r="D7" s="721"/>
      <c r="E7" s="721"/>
      <c r="F7" s="721"/>
    </row>
    <row r="8" spans="1:7" ht="13.8">
      <c r="A8" s="728"/>
      <c r="B8" s="730"/>
      <c r="C8" s="730"/>
      <c r="D8" s="721"/>
    </row>
    <row r="9" spans="1:7" ht="55.2">
      <c r="A9" s="728">
        <v>1</v>
      </c>
      <c r="B9" s="730" t="s">
        <v>1801</v>
      </c>
      <c r="C9" s="721" t="s">
        <v>391</v>
      </c>
      <c r="D9" s="721">
        <v>350</v>
      </c>
      <c r="E9" s="1107">
        <v>5</v>
      </c>
      <c r="F9" s="472">
        <f>D9*E9</f>
        <v>1750</v>
      </c>
    </row>
    <row r="10" spans="1:7" ht="13.8">
      <c r="A10" s="728"/>
      <c r="B10" s="730"/>
      <c r="C10" s="721"/>
      <c r="D10" s="721"/>
      <c r="E10" s="1107"/>
      <c r="F10" s="472"/>
    </row>
    <row r="11" spans="1:7" ht="41.4">
      <c r="A11" s="728">
        <v>2</v>
      </c>
      <c r="B11" s="730" t="s">
        <v>1802</v>
      </c>
      <c r="C11" s="721" t="s">
        <v>355</v>
      </c>
      <c r="D11" s="721">
        <v>280</v>
      </c>
      <c r="E11" s="1107">
        <v>11</v>
      </c>
      <c r="F11" s="472">
        <f>D11*E11</f>
        <v>3080</v>
      </c>
    </row>
    <row r="12" spans="1:7" ht="13.8">
      <c r="A12" s="728"/>
      <c r="B12" s="730"/>
      <c r="C12" s="721"/>
      <c r="D12" s="721"/>
      <c r="E12" s="1107"/>
      <c r="F12" s="472"/>
    </row>
    <row r="13" spans="1:7" ht="41.4">
      <c r="A13" s="728">
        <v>3</v>
      </c>
      <c r="B13" s="730" t="s">
        <v>1803</v>
      </c>
      <c r="C13" s="721" t="s">
        <v>391</v>
      </c>
      <c r="D13" s="721">
        <v>30</v>
      </c>
      <c r="E13" s="1107">
        <v>15</v>
      </c>
      <c r="F13" s="472">
        <f>D13*E13</f>
        <v>450</v>
      </c>
    </row>
    <row r="14" spans="1:7" ht="13.8">
      <c r="A14" s="728"/>
      <c r="B14" s="730"/>
      <c r="C14" s="721"/>
      <c r="D14" s="721"/>
      <c r="E14" s="1107"/>
      <c r="F14" s="472"/>
    </row>
    <row r="15" spans="1:7" s="750" customFormat="1" ht="55.2">
      <c r="A15" s="728">
        <v>4</v>
      </c>
      <c r="B15" s="730" t="s">
        <v>1804</v>
      </c>
      <c r="C15" s="721" t="s">
        <v>391</v>
      </c>
      <c r="D15" s="721">
        <v>80</v>
      </c>
      <c r="E15" s="1107">
        <v>5</v>
      </c>
      <c r="F15" s="472">
        <f>D15*E15</f>
        <v>400</v>
      </c>
    </row>
    <row r="16" spans="1:7" s="781" customFormat="1" ht="13.8">
      <c r="A16" s="728"/>
      <c r="B16" s="730"/>
      <c r="C16" s="721"/>
      <c r="D16" s="721"/>
      <c r="E16" s="1107"/>
      <c r="F16" s="472"/>
    </row>
    <row r="17" spans="1:6" s="781" customFormat="1" ht="27.6">
      <c r="A17" s="728">
        <v>5</v>
      </c>
      <c r="B17" s="730" t="s">
        <v>1805</v>
      </c>
      <c r="C17" s="721" t="s">
        <v>355</v>
      </c>
      <c r="D17" s="721">
        <v>20</v>
      </c>
      <c r="E17" s="1107">
        <v>15</v>
      </c>
      <c r="F17" s="472">
        <f>D17*E17</f>
        <v>300</v>
      </c>
    </row>
    <row r="18" spans="1:6" s="781" customFormat="1" ht="13.8">
      <c r="A18" s="728"/>
      <c r="B18" s="730"/>
      <c r="C18" s="721"/>
      <c r="D18" s="721"/>
      <c r="E18" s="1107"/>
      <c r="F18" s="472"/>
    </row>
    <row r="19" spans="1:6" s="781" customFormat="1" ht="55.2">
      <c r="A19" s="728">
        <v>6</v>
      </c>
      <c r="B19" s="730" t="s">
        <v>1806</v>
      </c>
      <c r="C19" s="721" t="s">
        <v>391</v>
      </c>
      <c r="D19" s="721">
        <v>10</v>
      </c>
      <c r="E19" s="1107">
        <v>15</v>
      </c>
      <c r="F19" s="472">
        <f>D19*E19</f>
        <v>150</v>
      </c>
    </row>
    <row r="20" spans="1:6" s="781" customFormat="1" ht="13.8">
      <c r="A20" s="728"/>
      <c r="B20" s="723"/>
      <c r="C20" s="721"/>
      <c r="D20" s="721"/>
      <c r="E20" s="1107"/>
      <c r="F20" s="761"/>
    </row>
    <row r="21" spans="1:6" ht="41.4">
      <c r="A21" s="728">
        <v>7</v>
      </c>
      <c r="B21" s="730" t="s">
        <v>1807</v>
      </c>
      <c r="C21" s="721"/>
      <c r="D21" s="721"/>
      <c r="E21" s="1106"/>
      <c r="F21" s="726"/>
    </row>
    <row r="22" spans="1:6" ht="27.6">
      <c r="A22" s="728" t="s">
        <v>1672</v>
      </c>
      <c r="B22" s="730" t="s">
        <v>1808</v>
      </c>
      <c r="C22" s="724" t="s">
        <v>391</v>
      </c>
      <c r="D22" s="731">
        <v>1</v>
      </c>
      <c r="E22" s="1106"/>
      <c r="F22" s="726"/>
    </row>
    <row r="23" spans="1:6" ht="13.8">
      <c r="A23" s="728" t="s">
        <v>1672</v>
      </c>
      <c r="B23" s="730" t="s">
        <v>1809</v>
      </c>
      <c r="C23" s="724" t="s">
        <v>391</v>
      </c>
      <c r="D23" s="731">
        <v>1</v>
      </c>
      <c r="E23" s="1106"/>
      <c r="F23" s="726"/>
    </row>
    <row r="24" spans="1:6" ht="13.8">
      <c r="A24" s="728" t="s">
        <v>1672</v>
      </c>
      <c r="B24" s="730" t="s">
        <v>1810</v>
      </c>
      <c r="C24" s="724" t="s">
        <v>391</v>
      </c>
      <c r="D24" s="731">
        <v>2</v>
      </c>
      <c r="E24" s="1106"/>
      <c r="F24" s="726"/>
    </row>
    <row r="25" spans="1:6" ht="27.6">
      <c r="A25" s="728" t="s">
        <v>1672</v>
      </c>
      <c r="B25" s="730" t="s">
        <v>1811</v>
      </c>
      <c r="C25" s="724" t="s">
        <v>391</v>
      </c>
      <c r="D25" s="731">
        <v>2</v>
      </c>
      <c r="E25" s="1106"/>
      <c r="F25" s="726"/>
    </row>
    <row r="26" spans="1:6" ht="27.6">
      <c r="A26" s="728" t="s">
        <v>1672</v>
      </c>
      <c r="B26" s="730" t="s">
        <v>1812</v>
      </c>
      <c r="C26" s="724" t="s">
        <v>391</v>
      </c>
      <c r="D26" s="731">
        <v>6</v>
      </c>
      <c r="E26" s="1106"/>
      <c r="F26" s="726"/>
    </row>
    <row r="27" spans="1:6" ht="27.6">
      <c r="A27" s="728" t="s">
        <v>1672</v>
      </c>
      <c r="B27" s="730" t="s">
        <v>1813</v>
      </c>
      <c r="C27" s="724" t="s">
        <v>391</v>
      </c>
      <c r="D27" s="731">
        <v>1</v>
      </c>
      <c r="E27" s="1106"/>
      <c r="F27" s="726"/>
    </row>
    <row r="28" spans="1:6" ht="13.8">
      <c r="A28" s="728" t="s">
        <v>1672</v>
      </c>
      <c r="B28" s="730" t="s">
        <v>1814</v>
      </c>
      <c r="C28" s="724" t="s">
        <v>391</v>
      </c>
      <c r="D28" s="731">
        <v>3</v>
      </c>
      <c r="E28" s="1106"/>
      <c r="F28" s="726"/>
    </row>
    <row r="29" spans="1:6" ht="13.8">
      <c r="A29" s="728" t="s">
        <v>1672</v>
      </c>
      <c r="B29" s="730" t="s">
        <v>1815</v>
      </c>
      <c r="C29" s="724" t="s">
        <v>391</v>
      </c>
      <c r="D29" s="731">
        <v>6</v>
      </c>
      <c r="E29" s="1106"/>
    </row>
    <row r="30" spans="1:6" ht="27.6">
      <c r="A30" s="728"/>
      <c r="B30" s="762" t="s">
        <v>1816</v>
      </c>
      <c r="C30" s="785" t="s">
        <v>572</v>
      </c>
      <c r="D30" s="788">
        <v>1</v>
      </c>
      <c r="E30" s="1106"/>
    </row>
    <row r="31" spans="1:6" ht="12.75" customHeight="1">
      <c r="A31" s="728"/>
      <c r="B31" s="730"/>
      <c r="C31" s="724" t="s">
        <v>572</v>
      </c>
      <c r="D31" s="724">
        <v>1</v>
      </c>
      <c r="E31" s="1107">
        <v>255</v>
      </c>
      <c r="F31" s="472">
        <f>D31*E31</f>
        <v>255</v>
      </c>
    </row>
    <row r="32" spans="1:6" ht="12.75" customHeight="1">
      <c r="A32" s="728"/>
      <c r="B32" s="730"/>
      <c r="C32" s="724"/>
      <c r="D32" s="724"/>
      <c r="E32" s="1107"/>
      <c r="F32" s="726"/>
    </row>
    <row r="33" spans="1:256" ht="55.2">
      <c r="A33" s="728">
        <v>8</v>
      </c>
      <c r="B33" s="723" t="s">
        <v>1817</v>
      </c>
      <c r="C33" s="789" t="s">
        <v>355</v>
      </c>
      <c r="D33" s="789">
        <v>210</v>
      </c>
      <c r="E33" s="1109">
        <v>9.5500000000000007</v>
      </c>
      <c r="F33" s="472">
        <f>D33*E33</f>
        <v>2005.5000000000002</v>
      </c>
    </row>
    <row r="34" spans="1:256" ht="13.8">
      <c r="A34" s="728"/>
      <c r="B34" s="723"/>
      <c r="C34" s="789"/>
      <c r="D34" s="789"/>
      <c r="E34" s="1109"/>
      <c r="F34" s="472"/>
    </row>
    <row r="35" spans="1:256" ht="27.6">
      <c r="A35" s="728">
        <v>9</v>
      </c>
      <c r="B35" s="790" t="s">
        <v>1818</v>
      </c>
      <c r="C35" s="721" t="s">
        <v>431</v>
      </c>
      <c r="D35" s="721">
        <v>20</v>
      </c>
      <c r="E35" s="1107">
        <v>15</v>
      </c>
      <c r="F35" s="472">
        <f>D35*E35</f>
        <v>300</v>
      </c>
    </row>
    <row r="36" spans="1:256" ht="13.8">
      <c r="A36" s="728"/>
      <c r="B36" s="723"/>
      <c r="E36" s="1105"/>
      <c r="F36" s="472"/>
    </row>
    <row r="37" spans="1:256" ht="55.2">
      <c r="A37" s="728">
        <v>10</v>
      </c>
      <c r="B37" s="723" t="s">
        <v>1819</v>
      </c>
      <c r="C37" s="721" t="s">
        <v>431</v>
      </c>
      <c r="D37" s="721">
        <v>36</v>
      </c>
      <c r="E37" s="1107">
        <v>35</v>
      </c>
      <c r="F37" s="472">
        <f>D37*E37</f>
        <v>1260</v>
      </c>
    </row>
    <row r="38" spans="1:256" ht="13.8">
      <c r="A38" s="728"/>
      <c r="B38" s="730"/>
      <c r="C38" s="721"/>
      <c r="D38" s="721"/>
      <c r="E38" s="1107"/>
      <c r="F38" s="761"/>
    </row>
    <row r="39" spans="1:256" ht="13.8">
      <c r="A39" s="728">
        <v>11</v>
      </c>
      <c r="B39" s="730" t="s">
        <v>1820</v>
      </c>
      <c r="C39" s="747"/>
      <c r="D39" s="747"/>
      <c r="E39" s="1107"/>
      <c r="F39" s="472"/>
    </row>
    <row r="40" spans="1:256" ht="13.8">
      <c r="B40" s="732" t="s">
        <v>1821</v>
      </c>
      <c r="C40" s="721" t="s">
        <v>258</v>
      </c>
      <c r="D40" s="721">
        <v>360</v>
      </c>
      <c r="E40" s="1107">
        <v>4.53</v>
      </c>
      <c r="F40" s="472">
        <f>D40*E40</f>
        <v>1630.8000000000002</v>
      </c>
      <c r="G40" s="741"/>
      <c r="H40" s="742"/>
      <c r="I40" s="743"/>
      <c r="J40" s="744"/>
      <c r="K40" s="744"/>
      <c r="L40" s="756"/>
      <c r="M40" s="741"/>
      <c r="N40" s="742"/>
      <c r="O40" s="743"/>
      <c r="P40" s="744"/>
      <c r="Q40" s="744"/>
      <c r="R40" s="756"/>
      <c r="S40" s="741"/>
      <c r="T40" s="742"/>
      <c r="U40" s="743"/>
      <c r="V40" s="744"/>
      <c r="W40" s="744"/>
      <c r="X40" s="756"/>
      <c r="Y40" s="741"/>
      <c r="Z40" s="742"/>
      <c r="AA40" s="743"/>
      <c r="AB40" s="744"/>
      <c r="AC40" s="744"/>
      <c r="AD40" s="756"/>
      <c r="AE40" s="741"/>
      <c r="AF40" s="742"/>
      <c r="AG40" s="743"/>
      <c r="AH40" s="744"/>
      <c r="AI40" s="744"/>
      <c r="AJ40" s="756"/>
      <c r="AK40" s="741"/>
      <c r="AL40" s="742"/>
      <c r="AM40" s="743"/>
      <c r="AN40" s="744"/>
      <c r="AO40" s="744"/>
      <c r="AP40" s="756"/>
      <c r="AQ40" s="741"/>
      <c r="AR40" s="742"/>
      <c r="AS40" s="743"/>
      <c r="AT40" s="744"/>
      <c r="AU40" s="744"/>
      <c r="AV40" s="756"/>
      <c r="AW40" s="741"/>
      <c r="AX40" s="742"/>
      <c r="AY40" s="743"/>
      <c r="AZ40" s="744"/>
      <c r="BA40" s="744"/>
      <c r="BB40" s="756"/>
      <c r="BC40" s="741"/>
      <c r="BD40" s="742"/>
      <c r="BE40" s="743"/>
      <c r="BF40" s="744"/>
      <c r="BG40" s="744"/>
      <c r="BH40" s="756"/>
      <c r="BI40" s="741"/>
      <c r="BJ40" s="742"/>
      <c r="BK40" s="743"/>
      <c r="BL40" s="744"/>
      <c r="BM40" s="744"/>
      <c r="BN40" s="756"/>
      <c r="BO40" s="741"/>
      <c r="BP40" s="742"/>
      <c r="BQ40" s="743"/>
      <c r="BR40" s="744"/>
      <c r="BS40" s="744"/>
      <c r="BT40" s="756"/>
      <c r="BU40" s="741"/>
      <c r="BV40" s="742"/>
      <c r="BW40" s="743"/>
      <c r="BX40" s="744"/>
      <c r="BY40" s="744"/>
      <c r="BZ40" s="756"/>
      <c r="CA40" s="741"/>
      <c r="CB40" s="742"/>
      <c r="CC40" s="743"/>
      <c r="CD40" s="744"/>
      <c r="CE40" s="744"/>
      <c r="CF40" s="756"/>
      <c r="CG40" s="741"/>
      <c r="CH40" s="742"/>
      <c r="CI40" s="743"/>
      <c r="CJ40" s="744"/>
      <c r="CK40" s="744"/>
      <c r="CL40" s="756"/>
      <c r="CM40" s="741"/>
      <c r="CN40" s="742"/>
      <c r="CO40" s="743"/>
      <c r="CP40" s="744"/>
      <c r="CQ40" s="744"/>
      <c r="CR40" s="756"/>
      <c r="CS40" s="741"/>
      <c r="CT40" s="742"/>
      <c r="CU40" s="743"/>
      <c r="CV40" s="744"/>
      <c r="CW40" s="744"/>
      <c r="CX40" s="756"/>
      <c r="CY40" s="741"/>
      <c r="CZ40" s="742"/>
      <c r="DA40" s="743"/>
      <c r="DB40" s="744"/>
      <c r="DC40" s="744"/>
      <c r="DD40" s="756"/>
      <c r="DE40" s="741"/>
      <c r="DF40" s="742"/>
      <c r="DG40" s="743"/>
      <c r="DH40" s="744"/>
      <c r="DI40" s="744"/>
      <c r="DJ40" s="756"/>
      <c r="DK40" s="741"/>
      <c r="DL40" s="742"/>
      <c r="DM40" s="743"/>
      <c r="DN40" s="744"/>
      <c r="DO40" s="744"/>
      <c r="DP40" s="756"/>
      <c r="DQ40" s="741"/>
      <c r="DR40" s="742"/>
      <c r="DS40" s="743"/>
      <c r="DT40" s="744"/>
      <c r="DU40" s="744"/>
      <c r="DV40" s="756"/>
      <c r="DW40" s="741"/>
      <c r="DX40" s="742"/>
      <c r="DY40" s="743"/>
      <c r="DZ40" s="744"/>
      <c r="EA40" s="744"/>
      <c r="EB40" s="756"/>
      <c r="EC40" s="741"/>
      <c r="ED40" s="742"/>
      <c r="EE40" s="743"/>
      <c r="EF40" s="744"/>
      <c r="EG40" s="744"/>
      <c r="EH40" s="756"/>
      <c r="EI40" s="741"/>
      <c r="EJ40" s="742"/>
      <c r="EK40" s="743"/>
      <c r="EL40" s="744"/>
      <c r="EM40" s="744"/>
      <c r="EN40" s="756"/>
      <c r="EO40" s="741"/>
      <c r="EP40" s="742"/>
      <c r="EQ40" s="743"/>
      <c r="ER40" s="744"/>
      <c r="ES40" s="744"/>
      <c r="ET40" s="756"/>
      <c r="EU40" s="741"/>
      <c r="EV40" s="742"/>
      <c r="EW40" s="743"/>
      <c r="EX40" s="744"/>
      <c r="EY40" s="744"/>
      <c r="EZ40" s="756"/>
      <c r="FA40" s="741"/>
      <c r="FB40" s="742"/>
      <c r="FC40" s="743"/>
      <c r="FD40" s="744"/>
      <c r="FE40" s="744"/>
      <c r="FF40" s="756"/>
      <c r="FG40" s="741"/>
      <c r="FH40" s="742"/>
      <c r="FI40" s="743"/>
      <c r="FJ40" s="744"/>
      <c r="FK40" s="744"/>
      <c r="FL40" s="756"/>
      <c r="FM40" s="741"/>
      <c r="FN40" s="742"/>
      <c r="FO40" s="743"/>
      <c r="FP40" s="744"/>
      <c r="FQ40" s="744"/>
      <c r="FR40" s="756"/>
      <c r="FS40" s="741"/>
      <c r="FT40" s="742"/>
      <c r="FU40" s="743"/>
      <c r="FV40" s="744"/>
      <c r="FW40" s="744"/>
      <c r="FX40" s="756"/>
      <c r="FY40" s="741"/>
      <c r="FZ40" s="742"/>
      <c r="GA40" s="743"/>
      <c r="GB40" s="744"/>
      <c r="GC40" s="744"/>
      <c r="GD40" s="756"/>
      <c r="GE40" s="741"/>
      <c r="GF40" s="742"/>
      <c r="GG40" s="743"/>
      <c r="GH40" s="744"/>
      <c r="GI40" s="744"/>
      <c r="GJ40" s="756"/>
      <c r="GK40" s="741"/>
      <c r="GL40" s="742"/>
      <c r="GM40" s="743"/>
      <c r="GN40" s="744"/>
      <c r="GO40" s="744"/>
      <c r="GP40" s="756"/>
      <c r="GQ40" s="741"/>
      <c r="GR40" s="742"/>
      <c r="GS40" s="743"/>
      <c r="GT40" s="744"/>
      <c r="GU40" s="744"/>
      <c r="GV40" s="756"/>
      <c r="GW40" s="741"/>
      <c r="GX40" s="742"/>
      <c r="GY40" s="743"/>
      <c r="GZ40" s="744"/>
      <c r="HA40" s="744"/>
      <c r="HB40" s="756"/>
      <c r="HC40" s="741"/>
      <c r="HD40" s="742"/>
      <c r="HE40" s="743"/>
      <c r="HF40" s="744"/>
      <c r="HG40" s="744"/>
      <c r="HH40" s="756"/>
      <c r="HI40" s="741"/>
      <c r="HJ40" s="742"/>
      <c r="HK40" s="743"/>
      <c r="HL40" s="744"/>
      <c r="HM40" s="744"/>
      <c r="HN40" s="756"/>
      <c r="HO40" s="741"/>
      <c r="HP40" s="742"/>
      <c r="HQ40" s="743"/>
      <c r="HR40" s="744"/>
      <c r="HS40" s="744"/>
      <c r="HT40" s="756"/>
      <c r="HU40" s="741"/>
      <c r="HV40" s="742"/>
      <c r="HW40" s="743"/>
      <c r="HX40" s="744"/>
      <c r="HY40" s="744"/>
      <c r="HZ40" s="756"/>
      <c r="IA40" s="741"/>
      <c r="IB40" s="742"/>
      <c r="IC40" s="743"/>
      <c r="ID40" s="744"/>
      <c r="IE40" s="744"/>
      <c r="IF40" s="756"/>
      <c r="IG40" s="741"/>
      <c r="IH40" s="742"/>
      <c r="II40" s="743"/>
      <c r="IJ40" s="744"/>
      <c r="IK40" s="744"/>
      <c r="IL40" s="756"/>
      <c r="IM40" s="741"/>
      <c r="IN40" s="742"/>
      <c r="IO40" s="743"/>
      <c r="IP40" s="744"/>
      <c r="IQ40" s="744"/>
      <c r="IR40" s="756"/>
      <c r="IS40" s="741"/>
      <c r="IT40" s="742"/>
      <c r="IU40" s="743"/>
      <c r="IV40" s="744"/>
    </row>
    <row r="41" spans="1:256" ht="13.8">
      <c r="B41" s="732" t="s">
        <v>1822</v>
      </c>
      <c r="C41" s="721" t="s">
        <v>258</v>
      </c>
      <c r="D41" s="721">
        <v>180</v>
      </c>
      <c r="E41" s="1107">
        <v>4</v>
      </c>
      <c r="F41" s="472">
        <f>D41*E41</f>
        <v>720</v>
      </c>
    </row>
    <row r="42" spans="1:256" ht="13.8">
      <c r="A42" s="728"/>
      <c r="B42" s="730"/>
      <c r="C42" s="721"/>
      <c r="D42" s="721"/>
      <c r="E42" s="1107"/>
      <c r="F42" s="472"/>
    </row>
    <row r="43" spans="1:256" ht="27.6">
      <c r="A43" s="728">
        <v>12</v>
      </c>
      <c r="B43" s="730" t="s">
        <v>1823</v>
      </c>
      <c r="C43" s="721" t="s">
        <v>431</v>
      </c>
      <c r="D43" s="721">
        <v>72</v>
      </c>
      <c r="E43" s="1107">
        <v>8</v>
      </c>
      <c r="F43" s="472">
        <f>D43*E43</f>
        <v>576</v>
      </c>
    </row>
    <row r="44" spans="1:256" ht="13.8">
      <c r="A44" s="728"/>
      <c r="E44" s="1105"/>
      <c r="F44" s="472"/>
    </row>
    <row r="45" spans="1:256" ht="41.4">
      <c r="A45" s="728" t="s">
        <v>109</v>
      </c>
      <c r="B45" s="730" t="s">
        <v>1824</v>
      </c>
      <c r="C45" s="721" t="s">
        <v>572</v>
      </c>
      <c r="D45" s="721">
        <v>1</v>
      </c>
      <c r="E45" s="1107">
        <v>250</v>
      </c>
      <c r="F45" s="472">
        <f>D45*E45</f>
        <v>250</v>
      </c>
    </row>
    <row r="46" spans="1:256" ht="13.8">
      <c r="A46" s="728"/>
      <c r="B46" s="729"/>
      <c r="C46" s="747"/>
      <c r="D46" s="747"/>
      <c r="E46" s="1107"/>
      <c r="F46" s="472"/>
    </row>
    <row r="47" spans="1:256" ht="69">
      <c r="A47" s="728">
        <v>14</v>
      </c>
      <c r="B47" s="730" t="s">
        <v>1825</v>
      </c>
      <c r="C47" s="721" t="s">
        <v>572</v>
      </c>
      <c r="D47" s="721">
        <v>1</v>
      </c>
      <c r="E47" s="1107">
        <v>250</v>
      </c>
      <c r="F47" s="472">
        <f>D47*E47</f>
        <v>250</v>
      </c>
    </row>
    <row r="48" spans="1:256" ht="13.8">
      <c r="A48" s="738"/>
      <c r="B48" s="739"/>
      <c r="C48" s="740"/>
      <c r="D48" s="740"/>
      <c r="E48" s="1115"/>
      <c r="F48" s="740"/>
    </row>
    <row r="49" spans="1:256" ht="13.8">
      <c r="A49" s="728"/>
      <c r="B49" s="723"/>
      <c r="C49" s="721"/>
      <c r="D49" s="721"/>
      <c r="E49" s="1106"/>
      <c r="F49" s="721"/>
      <c r="G49" s="741"/>
      <c r="H49" s="742"/>
      <c r="I49" s="743"/>
      <c r="J49" s="744"/>
      <c r="K49" s="744"/>
      <c r="L49" s="756"/>
      <c r="M49" s="741"/>
      <c r="N49" s="742"/>
      <c r="O49" s="743"/>
      <c r="P49" s="744"/>
      <c r="Q49" s="744"/>
      <c r="R49" s="756"/>
      <c r="S49" s="741"/>
      <c r="T49" s="742"/>
      <c r="U49" s="743"/>
      <c r="V49" s="744"/>
      <c r="W49" s="744"/>
      <c r="X49" s="756"/>
      <c r="Y49" s="741"/>
      <c r="Z49" s="742"/>
      <c r="AA49" s="743"/>
      <c r="AB49" s="744"/>
      <c r="AC49" s="744"/>
      <c r="AD49" s="756"/>
      <c r="AE49" s="741"/>
      <c r="AF49" s="742"/>
      <c r="AG49" s="743"/>
      <c r="AH49" s="744"/>
      <c r="AI49" s="744"/>
      <c r="AJ49" s="756"/>
      <c r="AK49" s="741"/>
      <c r="AL49" s="742"/>
      <c r="AM49" s="743"/>
      <c r="AN49" s="744"/>
      <c r="AO49" s="744"/>
      <c r="AP49" s="756"/>
      <c r="AQ49" s="741"/>
      <c r="AR49" s="742"/>
      <c r="AS49" s="743"/>
      <c r="AT49" s="744"/>
      <c r="AU49" s="744"/>
      <c r="AV49" s="756"/>
      <c r="AW49" s="741"/>
      <c r="AX49" s="742"/>
      <c r="AY49" s="743"/>
      <c r="AZ49" s="744"/>
      <c r="BA49" s="744"/>
      <c r="BB49" s="756"/>
      <c r="BC49" s="741"/>
      <c r="BD49" s="742"/>
      <c r="BE49" s="743"/>
      <c r="BF49" s="744"/>
      <c r="BG49" s="744"/>
      <c r="BH49" s="756"/>
      <c r="BI49" s="741"/>
      <c r="BJ49" s="742"/>
      <c r="BK49" s="743"/>
      <c r="BL49" s="744"/>
      <c r="BM49" s="744"/>
      <c r="BN49" s="756"/>
      <c r="BO49" s="741"/>
      <c r="BP49" s="742"/>
      <c r="BQ49" s="743"/>
      <c r="BR49" s="744"/>
      <c r="BS49" s="744"/>
      <c r="BT49" s="756"/>
      <c r="BU49" s="741"/>
      <c r="BV49" s="742"/>
      <c r="BW49" s="743"/>
      <c r="BX49" s="744"/>
      <c r="BY49" s="744"/>
      <c r="BZ49" s="756"/>
      <c r="CA49" s="741"/>
      <c r="CB49" s="742"/>
      <c r="CC49" s="743"/>
      <c r="CD49" s="744"/>
      <c r="CE49" s="744"/>
      <c r="CF49" s="756"/>
      <c r="CG49" s="741"/>
      <c r="CH49" s="742"/>
      <c r="CI49" s="743"/>
      <c r="CJ49" s="744"/>
      <c r="CK49" s="744"/>
      <c r="CL49" s="756"/>
      <c r="CM49" s="741"/>
      <c r="CN49" s="742"/>
      <c r="CO49" s="743"/>
      <c r="CP49" s="744"/>
      <c r="CQ49" s="744"/>
      <c r="CR49" s="756"/>
      <c r="CS49" s="741"/>
      <c r="CT49" s="742"/>
      <c r="CU49" s="743"/>
      <c r="CV49" s="744"/>
      <c r="CW49" s="744"/>
      <c r="CX49" s="756"/>
      <c r="CY49" s="741"/>
      <c r="CZ49" s="742"/>
      <c r="DA49" s="743"/>
      <c r="DB49" s="744"/>
      <c r="DC49" s="744"/>
      <c r="DD49" s="756"/>
      <c r="DE49" s="741"/>
      <c r="DF49" s="742"/>
      <c r="DG49" s="743"/>
      <c r="DH49" s="744"/>
      <c r="DI49" s="744"/>
      <c r="DJ49" s="756"/>
      <c r="DK49" s="741"/>
      <c r="DL49" s="742"/>
      <c r="DM49" s="743"/>
      <c r="DN49" s="744"/>
      <c r="DO49" s="744"/>
      <c r="DP49" s="756"/>
      <c r="DQ49" s="741"/>
      <c r="DR49" s="742"/>
      <c r="DS49" s="743"/>
      <c r="DT49" s="744"/>
      <c r="DU49" s="744"/>
      <c r="DV49" s="756"/>
      <c r="DW49" s="741"/>
      <c r="DX49" s="742"/>
      <c r="DY49" s="743"/>
      <c r="DZ49" s="744"/>
      <c r="EA49" s="744"/>
      <c r="EB49" s="756"/>
      <c r="EC49" s="741"/>
      <c r="ED49" s="742"/>
      <c r="EE49" s="743"/>
      <c r="EF49" s="744"/>
      <c r="EG49" s="744"/>
      <c r="EH49" s="756"/>
      <c r="EI49" s="741"/>
      <c r="EJ49" s="742"/>
      <c r="EK49" s="743"/>
      <c r="EL49" s="744"/>
      <c r="EM49" s="744"/>
      <c r="EN49" s="756"/>
      <c r="EO49" s="741"/>
      <c r="EP49" s="742"/>
      <c r="EQ49" s="743"/>
      <c r="ER49" s="744"/>
      <c r="ES49" s="744"/>
      <c r="ET49" s="756"/>
      <c r="EU49" s="741"/>
      <c r="EV49" s="742"/>
      <c r="EW49" s="743"/>
      <c r="EX49" s="744"/>
      <c r="EY49" s="744"/>
      <c r="EZ49" s="756"/>
      <c r="FA49" s="741"/>
      <c r="FB49" s="742"/>
      <c r="FC49" s="743"/>
      <c r="FD49" s="744"/>
      <c r="FE49" s="744"/>
      <c r="FF49" s="756"/>
      <c r="FG49" s="741"/>
      <c r="FH49" s="742"/>
      <c r="FI49" s="743"/>
      <c r="FJ49" s="744"/>
      <c r="FK49" s="744"/>
      <c r="FL49" s="756"/>
      <c r="FM49" s="741"/>
      <c r="FN49" s="742"/>
      <c r="FO49" s="743"/>
      <c r="FP49" s="744"/>
      <c r="FQ49" s="744"/>
      <c r="FR49" s="756"/>
      <c r="FS49" s="741"/>
      <c r="FT49" s="742"/>
      <c r="FU49" s="743"/>
      <c r="FV49" s="744"/>
      <c r="FW49" s="744"/>
      <c r="FX49" s="756"/>
      <c r="FY49" s="741"/>
      <c r="FZ49" s="742"/>
      <c r="GA49" s="743"/>
      <c r="GB49" s="744"/>
      <c r="GC49" s="744"/>
      <c r="GD49" s="756"/>
      <c r="GE49" s="741"/>
      <c r="GF49" s="742"/>
      <c r="GG49" s="743"/>
      <c r="GH49" s="744"/>
      <c r="GI49" s="744"/>
      <c r="GJ49" s="756"/>
      <c r="GK49" s="741"/>
      <c r="GL49" s="742"/>
      <c r="GM49" s="743"/>
      <c r="GN49" s="744"/>
      <c r="GO49" s="744"/>
      <c r="GP49" s="756"/>
      <c r="GQ49" s="741"/>
      <c r="GR49" s="742"/>
      <c r="GS49" s="743"/>
      <c r="GT49" s="744"/>
      <c r="GU49" s="744"/>
      <c r="GV49" s="756"/>
      <c r="GW49" s="741"/>
      <c r="GX49" s="742"/>
      <c r="GY49" s="743"/>
      <c r="GZ49" s="744"/>
      <c r="HA49" s="744"/>
      <c r="HB49" s="756"/>
      <c r="HC49" s="741"/>
      <c r="HD49" s="742"/>
      <c r="HE49" s="743"/>
      <c r="HF49" s="744"/>
      <c r="HG49" s="744"/>
      <c r="HH49" s="756"/>
      <c r="HI49" s="741"/>
      <c r="HJ49" s="742"/>
      <c r="HK49" s="743"/>
      <c r="HL49" s="744"/>
      <c r="HM49" s="744"/>
      <c r="HN49" s="756"/>
      <c r="HO49" s="741"/>
      <c r="HP49" s="742"/>
      <c r="HQ49" s="743"/>
      <c r="HR49" s="744"/>
      <c r="HS49" s="744"/>
      <c r="HT49" s="756"/>
      <c r="HU49" s="741"/>
      <c r="HV49" s="742"/>
      <c r="HW49" s="743"/>
      <c r="HX49" s="744"/>
      <c r="HY49" s="744"/>
      <c r="HZ49" s="756"/>
      <c r="IA49" s="741"/>
      <c r="IB49" s="742"/>
      <c r="IC49" s="743"/>
      <c r="ID49" s="744"/>
      <c r="IE49" s="744"/>
      <c r="IF49" s="756"/>
      <c r="IG49" s="741"/>
      <c r="IH49" s="742"/>
      <c r="II49" s="743"/>
      <c r="IJ49" s="744"/>
      <c r="IK49" s="744"/>
      <c r="IL49" s="756"/>
      <c r="IM49" s="741"/>
      <c r="IN49" s="742"/>
      <c r="IO49" s="743"/>
      <c r="IP49" s="744"/>
      <c r="IQ49" s="744"/>
      <c r="IR49" s="756"/>
      <c r="IS49" s="741"/>
      <c r="IT49" s="742"/>
      <c r="IU49" s="743"/>
      <c r="IV49" s="744"/>
    </row>
    <row r="50" spans="1:256" ht="13.8">
      <c r="A50" s="728" t="s">
        <v>320</v>
      </c>
      <c r="B50" s="791" t="s">
        <v>1826</v>
      </c>
      <c r="C50" s="721"/>
      <c r="D50" s="721"/>
      <c r="E50" s="1107"/>
      <c r="F50" s="472">
        <f>SUM(F7:F47)</f>
        <v>13377.3</v>
      </c>
    </row>
    <row r="51" spans="1:256" ht="13.8">
      <c r="A51" s="738"/>
      <c r="B51" s="739"/>
      <c r="C51" s="740"/>
      <c r="D51" s="740"/>
      <c r="E51" s="1115"/>
      <c r="F51" s="740"/>
    </row>
    <row r="52" spans="1:256" ht="13.8">
      <c r="A52" s="728"/>
      <c r="B52" s="723"/>
      <c r="C52" s="721"/>
      <c r="D52" s="721"/>
      <c r="E52" s="721"/>
      <c r="F52" s="721"/>
    </row>
    <row r="53" spans="1:256">
      <c r="A53" s="741"/>
      <c r="B53" s="767"/>
      <c r="D53" s="768"/>
      <c r="E53" s="768"/>
      <c r="F53" s="768"/>
    </row>
  </sheetData>
  <mergeCells count="1">
    <mergeCell ref="A2:F2"/>
  </mergeCells>
  <printOptions horizontalCentered="1"/>
  <pageMargins left="0.78740157480314965" right="0.39370078740157483" top="0.39370078740157483" bottom="0.78740157480314965" header="0.39370078740157483" footer="0.39370078740157483"/>
  <pageSetup paperSize="9" orientation="portrait" horizontalDpi="300" verticalDpi="300" r:id="rId1"/>
  <headerFooter scaleWithDoc="0">
    <oddFooter>&amp;C&amp;"ISOCPEUR,Regular"&amp;9POS Ivanić – Grad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1EC00-2668-4675-9922-361B5B2983F5}">
  <sheetPr>
    <tabColor rgb="FFFF0000"/>
  </sheetPr>
  <dimension ref="A1:IV69"/>
  <sheetViews>
    <sheetView showZeros="0" zoomScaleNormal="100" zoomScaleSheetLayoutView="100" workbookViewId="0">
      <selection activeCell="E58" sqref="E58"/>
    </sheetView>
  </sheetViews>
  <sheetFormatPr defaultColWidth="8.90625" defaultRowHeight="13.2"/>
  <cols>
    <col min="1" max="1" width="4.453125" style="686" customWidth="1"/>
    <col min="2" max="2" width="31.6328125" style="686" customWidth="1"/>
    <col min="3" max="3" width="4.90625" style="686" customWidth="1"/>
    <col min="4" max="4" width="6.81640625" style="686" customWidth="1"/>
    <col min="5" max="5" width="9.90625" style="686" customWidth="1"/>
    <col min="6" max="6" width="13" style="686" customWidth="1"/>
    <col min="7" max="16384" width="8.90625" style="686"/>
  </cols>
  <sheetData>
    <row r="1" spans="1:7" s="685" customFormat="1" ht="17.25" customHeight="1">
      <c r="A1" s="680" t="s">
        <v>1623</v>
      </c>
      <c r="B1" s="681"/>
      <c r="C1" s="681"/>
      <c r="D1" s="681"/>
      <c r="E1" s="682"/>
      <c r="F1" s="684" t="s">
        <v>1624</v>
      </c>
      <c r="G1" s="711"/>
    </row>
    <row r="2" spans="1:7" s="685" customFormat="1" ht="2.25" customHeight="1">
      <c r="A2" s="1163"/>
      <c r="B2" s="1163"/>
      <c r="C2" s="1163"/>
      <c r="D2" s="1163"/>
      <c r="E2" s="1163"/>
      <c r="F2" s="1163"/>
    </row>
    <row r="3" spans="1:7" ht="5.0999999999999996" customHeight="1"/>
    <row r="4" spans="1:7" s="714" customFormat="1" ht="15" customHeight="1">
      <c r="A4" s="712" t="s">
        <v>1663</v>
      </c>
      <c r="B4" s="713" t="s">
        <v>1664</v>
      </c>
      <c r="C4" s="713" t="s">
        <v>1665</v>
      </c>
      <c r="D4" s="713" t="s">
        <v>1666</v>
      </c>
      <c r="E4" s="713" t="s">
        <v>1667</v>
      </c>
      <c r="F4" s="713" t="s">
        <v>1668</v>
      </c>
    </row>
    <row r="5" spans="1:7" s="717" customFormat="1" ht="12">
      <c r="A5" s="715">
        <v>1</v>
      </c>
      <c r="B5" s="716">
        <v>2</v>
      </c>
      <c r="C5" s="716">
        <v>3</v>
      </c>
      <c r="D5" s="716">
        <v>4</v>
      </c>
      <c r="E5" s="716">
        <v>5</v>
      </c>
      <c r="F5" s="716" t="s">
        <v>1669</v>
      </c>
    </row>
    <row r="7" spans="1:7" ht="13.8">
      <c r="A7" s="769" t="s">
        <v>326</v>
      </c>
      <c r="B7" s="746" t="s">
        <v>1827</v>
      </c>
      <c r="C7" s="721"/>
      <c r="D7" s="721"/>
      <c r="E7" s="721"/>
      <c r="F7" s="770"/>
    </row>
    <row r="8" spans="1:7" ht="13.8">
      <c r="A8" s="769"/>
      <c r="B8" s="720"/>
      <c r="C8" s="721"/>
      <c r="D8" s="721"/>
      <c r="E8" s="1107"/>
      <c r="F8" s="770"/>
    </row>
    <row r="9" spans="1:7" ht="27.6">
      <c r="A9" s="792" t="s">
        <v>128</v>
      </c>
      <c r="B9" s="793" t="s">
        <v>1828</v>
      </c>
      <c r="C9" s="794" t="s">
        <v>391</v>
      </c>
      <c r="D9" s="794">
        <v>1</v>
      </c>
      <c r="E9" s="1107">
        <v>300</v>
      </c>
      <c r="F9" s="472">
        <f>D9*E9</f>
        <v>300</v>
      </c>
    </row>
    <row r="10" spans="1:7" ht="13.8">
      <c r="A10" s="792"/>
      <c r="B10" s="793"/>
      <c r="C10" s="794"/>
      <c r="D10" s="794"/>
      <c r="E10" s="1107"/>
    </row>
    <row r="11" spans="1:7" ht="27.6">
      <c r="A11" s="792" t="s">
        <v>231</v>
      </c>
      <c r="B11" s="793" t="s">
        <v>1829</v>
      </c>
      <c r="C11" s="794"/>
      <c r="D11" s="794"/>
      <c r="E11" s="1107"/>
      <c r="F11" s="726"/>
    </row>
    <row r="12" spans="1:7" ht="13.8">
      <c r="A12" s="792"/>
      <c r="B12" s="793" t="s">
        <v>1830</v>
      </c>
      <c r="C12" s="794" t="s">
        <v>391</v>
      </c>
      <c r="D12" s="795">
        <v>1</v>
      </c>
      <c r="E12" s="1107"/>
      <c r="F12" s="726"/>
    </row>
    <row r="13" spans="1:7" ht="13.8">
      <c r="A13" s="792"/>
      <c r="B13" s="793" t="s">
        <v>1831</v>
      </c>
      <c r="C13" s="794" t="s">
        <v>391</v>
      </c>
      <c r="D13" s="795">
        <v>1</v>
      </c>
      <c r="E13" s="1107"/>
      <c r="F13" s="726">
        <f>D13*E13</f>
        <v>0</v>
      </c>
    </row>
    <row r="14" spans="1:7" ht="13.8">
      <c r="A14" s="792"/>
      <c r="B14" s="793" t="s">
        <v>1832</v>
      </c>
      <c r="C14" s="794" t="s">
        <v>391</v>
      </c>
      <c r="D14" s="795">
        <v>2</v>
      </c>
      <c r="E14" s="1107"/>
      <c r="F14" s="726"/>
    </row>
    <row r="15" spans="1:7" ht="13.8">
      <c r="A15" s="792"/>
      <c r="B15" s="793" t="s">
        <v>1833</v>
      </c>
      <c r="C15" s="794" t="s">
        <v>391</v>
      </c>
      <c r="D15" s="795">
        <v>1</v>
      </c>
      <c r="E15" s="1107"/>
      <c r="F15" s="726">
        <f>D15*E15</f>
        <v>0</v>
      </c>
    </row>
    <row r="16" spans="1:7" ht="13.8">
      <c r="A16" s="792"/>
      <c r="B16" s="793" t="s">
        <v>1834</v>
      </c>
      <c r="C16" s="794" t="s">
        <v>391</v>
      </c>
      <c r="D16" s="795">
        <v>1</v>
      </c>
      <c r="E16" s="1107"/>
      <c r="F16" s="726">
        <f>D16*E16</f>
        <v>0</v>
      </c>
    </row>
    <row r="17" spans="1:6" ht="13.8">
      <c r="A17" s="792"/>
      <c r="B17" s="793" t="s">
        <v>1835</v>
      </c>
      <c r="C17" s="794" t="s">
        <v>391</v>
      </c>
      <c r="D17" s="795">
        <v>1</v>
      </c>
      <c r="E17" s="1107"/>
    </row>
    <row r="18" spans="1:6" ht="13.8">
      <c r="A18" s="792"/>
      <c r="B18" s="793" t="s">
        <v>1836</v>
      </c>
      <c r="C18" s="794" t="s">
        <v>391</v>
      </c>
      <c r="D18" s="795">
        <v>1</v>
      </c>
      <c r="E18" s="1107"/>
      <c r="F18" s="726">
        <f>D18*E18</f>
        <v>0</v>
      </c>
    </row>
    <row r="19" spans="1:6" ht="13.8">
      <c r="A19" s="792"/>
      <c r="B19" s="793" t="s">
        <v>1837</v>
      </c>
      <c r="C19" s="794" t="s">
        <v>391</v>
      </c>
      <c r="D19" s="795">
        <v>2</v>
      </c>
      <c r="E19" s="1107"/>
      <c r="F19" s="726">
        <f>D19*E19</f>
        <v>0</v>
      </c>
    </row>
    <row r="20" spans="1:6" ht="13.8">
      <c r="A20" s="792"/>
      <c r="B20" s="793" t="s">
        <v>1838</v>
      </c>
      <c r="C20" s="794" t="s">
        <v>391</v>
      </c>
      <c r="D20" s="795">
        <v>1</v>
      </c>
      <c r="E20" s="1107"/>
      <c r="F20" s="726">
        <f>D20*E20</f>
        <v>0</v>
      </c>
    </row>
    <row r="21" spans="1:6" ht="13.8">
      <c r="A21" s="792"/>
      <c r="B21" s="793" t="s">
        <v>1839</v>
      </c>
      <c r="C21" s="794" t="s">
        <v>391</v>
      </c>
      <c r="D21" s="795">
        <v>2</v>
      </c>
      <c r="E21" s="1107"/>
      <c r="F21" s="726"/>
    </row>
    <row r="22" spans="1:6" ht="13.8">
      <c r="A22" s="792"/>
      <c r="B22" s="793" t="s">
        <v>1840</v>
      </c>
      <c r="C22" s="794" t="s">
        <v>391</v>
      </c>
      <c r="D22" s="795">
        <v>1</v>
      </c>
      <c r="E22" s="1107"/>
      <c r="F22" s="726"/>
    </row>
    <row r="23" spans="1:6" ht="13.8">
      <c r="A23" s="792"/>
      <c r="B23" s="793" t="s">
        <v>1841</v>
      </c>
      <c r="C23" s="794" t="s">
        <v>355</v>
      </c>
      <c r="D23" s="795">
        <v>100</v>
      </c>
      <c r="E23" s="1107"/>
      <c r="F23" s="726"/>
    </row>
    <row r="24" spans="1:6" ht="13.8">
      <c r="A24" s="792"/>
      <c r="B24" s="796" t="s">
        <v>1842</v>
      </c>
      <c r="C24" s="797" t="s">
        <v>572</v>
      </c>
      <c r="D24" s="798">
        <v>1</v>
      </c>
      <c r="E24" s="1107"/>
      <c r="F24" s="726">
        <f>D24*E24</f>
        <v>0</v>
      </c>
    </row>
    <row r="25" spans="1:6" ht="13.8">
      <c r="A25" s="792"/>
      <c r="B25" s="793"/>
      <c r="C25" s="794" t="s">
        <v>572</v>
      </c>
      <c r="D25" s="794">
        <v>1</v>
      </c>
      <c r="E25" s="1107">
        <v>900</v>
      </c>
      <c r="F25" s="472">
        <f>D25*E25</f>
        <v>900</v>
      </c>
    </row>
    <row r="26" spans="1:6" ht="41.4">
      <c r="A26" s="792"/>
      <c r="B26" s="793" t="s">
        <v>1843</v>
      </c>
      <c r="C26" s="794"/>
      <c r="D26" s="794"/>
      <c r="E26" s="1107"/>
      <c r="F26" s="726">
        <f>D26*E26</f>
        <v>0</v>
      </c>
    </row>
    <row r="27" spans="1:6" ht="13.8">
      <c r="A27" s="792"/>
      <c r="B27" s="793"/>
      <c r="C27" s="794"/>
      <c r="D27" s="794"/>
      <c r="E27" s="1107"/>
      <c r="F27" s="726">
        <f>D27*E27</f>
        <v>0</v>
      </c>
    </row>
    <row r="28" spans="1:6" ht="27.6">
      <c r="A28" s="792" t="s">
        <v>93</v>
      </c>
      <c r="B28" s="793" t="s">
        <v>1844</v>
      </c>
      <c r="C28" s="794"/>
      <c r="D28" s="794"/>
      <c r="E28" s="1107"/>
    </row>
    <row r="29" spans="1:6" ht="13.8">
      <c r="A29" s="792"/>
      <c r="B29" s="793" t="s">
        <v>1845</v>
      </c>
      <c r="C29" s="794" t="s">
        <v>391</v>
      </c>
      <c r="D29" s="795">
        <v>1</v>
      </c>
      <c r="E29" s="1107"/>
      <c r="F29" s="726">
        <f>D29*E29</f>
        <v>0</v>
      </c>
    </row>
    <row r="30" spans="1:6" ht="41.4">
      <c r="A30" s="792"/>
      <c r="B30" s="793" t="s">
        <v>1846</v>
      </c>
      <c r="C30" s="794" t="s">
        <v>391</v>
      </c>
      <c r="D30" s="795">
        <v>1</v>
      </c>
      <c r="E30" s="1107"/>
      <c r="F30" s="726">
        <f>D30*E30</f>
        <v>0</v>
      </c>
    </row>
    <row r="31" spans="1:6" ht="13.8">
      <c r="A31" s="792"/>
      <c r="B31" s="793" t="s">
        <v>1847</v>
      </c>
      <c r="C31" s="794" t="s">
        <v>391</v>
      </c>
      <c r="D31" s="795">
        <v>1</v>
      </c>
      <c r="E31" s="1107"/>
    </row>
    <row r="32" spans="1:6" ht="13.8">
      <c r="A32" s="792"/>
      <c r="B32" s="793" t="s">
        <v>1848</v>
      </c>
      <c r="C32" s="794" t="s">
        <v>391</v>
      </c>
      <c r="D32" s="795">
        <v>1</v>
      </c>
      <c r="E32" s="1107"/>
      <c r="F32" s="726"/>
    </row>
    <row r="33" spans="1:6" ht="13.8">
      <c r="A33" s="792"/>
      <c r="B33" s="793" t="s">
        <v>1849</v>
      </c>
      <c r="C33" s="794" t="s">
        <v>391</v>
      </c>
      <c r="D33" s="795">
        <v>2</v>
      </c>
      <c r="E33" s="1107"/>
      <c r="F33" s="726"/>
    </row>
    <row r="34" spans="1:6" ht="13.8">
      <c r="A34" s="792"/>
      <c r="B34" s="793" t="s">
        <v>1850</v>
      </c>
      <c r="C34" s="794" t="s">
        <v>391</v>
      </c>
      <c r="D34" s="795">
        <v>6</v>
      </c>
      <c r="E34" s="1107"/>
      <c r="F34" s="726">
        <f>D34*E34</f>
        <v>0</v>
      </c>
    </row>
    <row r="35" spans="1:6" ht="13.8">
      <c r="A35" s="792"/>
      <c r="B35" s="793" t="s">
        <v>1851</v>
      </c>
      <c r="C35" s="794" t="s">
        <v>391</v>
      </c>
      <c r="D35" s="795">
        <v>100</v>
      </c>
      <c r="E35" s="1107"/>
      <c r="F35" s="726">
        <f>D35*E35</f>
        <v>0</v>
      </c>
    </row>
    <row r="36" spans="1:6" ht="13.8">
      <c r="A36" s="792"/>
      <c r="B36" s="796" t="s">
        <v>1842</v>
      </c>
      <c r="C36" s="797" t="s">
        <v>572</v>
      </c>
      <c r="D36" s="798">
        <v>1</v>
      </c>
      <c r="E36" s="1107"/>
      <c r="F36" s="726"/>
    </row>
    <row r="37" spans="1:6" ht="13.8">
      <c r="A37" s="792"/>
      <c r="B37" s="793"/>
      <c r="C37" s="794" t="s">
        <v>572</v>
      </c>
      <c r="D37" s="794">
        <v>1</v>
      </c>
      <c r="E37" s="1107">
        <v>1250</v>
      </c>
      <c r="F37" s="472">
        <f t="shared" ref="F37:F43" si="0">D37*E37</f>
        <v>1250</v>
      </c>
    </row>
    <row r="38" spans="1:6" ht="13.8">
      <c r="A38" s="792"/>
      <c r="B38" s="793"/>
      <c r="C38" s="794"/>
      <c r="D38" s="794"/>
      <c r="E38" s="1107"/>
      <c r="F38" s="472">
        <f t="shared" si="0"/>
        <v>0</v>
      </c>
    </row>
    <row r="39" spans="1:6" ht="27.6">
      <c r="A39" s="792" t="s">
        <v>320</v>
      </c>
      <c r="B39" s="793" t="s">
        <v>1852</v>
      </c>
      <c r="C39" s="794" t="s">
        <v>355</v>
      </c>
      <c r="D39" s="794">
        <v>750</v>
      </c>
      <c r="E39" s="1107">
        <v>3.1</v>
      </c>
      <c r="F39" s="472">
        <f t="shared" si="0"/>
        <v>2325</v>
      </c>
    </row>
    <row r="40" spans="1:6" ht="13.8">
      <c r="A40" s="792"/>
      <c r="B40" s="793"/>
      <c r="C40" s="794"/>
      <c r="D40" s="794"/>
      <c r="E40" s="1107"/>
      <c r="F40" s="472">
        <f t="shared" si="0"/>
        <v>0</v>
      </c>
    </row>
    <row r="41" spans="1:6" ht="55.2">
      <c r="A41" s="792" t="s">
        <v>326</v>
      </c>
      <c r="B41" s="793" t="s">
        <v>1853</v>
      </c>
      <c r="C41" s="794" t="s">
        <v>391</v>
      </c>
      <c r="D41" s="794">
        <v>18</v>
      </c>
      <c r="E41" s="1107">
        <v>45</v>
      </c>
      <c r="F41" s="472">
        <f t="shared" si="0"/>
        <v>810</v>
      </c>
    </row>
    <row r="42" spans="1:6" ht="13.8">
      <c r="A42" s="792"/>
      <c r="B42" s="793"/>
      <c r="C42" s="794"/>
      <c r="D42" s="794"/>
      <c r="E42" s="1107"/>
      <c r="F42" s="726">
        <f t="shared" si="0"/>
        <v>0</v>
      </c>
    </row>
    <row r="43" spans="1:6" ht="18" customHeight="1">
      <c r="A43" s="792" t="s">
        <v>284</v>
      </c>
      <c r="B43" s="793" t="s">
        <v>1854</v>
      </c>
      <c r="C43" s="794"/>
      <c r="D43" s="794"/>
      <c r="E43" s="1107"/>
      <c r="F43" s="726">
        <f t="shared" si="0"/>
        <v>0</v>
      </c>
    </row>
    <row r="44" spans="1:6" ht="13.8">
      <c r="A44" s="792"/>
      <c r="B44" s="793" t="s">
        <v>1855</v>
      </c>
      <c r="C44" s="794" t="s">
        <v>355</v>
      </c>
      <c r="D44" s="795">
        <v>50</v>
      </c>
      <c r="E44" s="1107"/>
    </row>
    <row r="45" spans="1:6" ht="13.8">
      <c r="A45" s="792"/>
      <c r="B45" s="793" t="s">
        <v>1856</v>
      </c>
      <c r="C45" s="794" t="s">
        <v>355</v>
      </c>
      <c r="D45" s="795">
        <v>20</v>
      </c>
      <c r="E45" s="1107"/>
      <c r="F45" s="726"/>
    </row>
    <row r="46" spans="1:6" ht="13.8">
      <c r="A46" s="792"/>
      <c r="B46" s="793" t="s">
        <v>1857</v>
      </c>
      <c r="C46" s="794" t="s">
        <v>355</v>
      </c>
      <c r="D46" s="795">
        <v>15</v>
      </c>
      <c r="E46" s="1107"/>
      <c r="F46" s="726"/>
    </row>
    <row r="47" spans="1:6" ht="13.8">
      <c r="A47" s="792"/>
      <c r="B47" s="793" t="s">
        <v>1858</v>
      </c>
      <c r="C47" s="794" t="s">
        <v>355</v>
      </c>
      <c r="D47" s="795">
        <v>10</v>
      </c>
      <c r="E47" s="1107"/>
      <c r="F47" s="726">
        <f>D47*E47</f>
        <v>0</v>
      </c>
    </row>
    <row r="48" spans="1:6" ht="13.8">
      <c r="A48" s="792"/>
      <c r="B48" s="793" t="s">
        <v>1859</v>
      </c>
      <c r="C48" s="794" t="s">
        <v>391</v>
      </c>
      <c r="D48" s="795">
        <v>10</v>
      </c>
      <c r="E48" s="1107"/>
      <c r="F48" s="726"/>
    </row>
    <row r="49" spans="1:256" ht="13.8">
      <c r="A49" s="792"/>
      <c r="B49" s="793" t="s">
        <v>1860</v>
      </c>
      <c r="C49" s="794" t="s">
        <v>391</v>
      </c>
      <c r="D49" s="795">
        <v>20</v>
      </c>
      <c r="E49" s="1107"/>
      <c r="F49" s="726"/>
    </row>
    <row r="50" spans="1:256" ht="13.8">
      <c r="A50" s="792"/>
      <c r="B50" s="796" t="s">
        <v>1842</v>
      </c>
      <c r="C50" s="797" t="s">
        <v>572</v>
      </c>
      <c r="D50" s="798">
        <v>1</v>
      </c>
      <c r="E50" s="1107"/>
      <c r="F50" s="726"/>
    </row>
    <row r="51" spans="1:256" ht="13.8">
      <c r="A51" s="792"/>
      <c r="B51" s="793"/>
      <c r="C51" s="794" t="s">
        <v>572</v>
      </c>
      <c r="D51" s="794">
        <v>1</v>
      </c>
      <c r="E51" s="1107">
        <v>1150</v>
      </c>
      <c r="F51" s="472">
        <f t="shared" ref="F51:F63" si="1">D51*E51</f>
        <v>1150</v>
      </c>
    </row>
    <row r="52" spans="1:256" ht="13.8">
      <c r="A52" s="792"/>
      <c r="B52" s="793"/>
      <c r="C52" s="794"/>
      <c r="D52" s="794"/>
      <c r="E52" s="1107"/>
      <c r="F52" s="472"/>
    </row>
    <row r="53" spans="1:256" ht="55.2">
      <c r="A53" s="792" t="s">
        <v>461</v>
      </c>
      <c r="B53" s="793" t="s">
        <v>1861</v>
      </c>
      <c r="C53" s="794" t="s">
        <v>355</v>
      </c>
      <c r="D53" s="794">
        <v>15</v>
      </c>
      <c r="E53" s="1107">
        <v>5</v>
      </c>
      <c r="F53" s="472">
        <f t="shared" si="1"/>
        <v>75</v>
      </c>
    </row>
    <row r="54" spans="1:256" ht="13.8">
      <c r="A54" s="792"/>
      <c r="B54" s="793"/>
      <c r="C54" s="794"/>
      <c r="D54" s="794"/>
      <c r="E54" s="1107"/>
      <c r="F54" s="472"/>
    </row>
    <row r="55" spans="1:256" ht="55.2">
      <c r="A55" s="792" t="s">
        <v>1862</v>
      </c>
      <c r="B55" s="793" t="s">
        <v>1863</v>
      </c>
      <c r="C55" s="794" t="s">
        <v>391</v>
      </c>
      <c r="D55" s="794">
        <v>1</v>
      </c>
      <c r="E55" s="1107">
        <v>350</v>
      </c>
      <c r="F55" s="472">
        <f t="shared" si="1"/>
        <v>350</v>
      </c>
    </row>
    <row r="56" spans="1:256" ht="13.8">
      <c r="A56" s="792"/>
      <c r="B56" s="793"/>
      <c r="C56" s="799"/>
      <c r="D56" s="794"/>
      <c r="E56" s="1107"/>
      <c r="F56" s="472"/>
    </row>
    <row r="57" spans="1:256" ht="13.8">
      <c r="A57" s="792" t="s">
        <v>402</v>
      </c>
      <c r="B57" s="793" t="s">
        <v>1864</v>
      </c>
      <c r="C57" s="794" t="s">
        <v>572</v>
      </c>
      <c r="D57" s="794">
        <v>1</v>
      </c>
      <c r="E57" s="1107">
        <v>150</v>
      </c>
      <c r="F57" s="472">
        <f t="shared" si="1"/>
        <v>150</v>
      </c>
    </row>
    <row r="58" spans="1:256" ht="13.8">
      <c r="A58" s="792"/>
      <c r="B58" s="793"/>
      <c r="C58" s="794"/>
      <c r="D58" s="794"/>
      <c r="E58" s="1107"/>
      <c r="F58" s="726"/>
    </row>
    <row r="59" spans="1:256" ht="27.6">
      <c r="A59" s="792" t="s">
        <v>43</v>
      </c>
      <c r="B59" s="793" t="s">
        <v>1865</v>
      </c>
      <c r="C59" s="794" t="s">
        <v>572</v>
      </c>
      <c r="D59" s="794">
        <v>1</v>
      </c>
      <c r="E59" s="1107">
        <v>550</v>
      </c>
      <c r="F59" s="472">
        <f t="shared" si="1"/>
        <v>550</v>
      </c>
    </row>
    <row r="60" spans="1:256" ht="13.8">
      <c r="A60" s="792"/>
      <c r="B60" s="793"/>
      <c r="C60" s="794"/>
      <c r="D60" s="794"/>
      <c r="E60" s="1107"/>
      <c r="F60" s="472">
        <f t="shared" si="1"/>
        <v>0</v>
      </c>
    </row>
    <row r="61" spans="1:256" ht="27.6">
      <c r="A61" s="792" t="s">
        <v>185</v>
      </c>
      <c r="B61" s="793" t="s">
        <v>1866</v>
      </c>
      <c r="C61" s="794" t="s">
        <v>572</v>
      </c>
      <c r="D61" s="794">
        <v>1</v>
      </c>
      <c r="E61" s="1107">
        <v>450</v>
      </c>
      <c r="F61" s="472">
        <f>D61*E61</f>
        <v>450</v>
      </c>
    </row>
    <row r="62" spans="1:256" ht="13.8">
      <c r="A62" s="792"/>
      <c r="B62" s="793"/>
      <c r="C62" s="794"/>
      <c r="D62" s="794"/>
      <c r="E62" s="1107"/>
      <c r="F62" s="472">
        <f t="shared" si="1"/>
        <v>0</v>
      </c>
    </row>
    <row r="63" spans="1:256" ht="27.6">
      <c r="A63" s="792" t="s">
        <v>397</v>
      </c>
      <c r="B63" s="793" t="s">
        <v>1867</v>
      </c>
      <c r="C63" s="794" t="s">
        <v>572</v>
      </c>
      <c r="D63" s="794">
        <v>1</v>
      </c>
      <c r="E63" s="1107">
        <v>350</v>
      </c>
      <c r="F63" s="472">
        <f t="shared" si="1"/>
        <v>350</v>
      </c>
    </row>
    <row r="64" spans="1:256" ht="13.8">
      <c r="A64" s="738"/>
      <c r="C64" s="785"/>
      <c r="D64" s="786"/>
      <c r="E64" s="1113"/>
      <c r="F64" s="786"/>
      <c r="G64" s="741"/>
      <c r="H64" s="742"/>
      <c r="I64" s="743"/>
      <c r="J64" s="744"/>
      <c r="K64" s="744"/>
      <c r="L64" s="756"/>
      <c r="M64" s="741"/>
      <c r="N64" s="742"/>
      <c r="O64" s="743"/>
      <c r="P64" s="744"/>
      <c r="Q64" s="744"/>
      <c r="R64" s="756"/>
      <c r="S64" s="741"/>
      <c r="T64" s="742"/>
      <c r="U64" s="743"/>
      <c r="V64" s="744"/>
      <c r="W64" s="744"/>
      <c r="X64" s="756"/>
      <c r="Y64" s="741"/>
      <c r="Z64" s="742"/>
      <c r="AA64" s="743"/>
      <c r="AB64" s="744"/>
      <c r="AC64" s="744"/>
      <c r="AD64" s="756"/>
      <c r="AE64" s="741"/>
      <c r="AF64" s="742"/>
      <c r="AG64" s="743"/>
      <c r="AH64" s="744"/>
      <c r="AI64" s="744"/>
      <c r="AJ64" s="756"/>
      <c r="AK64" s="741"/>
      <c r="AL64" s="742"/>
      <c r="AM64" s="743"/>
      <c r="AN64" s="744"/>
      <c r="AO64" s="744"/>
      <c r="AP64" s="756"/>
      <c r="AQ64" s="741"/>
      <c r="AR64" s="742"/>
      <c r="AS64" s="743"/>
      <c r="AT64" s="744"/>
      <c r="AU64" s="744"/>
      <c r="AV64" s="756"/>
      <c r="AW64" s="741"/>
      <c r="AX64" s="742"/>
      <c r="AY64" s="743"/>
      <c r="AZ64" s="744"/>
      <c r="BA64" s="744"/>
      <c r="BB64" s="756"/>
      <c r="BC64" s="741"/>
      <c r="BD64" s="742"/>
      <c r="BE64" s="743"/>
      <c r="BF64" s="744"/>
      <c r="BG64" s="744"/>
      <c r="BH64" s="756"/>
      <c r="BI64" s="741"/>
      <c r="BJ64" s="742"/>
      <c r="BK64" s="743"/>
      <c r="BL64" s="744"/>
      <c r="BM64" s="744"/>
      <c r="BN64" s="756"/>
      <c r="BO64" s="741"/>
      <c r="BP64" s="742"/>
      <c r="BQ64" s="743"/>
      <c r="BR64" s="744"/>
      <c r="BS64" s="744"/>
      <c r="BT64" s="756"/>
      <c r="BU64" s="741"/>
      <c r="BV64" s="742"/>
      <c r="BW64" s="743"/>
      <c r="BX64" s="744"/>
      <c r="BY64" s="744"/>
      <c r="BZ64" s="756"/>
      <c r="CA64" s="741"/>
      <c r="CB64" s="742"/>
      <c r="CC64" s="743"/>
      <c r="CD64" s="744"/>
      <c r="CE64" s="744"/>
      <c r="CF64" s="756"/>
      <c r="CG64" s="741"/>
      <c r="CH64" s="742"/>
      <c r="CI64" s="743"/>
      <c r="CJ64" s="744"/>
      <c r="CK64" s="744"/>
      <c r="CL64" s="756"/>
      <c r="CM64" s="741"/>
      <c r="CN64" s="742"/>
      <c r="CO64" s="743"/>
      <c r="CP64" s="744"/>
      <c r="CQ64" s="744"/>
      <c r="CR64" s="756"/>
      <c r="CS64" s="741"/>
      <c r="CT64" s="742"/>
      <c r="CU64" s="743"/>
      <c r="CV64" s="744"/>
      <c r="CW64" s="744"/>
      <c r="CX64" s="756"/>
      <c r="CY64" s="741"/>
      <c r="CZ64" s="742"/>
      <c r="DA64" s="743"/>
      <c r="DB64" s="744"/>
      <c r="DC64" s="744"/>
      <c r="DD64" s="756"/>
      <c r="DE64" s="741"/>
      <c r="DF64" s="742"/>
      <c r="DG64" s="743"/>
      <c r="DH64" s="744"/>
      <c r="DI64" s="744"/>
      <c r="DJ64" s="756"/>
      <c r="DK64" s="741"/>
      <c r="DL64" s="742"/>
      <c r="DM64" s="743"/>
      <c r="DN64" s="744"/>
      <c r="DO64" s="744"/>
      <c r="DP64" s="756"/>
      <c r="DQ64" s="741"/>
      <c r="DR64" s="742"/>
      <c r="DS64" s="743"/>
      <c r="DT64" s="744"/>
      <c r="DU64" s="744"/>
      <c r="DV64" s="756"/>
      <c r="DW64" s="741"/>
      <c r="DX64" s="742"/>
      <c r="DY64" s="743"/>
      <c r="DZ64" s="744"/>
      <c r="EA64" s="744"/>
      <c r="EB64" s="756"/>
      <c r="EC64" s="741"/>
      <c r="ED64" s="742"/>
      <c r="EE64" s="743"/>
      <c r="EF64" s="744"/>
      <c r="EG64" s="744"/>
      <c r="EH64" s="756"/>
      <c r="EI64" s="741"/>
      <c r="EJ64" s="742"/>
      <c r="EK64" s="743"/>
      <c r="EL64" s="744"/>
      <c r="EM64" s="744"/>
      <c r="EN64" s="756"/>
      <c r="EO64" s="741"/>
      <c r="EP64" s="742"/>
      <c r="EQ64" s="743"/>
      <c r="ER64" s="744"/>
      <c r="ES64" s="744"/>
      <c r="ET64" s="756"/>
      <c r="EU64" s="741"/>
      <c r="EV64" s="742"/>
      <c r="EW64" s="743"/>
      <c r="EX64" s="744"/>
      <c r="EY64" s="744"/>
      <c r="EZ64" s="756"/>
      <c r="FA64" s="741"/>
      <c r="FB64" s="742"/>
      <c r="FC64" s="743"/>
      <c r="FD64" s="744"/>
      <c r="FE64" s="744"/>
      <c r="FF64" s="756"/>
      <c r="FG64" s="741"/>
      <c r="FH64" s="742"/>
      <c r="FI64" s="743"/>
      <c r="FJ64" s="744"/>
      <c r="FK64" s="744"/>
      <c r="FL64" s="756"/>
      <c r="FM64" s="741"/>
      <c r="FN64" s="742"/>
      <c r="FO64" s="743"/>
      <c r="FP64" s="744"/>
      <c r="FQ64" s="744"/>
      <c r="FR64" s="756"/>
      <c r="FS64" s="741"/>
      <c r="FT64" s="742"/>
      <c r="FU64" s="743"/>
      <c r="FV64" s="744"/>
      <c r="FW64" s="744"/>
      <c r="FX64" s="756"/>
      <c r="FY64" s="741"/>
      <c r="FZ64" s="742"/>
      <c r="GA64" s="743"/>
      <c r="GB64" s="744"/>
      <c r="GC64" s="744"/>
      <c r="GD64" s="756"/>
      <c r="GE64" s="741"/>
      <c r="GF64" s="742"/>
      <c r="GG64" s="743"/>
      <c r="GH64" s="744"/>
      <c r="GI64" s="744"/>
      <c r="GJ64" s="756"/>
      <c r="GK64" s="741"/>
      <c r="GL64" s="742"/>
      <c r="GM64" s="743"/>
      <c r="GN64" s="744"/>
      <c r="GO64" s="744"/>
      <c r="GP64" s="756"/>
      <c r="GQ64" s="741"/>
      <c r="GR64" s="742"/>
      <c r="GS64" s="743"/>
      <c r="GT64" s="744"/>
      <c r="GU64" s="744"/>
      <c r="GV64" s="756"/>
      <c r="GW64" s="741"/>
      <c r="GX64" s="742"/>
      <c r="GY64" s="743"/>
      <c r="GZ64" s="744"/>
      <c r="HA64" s="744"/>
      <c r="HB64" s="756"/>
      <c r="HC64" s="741"/>
      <c r="HD64" s="742"/>
      <c r="HE64" s="743"/>
      <c r="HF64" s="744"/>
      <c r="HG64" s="744"/>
      <c r="HH64" s="756"/>
      <c r="HI64" s="741"/>
      <c r="HJ64" s="742"/>
      <c r="HK64" s="743"/>
      <c r="HL64" s="744"/>
      <c r="HM64" s="744"/>
      <c r="HN64" s="756"/>
      <c r="HO64" s="741"/>
      <c r="HP64" s="742"/>
      <c r="HQ64" s="743"/>
      <c r="HR64" s="744"/>
      <c r="HS64" s="744"/>
      <c r="HT64" s="756"/>
      <c r="HU64" s="741"/>
      <c r="HV64" s="742"/>
      <c r="HW64" s="743"/>
      <c r="HX64" s="744"/>
      <c r="HY64" s="744"/>
      <c r="HZ64" s="756"/>
      <c r="IA64" s="741"/>
      <c r="IB64" s="742"/>
      <c r="IC64" s="743"/>
      <c r="ID64" s="744"/>
      <c r="IE64" s="744"/>
      <c r="IF64" s="756"/>
      <c r="IG64" s="741"/>
      <c r="IH64" s="742"/>
      <c r="II64" s="743"/>
      <c r="IJ64" s="744"/>
      <c r="IK64" s="744"/>
      <c r="IL64" s="756"/>
      <c r="IM64" s="741"/>
      <c r="IN64" s="742"/>
      <c r="IO64" s="743"/>
      <c r="IP64" s="744"/>
      <c r="IQ64" s="744"/>
      <c r="IR64" s="756"/>
      <c r="IS64" s="741"/>
      <c r="IT64" s="742"/>
      <c r="IU64" s="743"/>
      <c r="IV64" s="744"/>
    </row>
    <row r="65" spans="1:256" s="752" customFormat="1" ht="13.8">
      <c r="A65" s="722"/>
      <c r="B65" s="736"/>
      <c r="C65" s="724"/>
      <c r="D65" s="770"/>
      <c r="E65" s="1116"/>
      <c r="F65" s="770"/>
    </row>
    <row r="66" spans="1:256" s="754" customFormat="1" ht="13.8">
      <c r="A66" s="722" t="s">
        <v>326</v>
      </c>
      <c r="B66" s="723" t="s">
        <v>1868</v>
      </c>
      <c r="C66" s="724"/>
      <c r="D66" s="770"/>
      <c r="E66" s="1114"/>
      <c r="F66" s="472">
        <f>SUM(F7:F63)</f>
        <v>8660</v>
      </c>
    </row>
    <row r="67" spans="1:256" s="754" customFormat="1" ht="13.8">
      <c r="A67" s="784"/>
      <c r="B67" s="739"/>
      <c r="C67" s="785"/>
      <c r="D67" s="786"/>
      <c r="E67" s="1113"/>
      <c r="F67" s="786"/>
    </row>
    <row r="68" spans="1:256" ht="13.8">
      <c r="A68" s="722"/>
      <c r="B68" s="723"/>
      <c r="C68" s="724"/>
      <c r="D68" s="770"/>
      <c r="E68" s="1116"/>
      <c r="F68" s="770"/>
      <c r="G68" s="741"/>
      <c r="H68" s="742"/>
      <c r="I68" s="743"/>
      <c r="J68" s="744"/>
      <c r="K68" s="744"/>
      <c r="L68" s="756"/>
      <c r="M68" s="741"/>
      <c r="N68" s="742"/>
      <c r="O68" s="743"/>
      <c r="P68" s="744"/>
      <c r="Q68" s="744"/>
      <c r="R68" s="756"/>
      <c r="S68" s="741"/>
      <c r="T68" s="742"/>
      <c r="U68" s="743"/>
      <c r="V68" s="744"/>
      <c r="W68" s="744"/>
      <c r="X68" s="756"/>
      <c r="Y68" s="741"/>
      <c r="Z68" s="742"/>
      <c r="AA68" s="743"/>
      <c r="AB68" s="744"/>
      <c r="AC68" s="744"/>
      <c r="AD68" s="756"/>
      <c r="AE68" s="741"/>
      <c r="AF68" s="742"/>
      <c r="AG68" s="743"/>
      <c r="AH68" s="744"/>
      <c r="AI68" s="744"/>
      <c r="AJ68" s="756"/>
      <c r="AK68" s="741"/>
      <c r="AL68" s="742"/>
      <c r="AM68" s="743"/>
      <c r="AN68" s="744"/>
      <c r="AO68" s="744"/>
      <c r="AP68" s="756"/>
      <c r="AQ68" s="741"/>
      <c r="AR68" s="742"/>
      <c r="AS68" s="743"/>
      <c r="AT68" s="744"/>
      <c r="AU68" s="744"/>
      <c r="AV68" s="756"/>
      <c r="AW68" s="741"/>
      <c r="AX68" s="742"/>
      <c r="AY68" s="743"/>
      <c r="AZ68" s="744"/>
      <c r="BA68" s="744"/>
      <c r="BB68" s="756"/>
      <c r="BC68" s="741"/>
      <c r="BD68" s="742"/>
      <c r="BE68" s="743"/>
      <c r="BF68" s="744"/>
      <c r="BG68" s="744"/>
      <c r="BH68" s="756"/>
      <c r="BI68" s="741"/>
      <c r="BJ68" s="742"/>
      <c r="BK68" s="743"/>
      <c r="BL68" s="744"/>
      <c r="BM68" s="744"/>
      <c r="BN68" s="756"/>
      <c r="BO68" s="741"/>
      <c r="BP68" s="742"/>
      <c r="BQ68" s="743"/>
      <c r="BR68" s="744"/>
      <c r="BS68" s="744"/>
      <c r="BT68" s="756"/>
      <c r="BU68" s="741"/>
      <c r="BV68" s="742"/>
      <c r="BW68" s="743"/>
      <c r="BX68" s="744"/>
      <c r="BY68" s="744"/>
      <c r="BZ68" s="756"/>
      <c r="CA68" s="741"/>
      <c r="CB68" s="742"/>
      <c r="CC68" s="743"/>
      <c r="CD68" s="744"/>
      <c r="CE68" s="744"/>
      <c r="CF68" s="756"/>
      <c r="CG68" s="741"/>
      <c r="CH68" s="742"/>
      <c r="CI68" s="743"/>
      <c r="CJ68" s="744"/>
      <c r="CK68" s="744"/>
      <c r="CL68" s="756"/>
      <c r="CM68" s="741"/>
      <c r="CN68" s="742"/>
      <c r="CO68" s="743"/>
      <c r="CP68" s="744"/>
      <c r="CQ68" s="744"/>
      <c r="CR68" s="756"/>
      <c r="CS68" s="741"/>
      <c r="CT68" s="742"/>
      <c r="CU68" s="743"/>
      <c r="CV68" s="744"/>
      <c r="CW68" s="744"/>
      <c r="CX68" s="756"/>
      <c r="CY68" s="741"/>
      <c r="CZ68" s="742"/>
      <c r="DA68" s="743"/>
      <c r="DB68" s="744"/>
      <c r="DC68" s="744"/>
      <c r="DD68" s="756"/>
      <c r="DE68" s="741"/>
      <c r="DF68" s="742"/>
      <c r="DG68" s="743"/>
      <c r="DH68" s="744"/>
      <c r="DI68" s="744"/>
      <c r="DJ68" s="756"/>
      <c r="DK68" s="741"/>
      <c r="DL68" s="742"/>
      <c r="DM68" s="743"/>
      <c r="DN68" s="744"/>
      <c r="DO68" s="744"/>
      <c r="DP68" s="756"/>
      <c r="DQ68" s="741"/>
      <c r="DR68" s="742"/>
      <c r="DS68" s="743"/>
      <c r="DT68" s="744"/>
      <c r="DU68" s="744"/>
      <c r="DV68" s="756"/>
      <c r="DW68" s="741"/>
      <c r="DX68" s="742"/>
      <c r="DY68" s="743"/>
      <c r="DZ68" s="744"/>
      <c r="EA68" s="744"/>
      <c r="EB68" s="756"/>
      <c r="EC68" s="741"/>
      <c r="ED68" s="742"/>
      <c r="EE68" s="743"/>
      <c r="EF68" s="744"/>
      <c r="EG68" s="744"/>
      <c r="EH68" s="756"/>
      <c r="EI68" s="741"/>
      <c r="EJ68" s="742"/>
      <c r="EK68" s="743"/>
      <c r="EL68" s="744"/>
      <c r="EM68" s="744"/>
      <c r="EN68" s="756"/>
      <c r="EO68" s="741"/>
      <c r="EP68" s="742"/>
      <c r="EQ68" s="743"/>
      <c r="ER68" s="744"/>
      <c r="ES68" s="744"/>
      <c r="ET68" s="756"/>
      <c r="EU68" s="741"/>
      <c r="EV68" s="742"/>
      <c r="EW68" s="743"/>
      <c r="EX68" s="744"/>
      <c r="EY68" s="744"/>
      <c r="EZ68" s="756"/>
      <c r="FA68" s="741"/>
      <c r="FB68" s="742"/>
      <c r="FC68" s="743"/>
      <c r="FD68" s="744"/>
      <c r="FE68" s="744"/>
      <c r="FF68" s="756"/>
      <c r="FG68" s="741"/>
      <c r="FH68" s="742"/>
      <c r="FI68" s="743"/>
      <c r="FJ68" s="744"/>
      <c r="FK68" s="744"/>
      <c r="FL68" s="756"/>
      <c r="FM68" s="741"/>
      <c r="FN68" s="742"/>
      <c r="FO68" s="743"/>
      <c r="FP68" s="744"/>
      <c r="FQ68" s="744"/>
      <c r="FR68" s="756"/>
      <c r="FS68" s="741"/>
      <c r="FT68" s="742"/>
      <c r="FU68" s="743"/>
      <c r="FV68" s="744"/>
      <c r="FW68" s="744"/>
      <c r="FX68" s="756"/>
      <c r="FY68" s="741"/>
      <c r="FZ68" s="742"/>
      <c r="GA68" s="743"/>
      <c r="GB68" s="744"/>
      <c r="GC68" s="744"/>
      <c r="GD68" s="756"/>
      <c r="GE68" s="741"/>
      <c r="GF68" s="742"/>
      <c r="GG68" s="743"/>
      <c r="GH68" s="744"/>
      <c r="GI68" s="744"/>
      <c r="GJ68" s="756"/>
      <c r="GK68" s="741"/>
      <c r="GL68" s="742"/>
      <c r="GM68" s="743"/>
      <c r="GN68" s="744"/>
      <c r="GO68" s="744"/>
      <c r="GP68" s="756"/>
      <c r="GQ68" s="741"/>
      <c r="GR68" s="742"/>
      <c r="GS68" s="743"/>
      <c r="GT68" s="744"/>
      <c r="GU68" s="744"/>
      <c r="GV68" s="756"/>
      <c r="GW68" s="741"/>
      <c r="GX68" s="742"/>
      <c r="GY68" s="743"/>
      <c r="GZ68" s="744"/>
      <c r="HA68" s="744"/>
      <c r="HB68" s="756"/>
      <c r="HC68" s="741"/>
      <c r="HD68" s="742"/>
      <c r="HE68" s="743"/>
      <c r="HF68" s="744"/>
      <c r="HG68" s="744"/>
      <c r="HH68" s="756"/>
      <c r="HI68" s="741"/>
      <c r="HJ68" s="742"/>
      <c r="HK68" s="743"/>
      <c r="HL68" s="744"/>
      <c r="HM68" s="744"/>
      <c r="HN68" s="756"/>
      <c r="HO68" s="741"/>
      <c r="HP68" s="742"/>
      <c r="HQ68" s="743"/>
      <c r="HR68" s="744"/>
      <c r="HS68" s="744"/>
      <c r="HT68" s="756"/>
      <c r="HU68" s="741"/>
      <c r="HV68" s="742"/>
      <c r="HW68" s="743"/>
      <c r="HX68" s="744"/>
      <c r="HY68" s="744"/>
      <c r="HZ68" s="756"/>
      <c r="IA68" s="741"/>
      <c r="IB68" s="742"/>
      <c r="IC68" s="743"/>
      <c r="ID68" s="744"/>
      <c r="IE68" s="744"/>
      <c r="IF68" s="756"/>
      <c r="IG68" s="741"/>
      <c r="IH68" s="742"/>
      <c r="II68" s="743"/>
      <c r="IJ68" s="744"/>
      <c r="IK68" s="744"/>
      <c r="IL68" s="756"/>
      <c r="IM68" s="741"/>
      <c r="IN68" s="742"/>
      <c r="IO68" s="743"/>
      <c r="IP68" s="744"/>
      <c r="IQ68" s="744"/>
      <c r="IR68" s="756"/>
      <c r="IS68" s="741"/>
      <c r="IT68" s="742"/>
      <c r="IU68" s="743"/>
      <c r="IV68" s="744"/>
    </row>
    <row r="69" spans="1:256">
      <c r="A69" s="741"/>
      <c r="B69" s="767"/>
      <c r="D69" s="768"/>
      <c r="E69" s="1117"/>
      <c r="F69" s="768"/>
    </row>
  </sheetData>
  <mergeCells count="1">
    <mergeCell ref="A2:F2"/>
  </mergeCells>
  <printOptions horizontalCentered="1"/>
  <pageMargins left="0.78740157480314965" right="0.39370078740157483" top="0.39370078740157483" bottom="0.78740157480314965" header="0.39370078740157483" footer="0.39370078740157483"/>
  <pageSetup paperSize="9" orientation="portrait" horizontalDpi="300" verticalDpi="300" r:id="rId1"/>
  <headerFooter scaleWithDoc="0">
    <oddFooter>&amp;C&amp;"ISOCPEUR,Regular"&amp;9POS Ivanić – Grad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3AEFC-DC02-4B18-B13E-B6998562F353}">
  <sheetPr>
    <tabColor rgb="FFFF0000"/>
  </sheetPr>
  <dimension ref="A1:IV34"/>
  <sheetViews>
    <sheetView showZeros="0" view="pageLayout" topLeftCell="A13" zoomScaleNormal="100" zoomScaleSheetLayoutView="100" workbookViewId="0">
      <selection activeCell="D16" sqref="D16"/>
    </sheetView>
  </sheetViews>
  <sheetFormatPr defaultColWidth="8.90625" defaultRowHeight="13.2"/>
  <cols>
    <col min="1" max="1" width="4.453125" style="686" customWidth="1"/>
    <col min="2" max="2" width="31.6328125" style="686" customWidth="1"/>
    <col min="3" max="3" width="4.453125" style="686" customWidth="1"/>
    <col min="4" max="4" width="6.81640625" style="686" customWidth="1"/>
    <col min="5" max="5" width="9.90625" style="686" customWidth="1"/>
    <col min="6" max="6" width="13" style="686" customWidth="1"/>
    <col min="7" max="16384" width="8.90625" style="686"/>
  </cols>
  <sheetData>
    <row r="1" spans="1:7" s="685" customFormat="1" ht="18" customHeight="1">
      <c r="A1" s="680" t="s">
        <v>1623</v>
      </c>
      <c r="B1" s="681"/>
      <c r="C1" s="681"/>
      <c r="D1" s="681"/>
      <c r="E1" s="682"/>
      <c r="F1" s="684" t="s">
        <v>1624</v>
      </c>
      <c r="G1" s="711"/>
    </row>
    <row r="2" spans="1:7" s="685" customFormat="1" ht="3" customHeight="1">
      <c r="A2" s="1163"/>
      <c r="B2" s="1163"/>
      <c r="C2" s="1163"/>
      <c r="D2" s="1163"/>
      <c r="E2" s="1163"/>
      <c r="F2" s="1163"/>
    </row>
    <row r="3" spans="1:7" ht="5.0999999999999996" customHeight="1"/>
    <row r="4" spans="1:7" s="714" customFormat="1" ht="15" customHeight="1">
      <c r="A4" s="712" t="s">
        <v>1663</v>
      </c>
      <c r="B4" s="713" t="s">
        <v>1664</v>
      </c>
      <c r="C4" s="713" t="s">
        <v>1665</v>
      </c>
      <c r="D4" s="713" t="s">
        <v>1666</v>
      </c>
      <c r="E4" s="713" t="s">
        <v>1667</v>
      </c>
      <c r="F4" s="713" t="s">
        <v>1668</v>
      </c>
    </row>
    <row r="5" spans="1:7" s="717" customFormat="1" ht="12">
      <c r="A5" s="715">
        <v>1</v>
      </c>
      <c r="B5" s="716">
        <v>2</v>
      </c>
      <c r="C5" s="716">
        <v>3</v>
      </c>
      <c r="D5" s="716">
        <v>4</v>
      </c>
      <c r="E5" s="716">
        <v>5</v>
      </c>
      <c r="F5" s="716" t="s">
        <v>1669</v>
      </c>
    </row>
    <row r="7" spans="1:7" ht="13.8">
      <c r="A7" s="719" t="s">
        <v>284</v>
      </c>
      <c r="B7" s="787" t="s">
        <v>1869</v>
      </c>
      <c r="E7" s="1105"/>
    </row>
    <row r="8" spans="1:7" ht="13.8">
      <c r="A8" s="719"/>
      <c r="B8" s="787"/>
      <c r="E8" s="1105"/>
    </row>
    <row r="9" spans="1:7" ht="55.2">
      <c r="A9" s="722" t="s">
        <v>128</v>
      </c>
      <c r="B9" s="730" t="s">
        <v>1870</v>
      </c>
      <c r="C9" s="747"/>
      <c r="D9" s="747"/>
      <c r="E9" s="1118"/>
    </row>
    <row r="10" spans="1:7" ht="13.8">
      <c r="A10" s="719"/>
      <c r="B10" s="730" t="s">
        <v>1871</v>
      </c>
      <c r="C10" s="747"/>
      <c r="D10" s="747"/>
      <c r="E10" s="1107"/>
      <c r="F10" s="726">
        <f t="shared" ref="F10:F17" si="0">D10*E10</f>
        <v>0</v>
      </c>
    </row>
    <row r="11" spans="1:7" ht="13.8">
      <c r="A11" s="722"/>
      <c r="B11" s="730" t="s">
        <v>1872</v>
      </c>
      <c r="C11" s="721" t="s">
        <v>391</v>
      </c>
      <c r="D11" s="721">
        <v>1</v>
      </c>
      <c r="E11" s="1107">
        <v>100</v>
      </c>
      <c r="F11" s="472">
        <f t="shared" si="0"/>
        <v>100</v>
      </c>
    </row>
    <row r="12" spans="1:7" ht="13.8">
      <c r="A12" s="722"/>
      <c r="B12" s="730" t="s">
        <v>1873</v>
      </c>
      <c r="C12" s="721" t="s">
        <v>391</v>
      </c>
      <c r="D12" s="721">
        <v>1</v>
      </c>
      <c r="E12" s="1107">
        <v>25</v>
      </c>
      <c r="F12" s="472">
        <f>D12*E12</f>
        <v>25</v>
      </c>
    </row>
    <row r="13" spans="1:7" ht="13.8">
      <c r="A13" s="722"/>
      <c r="B13" s="730" t="s">
        <v>1874</v>
      </c>
      <c r="C13" s="721" t="s">
        <v>391</v>
      </c>
      <c r="D13" s="721">
        <v>1</v>
      </c>
      <c r="E13" s="1107">
        <v>25</v>
      </c>
      <c r="F13" s="472">
        <f t="shared" si="0"/>
        <v>25</v>
      </c>
    </row>
    <row r="14" spans="1:7" ht="13.8">
      <c r="A14" s="722"/>
      <c r="B14" s="730" t="s">
        <v>1875</v>
      </c>
      <c r="C14" s="721" t="s">
        <v>391</v>
      </c>
      <c r="D14" s="721">
        <v>1</v>
      </c>
      <c r="E14" s="1107">
        <v>98</v>
      </c>
      <c r="F14" s="472">
        <f t="shared" si="0"/>
        <v>98</v>
      </c>
    </row>
    <row r="15" spans="1:7" ht="13.8">
      <c r="A15" s="722"/>
      <c r="B15" s="730" t="s">
        <v>1876</v>
      </c>
      <c r="C15" s="721" t="s">
        <v>391</v>
      </c>
      <c r="D15" s="721">
        <v>1</v>
      </c>
      <c r="E15" s="1107">
        <v>110</v>
      </c>
      <c r="F15" s="472">
        <f t="shared" si="0"/>
        <v>110</v>
      </c>
    </row>
    <row r="16" spans="1:7" ht="13.8">
      <c r="A16" s="722"/>
      <c r="B16" s="730" t="s">
        <v>1877</v>
      </c>
      <c r="C16" s="721" t="s">
        <v>391</v>
      </c>
      <c r="D16" s="721">
        <v>1</v>
      </c>
      <c r="E16" s="1107">
        <v>55</v>
      </c>
      <c r="F16" s="472">
        <f t="shared" si="0"/>
        <v>55</v>
      </c>
    </row>
    <row r="17" spans="1:6" ht="13.8">
      <c r="A17" s="722"/>
      <c r="B17" s="730" t="s">
        <v>1878</v>
      </c>
      <c r="C17" s="721" t="s">
        <v>391</v>
      </c>
      <c r="D17" s="721">
        <v>1</v>
      </c>
      <c r="E17" s="1107">
        <v>50</v>
      </c>
      <c r="F17" s="472">
        <f t="shared" si="0"/>
        <v>50</v>
      </c>
    </row>
    <row r="18" spans="1:6" ht="13.8">
      <c r="A18" s="722"/>
      <c r="B18" s="730"/>
      <c r="C18" s="721"/>
      <c r="D18" s="721"/>
      <c r="E18" s="1107"/>
      <c r="F18" s="472"/>
    </row>
    <row r="19" spans="1:6" ht="13.8">
      <c r="A19" s="728"/>
      <c r="B19" s="730" t="s">
        <v>1879</v>
      </c>
      <c r="C19" s="721"/>
      <c r="D19" s="721"/>
      <c r="E19" s="1107"/>
      <c r="F19" s="472"/>
    </row>
    <row r="20" spans="1:6" ht="13.8">
      <c r="B20" s="730" t="s">
        <v>1880</v>
      </c>
      <c r="C20" s="721" t="s">
        <v>391</v>
      </c>
      <c r="D20" s="721">
        <v>1</v>
      </c>
      <c r="E20" s="1107">
        <v>250</v>
      </c>
      <c r="F20" s="472">
        <f>D20*E20</f>
        <v>250</v>
      </c>
    </row>
    <row r="21" spans="1:6" ht="13.8">
      <c r="B21" s="730"/>
      <c r="E21" s="1107"/>
      <c r="F21" s="472"/>
    </row>
    <row r="22" spans="1:6" ht="13.8">
      <c r="B22" s="730" t="s">
        <v>1881</v>
      </c>
      <c r="E22" s="1107"/>
      <c r="F22" s="472"/>
    </row>
    <row r="23" spans="1:6" ht="13.8">
      <c r="B23" s="730" t="s">
        <v>1882</v>
      </c>
      <c r="C23" s="721" t="s">
        <v>391</v>
      </c>
      <c r="D23" s="721">
        <v>18</v>
      </c>
      <c r="E23" s="1107">
        <v>65</v>
      </c>
      <c r="F23" s="472">
        <f>D23*E23</f>
        <v>1170</v>
      </c>
    </row>
    <row r="24" spans="1:6" ht="13.8">
      <c r="B24" s="730"/>
      <c r="C24" s="721"/>
      <c r="D24" s="721"/>
      <c r="E24" s="1107"/>
      <c r="F24" s="472">
        <f>D24*E24</f>
        <v>0</v>
      </c>
    </row>
    <row r="25" spans="1:6" ht="13.8">
      <c r="B25" s="730" t="s">
        <v>1883</v>
      </c>
      <c r="D25" s="721"/>
      <c r="E25" s="1107"/>
      <c r="F25" s="472"/>
    </row>
    <row r="26" spans="1:6" ht="13.8">
      <c r="B26" s="730" t="s">
        <v>1884</v>
      </c>
      <c r="C26" s="721" t="s">
        <v>391</v>
      </c>
      <c r="D26" s="721">
        <v>1</v>
      </c>
      <c r="E26" s="1107">
        <v>75</v>
      </c>
      <c r="F26" s="472">
        <f>D26*E26</f>
        <v>75</v>
      </c>
    </row>
    <row r="27" spans="1:6" ht="41.4">
      <c r="B27" s="730" t="s">
        <v>1885</v>
      </c>
      <c r="C27" s="721" t="s">
        <v>391</v>
      </c>
      <c r="D27" s="721">
        <v>18</v>
      </c>
      <c r="E27" s="1107">
        <v>15</v>
      </c>
      <c r="F27" s="472">
        <f>D27*E27</f>
        <v>270</v>
      </c>
    </row>
    <row r="28" spans="1:6" ht="27.6">
      <c r="B28" s="723" t="s">
        <v>1886</v>
      </c>
      <c r="C28" s="721" t="s">
        <v>355</v>
      </c>
      <c r="D28" s="721">
        <v>450</v>
      </c>
      <c r="E28" s="1107">
        <v>8</v>
      </c>
      <c r="F28" s="472">
        <f>D28*E28</f>
        <v>3600</v>
      </c>
    </row>
    <row r="29" spans="1:6" ht="13.8">
      <c r="A29" s="738"/>
      <c r="B29" s="739"/>
      <c r="C29" s="740"/>
      <c r="D29" s="740"/>
      <c r="E29" s="1115"/>
      <c r="F29" s="740"/>
    </row>
    <row r="30" spans="1:6" ht="14.4">
      <c r="A30" s="728"/>
      <c r="B30" s="730"/>
      <c r="C30" s="721"/>
      <c r="D30" s="721"/>
      <c r="E30" s="1106"/>
      <c r="F30" s="800"/>
    </row>
    <row r="31" spans="1:6" ht="13.8">
      <c r="A31" s="728" t="s">
        <v>284</v>
      </c>
      <c r="B31" s="801" t="s">
        <v>1887</v>
      </c>
      <c r="C31" s="721"/>
      <c r="D31" s="721"/>
      <c r="E31" s="1106"/>
      <c r="F31" s="472">
        <f>SUM(F7:F28)</f>
        <v>5828</v>
      </c>
    </row>
    <row r="32" spans="1:6" ht="13.8">
      <c r="A32" s="738"/>
      <c r="B32" s="762"/>
      <c r="C32" s="740"/>
      <c r="D32" s="740"/>
      <c r="E32" s="1115"/>
      <c r="F32" s="740"/>
    </row>
    <row r="33" spans="1:256" ht="14.4">
      <c r="A33" s="728"/>
      <c r="B33" s="730"/>
      <c r="C33" s="721"/>
      <c r="D33" s="721"/>
      <c r="E33" s="1106"/>
      <c r="F33" s="758"/>
      <c r="G33" s="741"/>
      <c r="H33" s="742"/>
      <c r="I33" s="743"/>
      <c r="J33" s="744"/>
      <c r="K33" s="744"/>
      <c r="L33" s="756"/>
      <c r="M33" s="741"/>
      <c r="N33" s="742"/>
      <c r="O33" s="743"/>
      <c r="P33" s="744"/>
      <c r="Q33" s="744"/>
      <c r="R33" s="756"/>
      <c r="S33" s="741"/>
      <c r="T33" s="742"/>
      <c r="U33" s="743"/>
      <c r="V33" s="744"/>
      <c r="W33" s="744"/>
      <c r="X33" s="756"/>
      <c r="Y33" s="741"/>
      <c r="Z33" s="742"/>
      <c r="AA33" s="743"/>
      <c r="AB33" s="744"/>
      <c r="AC33" s="744"/>
      <c r="AD33" s="756"/>
      <c r="AE33" s="741"/>
      <c r="AF33" s="742"/>
      <c r="AG33" s="743"/>
      <c r="AH33" s="744"/>
      <c r="AI33" s="744"/>
      <c r="AJ33" s="756"/>
      <c r="AK33" s="741"/>
      <c r="AL33" s="742"/>
      <c r="AM33" s="743"/>
      <c r="AN33" s="744"/>
      <c r="AO33" s="744"/>
      <c r="AP33" s="756"/>
      <c r="AQ33" s="741"/>
      <c r="AR33" s="742"/>
      <c r="AS33" s="743"/>
      <c r="AT33" s="744"/>
      <c r="AU33" s="744"/>
      <c r="AV33" s="756"/>
      <c r="AW33" s="741"/>
      <c r="AX33" s="742"/>
      <c r="AY33" s="743"/>
      <c r="AZ33" s="744"/>
      <c r="BA33" s="744"/>
      <c r="BB33" s="756"/>
      <c r="BC33" s="741"/>
      <c r="BD33" s="742"/>
      <c r="BE33" s="743"/>
      <c r="BF33" s="744"/>
      <c r="BG33" s="744"/>
      <c r="BH33" s="756"/>
      <c r="BI33" s="741"/>
      <c r="BJ33" s="742"/>
      <c r="BK33" s="743"/>
      <c r="BL33" s="744"/>
      <c r="BM33" s="744"/>
      <c r="BN33" s="756"/>
      <c r="BO33" s="741"/>
      <c r="BP33" s="742"/>
      <c r="BQ33" s="743"/>
      <c r="BR33" s="744"/>
      <c r="BS33" s="744"/>
      <c r="BT33" s="756"/>
      <c r="BU33" s="741"/>
      <c r="BV33" s="742"/>
      <c r="BW33" s="743"/>
      <c r="BX33" s="744"/>
      <c r="BY33" s="744"/>
      <c r="BZ33" s="756"/>
      <c r="CA33" s="741"/>
      <c r="CB33" s="742"/>
      <c r="CC33" s="743"/>
      <c r="CD33" s="744"/>
      <c r="CE33" s="744"/>
      <c r="CF33" s="756"/>
      <c r="CG33" s="741"/>
      <c r="CH33" s="742"/>
      <c r="CI33" s="743"/>
      <c r="CJ33" s="744"/>
      <c r="CK33" s="744"/>
      <c r="CL33" s="756"/>
      <c r="CM33" s="741"/>
      <c r="CN33" s="742"/>
      <c r="CO33" s="743"/>
      <c r="CP33" s="744"/>
      <c r="CQ33" s="744"/>
      <c r="CR33" s="756"/>
      <c r="CS33" s="741"/>
      <c r="CT33" s="742"/>
      <c r="CU33" s="743"/>
      <c r="CV33" s="744"/>
      <c r="CW33" s="744"/>
      <c r="CX33" s="756"/>
      <c r="CY33" s="741"/>
      <c r="CZ33" s="742"/>
      <c r="DA33" s="743"/>
      <c r="DB33" s="744"/>
      <c r="DC33" s="744"/>
      <c r="DD33" s="756"/>
      <c r="DE33" s="741"/>
      <c r="DF33" s="742"/>
      <c r="DG33" s="743"/>
      <c r="DH33" s="744"/>
      <c r="DI33" s="744"/>
      <c r="DJ33" s="756"/>
      <c r="DK33" s="741"/>
      <c r="DL33" s="742"/>
      <c r="DM33" s="743"/>
      <c r="DN33" s="744"/>
      <c r="DO33" s="744"/>
      <c r="DP33" s="756"/>
      <c r="DQ33" s="741"/>
      <c r="DR33" s="742"/>
      <c r="DS33" s="743"/>
      <c r="DT33" s="744"/>
      <c r="DU33" s="744"/>
      <c r="DV33" s="756"/>
      <c r="DW33" s="741"/>
      <c r="DX33" s="742"/>
      <c r="DY33" s="743"/>
      <c r="DZ33" s="744"/>
      <c r="EA33" s="744"/>
      <c r="EB33" s="756"/>
      <c r="EC33" s="741"/>
      <c r="ED33" s="742"/>
      <c r="EE33" s="743"/>
      <c r="EF33" s="744"/>
      <c r="EG33" s="744"/>
      <c r="EH33" s="756"/>
      <c r="EI33" s="741"/>
      <c r="EJ33" s="742"/>
      <c r="EK33" s="743"/>
      <c r="EL33" s="744"/>
      <c r="EM33" s="744"/>
      <c r="EN33" s="756"/>
      <c r="EO33" s="741"/>
      <c r="EP33" s="742"/>
      <c r="EQ33" s="743"/>
      <c r="ER33" s="744"/>
      <c r="ES33" s="744"/>
      <c r="ET33" s="756"/>
      <c r="EU33" s="741"/>
      <c r="EV33" s="742"/>
      <c r="EW33" s="743"/>
      <c r="EX33" s="744"/>
      <c r="EY33" s="744"/>
      <c r="EZ33" s="756"/>
      <c r="FA33" s="741"/>
      <c r="FB33" s="742"/>
      <c r="FC33" s="743"/>
      <c r="FD33" s="744"/>
      <c r="FE33" s="744"/>
      <c r="FF33" s="756"/>
      <c r="FG33" s="741"/>
      <c r="FH33" s="742"/>
      <c r="FI33" s="743"/>
      <c r="FJ33" s="744"/>
      <c r="FK33" s="744"/>
      <c r="FL33" s="756"/>
      <c r="FM33" s="741"/>
      <c r="FN33" s="742"/>
      <c r="FO33" s="743"/>
      <c r="FP33" s="744"/>
      <c r="FQ33" s="744"/>
      <c r="FR33" s="756"/>
      <c r="FS33" s="741"/>
      <c r="FT33" s="742"/>
      <c r="FU33" s="743"/>
      <c r="FV33" s="744"/>
      <c r="FW33" s="744"/>
      <c r="FX33" s="756"/>
      <c r="FY33" s="741"/>
      <c r="FZ33" s="742"/>
      <c r="GA33" s="743"/>
      <c r="GB33" s="744"/>
      <c r="GC33" s="744"/>
      <c r="GD33" s="756"/>
      <c r="GE33" s="741"/>
      <c r="GF33" s="742"/>
      <c r="GG33" s="743"/>
      <c r="GH33" s="744"/>
      <c r="GI33" s="744"/>
      <c r="GJ33" s="756"/>
      <c r="GK33" s="741"/>
      <c r="GL33" s="742"/>
      <c r="GM33" s="743"/>
      <c r="GN33" s="744"/>
      <c r="GO33" s="744"/>
      <c r="GP33" s="756"/>
      <c r="GQ33" s="741"/>
      <c r="GR33" s="742"/>
      <c r="GS33" s="743"/>
      <c r="GT33" s="744"/>
      <c r="GU33" s="744"/>
      <c r="GV33" s="756"/>
      <c r="GW33" s="741"/>
      <c r="GX33" s="742"/>
      <c r="GY33" s="743"/>
      <c r="GZ33" s="744"/>
      <c r="HA33" s="744"/>
      <c r="HB33" s="756"/>
      <c r="HC33" s="741"/>
      <c r="HD33" s="742"/>
      <c r="HE33" s="743"/>
      <c r="HF33" s="744"/>
      <c r="HG33" s="744"/>
      <c r="HH33" s="756"/>
      <c r="HI33" s="741"/>
      <c r="HJ33" s="742"/>
      <c r="HK33" s="743"/>
      <c r="HL33" s="744"/>
      <c r="HM33" s="744"/>
      <c r="HN33" s="756"/>
      <c r="HO33" s="741"/>
      <c r="HP33" s="742"/>
      <c r="HQ33" s="743"/>
      <c r="HR33" s="744"/>
      <c r="HS33" s="744"/>
      <c r="HT33" s="756"/>
      <c r="HU33" s="741"/>
      <c r="HV33" s="742"/>
      <c r="HW33" s="743"/>
      <c r="HX33" s="744"/>
      <c r="HY33" s="744"/>
      <c r="HZ33" s="756"/>
      <c r="IA33" s="741"/>
      <c r="IB33" s="742"/>
      <c r="IC33" s="743"/>
      <c r="ID33" s="744"/>
      <c r="IE33" s="744"/>
      <c r="IF33" s="756"/>
      <c r="IG33" s="741"/>
      <c r="IH33" s="742"/>
      <c r="II33" s="743"/>
      <c r="IJ33" s="744"/>
      <c r="IK33" s="744"/>
      <c r="IL33" s="756"/>
      <c r="IM33" s="741"/>
      <c r="IN33" s="742"/>
      <c r="IO33" s="743"/>
      <c r="IP33" s="744"/>
      <c r="IQ33" s="744"/>
      <c r="IR33" s="756"/>
      <c r="IS33" s="741"/>
      <c r="IT33" s="742"/>
      <c r="IU33" s="743"/>
      <c r="IV33" s="744"/>
    </row>
    <row r="34" spans="1:256">
      <c r="A34" s="741"/>
      <c r="B34" s="767"/>
      <c r="D34" s="768"/>
      <c r="E34" s="768"/>
      <c r="F34" s="768"/>
    </row>
  </sheetData>
  <mergeCells count="1">
    <mergeCell ref="A2:F2"/>
  </mergeCells>
  <printOptions horizontalCentered="1"/>
  <pageMargins left="0.78740157480314965" right="0.39370078740157483" top="0.39370078740157483" bottom="0.78740157480314965" header="0.39370078740157483" footer="0.39370078740157483"/>
  <pageSetup paperSize="9" orientation="portrait" horizontalDpi="300" verticalDpi="300" r:id="rId1"/>
  <headerFooter scaleWithDoc="0">
    <oddFooter>&amp;C&amp;"ISOCPEUR,Regular"&amp;9POS Ivanić – Grad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71CA2-B04F-4AAC-904D-5EC3E0D9D951}">
  <sheetPr>
    <tabColor rgb="FFFF0000"/>
  </sheetPr>
  <dimension ref="A1:IV79"/>
  <sheetViews>
    <sheetView showZeros="0" topLeftCell="A57" zoomScaleNormal="100" zoomScaleSheetLayoutView="100" workbookViewId="0">
      <selection activeCell="E74" sqref="E74"/>
    </sheetView>
  </sheetViews>
  <sheetFormatPr defaultColWidth="8.90625" defaultRowHeight="13.2"/>
  <cols>
    <col min="1" max="1" width="4.453125" style="686" customWidth="1"/>
    <col min="2" max="2" width="31.6328125" style="686" customWidth="1"/>
    <col min="3" max="3" width="4.90625" style="686" customWidth="1"/>
    <col min="4" max="4" width="6.81640625" style="686" customWidth="1"/>
    <col min="5" max="5" width="9.90625" style="686" customWidth="1"/>
    <col min="6" max="6" width="13" style="686" customWidth="1"/>
    <col min="7" max="16384" width="8.90625" style="686"/>
  </cols>
  <sheetData>
    <row r="1" spans="1:256" s="685" customFormat="1" ht="18" customHeight="1">
      <c r="A1" s="680" t="s">
        <v>1623</v>
      </c>
      <c r="B1" s="681"/>
      <c r="C1" s="681"/>
      <c r="D1" s="681"/>
      <c r="E1" s="682"/>
      <c r="F1" s="684" t="s">
        <v>1624</v>
      </c>
      <c r="G1" s="711"/>
    </row>
    <row r="2" spans="1:256" s="685" customFormat="1" ht="3" customHeight="1">
      <c r="A2" s="1163"/>
      <c r="B2" s="1163"/>
      <c r="C2" s="1163"/>
      <c r="D2" s="1163"/>
      <c r="E2" s="1163"/>
      <c r="F2" s="1163"/>
    </row>
    <row r="3" spans="1:256" ht="5.0999999999999996" customHeight="1"/>
    <row r="4" spans="1:256" s="714" customFormat="1" ht="15" customHeight="1">
      <c r="A4" s="712" t="s">
        <v>1663</v>
      </c>
      <c r="B4" s="713" t="s">
        <v>1664</v>
      </c>
      <c r="C4" s="713" t="s">
        <v>1665</v>
      </c>
      <c r="D4" s="713" t="s">
        <v>1666</v>
      </c>
      <c r="E4" s="713" t="s">
        <v>1667</v>
      </c>
      <c r="F4" s="713" t="s">
        <v>1668</v>
      </c>
    </row>
    <row r="5" spans="1:256" s="717" customFormat="1" ht="12">
      <c r="A5" s="715">
        <v>1</v>
      </c>
      <c r="B5" s="716">
        <v>2</v>
      </c>
      <c r="C5" s="716">
        <v>3</v>
      </c>
      <c r="D5" s="716">
        <v>4</v>
      </c>
      <c r="E5" s="716">
        <v>5</v>
      </c>
      <c r="F5" s="716" t="s">
        <v>1669</v>
      </c>
    </row>
    <row r="7" spans="1:256" ht="13.8">
      <c r="A7" s="719" t="s">
        <v>461</v>
      </c>
      <c r="B7" s="787" t="s">
        <v>1888</v>
      </c>
    </row>
    <row r="8" spans="1:256" ht="13.8">
      <c r="A8" s="728"/>
      <c r="B8" s="720"/>
      <c r="E8" s="1105"/>
    </row>
    <row r="9" spans="1:256" ht="69">
      <c r="A9" s="802">
        <v>1</v>
      </c>
      <c r="B9" s="803" t="s">
        <v>1889</v>
      </c>
      <c r="C9" s="804" t="s">
        <v>391</v>
      </c>
      <c r="D9" s="804">
        <v>2</v>
      </c>
      <c r="E9" s="1119">
        <v>150</v>
      </c>
      <c r="F9" s="472">
        <f>D9*E9</f>
        <v>300</v>
      </c>
    </row>
    <row r="10" spans="1:256" ht="13.8">
      <c r="A10" s="802"/>
      <c r="B10" s="803"/>
      <c r="C10" s="805"/>
      <c r="D10" s="805"/>
      <c r="E10" s="1119"/>
      <c r="F10" s="472"/>
    </row>
    <row r="11" spans="1:256" ht="82.8">
      <c r="A11" s="802">
        <v>2</v>
      </c>
      <c r="B11" s="803" t="s">
        <v>1890</v>
      </c>
      <c r="C11" s="804" t="s">
        <v>391</v>
      </c>
      <c r="D11" s="804">
        <v>10</v>
      </c>
      <c r="E11" s="1119">
        <v>300</v>
      </c>
      <c r="F11" s="472">
        <f>D11*E11</f>
        <v>3000</v>
      </c>
    </row>
    <row r="12" spans="1:256" ht="13.8">
      <c r="A12" s="802"/>
      <c r="B12" s="803"/>
      <c r="C12" s="805"/>
      <c r="D12" s="805"/>
      <c r="E12" s="1119"/>
      <c r="F12" s="472">
        <f>D12*E12</f>
        <v>0</v>
      </c>
    </row>
    <row r="13" spans="1:256" ht="55.2">
      <c r="A13" s="802">
        <v>3</v>
      </c>
      <c r="B13" s="803" t="s">
        <v>1891</v>
      </c>
      <c r="C13" s="806"/>
      <c r="D13" s="806"/>
      <c r="E13" s="1119"/>
      <c r="F13" s="472"/>
      <c r="G13" s="741"/>
      <c r="H13" s="742"/>
      <c r="I13" s="743"/>
      <c r="J13" s="744"/>
      <c r="K13" s="744"/>
      <c r="L13" s="756"/>
      <c r="M13" s="741"/>
      <c r="N13" s="742"/>
      <c r="O13" s="743"/>
      <c r="P13" s="744"/>
      <c r="Q13" s="744"/>
      <c r="R13" s="756"/>
      <c r="S13" s="741"/>
      <c r="T13" s="742"/>
      <c r="U13" s="743"/>
      <c r="V13" s="744"/>
      <c r="W13" s="744"/>
      <c r="X13" s="756"/>
      <c r="Y13" s="741"/>
      <c r="Z13" s="742"/>
      <c r="AA13" s="743"/>
      <c r="AB13" s="744"/>
      <c r="AC13" s="744"/>
      <c r="AD13" s="756"/>
      <c r="AE13" s="741"/>
      <c r="AF13" s="742"/>
      <c r="AG13" s="743"/>
      <c r="AH13" s="744"/>
      <c r="AI13" s="744"/>
      <c r="AJ13" s="756"/>
      <c r="AK13" s="741"/>
      <c r="AL13" s="742"/>
      <c r="AM13" s="743"/>
      <c r="AN13" s="744"/>
      <c r="AO13" s="744"/>
      <c r="AP13" s="756"/>
      <c r="AQ13" s="741"/>
      <c r="AR13" s="742"/>
      <c r="AS13" s="743"/>
      <c r="AT13" s="744"/>
      <c r="AU13" s="744"/>
      <c r="AV13" s="756"/>
      <c r="AW13" s="741"/>
      <c r="AX13" s="742"/>
      <c r="AY13" s="743"/>
      <c r="AZ13" s="744"/>
      <c r="BA13" s="744"/>
      <c r="BB13" s="756"/>
      <c r="BC13" s="741"/>
      <c r="BD13" s="742"/>
      <c r="BE13" s="743"/>
      <c r="BF13" s="744"/>
      <c r="BG13" s="744"/>
      <c r="BH13" s="756"/>
      <c r="BI13" s="741"/>
      <c r="BJ13" s="742"/>
      <c r="BK13" s="743"/>
      <c r="BL13" s="744"/>
      <c r="BM13" s="744"/>
      <c r="BN13" s="756"/>
      <c r="BO13" s="741"/>
      <c r="BP13" s="742"/>
      <c r="BQ13" s="743"/>
      <c r="BR13" s="744"/>
      <c r="BS13" s="744"/>
      <c r="BT13" s="756"/>
      <c r="BU13" s="741"/>
      <c r="BV13" s="742"/>
      <c r="BW13" s="743"/>
      <c r="BX13" s="744"/>
      <c r="BY13" s="744"/>
      <c r="BZ13" s="756"/>
      <c r="CA13" s="741"/>
      <c r="CB13" s="742"/>
      <c r="CC13" s="743"/>
      <c r="CD13" s="744"/>
      <c r="CE13" s="744"/>
      <c r="CF13" s="756"/>
      <c r="CG13" s="741"/>
      <c r="CH13" s="742"/>
      <c r="CI13" s="743"/>
      <c r="CJ13" s="744"/>
      <c r="CK13" s="744"/>
      <c r="CL13" s="756"/>
      <c r="CM13" s="741"/>
      <c r="CN13" s="742"/>
      <c r="CO13" s="743"/>
      <c r="CP13" s="744"/>
      <c r="CQ13" s="744"/>
      <c r="CR13" s="756"/>
      <c r="CS13" s="741"/>
      <c r="CT13" s="742"/>
      <c r="CU13" s="743"/>
      <c r="CV13" s="744"/>
      <c r="CW13" s="744"/>
      <c r="CX13" s="756"/>
      <c r="CY13" s="741"/>
      <c r="CZ13" s="742"/>
      <c r="DA13" s="743"/>
      <c r="DB13" s="744"/>
      <c r="DC13" s="744"/>
      <c r="DD13" s="756"/>
      <c r="DE13" s="741"/>
      <c r="DF13" s="742"/>
      <c r="DG13" s="743"/>
      <c r="DH13" s="744"/>
      <c r="DI13" s="744"/>
      <c r="DJ13" s="756"/>
      <c r="DK13" s="741"/>
      <c r="DL13" s="742"/>
      <c r="DM13" s="743"/>
      <c r="DN13" s="744"/>
      <c r="DO13" s="744"/>
      <c r="DP13" s="756"/>
      <c r="DQ13" s="741"/>
      <c r="DR13" s="742"/>
      <c r="DS13" s="743"/>
      <c r="DT13" s="744"/>
      <c r="DU13" s="744"/>
      <c r="DV13" s="756"/>
      <c r="DW13" s="741"/>
      <c r="DX13" s="742"/>
      <c r="DY13" s="743"/>
      <c r="DZ13" s="744"/>
      <c r="EA13" s="744"/>
      <c r="EB13" s="756"/>
      <c r="EC13" s="741"/>
      <c r="ED13" s="742"/>
      <c r="EE13" s="743"/>
      <c r="EF13" s="744"/>
      <c r="EG13" s="744"/>
      <c r="EH13" s="756"/>
      <c r="EI13" s="741"/>
      <c r="EJ13" s="742"/>
      <c r="EK13" s="743"/>
      <c r="EL13" s="744"/>
      <c r="EM13" s="744"/>
      <c r="EN13" s="756"/>
      <c r="EO13" s="741"/>
      <c r="EP13" s="742"/>
      <c r="EQ13" s="743"/>
      <c r="ER13" s="744"/>
      <c r="ES13" s="744"/>
      <c r="ET13" s="756"/>
      <c r="EU13" s="741"/>
      <c r="EV13" s="742"/>
      <c r="EW13" s="743"/>
      <c r="EX13" s="744"/>
      <c r="EY13" s="744"/>
      <c r="EZ13" s="756"/>
      <c r="FA13" s="741"/>
      <c r="FB13" s="742"/>
      <c r="FC13" s="743"/>
      <c r="FD13" s="744"/>
      <c r="FE13" s="744"/>
      <c r="FF13" s="756"/>
      <c r="FG13" s="741"/>
      <c r="FH13" s="742"/>
      <c r="FI13" s="743"/>
      <c r="FJ13" s="744"/>
      <c r="FK13" s="744"/>
      <c r="FL13" s="756"/>
      <c r="FM13" s="741"/>
      <c r="FN13" s="742"/>
      <c r="FO13" s="743"/>
      <c r="FP13" s="744"/>
      <c r="FQ13" s="744"/>
      <c r="FR13" s="756"/>
      <c r="FS13" s="741"/>
      <c r="FT13" s="742"/>
      <c r="FU13" s="743"/>
      <c r="FV13" s="744"/>
      <c r="FW13" s="744"/>
      <c r="FX13" s="756"/>
      <c r="FY13" s="741"/>
      <c r="FZ13" s="742"/>
      <c r="GA13" s="743"/>
      <c r="GB13" s="744"/>
      <c r="GC13" s="744"/>
      <c r="GD13" s="756"/>
      <c r="GE13" s="741"/>
      <c r="GF13" s="742"/>
      <c r="GG13" s="743"/>
      <c r="GH13" s="744"/>
      <c r="GI13" s="744"/>
      <c r="GJ13" s="756"/>
      <c r="GK13" s="741"/>
      <c r="GL13" s="742"/>
      <c r="GM13" s="743"/>
      <c r="GN13" s="744"/>
      <c r="GO13" s="744"/>
      <c r="GP13" s="756"/>
      <c r="GQ13" s="741"/>
      <c r="GR13" s="742"/>
      <c r="GS13" s="743"/>
      <c r="GT13" s="744"/>
      <c r="GU13" s="744"/>
      <c r="GV13" s="756"/>
      <c r="GW13" s="741"/>
      <c r="GX13" s="742"/>
      <c r="GY13" s="743"/>
      <c r="GZ13" s="744"/>
      <c r="HA13" s="744"/>
      <c r="HB13" s="756"/>
      <c r="HC13" s="741"/>
      <c r="HD13" s="742"/>
      <c r="HE13" s="743"/>
      <c r="HF13" s="744"/>
      <c r="HG13" s="744"/>
      <c r="HH13" s="756"/>
      <c r="HI13" s="741"/>
      <c r="HJ13" s="742"/>
      <c r="HK13" s="743"/>
      <c r="HL13" s="744"/>
      <c r="HM13" s="744"/>
      <c r="HN13" s="756"/>
      <c r="HO13" s="741"/>
      <c r="HP13" s="742"/>
      <c r="HQ13" s="743"/>
      <c r="HR13" s="744"/>
      <c r="HS13" s="744"/>
      <c r="HT13" s="756"/>
      <c r="HU13" s="741"/>
      <c r="HV13" s="742"/>
      <c r="HW13" s="743"/>
      <c r="HX13" s="744"/>
      <c r="HY13" s="744"/>
      <c r="HZ13" s="756"/>
      <c r="IA13" s="741"/>
      <c r="IB13" s="742"/>
      <c r="IC13" s="743"/>
      <c r="ID13" s="744"/>
      <c r="IE13" s="744"/>
      <c r="IF13" s="756"/>
      <c r="IG13" s="741"/>
      <c r="IH13" s="742"/>
      <c r="II13" s="743"/>
      <c r="IJ13" s="744"/>
      <c r="IK13" s="744"/>
      <c r="IL13" s="756"/>
      <c r="IM13" s="741"/>
      <c r="IN13" s="742"/>
      <c r="IO13" s="743"/>
      <c r="IP13" s="744"/>
      <c r="IQ13" s="744"/>
      <c r="IR13" s="756"/>
      <c r="IS13" s="741"/>
      <c r="IT13" s="742"/>
      <c r="IU13" s="743"/>
      <c r="IV13" s="744"/>
    </row>
    <row r="14" spans="1:256" ht="13.8">
      <c r="A14" s="802"/>
      <c r="B14" s="807" t="s">
        <v>1892</v>
      </c>
      <c r="C14" s="805"/>
      <c r="D14" s="805"/>
      <c r="E14" s="1119"/>
      <c r="F14" s="472"/>
      <c r="G14" s="741"/>
      <c r="H14" s="742"/>
      <c r="I14" s="743"/>
      <c r="J14" s="744"/>
      <c r="K14" s="744"/>
      <c r="L14" s="756"/>
      <c r="M14" s="741"/>
      <c r="N14" s="742"/>
      <c r="O14" s="743"/>
      <c r="P14" s="744"/>
      <c r="Q14" s="744"/>
      <c r="R14" s="756"/>
      <c r="S14" s="741"/>
      <c r="T14" s="742"/>
      <c r="U14" s="743"/>
      <c r="V14" s="744"/>
      <c r="W14" s="744"/>
      <c r="X14" s="756"/>
      <c r="Y14" s="741"/>
      <c r="Z14" s="742"/>
      <c r="AA14" s="743"/>
      <c r="AB14" s="744"/>
      <c r="AC14" s="744"/>
      <c r="AD14" s="756"/>
      <c r="AE14" s="741"/>
      <c r="AF14" s="742"/>
      <c r="AG14" s="743"/>
      <c r="AH14" s="744"/>
      <c r="AI14" s="744"/>
      <c r="AJ14" s="756"/>
      <c r="AK14" s="741"/>
      <c r="AL14" s="742"/>
      <c r="AM14" s="743"/>
      <c r="AN14" s="744"/>
      <c r="AO14" s="744"/>
      <c r="AP14" s="756"/>
      <c r="AQ14" s="741"/>
      <c r="AR14" s="742"/>
      <c r="AS14" s="743"/>
      <c r="AT14" s="744"/>
      <c r="AU14" s="744"/>
      <c r="AV14" s="756"/>
      <c r="AW14" s="741"/>
      <c r="AX14" s="742"/>
      <c r="AY14" s="743"/>
      <c r="AZ14" s="744"/>
      <c r="BA14" s="744"/>
      <c r="BB14" s="756"/>
      <c r="BC14" s="741"/>
      <c r="BD14" s="742"/>
      <c r="BE14" s="743"/>
      <c r="BF14" s="744"/>
      <c r="BG14" s="744"/>
      <c r="BH14" s="756"/>
      <c r="BI14" s="741"/>
      <c r="BJ14" s="742"/>
      <c r="BK14" s="743"/>
      <c r="BL14" s="744"/>
      <c r="BM14" s="744"/>
      <c r="BN14" s="756"/>
      <c r="BO14" s="741"/>
      <c r="BP14" s="742"/>
      <c r="BQ14" s="743"/>
      <c r="BR14" s="744"/>
      <c r="BS14" s="744"/>
      <c r="BT14" s="756"/>
      <c r="BU14" s="741"/>
      <c r="BV14" s="742"/>
      <c r="BW14" s="743"/>
      <c r="BX14" s="744"/>
      <c r="BY14" s="744"/>
      <c r="BZ14" s="756"/>
      <c r="CA14" s="741"/>
      <c r="CB14" s="742"/>
      <c r="CC14" s="743"/>
      <c r="CD14" s="744"/>
      <c r="CE14" s="744"/>
      <c r="CF14" s="756"/>
      <c r="CG14" s="741"/>
      <c r="CH14" s="742"/>
      <c r="CI14" s="743"/>
      <c r="CJ14" s="744"/>
      <c r="CK14" s="744"/>
      <c r="CL14" s="756"/>
      <c r="CM14" s="741"/>
      <c r="CN14" s="742"/>
      <c r="CO14" s="743"/>
      <c r="CP14" s="744"/>
      <c r="CQ14" s="744"/>
      <c r="CR14" s="756"/>
      <c r="CS14" s="741"/>
      <c r="CT14" s="742"/>
      <c r="CU14" s="743"/>
      <c r="CV14" s="744"/>
      <c r="CW14" s="744"/>
      <c r="CX14" s="756"/>
      <c r="CY14" s="741"/>
      <c r="CZ14" s="742"/>
      <c r="DA14" s="743"/>
      <c r="DB14" s="744"/>
      <c r="DC14" s="744"/>
      <c r="DD14" s="756"/>
      <c r="DE14" s="741"/>
      <c r="DF14" s="742"/>
      <c r="DG14" s="743"/>
      <c r="DH14" s="744"/>
      <c r="DI14" s="744"/>
      <c r="DJ14" s="756"/>
      <c r="DK14" s="741"/>
      <c r="DL14" s="742"/>
      <c r="DM14" s="743"/>
      <c r="DN14" s="744"/>
      <c r="DO14" s="744"/>
      <c r="DP14" s="756"/>
      <c r="DQ14" s="741"/>
      <c r="DR14" s="742"/>
      <c r="DS14" s="743"/>
      <c r="DT14" s="744"/>
      <c r="DU14" s="744"/>
      <c r="DV14" s="756"/>
      <c r="DW14" s="741"/>
      <c r="DX14" s="742"/>
      <c r="DY14" s="743"/>
      <c r="DZ14" s="744"/>
      <c r="EA14" s="744"/>
      <c r="EB14" s="756"/>
      <c r="EC14" s="741"/>
      <c r="ED14" s="742"/>
      <c r="EE14" s="743"/>
      <c r="EF14" s="744"/>
      <c r="EG14" s="744"/>
      <c r="EH14" s="756"/>
      <c r="EI14" s="741"/>
      <c r="EJ14" s="742"/>
      <c r="EK14" s="743"/>
      <c r="EL14" s="744"/>
      <c r="EM14" s="744"/>
      <c r="EN14" s="756"/>
      <c r="EO14" s="741"/>
      <c r="EP14" s="742"/>
      <c r="EQ14" s="743"/>
      <c r="ER14" s="744"/>
      <c r="ES14" s="744"/>
      <c r="ET14" s="756"/>
      <c r="EU14" s="741"/>
      <c r="EV14" s="742"/>
      <c r="EW14" s="743"/>
      <c r="EX14" s="744"/>
      <c r="EY14" s="744"/>
      <c r="EZ14" s="756"/>
      <c r="FA14" s="741"/>
      <c r="FB14" s="742"/>
      <c r="FC14" s="743"/>
      <c r="FD14" s="744"/>
      <c r="FE14" s="744"/>
      <c r="FF14" s="756"/>
      <c r="FG14" s="741"/>
      <c r="FH14" s="742"/>
      <c r="FI14" s="743"/>
      <c r="FJ14" s="744"/>
      <c r="FK14" s="744"/>
      <c r="FL14" s="756"/>
      <c r="FM14" s="741"/>
      <c r="FN14" s="742"/>
      <c r="FO14" s="743"/>
      <c r="FP14" s="744"/>
      <c r="FQ14" s="744"/>
      <c r="FR14" s="756"/>
      <c r="FS14" s="741"/>
      <c r="FT14" s="742"/>
      <c r="FU14" s="743"/>
      <c r="FV14" s="744"/>
      <c r="FW14" s="744"/>
      <c r="FX14" s="756"/>
      <c r="FY14" s="741"/>
      <c r="FZ14" s="742"/>
      <c r="GA14" s="743"/>
      <c r="GB14" s="744"/>
      <c r="GC14" s="744"/>
      <c r="GD14" s="756"/>
      <c r="GE14" s="741"/>
      <c r="GF14" s="742"/>
      <c r="GG14" s="743"/>
      <c r="GH14" s="744"/>
      <c r="GI14" s="744"/>
      <c r="GJ14" s="756"/>
      <c r="GK14" s="741"/>
      <c r="GL14" s="742"/>
      <c r="GM14" s="743"/>
      <c r="GN14" s="744"/>
      <c r="GO14" s="744"/>
      <c r="GP14" s="756"/>
      <c r="GQ14" s="741"/>
      <c r="GR14" s="742"/>
      <c r="GS14" s="743"/>
      <c r="GT14" s="744"/>
      <c r="GU14" s="744"/>
      <c r="GV14" s="756"/>
      <c r="GW14" s="741"/>
      <c r="GX14" s="742"/>
      <c r="GY14" s="743"/>
      <c r="GZ14" s="744"/>
      <c r="HA14" s="744"/>
      <c r="HB14" s="756"/>
      <c r="HC14" s="741"/>
      <c r="HD14" s="742"/>
      <c r="HE14" s="743"/>
      <c r="HF14" s="744"/>
      <c r="HG14" s="744"/>
      <c r="HH14" s="756"/>
      <c r="HI14" s="741"/>
      <c r="HJ14" s="742"/>
      <c r="HK14" s="743"/>
      <c r="HL14" s="744"/>
      <c r="HM14" s="744"/>
      <c r="HN14" s="756"/>
      <c r="HO14" s="741"/>
      <c r="HP14" s="742"/>
      <c r="HQ14" s="743"/>
      <c r="HR14" s="744"/>
      <c r="HS14" s="744"/>
      <c r="HT14" s="756"/>
      <c r="HU14" s="741"/>
      <c r="HV14" s="742"/>
      <c r="HW14" s="743"/>
      <c r="HX14" s="744"/>
      <c r="HY14" s="744"/>
      <c r="HZ14" s="756"/>
      <c r="IA14" s="741"/>
      <c r="IB14" s="742"/>
      <c r="IC14" s="743"/>
      <c r="ID14" s="744"/>
      <c r="IE14" s="744"/>
      <c r="IF14" s="756"/>
      <c r="IG14" s="741"/>
      <c r="IH14" s="742"/>
      <c r="II14" s="743"/>
      <c r="IJ14" s="744"/>
      <c r="IK14" s="744"/>
      <c r="IL14" s="756"/>
      <c r="IM14" s="741"/>
      <c r="IN14" s="742"/>
      <c r="IO14" s="743"/>
      <c r="IP14" s="744"/>
      <c r="IQ14" s="744"/>
      <c r="IR14" s="756"/>
      <c r="IS14" s="741"/>
      <c r="IT14" s="742"/>
      <c r="IU14" s="743"/>
      <c r="IV14" s="744"/>
    </row>
    <row r="15" spans="1:256" ht="13.8">
      <c r="A15" s="802"/>
      <c r="B15" s="808" t="s">
        <v>1893</v>
      </c>
      <c r="C15" s="804"/>
      <c r="D15" s="804"/>
      <c r="E15" s="1119"/>
      <c r="F15" s="472"/>
    </row>
    <row r="16" spans="1:256" ht="13.8">
      <c r="A16" s="805"/>
      <c r="B16" s="803" t="s">
        <v>1894</v>
      </c>
      <c r="C16" s="804"/>
      <c r="D16" s="804"/>
      <c r="E16" s="1119"/>
      <c r="F16" s="472"/>
    </row>
    <row r="17" spans="1:256" ht="27.6">
      <c r="A17" s="809"/>
      <c r="B17" s="807" t="s">
        <v>1895</v>
      </c>
      <c r="C17" s="804"/>
      <c r="D17" s="804"/>
      <c r="E17" s="1119"/>
      <c r="F17" s="472"/>
      <c r="G17" s="741"/>
      <c r="H17" s="742"/>
      <c r="I17" s="743"/>
      <c r="J17" s="744"/>
      <c r="K17" s="744"/>
      <c r="L17" s="756"/>
      <c r="M17" s="741"/>
      <c r="N17" s="742"/>
      <c r="O17" s="743"/>
      <c r="P17" s="744"/>
      <c r="Q17" s="744"/>
      <c r="R17" s="756"/>
      <c r="S17" s="741"/>
      <c r="T17" s="742"/>
      <c r="U17" s="743"/>
      <c r="V17" s="744"/>
      <c r="W17" s="744"/>
      <c r="X17" s="756"/>
      <c r="Y17" s="741"/>
      <c r="Z17" s="742"/>
      <c r="AA17" s="743"/>
      <c r="AB17" s="744"/>
      <c r="AC17" s="744"/>
      <c r="AD17" s="756"/>
      <c r="AE17" s="741"/>
      <c r="AF17" s="742"/>
      <c r="AG17" s="743"/>
      <c r="AH17" s="744"/>
      <c r="AI17" s="744"/>
      <c r="AJ17" s="756"/>
      <c r="AK17" s="741"/>
      <c r="AL17" s="742"/>
      <c r="AM17" s="743"/>
      <c r="AN17" s="744"/>
      <c r="AO17" s="744"/>
      <c r="AP17" s="756"/>
      <c r="AQ17" s="741"/>
      <c r="AR17" s="742"/>
      <c r="AS17" s="743"/>
      <c r="AT17" s="744"/>
      <c r="AU17" s="744"/>
      <c r="AV17" s="756"/>
      <c r="AW17" s="741"/>
      <c r="AX17" s="742"/>
      <c r="AY17" s="743"/>
      <c r="AZ17" s="744"/>
      <c r="BA17" s="744"/>
      <c r="BB17" s="756"/>
      <c r="BC17" s="741"/>
      <c r="BD17" s="742"/>
      <c r="BE17" s="743"/>
      <c r="BF17" s="744"/>
      <c r="BG17" s="744"/>
      <c r="BH17" s="756"/>
      <c r="BI17" s="741"/>
      <c r="BJ17" s="742"/>
      <c r="BK17" s="743"/>
      <c r="BL17" s="744"/>
      <c r="BM17" s="744"/>
      <c r="BN17" s="756"/>
      <c r="BO17" s="741"/>
      <c r="BP17" s="742"/>
      <c r="BQ17" s="743"/>
      <c r="BR17" s="744"/>
      <c r="BS17" s="744"/>
      <c r="BT17" s="756"/>
      <c r="BU17" s="741"/>
      <c r="BV17" s="742"/>
      <c r="BW17" s="743"/>
      <c r="BX17" s="744"/>
      <c r="BY17" s="744"/>
      <c r="BZ17" s="756"/>
      <c r="CA17" s="741"/>
      <c r="CB17" s="742"/>
      <c r="CC17" s="743"/>
      <c r="CD17" s="744"/>
      <c r="CE17" s="744"/>
      <c r="CF17" s="756"/>
      <c r="CG17" s="741"/>
      <c r="CH17" s="742"/>
      <c r="CI17" s="743"/>
      <c r="CJ17" s="744"/>
      <c r="CK17" s="744"/>
      <c r="CL17" s="756"/>
      <c r="CM17" s="741"/>
      <c r="CN17" s="742"/>
      <c r="CO17" s="743"/>
      <c r="CP17" s="744"/>
      <c r="CQ17" s="744"/>
      <c r="CR17" s="756"/>
      <c r="CS17" s="741"/>
      <c r="CT17" s="742"/>
      <c r="CU17" s="743"/>
      <c r="CV17" s="744"/>
      <c r="CW17" s="744"/>
      <c r="CX17" s="756"/>
      <c r="CY17" s="741"/>
      <c r="CZ17" s="742"/>
      <c r="DA17" s="743"/>
      <c r="DB17" s="744"/>
      <c r="DC17" s="744"/>
      <c r="DD17" s="756"/>
      <c r="DE17" s="741"/>
      <c r="DF17" s="742"/>
      <c r="DG17" s="743"/>
      <c r="DH17" s="744"/>
      <c r="DI17" s="744"/>
      <c r="DJ17" s="756"/>
      <c r="DK17" s="741"/>
      <c r="DL17" s="742"/>
      <c r="DM17" s="743"/>
      <c r="DN17" s="744"/>
      <c r="DO17" s="744"/>
      <c r="DP17" s="756"/>
      <c r="DQ17" s="741"/>
      <c r="DR17" s="742"/>
      <c r="DS17" s="743"/>
      <c r="DT17" s="744"/>
      <c r="DU17" s="744"/>
      <c r="DV17" s="756"/>
      <c r="DW17" s="741"/>
      <c r="DX17" s="742"/>
      <c r="DY17" s="743"/>
      <c r="DZ17" s="744"/>
      <c r="EA17" s="744"/>
      <c r="EB17" s="756"/>
      <c r="EC17" s="741"/>
      <c r="ED17" s="742"/>
      <c r="EE17" s="743"/>
      <c r="EF17" s="744"/>
      <c r="EG17" s="744"/>
      <c r="EH17" s="756"/>
      <c r="EI17" s="741"/>
      <c r="EJ17" s="742"/>
      <c r="EK17" s="743"/>
      <c r="EL17" s="744"/>
      <c r="EM17" s="744"/>
      <c r="EN17" s="756"/>
      <c r="EO17" s="741"/>
      <c r="EP17" s="742"/>
      <c r="EQ17" s="743"/>
      <c r="ER17" s="744"/>
      <c r="ES17" s="744"/>
      <c r="ET17" s="756"/>
      <c r="EU17" s="741"/>
      <c r="EV17" s="742"/>
      <c r="EW17" s="743"/>
      <c r="EX17" s="744"/>
      <c r="EY17" s="744"/>
      <c r="EZ17" s="756"/>
      <c r="FA17" s="741"/>
      <c r="FB17" s="742"/>
      <c r="FC17" s="743"/>
      <c r="FD17" s="744"/>
      <c r="FE17" s="744"/>
      <c r="FF17" s="756"/>
      <c r="FG17" s="741"/>
      <c r="FH17" s="742"/>
      <c r="FI17" s="743"/>
      <c r="FJ17" s="744"/>
      <c r="FK17" s="744"/>
      <c r="FL17" s="756"/>
      <c r="FM17" s="741"/>
      <c r="FN17" s="742"/>
      <c r="FO17" s="743"/>
      <c r="FP17" s="744"/>
      <c r="FQ17" s="744"/>
      <c r="FR17" s="756"/>
      <c r="FS17" s="741"/>
      <c r="FT17" s="742"/>
      <c r="FU17" s="743"/>
      <c r="FV17" s="744"/>
      <c r="FW17" s="744"/>
      <c r="FX17" s="756"/>
      <c r="FY17" s="741"/>
      <c r="FZ17" s="742"/>
      <c r="GA17" s="743"/>
      <c r="GB17" s="744"/>
      <c r="GC17" s="744"/>
      <c r="GD17" s="756"/>
      <c r="GE17" s="741"/>
      <c r="GF17" s="742"/>
      <c r="GG17" s="743"/>
      <c r="GH17" s="744"/>
      <c r="GI17" s="744"/>
      <c r="GJ17" s="756"/>
      <c r="GK17" s="741"/>
      <c r="GL17" s="742"/>
      <c r="GM17" s="743"/>
      <c r="GN17" s="744"/>
      <c r="GO17" s="744"/>
      <c r="GP17" s="756"/>
      <c r="GQ17" s="741"/>
      <c r="GR17" s="742"/>
      <c r="GS17" s="743"/>
      <c r="GT17" s="744"/>
      <c r="GU17" s="744"/>
      <c r="GV17" s="756"/>
      <c r="GW17" s="741"/>
      <c r="GX17" s="742"/>
      <c r="GY17" s="743"/>
      <c r="GZ17" s="744"/>
      <c r="HA17" s="744"/>
      <c r="HB17" s="756"/>
      <c r="HC17" s="741"/>
      <c r="HD17" s="742"/>
      <c r="HE17" s="743"/>
      <c r="HF17" s="744"/>
      <c r="HG17" s="744"/>
      <c r="HH17" s="756"/>
      <c r="HI17" s="741"/>
      <c r="HJ17" s="742"/>
      <c r="HK17" s="743"/>
      <c r="HL17" s="744"/>
      <c r="HM17" s="744"/>
      <c r="HN17" s="756"/>
      <c r="HO17" s="741"/>
      <c r="HP17" s="742"/>
      <c r="HQ17" s="743"/>
      <c r="HR17" s="744"/>
      <c r="HS17" s="744"/>
      <c r="HT17" s="756"/>
      <c r="HU17" s="741"/>
      <c r="HV17" s="742"/>
      <c r="HW17" s="743"/>
      <c r="HX17" s="744"/>
      <c r="HY17" s="744"/>
      <c r="HZ17" s="756"/>
      <c r="IA17" s="741"/>
      <c r="IB17" s="742"/>
      <c r="IC17" s="743"/>
      <c r="ID17" s="744"/>
      <c r="IE17" s="744"/>
      <c r="IF17" s="756"/>
      <c r="IG17" s="741"/>
      <c r="IH17" s="742"/>
      <c r="II17" s="743"/>
      <c r="IJ17" s="744"/>
      <c r="IK17" s="744"/>
      <c r="IL17" s="756"/>
      <c r="IM17" s="741"/>
      <c r="IN17" s="742"/>
      <c r="IO17" s="743"/>
      <c r="IP17" s="744"/>
      <c r="IQ17" s="744"/>
      <c r="IR17" s="756"/>
      <c r="IS17" s="741"/>
      <c r="IT17" s="742"/>
      <c r="IU17" s="743"/>
      <c r="IV17" s="744"/>
    </row>
    <row r="18" spans="1:256" ht="13.8">
      <c r="A18" s="809"/>
      <c r="B18" s="810" t="s">
        <v>1896</v>
      </c>
      <c r="C18" s="811"/>
      <c r="D18" s="811"/>
      <c r="E18" s="1119"/>
      <c r="F18" s="472"/>
    </row>
    <row r="19" spans="1:256" ht="13.8">
      <c r="A19" s="802"/>
      <c r="B19" s="807"/>
      <c r="C19" s="804" t="s">
        <v>391</v>
      </c>
      <c r="D19" s="804">
        <v>18</v>
      </c>
      <c r="E19" s="1119">
        <v>250</v>
      </c>
      <c r="F19" s="472">
        <f>D19*E19</f>
        <v>4500</v>
      </c>
    </row>
    <row r="20" spans="1:256" ht="14.4">
      <c r="A20" s="802"/>
      <c r="B20" s="812"/>
      <c r="C20" s="805"/>
      <c r="D20" s="805"/>
      <c r="E20" s="1119"/>
      <c r="F20" s="472"/>
    </row>
    <row r="21" spans="1:256" ht="69">
      <c r="A21" s="802">
        <v>4</v>
      </c>
      <c r="B21" s="803" t="s">
        <v>1897</v>
      </c>
      <c r="C21" s="804" t="s">
        <v>391</v>
      </c>
      <c r="D21" s="804">
        <v>36</v>
      </c>
      <c r="E21" s="1119">
        <v>200</v>
      </c>
      <c r="F21" s="472">
        <f>D21*E21</f>
        <v>7200</v>
      </c>
    </row>
    <row r="22" spans="1:256" ht="13.8">
      <c r="A22" s="802"/>
      <c r="B22" s="803"/>
      <c r="C22" s="805"/>
      <c r="D22" s="805"/>
      <c r="E22" s="1119"/>
      <c r="F22" s="472"/>
    </row>
    <row r="23" spans="1:256" ht="69">
      <c r="A23" s="802">
        <v>5</v>
      </c>
      <c r="B23" s="803" t="s">
        <v>1898</v>
      </c>
      <c r="C23" s="812"/>
      <c r="D23" s="812"/>
      <c r="E23" s="1119"/>
      <c r="F23" s="472"/>
    </row>
    <row r="24" spans="1:256" ht="15" customHeight="1">
      <c r="A24" s="802"/>
      <c r="B24" s="807" t="s">
        <v>1899</v>
      </c>
      <c r="C24" s="804" t="s">
        <v>391</v>
      </c>
      <c r="D24" s="804">
        <v>18</v>
      </c>
      <c r="E24" s="1119">
        <v>32</v>
      </c>
      <c r="F24" s="472">
        <f>D24*E24</f>
        <v>576</v>
      </c>
    </row>
    <row r="25" spans="1:256" ht="13.8">
      <c r="A25" s="802"/>
      <c r="B25" s="807"/>
      <c r="C25" s="804"/>
      <c r="D25" s="804"/>
      <c r="E25" s="1119"/>
      <c r="F25" s="726">
        <f>D25*E25</f>
        <v>0</v>
      </c>
    </row>
    <row r="26" spans="1:256" ht="82.8">
      <c r="A26" s="802">
        <v>6</v>
      </c>
      <c r="B26" s="803" t="s">
        <v>1900</v>
      </c>
      <c r="C26" s="804" t="s">
        <v>391</v>
      </c>
      <c r="D26" s="804">
        <v>36</v>
      </c>
      <c r="E26" s="1119">
        <v>15</v>
      </c>
      <c r="F26" s="472">
        <f>D26*E26</f>
        <v>540</v>
      </c>
    </row>
    <row r="27" spans="1:256" ht="13.8">
      <c r="A27" s="802"/>
      <c r="B27" s="803"/>
      <c r="C27" s="804"/>
      <c r="D27" s="804"/>
      <c r="E27" s="1119"/>
      <c r="F27" s="472"/>
    </row>
    <row r="28" spans="1:256" ht="41.4">
      <c r="A28" s="802">
        <v>7</v>
      </c>
      <c r="B28" s="803" t="s">
        <v>1901</v>
      </c>
      <c r="C28" s="804" t="s">
        <v>391</v>
      </c>
      <c r="D28" s="804">
        <v>18</v>
      </c>
      <c r="E28" s="1119">
        <v>15</v>
      </c>
      <c r="F28" s="472">
        <f>D28*E28</f>
        <v>270</v>
      </c>
    </row>
    <row r="29" spans="1:256" ht="13.8">
      <c r="A29" s="802"/>
      <c r="B29" s="803"/>
      <c r="C29" s="804"/>
      <c r="D29" s="804"/>
      <c r="E29" s="1119"/>
      <c r="F29" s="472"/>
    </row>
    <row r="30" spans="1:256" ht="41.4">
      <c r="A30" s="802">
        <v>8</v>
      </c>
      <c r="B30" s="803" t="s">
        <v>1902</v>
      </c>
      <c r="C30" s="804" t="s">
        <v>391</v>
      </c>
      <c r="D30" s="804">
        <v>18</v>
      </c>
      <c r="E30" s="1119">
        <v>20</v>
      </c>
      <c r="F30" s="472">
        <f>D30*E30</f>
        <v>360</v>
      </c>
    </row>
    <row r="31" spans="1:256" ht="13.8">
      <c r="A31" s="802"/>
      <c r="B31" s="803"/>
      <c r="C31" s="804"/>
      <c r="D31" s="804"/>
      <c r="E31" s="1119"/>
      <c r="F31" s="726"/>
    </row>
    <row r="32" spans="1:256" ht="13.8">
      <c r="A32" s="802">
        <v>9</v>
      </c>
      <c r="B32" s="813" t="s">
        <v>1903</v>
      </c>
      <c r="C32" s="804"/>
      <c r="D32" s="804"/>
      <c r="E32" s="1119"/>
      <c r="F32" s="726"/>
    </row>
    <row r="33" spans="1:6" ht="13.8">
      <c r="A33" s="802"/>
      <c r="B33" s="805"/>
      <c r="C33" s="814"/>
      <c r="D33" s="814"/>
      <c r="E33" s="1119"/>
      <c r="F33" s="726"/>
    </row>
    <row r="34" spans="1:6" ht="13.8">
      <c r="A34" s="815"/>
      <c r="B34" s="816" t="s">
        <v>1904</v>
      </c>
      <c r="C34" s="817"/>
      <c r="D34" s="817"/>
      <c r="E34" s="1119"/>
      <c r="F34" s="726"/>
    </row>
    <row r="35" spans="1:6" ht="13.8">
      <c r="A35" s="818">
        <v>1</v>
      </c>
      <c r="B35" s="819" t="s">
        <v>1905</v>
      </c>
      <c r="C35" s="804" t="s">
        <v>391</v>
      </c>
      <c r="D35" s="804">
        <v>1</v>
      </c>
      <c r="E35" s="1119"/>
      <c r="F35" s="726"/>
    </row>
    <row r="36" spans="1:6" ht="13.8">
      <c r="A36" s="818">
        <v>2</v>
      </c>
      <c r="B36" s="819" t="s">
        <v>1906</v>
      </c>
      <c r="C36" s="804" t="s">
        <v>355</v>
      </c>
      <c r="D36" s="804">
        <v>15</v>
      </c>
      <c r="E36" s="1119"/>
      <c r="F36" s="726"/>
    </row>
    <row r="37" spans="1:6" ht="13.8">
      <c r="A37" s="818">
        <v>3</v>
      </c>
      <c r="B37" s="819" t="s">
        <v>1907</v>
      </c>
      <c r="C37" s="804" t="s">
        <v>355</v>
      </c>
      <c r="D37" s="804">
        <v>15</v>
      </c>
      <c r="E37" s="1119"/>
      <c r="F37" s="726"/>
    </row>
    <row r="38" spans="1:6" ht="13.8">
      <c r="A38" s="818">
        <v>4</v>
      </c>
      <c r="B38" s="819" t="s">
        <v>1908</v>
      </c>
      <c r="C38" s="804" t="s">
        <v>391</v>
      </c>
      <c r="D38" s="804">
        <v>20</v>
      </c>
      <c r="E38" s="1119"/>
      <c r="F38" s="726"/>
    </row>
    <row r="39" spans="1:6" ht="13.8">
      <c r="A39" s="818">
        <v>5</v>
      </c>
      <c r="B39" s="819" t="s">
        <v>1909</v>
      </c>
      <c r="C39" s="804" t="s">
        <v>391</v>
      </c>
      <c r="D39" s="804">
        <v>20</v>
      </c>
      <c r="E39" s="1119"/>
      <c r="F39" s="726"/>
    </row>
    <row r="40" spans="1:6" ht="13.8">
      <c r="A40" s="818">
        <v>6</v>
      </c>
      <c r="B40" s="819" t="s">
        <v>1910</v>
      </c>
      <c r="C40" s="804" t="s">
        <v>522</v>
      </c>
      <c r="D40" s="804">
        <v>4.8</v>
      </c>
      <c r="E40" s="1119"/>
      <c r="F40" s="726"/>
    </row>
    <row r="41" spans="1:6" ht="13.8">
      <c r="A41" s="818">
        <v>7</v>
      </c>
      <c r="B41" s="819" t="s">
        <v>1911</v>
      </c>
      <c r="C41" s="804" t="s">
        <v>522</v>
      </c>
      <c r="D41" s="804">
        <v>2.7</v>
      </c>
      <c r="E41" s="1119"/>
      <c r="F41" s="726"/>
    </row>
    <row r="42" spans="1:6" ht="13.8">
      <c r="A42" s="818">
        <v>8</v>
      </c>
      <c r="B42" s="819" t="s">
        <v>1912</v>
      </c>
      <c r="C42" s="804" t="s">
        <v>522</v>
      </c>
      <c r="D42" s="804">
        <v>2.4</v>
      </c>
      <c r="E42" s="1119"/>
      <c r="F42" s="726"/>
    </row>
    <row r="43" spans="1:6" ht="13.8">
      <c r="A43" s="818">
        <v>9</v>
      </c>
      <c r="B43" s="819" t="s">
        <v>1913</v>
      </c>
      <c r="C43" s="804" t="s">
        <v>522</v>
      </c>
      <c r="D43" s="804">
        <v>0.3</v>
      </c>
      <c r="E43" s="1119"/>
      <c r="F43" s="726"/>
    </row>
    <row r="44" spans="1:6" ht="13.8">
      <c r="A44" s="818">
        <v>10</v>
      </c>
      <c r="B44" s="819" t="s">
        <v>1914</v>
      </c>
      <c r="C44" s="804" t="s">
        <v>355</v>
      </c>
      <c r="D44" s="804">
        <v>15</v>
      </c>
      <c r="E44" s="1119"/>
      <c r="F44" s="726"/>
    </row>
    <row r="45" spans="1:6" ht="13.8">
      <c r="A45" s="818">
        <v>11</v>
      </c>
      <c r="B45" s="820" t="s">
        <v>1915</v>
      </c>
      <c r="C45" s="811" t="s">
        <v>391</v>
      </c>
      <c r="D45" s="811">
        <v>15</v>
      </c>
      <c r="E45" s="1119"/>
      <c r="F45" s="726"/>
    </row>
    <row r="46" spans="1:6" ht="13.8">
      <c r="A46" s="802"/>
      <c r="B46" s="816"/>
      <c r="C46" s="804" t="s">
        <v>572</v>
      </c>
      <c r="D46" s="804">
        <v>1</v>
      </c>
      <c r="E46" s="1119">
        <v>1500</v>
      </c>
      <c r="F46" s="472">
        <f>D46*E46</f>
        <v>1500</v>
      </c>
    </row>
    <row r="47" spans="1:6" ht="13.8">
      <c r="A47" s="802"/>
      <c r="B47" s="821" t="s">
        <v>1916</v>
      </c>
      <c r="C47" s="814"/>
      <c r="D47" s="814"/>
      <c r="E47" s="1119"/>
      <c r="F47" s="726"/>
    </row>
    <row r="48" spans="1:6" ht="27.6">
      <c r="A48" s="818">
        <v>1</v>
      </c>
      <c r="B48" s="819" t="s">
        <v>1917</v>
      </c>
      <c r="C48" s="804" t="s">
        <v>391</v>
      </c>
      <c r="D48" s="804">
        <v>1</v>
      </c>
      <c r="E48" s="1119"/>
      <c r="F48" s="726"/>
    </row>
    <row r="49" spans="1:6" ht="13.8">
      <c r="A49" s="818">
        <v>2</v>
      </c>
      <c r="B49" s="819" t="s">
        <v>1918</v>
      </c>
      <c r="C49" s="804" t="s">
        <v>391</v>
      </c>
      <c r="D49" s="804">
        <v>1</v>
      </c>
      <c r="E49" s="1119"/>
      <c r="F49" s="726"/>
    </row>
    <row r="50" spans="1:6" ht="13.8">
      <c r="A50" s="818">
        <v>3</v>
      </c>
      <c r="B50" s="819" t="s">
        <v>1919</v>
      </c>
      <c r="C50" s="804" t="s">
        <v>355</v>
      </c>
      <c r="D50" s="804">
        <v>15</v>
      </c>
      <c r="E50" s="1119"/>
      <c r="F50" s="726"/>
    </row>
    <row r="51" spans="1:6" ht="13.8">
      <c r="A51" s="818">
        <v>4</v>
      </c>
      <c r="B51" s="819" t="s">
        <v>1920</v>
      </c>
      <c r="C51" s="804" t="s">
        <v>355</v>
      </c>
      <c r="D51" s="804">
        <v>15</v>
      </c>
      <c r="E51" s="1119"/>
      <c r="F51" s="726"/>
    </row>
    <row r="52" spans="1:6" ht="13.8">
      <c r="A52" s="818">
        <v>5</v>
      </c>
      <c r="B52" s="819" t="s">
        <v>1921</v>
      </c>
      <c r="C52" s="804" t="s">
        <v>355</v>
      </c>
      <c r="D52" s="804">
        <v>15</v>
      </c>
      <c r="E52" s="1119"/>
      <c r="F52" s="726"/>
    </row>
    <row r="53" spans="1:6" ht="13.8">
      <c r="A53" s="818">
        <v>6</v>
      </c>
      <c r="B53" s="819" t="s">
        <v>1922</v>
      </c>
      <c r="C53" s="804" t="s">
        <v>355</v>
      </c>
      <c r="D53" s="804">
        <v>2</v>
      </c>
      <c r="E53" s="1119"/>
      <c r="F53" s="726"/>
    </row>
    <row r="54" spans="1:6" ht="13.8">
      <c r="A54" s="818">
        <v>7</v>
      </c>
      <c r="B54" s="819" t="s">
        <v>1923</v>
      </c>
      <c r="C54" s="804" t="s">
        <v>355</v>
      </c>
      <c r="D54" s="804">
        <v>2</v>
      </c>
      <c r="E54" s="1119"/>
      <c r="F54" s="726"/>
    </row>
    <row r="55" spans="1:6" ht="13.8">
      <c r="A55" s="818">
        <v>8</v>
      </c>
      <c r="B55" s="819" t="s">
        <v>1924</v>
      </c>
      <c r="C55" s="804" t="s">
        <v>522</v>
      </c>
      <c r="D55" s="804">
        <v>2.7</v>
      </c>
      <c r="E55" s="1119"/>
      <c r="F55" s="726"/>
    </row>
    <row r="56" spans="1:6" ht="13.8">
      <c r="A56" s="818">
        <v>9</v>
      </c>
      <c r="B56" s="819" t="s">
        <v>1925</v>
      </c>
      <c r="C56" s="804" t="s">
        <v>522</v>
      </c>
      <c r="D56" s="804">
        <v>2.4</v>
      </c>
      <c r="E56" s="1119"/>
      <c r="F56" s="726"/>
    </row>
    <row r="57" spans="1:6" ht="13.8">
      <c r="A57" s="818">
        <v>10</v>
      </c>
      <c r="B57" s="819" t="s">
        <v>1926</v>
      </c>
      <c r="C57" s="804" t="s">
        <v>522</v>
      </c>
      <c r="D57" s="804">
        <v>0.3</v>
      </c>
      <c r="E57" s="1119"/>
      <c r="F57" s="726"/>
    </row>
    <row r="58" spans="1:6" ht="13.8">
      <c r="A58" s="818">
        <v>11</v>
      </c>
      <c r="B58" s="819" t="s">
        <v>1927</v>
      </c>
      <c r="C58" s="804" t="s">
        <v>391</v>
      </c>
      <c r="D58" s="804">
        <v>20</v>
      </c>
      <c r="E58" s="1119"/>
      <c r="F58" s="726"/>
    </row>
    <row r="59" spans="1:6" ht="13.8">
      <c r="A59" s="818">
        <v>12</v>
      </c>
      <c r="B59" s="819" t="s">
        <v>1928</v>
      </c>
      <c r="C59" s="804" t="s">
        <v>391</v>
      </c>
      <c r="D59" s="804">
        <v>20</v>
      </c>
      <c r="E59" s="1119"/>
      <c r="F59" s="726"/>
    </row>
    <row r="60" spans="1:6" ht="13.8">
      <c r="A60" s="818">
        <v>13</v>
      </c>
      <c r="B60" s="819" t="s">
        <v>1929</v>
      </c>
      <c r="C60" s="804" t="s">
        <v>391</v>
      </c>
      <c r="D60" s="804">
        <v>2</v>
      </c>
      <c r="E60" s="1119"/>
      <c r="F60" s="726"/>
    </row>
    <row r="61" spans="1:6" ht="13.8">
      <c r="A61" s="818">
        <v>14</v>
      </c>
      <c r="B61" s="819" t="s">
        <v>1930</v>
      </c>
      <c r="C61" s="804" t="s">
        <v>522</v>
      </c>
      <c r="D61" s="804">
        <v>2.4</v>
      </c>
      <c r="E61" s="1119"/>
      <c r="F61" s="726"/>
    </row>
    <row r="62" spans="1:6" ht="13.8">
      <c r="A62" s="818">
        <v>15</v>
      </c>
      <c r="B62" s="819" t="s">
        <v>1931</v>
      </c>
      <c r="C62" s="804" t="s">
        <v>355</v>
      </c>
      <c r="D62" s="804">
        <v>15</v>
      </c>
      <c r="E62" s="1119"/>
      <c r="F62" s="726"/>
    </row>
    <row r="63" spans="1:6" ht="13.8">
      <c r="A63" s="818">
        <v>16</v>
      </c>
      <c r="B63" s="819" t="s">
        <v>1932</v>
      </c>
      <c r="C63" s="804" t="s">
        <v>355</v>
      </c>
      <c r="D63" s="804">
        <v>15</v>
      </c>
      <c r="E63" s="1119"/>
      <c r="F63" s="726"/>
    </row>
    <row r="64" spans="1:6" ht="13.8">
      <c r="A64" s="818">
        <v>17</v>
      </c>
      <c r="B64" s="820" t="s">
        <v>1933</v>
      </c>
      <c r="C64" s="811" t="s">
        <v>522</v>
      </c>
      <c r="D64" s="811">
        <v>1.3</v>
      </c>
      <c r="E64" s="1119"/>
      <c r="F64" s="726"/>
    </row>
    <row r="65" spans="1:256" ht="13.8">
      <c r="A65" s="802"/>
      <c r="B65" s="813"/>
      <c r="C65" s="804" t="s">
        <v>572</v>
      </c>
      <c r="D65" s="804">
        <v>1</v>
      </c>
      <c r="E65" s="1119">
        <v>1500</v>
      </c>
      <c r="F65" s="472">
        <f>D65*E65</f>
        <v>1500</v>
      </c>
    </row>
    <row r="66" spans="1:256" ht="13.8">
      <c r="A66" s="802"/>
      <c r="B66" s="821" t="s">
        <v>1934</v>
      </c>
      <c r="C66" s="814"/>
      <c r="D66" s="814"/>
      <c r="E66" s="1119"/>
      <c r="F66" s="472"/>
    </row>
    <row r="67" spans="1:256" ht="13.8">
      <c r="A67" s="818">
        <v>1</v>
      </c>
      <c r="B67" s="819" t="s">
        <v>1935</v>
      </c>
      <c r="C67" s="814" t="s">
        <v>572</v>
      </c>
      <c r="D67" s="814">
        <v>1</v>
      </c>
      <c r="E67" s="1119"/>
      <c r="F67" s="472"/>
    </row>
    <row r="68" spans="1:256" ht="13.8">
      <c r="A68" s="818">
        <v>2</v>
      </c>
      <c r="B68" s="819" t="s">
        <v>1936</v>
      </c>
      <c r="C68" s="804" t="s">
        <v>391</v>
      </c>
      <c r="D68" s="804">
        <v>3</v>
      </c>
      <c r="E68" s="1119"/>
      <c r="F68" s="472"/>
    </row>
    <row r="69" spans="1:256" ht="13.8">
      <c r="A69" s="818">
        <v>3</v>
      </c>
      <c r="B69" s="819" t="s">
        <v>1937</v>
      </c>
      <c r="C69" s="804" t="s">
        <v>391</v>
      </c>
      <c r="D69" s="804">
        <v>3</v>
      </c>
      <c r="E69" s="1119"/>
      <c r="F69" s="472"/>
    </row>
    <row r="70" spans="1:256" ht="13.8">
      <c r="A70" s="818">
        <v>4</v>
      </c>
      <c r="B70" s="819" t="s">
        <v>1938</v>
      </c>
      <c r="C70" s="804" t="s">
        <v>355</v>
      </c>
      <c r="D70" s="804">
        <v>15</v>
      </c>
      <c r="E70" s="1119"/>
      <c r="F70" s="472"/>
    </row>
    <row r="71" spans="1:256" ht="13.8">
      <c r="A71" s="818">
        <v>5</v>
      </c>
      <c r="B71" s="819" t="s">
        <v>1939</v>
      </c>
      <c r="C71" s="804" t="s">
        <v>355</v>
      </c>
      <c r="D71" s="804">
        <v>15</v>
      </c>
      <c r="E71" s="1119"/>
      <c r="F71" s="472"/>
    </row>
    <row r="72" spans="1:256" ht="13.8">
      <c r="A72" s="818">
        <v>6</v>
      </c>
      <c r="B72" s="820" t="s">
        <v>1940</v>
      </c>
      <c r="C72" s="811" t="s">
        <v>391</v>
      </c>
      <c r="D72" s="811">
        <v>1</v>
      </c>
      <c r="E72" s="1119"/>
      <c r="F72" s="472"/>
    </row>
    <row r="73" spans="1:256" ht="13.8">
      <c r="A73" s="818"/>
      <c r="B73" s="819"/>
      <c r="C73" s="804" t="s">
        <v>572</v>
      </c>
      <c r="D73" s="804">
        <v>1</v>
      </c>
      <c r="E73" s="1119">
        <v>2800</v>
      </c>
      <c r="F73" s="472">
        <f>D73*E73</f>
        <v>2800</v>
      </c>
    </row>
    <row r="74" spans="1:256" ht="13.8">
      <c r="A74" s="738"/>
      <c r="B74" s="739"/>
      <c r="C74" s="740"/>
      <c r="D74" s="740"/>
      <c r="E74" s="1115"/>
      <c r="F74" s="740"/>
    </row>
    <row r="75" spans="1:256" ht="14.4">
      <c r="A75" s="728"/>
      <c r="B75" s="730"/>
      <c r="C75" s="721"/>
      <c r="D75" s="721"/>
      <c r="E75" s="1106"/>
      <c r="F75" s="800"/>
    </row>
    <row r="76" spans="1:256" ht="13.8">
      <c r="A76" s="728" t="s">
        <v>461</v>
      </c>
      <c r="B76" s="801" t="s">
        <v>1941</v>
      </c>
      <c r="C76" s="721"/>
      <c r="D76" s="721"/>
      <c r="E76" s="1106"/>
      <c r="F76" s="472">
        <f>SUM(F7:F73)</f>
        <v>22546</v>
      </c>
    </row>
    <row r="77" spans="1:256" ht="13.8">
      <c r="A77" s="738"/>
      <c r="B77" s="762"/>
      <c r="C77" s="740"/>
      <c r="D77" s="740"/>
      <c r="E77" s="1115"/>
      <c r="F77" s="740"/>
    </row>
    <row r="78" spans="1:256" ht="14.4">
      <c r="A78" s="728"/>
      <c r="B78" s="730"/>
      <c r="C78" s="721"/>
      <c r="D78" s="721"/>
      <c r="E78" s="1106"/>
      <c r="F78" s="758"/>
      <c r="G78" s="741"/>
      <c r="H78" s="742"/>
      <c r="I78" s="743"/>
      <c r="J78" s="744"/>
      <c r="K78" s="744"/>
      <c r="L78" s="756"/>
      <c r="M78" s="741"/>
      <c r="N78" s="742"/>
      <c r="O78" s="743"/>
      <c r="P78" s="744"/>
      <c r="Q78" s="744"/>
      <c r="R78" s="756"/>
      <c r="S78" s="741"/>
      <c r="T78" s="742"/>
      <c r="U78" s="743"/>
      <c r="V78" s="744"/>
      <c r="W78" s="744"/>
      <c r="X78" s="756"/>
      <c r="Y78" s="741"/>
      <c r="Z78" s="742"/>
      <c r="AA78" s="743"/>
      <c r="AB78" s="744"/>
      <c r="AC78" s="744"/>
      <c r="AD78" s="756"/>
      <c r="AE78" s="741"/>
      <c r="AF78" s="742"/>
      <c r="AG78" s="743"/>
      <c r="AH78" s="744"/>
      <c r="AI78" s="744"/>
      <c r="AJ78" s="756"/>
      <c r="AK78" s="741"/>
      <c r="AL78" s="742"/>
      <c r="AM78" s="743"/>
      <c r="AN78" s="744"/>
      <c r="AO78" s="744"/>
      <c r="AP78" s="756"/>
      <c r="AQ78" s="741"/>
      <c r="AR78" s="742"/>
      <c r="AS78" s="743"/>
      <c r="AT78" s="744"/>
      <c r="AU78" s="744"/>
      <c r="AV78" s="756"/>
      <c r="AW78" s="741"/>
      <c r="AX78" s="742"/>
      <c r="AY78" s="743"/>
      <c r="AZ78" s="744"/>
      <c r="BA78" s="744"/>
      <c r="BB78" s="756"/>
      <c r="BC78" s="741"/>
      <c r="BD78" s="742"/>
      <c r="BE78" s="743"/>
      <c r="BF78" s="744"/>
      <c r="BG78" s="744"/>
      <c r="BH78" s="756"/>
      <c r="BI78" s="741"/>
      <c r="BJ78" s="742"/>
      <c r="BK78" s="743"/>
      <c r="BL78" s="744"/>
      <c r="BM78" s="744"/>
      <c r="BN78" s="756"/>
      <c r="BO78" s="741"/>
      <c r="BP78" s="742"/>
      <c r="BQ78" s="743"/>
      <c r="BR78" s="744"/>
      <c r="BS78" s="744"/>
      <c r="BT78" s="756"/>
      <c r="BU78" s="741"/>
      <c r="BV78" s="742"/>
      <c r="BW78" s="743"/>
      <c r="BX78" s="744"/>
      <c r="BY78" s="744"/>
      <c r="BZ78" s="756"/>
      <c r="CA78" s="741"/>
      <c r="CB78" s="742"/>
      <c r="CC78" s="743"/>
      <c r="CD78" s="744"/>
      <c r="CE78" s="744"/>
      <c r="CF78" s="756"/>
      <c r="CG78" s="741"/>
      <c r="CH78" s="742"/>
      <c r="CI78" s="743"/>
      <c r="CJ78" s="744"/>
      <c r="CK78" s="744"/>
      <c r="CL78" s="756"/>
      <c r="CM78" s="741"/>
      <c r="CN78" s="742"/>
      <c r="CO78" s="743"/>
      <c r="CP78" s="744"/>
      <c r="CQ78" s="744"/>
      <c r="CR78" s="756"/>
      <c r="CS78" s="741"/>
      <c r="CT78" s="742"/>
      <c r="CU78" s="743"/>
      <c r="CV78" s="744"/>
      <c r="CW78" s="744"/>
      <c r="CX78" s="756"/>
      <c r="CY78" s="741"/>
      <c r="CZ78" s="742"/>
      <c r="DA78" s="743"/>
      <c r="DB78" s="744"/>
      <c r="DC78" s="744"/>
      <c r="DD78" s="756"/>
      <c r="DE78" s="741"/>
      <c r="DF78" s="742"/>
      <c r="DG78" s="743"/>
      <c r="DH78" s="744"/>
      <c r="DI78" s="744"/>
      <c r="DJ78" s="756"/>
      <c r="DK78" s="741"/>
      <c r="DL78" s="742"/>
      <c r="DM78" s="743"/>
      <c r="DN78" s="744"/>
      <c r="DO78" s="744"/>
      <c r="DP78" s="756"/>
      <c r="DQ78" s="741"/>
      <c r="DR78" s="742"/>
      <c r="DS78" s="743"/>
      <c r="DT78" s="744"/>
      <c r="DU78" s="744"/>
      <c r="DV78" s="756"/>
      <c r="DW78" s="741"/>
      <c r="DX78" s="742"/>
      <c r="DY78" s="743"/>
      <c r="DZ78" s="744"/>
      <c r="EA78" s="744"/>
      <c r="EB78" s="756"/>
      <c r="EC78" s="741"/>
      <c r="ED78" s="742"/>
      <c r="EE78" s="743"/>
      <c r="EF78" s="744"/>
      <c r="EG78" s="744"/>
      <c r="EH78" s="756"/>
      <c r="EI78" s="741"/>
      <c r="EJ78" s="742"/>
      <c r="EK78" s="743"/>
      <c r="EL78" s="744"/>
      <c r="EM78" s="744"/>
      <c r="EN78" s="756"/>
      <c r="EO78" s="741"/>
      <c r="EP78" s="742"/>
      <c r="EQ78" s="743"/>
      <c r="ER78" s="744"/>
      <c r="ES78" s="744"/>
      <c r="ET78" s="756"/>
      <c r="EU78" s="741"/>
      <c r="EV78" s="742"/>
      <c r="EW78" s="743"/>
      <c r="EX78" s="744"/>
      <c r="EY78" s="744"/>
      <c r="EZ78" s="756"/>
      <c r="FA78" s="741"/>
      <c r="FB78" s="742"/>
      <c r="FC78" s="743"/>
      <c r="FD78" s="744"/>
      <c r="FE78" s="744"/>
      <c r="FF78" s="756"/>
      <c r="FG78" s="741"/>
      <c r="FH78" s="742"/>
      <c r="FI78" s="743"/>
      <c r="FJ78" s="744"/>
      <c r="FK78" s="744"/>
      <c r="FL78" s="756"/>
      <c r="FM78" s="741"/>
      <c r="FN78" s="742"/>
      <c r="FO78" s="743"/>
      <c r="FP78" s="744"/>
      <c r="FQ78" s="744"/>
      <c r="FR78" s="756"/>
      <c r="FS78" s="741"/>
      <c r="FT78" s="742"/>
      <c r="FU78" s="743"/>
      <c r="FV78" s="744"/>
      <c r="FW78" s="744"/>
      <c r="FX78" s="756"/>
      <c r="FY78" s="741"/>
      <c r="FZ78" s="742"/>
      <c r="GA78" s="743"/>
      <c r="GB78" s="744"/>
      <c r="GC78" s="744"/>
      <c r="GD78" s="756"/>
      <c r="GE78" s="741"/>
      <c r="GF78" s="742"/>
      <c r="GG78" s="743"/>
      <c r="GH78" s="744"/>
      <c r="GI78" s="744"/>
      <c r="GJ78" s="756"/>
      <c r="GK78" s="741"/>
      <c r="GL78" s="742"/>
      <c r="GM78" s="743"/>
      <c r="GN78" s="744"/>
      <c r="GO78" s="744"/>
      <c r="GP78" s="756"/>
      <c r="GQ78" s="741"/>
      <c r="GR78" s="742"/>
      <c r="GS78" s="743"/>
      <c r="GT78" s="744"/>
      <c r="GU78" s="744"/>
      <c r="GV78" s="756"/>
      <c r="GW78" s="741"/>
      <c r="GX78" s="742"/>
      <c r="GY78" s="743"/>
      <c r="GZ78" s="744"/>
      <c r="HA78" s="744"/>
      <c r="HB78" s="756"/>
      <c r="HC78" s="741"/>
      <c r="HD78" s="742"/>
      <c r="HE78" s="743"/>
      <c r="HF78" s="744"/>
      <c r="HG78" s="744"/>
      <c r="HH78" s="756"/>
      <c r="HI78" s="741"/>
      <c r="HJ78" s="742"/>
      <c r="HK78" s="743"/>
      <c r="HL78" s="744"/>
      <c r="HM78" s="744"/>
      <c r="HN78" s="756"/>
      <c r="HO78" s="741"/>
      <c r="HP78" s="742"/>
      <c r="HQ78" s="743"/>
      <c r="HR78" s="744"/>
      <c r="HS78" s="744"/>
      <c r="HT78" s="756"/>
      <c r="HU78" s="741"/>
      <c r="HV78" s="742"/>
      <c r="HW78" s="743"/>
      <c r="HX78" s="744"/>
      <c r="HY78" s="744"/>
      <c r="HZ78" s="756"/>
      <c r="IA78" s="741"/>
      <c r="IB78" s="742"/>
      <c r="IC78" s="743"/>
      <c r="ID78" s="744"/>
      <c r="IE78" s="744"/>
      <c r="IF78" s="756"/>
      <c r="IG78" s="741"/>
      <c r="IH78" s="742"/>
      <c r="II78" s="743"/>
      <c r="IJ78" s="744"/>
      <c r="IK78" s="744"/>
      <c r="IL78" s="756"/>
      <c r="IM78" s="741"/>
      <c r="IN78" s="742"/>
      <c r="IO78" s="743"/>
      <c r="IP78" s="744"/>
      <c r="IQ78" s="744"/>
      <c r="IR78" s="756"/>
      <c r="IS78" s="741"/>
      <c r="IT78" s="742"/>
      <c r="IU78" s="743"/>
      <c r="IV78" s="744"/>
    </row>
    <row r="79" spans="1:256">
      <c r="A79" s="741"/>
      <c r="B79" s="767"/>
      <c r="D79" s="768"/>
      <c r="E79" s="768"/>
      <c r="F79" s="768"/>
    </row>
  </sheetData>
  <mergeCells count="1">
    <mergeCell ref="A2:F2"/>
  </mergeCells>
  <printOptions horizontalCentered="1"/>
  <pageMargins left="0.78740157480314965" right="0.39370078740157483" top="0.39370078740157483" bottom="0.78740157480314965" header="0.39370078740157483" footer="0.39370078740157483"/>
  <pageSetup paperSize="9" orientation="portrait" horizontalDpi="300" verticalDpi="300" r:id="rId1"/>
  <headerFooter scaleWithDoc="0">
    <oddFooter>&amp;C&amp;"ISOCPEUR,Regular"&amp;9POS Ivanić – Grad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70D4E-B2C1-4853-8EE1-F7D445CF2715}">
  <sheetPr>
    <tabColor rgb="FFFF0000"/>
  </sheetPr>
  <dimension ref="A1:IV30"/>
  <sheetViews>
    <sheetView showZeros="0" view="pageLayout" topLeftCell="A16" zoomScaleNormal="100" zoomScaleSheetLayoutView="100" workbookViewId="0">
      <selection activeCell="E23" sqref="E23"/>
    </sheetView>
  </sheetViews>
  <sheetFormatPr defaultColWidth="8.90625" defaultRowHeight="13.2"/>
  <cols>
    <col min="1" max="1" width="4.453125" style="686" customWidth="1"/>
    <col min="2" max="2" width="31.6328125" style="686" customWidth="1"/>
    <col min="3" max="3" width="4.54296875" style="686" customWidth="1"/>
    <col min="4" max="4" width="6.81640625" style="686" customWidth="1"/>
    <col min="5" max="5" width="9.90625" style="686" customWidth="1"/>
    <col min="6" max="6" width="13" style="686" customWidth="1"/>
    <col min="7" max="16384" width="8.90625" style="686"/>
  </cols>
  <sheetData>
    <row r="1" spans="1:7" s="685" customFormat="1" ht="16.5" customHeight="1">
      <c r="A1" s="680" t="s">
        <v>1623</v>
      </c>
      <c r="B1" s="681"/>
      <c r="C1" s="681"/>
      <c r="D1" s="681"/>
      <c r="E1" s="682"/>
      <c r="F1" s="684" t="s">
        <v>1624</v>
      </c>
      <c r="G1" s="711"/>
    </row>
    <row r="2" spans="1:7" s="685" customFormat="1" ht="2.25" customHeight="1">
      <c r="A2" s="1163"/>
      <c r="B2" s="1163"/>
      <c r="C2" s="1163"/>
      <c r="D2" s="1163"/>
      <c r="E2" s="1163"/>
      <c r="F2" s="1163"/>
    </row>
    <row r="3" spans="1:7" ht="5.0999999999999996" customHeight="1"/>
    <row r="4" spans="1:7" s="714" customFormat="1" ht="15" customHeight="1">
      <c r="A4" s="712" t="s">
        <v>1663</v>
      </c>
      <c r="B4" s="713" t="s">
        <v>1664</v>
      </c>
      <c r="C4" s="713" t="s">
        <v>1665</v>
      </c>
      <c r="D4" s="713" t="s">
        <v>1666</v>
      </c>
      <c r="E4" s="713" t="s">
        <v>1667</v>
      </c>
      <c r="F4" s="713" t="s">
        <v>1668</v>
      </c>
    </row>
    <row r="5" spans="1:7" s="717" customFormat="1" ht="12">
      <c r="A5" s="715">
        <v>1</v>
      </c>
      <c r="B5" s="716">
        <v>2</v>
      </c>
      <c r="C5" s="716">
        <v>3</v>
      </c>
      <c r="D5" s="716">
        <v>4</v>
      </c>
      <c r="E5" s="716">
        <v>5</v>
      </c>
      <c r="F5" s="716" t="s">
        <v>1669</v>
      </c>
    </row>
    <row r="7" spans="1:7" ht="13.8">
      <c r="A7" s="719" t="s">
        <v>4</v>
      </c>
      <c r="B7" s="720" t="s">
        <v>1238</v>
      </c>
      <c r="E7" s="1105"/>
    </row>
    <row r="8" spans="1:7" ht="13.8">
      <c r="A8" s="719"/>
      <c r="B8" s="746"/>
      <c r="C8" s="721"/>
      <c r="D8" s="726"/>
      <c r="E8" s="1107"/>
      <c r="F8" s="721"/>
    </row>
    <row r="9" spans="1:7" ht="41.4">
      <c r="A9" s="728" t="s">
        <v>128</v>
      </c>
      <c r="B9" s="723" t="s">
        <v>1942</v>
      </c>
      <c r="E9" s="1105"/>
    </row>
    <row r="10" spans="1:7" ht="13.8">
      <c r="B10" s="822" t="s">
        <v>1647</v>
      </c>
      <c r="E10" s="1105"/>
    </row>
    <row r="11" spans="1:7" ht="13.8">
      <c r="A11" s="728" t="s">
        <v>259</v>
      </c>
      <c r="B11" s="723" t="s">
        <v>1648</v>
      </c>
      <c r="E11" s="1105"/>
    </row>
    <row r="12" spans="1:7" ht="27.6">
      <c r="A12" s="728" t="s">
        <v>330</v>
      </c>
      <c r="B12" s="723" t="s">
        <v>1943</v>
      </c>
      <c r="E12" s="1105"/>
    </row>
    <row r="13" spans="1:7" ht="13.8">
      <c r="A13" s="728" t="s">
        <v>330</v>
      </c>
      <c r="B13" s="723" t="s">
        <v>1650</v>
      </c>
      <c r="E13" s="1105"/>
    </row>
    <row r="14" spans="1:7" ht="13.8">
      <c r="A14" s="728" t="s">
        <v>259</v>
      </c>
      <c r="B14" s="723" t="s">
        <v>1944</v>
      </c>
      <c r="E14" s="1105"/>
    </row>
    <row r="15" spans="1:7" s="750" customFormat="1" ht="15.75" customHeight="1">
      <c r="A15" s="686"/>
      <c r="B15" s="723" t="s">
        <v>1653</v>
      </c>
      <c r="C15" s="686"/>
      <c r="D15" s="686"/>
      <c r="E15" s="1105"/>
      <c r="F15" s="686"/>
    </row>
    <row r="16" spans="1:7" s="781" customFormat="1" ht="13.8">
      <c r="A16" s="686"/>
      <c r="B16" s="723" t="s">
        <v>1654</v>
      </c>
      <c r="C16" s="686"/>
      <c r="D16" s="686"/>
      <c r="E16" s="1105"/>
      <c r="F16" s="686"/>
    </row>
    <row r="17" spans="1:256" s="781" customFormat="1" ht="13.8">
      <c r="A17" s="728" t="s">
        <v>330</v>
      </c>
      <c r="B17" s="723" t="s">
        <v>1655</v>
      </c>
      <c r="C17" s="686"/>
      <c r="D17" s="686"/>
      <c r="E17" s="1105"/>
      <c r="F17" s="686"/>
    </row>
    <row r="18" spans="1:256" s="781" customFormat="1" ht="13.8">
      <c r="A18" s="686"/>
      <c r="B18" s="723" t="s">
        <v>1656</v>
      </c>
      <c r="C18" s="686"/>
      <c r="D18" s="686"/>
      <c r="E18" s="1105"/>
      <c r="F18" s="686"/>
    </row>
    <row r="19" spans="1:256" s="781" customFormat="1" ht="27.6">
      <c r="A19" s="686"/>
      <c r="B19" s="723" t="s">
        <v>1657</v>
      </c>
      <c r="C19" s="686"/>
      <c r="D19" s="686"/>
      <c r="E19" s="1105"/>
      <c r="F19" s="686"/>
    </row>
    <row r="20" spans="1:256" s="781" customFormat="1" ht="13.8">
      <c r="A20" s="728" t="s">
        <v>259</v>
      </c>
      <c r="B20" s="723" t="s">
        <v>1652</v>
      </c>
      <c r="C20" s="686"/>
      <c r="D20" s="686"/>
      <c r="E20" s="1105"/>
      <c r="F20" s="686"/>
    </row>
    <row r="21" spans="1:256" ht="27.6">
      <c r="B21" s="739" t="s">
        <v>1661</v>
      </c>
      <c r="C21" s="740"/>
      <c r="D21" s="740"/>
      <c r="E21" s="1105"/>
    </row>
    <row r="22" spans="1:256" ht="13.8">
      <c r="C22" s="721" t="s">
        <v>572</v>
      </c>
      <c r="D22" s="721">
        <v>1</v>
      </c>
      <c r="E22" s="1107">
        <v>1400</v>
      </c>
      <c r="F22" s="472">
        <f>D22*E22</f>
        <v>1400</v>
      </c>
    </row>
    <row r="23" spans="1:256" ht="13.8">
      <c r="A23" s="728"/>
      <c r="B23" s="730"/>
      <c r="C23" s="721"/>
      <c r="D23" s="721"/>
      <c r="E23" s="1107"/>
      <c r="F23" s="472"/>
    </row>
    <row r="24" spans="1:256" ht="69">
      <c r="A24" s="728" t="s">
        <v>231</v>
      </c>
      <c r="B24" s="723" t="s">
        <v>1945</v>
      </c>
      <c r="C24" s="721" t="s">
        <v>572</v>
      </c>
      <c r="D24" s="721">
        <v>1</v>
      </c>
      <c r="E24" s="1107">
        <v>1000</v>
      </c>
      <c r="F24" s="472">
        <f>D24*E24</f>
        <v>1000</v>
      </c>
    </row>
    <row r="25" spans="1:256" ht="13.8">
      <c r="A25" s="738"/>
      <c r="B25" s="739"/>
      <c r="C25" s="740"/>
      <c r="D25" s="740"/>
      <c r="E25" s="1115"/>
      <c r="F25" s="740"/>
    </row>
    <row r="26" spans="1:256" ht="13.8">
      <c r="A26" s="748"/>
      <c r="B26" s="823"/>
      <c r="C26" s="747"/>
      <c r="D26" s="747"/>
      <c r="E26" s="1107"/>
      <c r="F26" s="749"/>
    </row>
    <row r="27" spans="1:256" ht="13.8">
      <c r="A27" s="728">
        <v>8</v>
      </c>
      <c r="B27" s="723" t="s">
        <v>1946</v>
      </c>
      <c r="E27" s="1107"/>
      <c r="F27" s="472">
        <f>SUM(F7:F24)</f>
        <v>2400</v>
      </c>
    </row>
    <row r="28" spans="1:256" ht="13.8">
      <c r="A28" s="738"/>
      <c r="B28" s="739"/>
      <c r="C28" s="740"/>
      <c r="D28" s="740"/>
      <c r="E28" s="1115"/>
      <c r="F28" s="740"/>
      <c r="G28" s="741"/>
      <c r="H28" s="742"/>
      <c r="I28" s="743"/>
      <c r="J28" s="744"/>
      <c r="K28" s="744"/>
      <c r="L28" s="756"/>
      <c r="M28" s="741"/>
      <c r="N28" s="742"/>
      <c r="O28" s="743"/>
      <c r="P28" s="744"/>
      <c r="Q28" s="744"/>
      <c r="R28" s="756"/>
      <c r="S28" s="741"/>
      <c r="T28" s="742"/>
      <c r="U28" s="743"/>
      <c r="V28" s="744"/>
      <c r="W28" s="744"/>
      <c r="X28" s="756"/>
      <c r="Y28" s="741"/>
      <c r="Z28" s="742"/>
      <c r="AA28" s="743"/>
      <c r="AB28" s="744"/>
      <c r="AC28" s="744"/>
      <c r="AD28" s="756"/>
      <c r="AE28" s="741"/>
      <c r="AF28" s="742"/>
      <c r="AG28" s="743"/>
      <c r="AH28" s="744"/>
      <c r="AI28" s="744"/>
      <c r="AJ28" s="756"/>
      <c r="AK28" s="741"/>
      <c r="AL28" s="742"/>
      <c r="AM28" s="743"/>
      <c r="AN28" s="744"/>
      <c r="AO28" s="744"/>
      <c r="AP28" s="756"/>
      <c r="AQ28" s="741"/>
      <c r="AR28" s="742"/>
      <c r="AS28" s="743"/>
      <c r="AT28" s="744"/>
      <c r="AU28" s="744"/>
      <c r="AV28" s="756"/>
      <c r="AW28" s="741"/>
      <c r="AX28" s="742"/>
      <c r="AY28" s="743"/>
      <c r="AZ28" s="744"/>
      <c r="BA28" s="744"/>
      <c r="BB28" s="756"/>
      <c r="BC28" s="741"/>
      <c r="BD28" s="742"/>
      <c r="BE28" s="743"/>
      <c r="BF28" s="744"/>
      <c r="BG28" s="744"/>
      <c r="BH28" s="756"/>
      <c r="BI28" s="741"/>
      <c r="BJ28" s="742"/>
      <c r="BK28" s="743"/>
      <c r="BL28" s="744"/>
      <c r="BM28" s="744"/>
      <c r="BN28" s="756"/>
      <c r="BO28" s="741"/>
      <c r="BP28" s="742"/>
      <c r="BQ28" s="743"/>
      <c r="BR28" s="744"/>
      <c r="BS28" s="744"/>
      <c r="BT28" s="756"/>
      <c r="BU28" s="741"/>
      <c r="BV28" s="742"/>
      <c r="BW28" s="743"/>
      <c r="BX28" s="744"/>
      <c r="BY28" s="744"/>
      <c r="BZ28" s="756"/>
      <c r="CA28" s="741"/>
      <c r="CB28" s="742"/>
      <c r="CC28" s="743"/>
      <c r="CD28" s="744"/>
      <c r="CE28" s="744"/>
      <c r="CF28" s="756"/>
      <c r="CG28" s="741"/>
      <c r="CH28" s="742"/>
      <c r="CI28" s="743"/>
      <c r="CJ28" s="744"/>
      <c r="CK28" s="744"/>
      <c r="CL28" s="756"/>
      <c r="CM28" s="741"/>
      <c r="CN28" s="742"/>
      <c r="CO28" s="743"/>
      <c r="CP28" s="744"/>
      <c r="CQ28" s="744"/>
      <c r="CR28" s="756"/>
      <c r="CS28" s="741"/>
      <c r="CT28" s="742"/>
      <c r="CU28" s="743"/>
      <c r="CV28" s="744"/>
      <c r="CW28" s="744"/>
      <c r="CX28" s="756"/>
      <c r="CY28" s="741"/>
      <c r="CZ28" s="742"/>
      <c r="DA28" s="743"/>
      <c r="DB28" s="744"/>
      <c r="DC28" s="744"/>
      <c r="DD28" s="756"/>
      <c r="DE28" s="741"/>
      <c r="DF28" s="742"/>
      <c r="DG28" s="743"/>
      <c r="DH28" s="744"/>
      <c r="DI28" s="744"/>
      <c r="DJ28" s="756"/>
      <c r="DK28" s="741"/>
      <c r="DL28" s="742"/>
      <c r="DM28" s="743"/>
      <c r="DN28" s="744"/>
      <c r="DO28" s="744"/>
      <c r="DP28" s="756"/>
      <c r="DQ28" s="741"/>
      <c r="DR28" s="742"/>
      <c r="DS28" s="743"/>
      <c r="DT28" s="744"/>
      <c r="DU28" s="744"/>
      <c r="DV28" s="756"/>
      <c r="DW28" s="741"/>
      <c r="DX28" s="742"/>
      <c r="DY28" s="743"/>
      <c r="DZ28" s="744"/>
      <c r="EA28" s="744"/>
      <c r="EB28" s="756"/>
      <c r="EC28" s="741"/>
      <c r="ED28" s="742"/>
      <c r="EE28" s="743"/>
      <c r="EF28" s="744"/>
      <c r="EG28" s="744"/>
      <c r="EH28" s="756"/>
      <c r="EI28" s="741"/>
      <c r="EJ28" s="742"/>
      <c r="EK28" s="743"/>
      <c r="EL28" s="744"/>
      <c r="EM28" s="744"/>
      <c r="EN28" s="756"/>
      <c r="EO28" s="741"/>
      <c r="EP28" s="742"/>
      <c r="EQ28" s="743"/>
      <c r="ER28" s="744"/>
      <c r="ES28" s="744"/>
      <c r="ET28" s="756"/>
      <c r="EU28" s="741"/>
      <c r="EV28" s="742"/>
      <c r="EW28" s="743"/>
      <c r="EX28" s="744"/>
      <c r="EY28" s="744"/>
      <c r="EZ28" s="756"/>
      <c r="FA28" s="741"/>
      <c r="FB28" s="742"/>
      <c r="FC28" s="743"/>
      <c r="FD28" s="744"/>
      <c r="FE28" s="744"/>
      <c r="FF28" s="756"/>
      <c r="FG28" s="741"/>
      <c r="FH28" s="742"/>
      <c r="FI28" s="743"/>
      <c r="FJ28" s="744"/>
      <c r="FK28" s="744"/>
      <c r="FL28" s="756"/>
      <c r="FM28" s="741"/>
      <c r="FN28" s="742"/>
      <c r="FO28" s="743"/>
      <c r="FP28" s="744"/>
      <c r="FQ28" s="744"/>
      <c r="FR28" s="756"/>
      <c r="FS28" s="741"/>
      <c r="FT28" s="742"/>
      <c r="FU28" s="743"/>
      <c r="FV28" s="744"/>
      <c r="FW28" s="744"/>
      <c r="FX28" s="756"/>
      <c r="FY28" s="741"/>
      <c r="FZ28" s="742"/>
      <c r="GA28" s="743"/>
      <c r="GB28" s="744"/>
      <c r="GC28" s="744"/>
      <c r="GD28" s="756"/>
      <c r="GE28" s="741"/>
      <c r="GF28" s="742"/>
      <c r="GG28" s="743"/>
      <c r="GH28" s="744"/>
      <c r="GI28" s="744"/>
      <c r="GJ28" s="756"/>
      <c r="GK28" s="741"/>
      <c r="GL28" s="742"/>
      <c r="GM28" s="743"/>
      <c r="GN28" s="744"/>
      <c r="GO28" s="744"/>
      <c r="GP28" s="756"/>
      <c r="GQ28" s="741"/>
      <c r="GR28" s="742"/>
      <c r="GS28" s="743"/>
      <c r="GT28" s="744"/>
      <c r="GU28" s="744"/>
      <c r="GV28" s="756"/>
      <c r="GW28" s="741"/>
      <c r="GX28" s="742"/>
      <c r="GY28" s="743"/>
      <c r="GZ28" s="744"/>
      <c r="HA28" s="744"/>
      <c r="HB28" s="756"/>
      <c r="HC28" s="741"/>
      <c r="HD28" s="742"/>
      <c r="HE28" s="743"/>
      <c r="HF28" s="744"/>
      <c r="HG28" s="744"/>
      <c r="HH28" s="756"/>
      <c r="HI28" s="741"/>
      <c r="HJ28" s="742"/>
      <c r="HK28" s="743"/>
      <c r="HL28" s="744"/>
      <c r="HM28" s="744"/>
      <c r="HN28" s="756"/>
      <c r="HO28" s="741"/>
      <c r="HP28" s="742"/>
      <c r="HQ28" s="743"/>
      <c r="HR28" s="744"/>
      <c r="HS28" s="744"/>
      <c r="HT28" s="756"/>
      <c r="HU28" s="741"/>
      <c r="HV28" s="742"/>
      <c r="HW28" s="743"/>
      <c r="HX28" s="744"/>
      <c r="HY28" s="744"/>
      <c r="HZ28" s="756"/>
      <c r="IA28" s="741"/>
      <c r="IB28" s="742"/>
      <c r="IC28" s="743"/>
      <c r="ID28" s="744"/>
      <c r="IE28" s="744"/>
      <c r="IF28" s="756"/>
      <c r="IG28" s="741"/>
      <c r="IH28" s="742"/>
      <c r="II28" s="743"/>
      <c r="IJ28" s="744"/>
      <c r="IK28" s="744"/>
      <c r="IL28" s="756"/>
      <c r="IM28" s="741"/>
      <c r="IN28" s="742"/>
      <c r="IO28" s="743"/>
      <c r="IP28" s="744"/>
      <c r="IQ28" s="744"/>
      <c r="IR28" s="756"/>
      <c r="IS28" s="741"/>
      <c r="IT28" s="742"/>
      <c r="IU28" s="743"/>
      <c r="IV28" s="744"/>
    </row>
    <row r="29" spans="1:256" ht="13.8">
      <c r="A29" s="728"/>
      <c r="B29" s="730"/>
      <c r="C29" s="721"/>
      <c r="D29" s="721"/>
      <c r="E29" s="1107"/>
      <c r="F29" s="726"/>
      <c r="G29" s="741"/>
      <c r="H29" s="742"/>
      <c r="I29" s="743"/>
      <c r="J29" s="744"/>
      <c r="K29" s="744"/>
      <c r="L29" s="756"/>
      <c r="M29" s="741"/>
      <c r="N29" s="742"/>
      <c r="O29" s="743"/>
      <c r="P29" s="744"/>
      <c r="Q29" s="744"/>
      <c r="R29" s="756"/>
      <c r="S29" s="741"/>
      <c r="T29" s="742"/>
      <c r="U29" s="743"/>
      <c r="V29" s="744"/>
      <c r="W29" s="744"/>
      <c r="X29" s="756"/>
      <c r="Y29" s="741"/>
      <c r="Z29" s="742"/>
      <c r="AA29" s="743"/>
      <c r="AB29" s="744"/>
      <c r="AC29" s="744"/>
      <c r="AD29" s="756"/>
      <c r="AE29" s="741"/>
      <c r="AF29" s="742"/>
      <c r="AG29" s="743"/>
      <c r="AH29" s="744"/>
      <c r="AI29" s="744"/>
      <c r="AJ29" s="756"/>
      <c r="AK29" s="741"/>
      <c r="AL29" s="742"/>
      <c r="AM29" s="743"/>
      <c r="AN29" s="744"/>
      <c r="AO29" s="744"/>
      <c r="AP29" s="756"/>
      <c r="AQ29" s="741"/>
      <c r="AR29" s="742"/>
      <c r="AS29" s="743"/>
      <c r="AT29" s="744"/>
      <c r="AU29" s="744"/>
      <c r="AV29" s="756"/>
      <c r="AW29" s="741"/>
      <c r="AX29" s="742"/>
      <c r="AY29" s="743"/>
      <c r="AZ29" s="744"/>
      <c r="BA29" s="744"/>
      <c r="BB29" s="756"/>
      <c r="BC29" s="741"/>
      <c r="BD29" s="742"/>
      <c r="BE29" s="743"/>
      <c r="BF29" s="744"/>
      <c r="BG29" s="744"/>
      <c r="BH29" s="756"/>
      <c r="BI29" s="741"/>
      <c r="BJ29" s="742"/>
      <c r="BK29" s="743"/>
      <c r="BL29" s="744"/>
      <c r="BM29" s="744"/>
      <c r="BN29" s="756"/>
      <c r="BO29" s="741"/>
      <c r="BP29" s="742"/>
      <c r="BQ29" s="743"/>
      <c r="BR29" s="744"/>
      <c r="BS29" s="744"/>
      <c r="BT29" s="756"/>
      <c r="BU29" s="741"/>
      <c r="BV29" s="742"/>
      <c r="BW29" s="743"/>
      <c r="BX29" s="744"/>
      <c r="BY29" s="744"/>
      <c r="BZ29" s="756"/>
      <c r="CA29" s="741"/>
      <c r="CB29" s="742"/>
      <c r="CC29" s="743"/>
      <c r="CD29" s="744"/>
      <c r="CE29" s="744"/>
      <c r="CF29" s="756"/>
      <c r="CG29" s="741"/>
      <c r="CH29" s="742"/>
      <c r="CI29" s="743"/>
      <c r="CJ29" s="744"/>
      <c r="CK29" s="744"/>
      <c r="CL29" s="756"/>
      <c r="CM29" s="741"/>
      <c r="CN29" s="742"/>
      <c r="CO29" s="743"/>
      <c r="CP29" s="744"/>
      <c r="CQ29" s="744"/>
      <c r="CR29" s="756"/>
      <c r="CS29" s="741"/>
      <c r="CT29" s="742"/>
      <c r="CU29" s="743"/>
      <c r="CV29" s="744"/>
      <c r="CW29" s="744"/>
      <c r="CX29" s="756"/>
      <c r="CY29" s="741"/>
      <c r="CZ29" s="742"/>
      <c r="DA29" s="743"/>
      <c r="DB29" s="744"/>
      <c r="DC29" s="744"/>
      <c r="DD29" s="756"/>
      <c r="DE29" s="741"/>
      <c r="DF29" s="742"/>
      <c r="DG29" s="743"/>
      <c r="DH29" s="744"/>
      <c r="DI29" s="744"/>
      <c r="DJ29" s="756"/>
      <c r="DK29" s="741"/>
      <c r="DL29" s="742"/>
      <c r="DM29" s="743"/>
      <c r="DN29" s="744"/>
      <c r="DO29" s="744"/>
      <c r="DP29" s="756"/>
      <c r="DQ29" s="741"/>
      <c r="DR29" s="742"/>
      <c r="DS29" s="743"/>
      <c r="DT29" s="744"/>
      <c r="DU29" s="744"/>
      <c r="DV29" s="756"/>
      <c r="DW29" s="741"/>
      <c r="DX29" s="742"/>
      <c r="DY29" s="743"/>
      <c r="DZ29" s="744"/>
      <c r="EA29" s="744"/>
      <c r="EB29" s="756"/>
      <c r="EC29" s="741"/>
      <c r="ED29" s="742"/>
      <c r="EE29" s="743"/>
      <c r="EF29" s="744"/>
      <c r="EG29" s="744"/>
      <c r="EH29" s="756"/>
      <c r="EI29" s="741"/>
      <c r="EJ29" s="742"/>
      <c r="EK29" s="743"/>
      <c r="EL29" s="744"/>
      <c r="EM29" s="744"/>
      <c r="EN29" s="756"/>
      <c r="EO29" s="741"/>
      <c r="EP29" s="742"/>
      <c r="EQ29" s="743"/>
      <c r="ER29" s="744"/>
      <c r="ES29" s="744"/>
      <c r="ET29" s="756"/>
      <c r="EU29" s="741"/>
      <c r="EV29" s="742"/>
      <c r="EW29" s="743"/>
      <c r="EX29" s="744"/>
      <c r="EY29" s="744"/>
      <c r="EZ29" s="756"/>
      <c r="FA29" s="741"/>
      <c r="FB29" s="742"/>
      <c r="FC29" s="743"/>
      <c r="FD29" s="744"/>
      <c r="FE29" s="744"/>
      <c r="FF29" s="756"/>
      <c r="FG29" s="741"/>
      <c r="FH29" s="742"/>
      <c r="FI29" s="743"/>
      <c r="FJ29" s="744"/>
      <c r="FK29" s="744"/>
      <c r="FL29" s="756"/>
      <c r="FM29" s="741"/>
      <c r="FN29" s="742"/>
      <c r="FO29" s="743"/>
      <c r="FP29" s="744"/>
      <c r="FQ29" s="744"/>
      <c r="FR29" s="756"/>
      <c r="FS29" s="741"/>
      <c r="FT29" s="742"/>
      <c r="FU29" s="743"/>
      <c r="FV29" s="744"/>
      <c r="FW29" s="744"/>
      <c r="FX29" s="756"/>
      <c r="FY29" s="741"/>
      <c r="FZ29" s="742"/>
      <c r="GA29" s="743"/>
      <c r="GB29" s="744"/>
      <c r="GC29" s="744"/>
      <c r="GD29" s="756"/>
      <c r="GE29" s="741"/>
      <c r="GF29" s="742"/>
      <c r="GG29" s="743"/>
      <c r="GH29" s="744"/>
      <c r="GI29" s="744"/>
      <c r="GJ29" s="756"/>
      <c r="GK29" s="741"/>
      <c r="GL29" s="742"/>
      <c r="GM29" s="743"/>
      <c r="GN29" s="744"/>
      <c r="GO29" s="744"/>
      <c r="GP29" s="756"/>
      <c r="GQ29" s="741"/>
      <c r="GR29" s="742"/>
      <c r="GS29" s="743"/>
      <c r="GT29" s="744"/>
      <c r="GU29" s="744"/>
      <c r="GV29" s="756"/>
      <c r="GW29" s="741"/>
      <c r="GX29" s="742"/>
      <c r="GY29" s="743"/>
      <c r="GZ29" s="744"/>
      <c r="HA29" s="744"/>
      <c r="HB29" s="756"/>
      <c r="HC29" s="741"/>
      <c r="HD29" s="742"/>
      <c r="HE29" s="743"/>
      <c r="HF29" s="744"/>
      <c r="HG29" s="744"/>
      <c r="HH29" s="756"/>
      <c r="HI29" s="741"/>
      <c r="HJ29" s="742"/>
      <c r="HK29" s="743"/>
      <c r="HL29" s="744"/>
      <c r="HM29" s="744"/>
      <c r="HN29" s="756"/>
      <c r="HO29" s="741"/>
      <c r="HP29" s="742"/>
      <c r="HQ29" s="743"/>
      <c r="HR29" s="744"/>
      <c r="HS29" s="744"/>
      <c r="HT29" s="756"/>
      <c r="HU29" s="741"/>
      <c r="HV29" s="742"/>
      <c r="HW29" s="743"/>
      <c r="HX29" s="744"/>
      <c r="HY29" s="744"/>
      <c r="HZ29" s="756"/>
      <c r="IA29" s="741"/>
      <c r="IB29" s="742"/>
      <c r="IC29" s="743"/>
      <c r="ID29" s="744"/>
      <c r="IE29" s="744"/>
      <c r="IF29" s="756"/>
      <c r="IG29" s="741"/>
      <c r="IH29" s="742"/>
      <c r="II29" s="743"/>
      <c r="IJ29" s="744"/>
      <c r="IK29" s="744"/>
      <c r="IL29" s="756"/>
      <c r="IM29" s="741"/>
      <c r="IN29" s="742"/>
      <c r="IO29" s="743"/>
      <c r="IP29" s="744"/>
      <c r="IQ29" s="744"/>
      <c r="IR29" s="756"/>
      <c r="IS29" s="741"/>
      <c r="IT29" s="742"/>
      <c r="IU29" s="743"/>
      <c r="IV29" s="744"/>
    </row>
    <row r="30" spans="1:256">
      <c r="A30" s="741"/>
      <c r="B30" s="767"/>
      <c r="D30" s="768"/>
      <c r="E30" s="768"/>
      <c r="F30" s="768"/>
    </row>
  </sheetData>
  <mergeCells count="1">
    <mergeCell ref="A2:F2"/>
  </mergeCells>
  <printOptions horizontalCentered="1"/>
  <pageMargins left="0.78740157480314965" right="0.39370078740157483" top="0.39370078740157483" bottom="0.78740157480314965" header="0.39370078740157483" footer="0.39370078740157483"/>
  <pageSetup paperSize="9" orientation="portrait" horizontalDpi="300" verticalDpi="300" r:id="rId1"/>
  <headerFooter scaleWithDoc="0">
    <oddFooter>&amp;C&amp;"ISOCPEUR,Regular"&amp;9POS Ivanić – Grad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F7F83-DAE2-467B-A5AD-5B5593048C3B}">
  <sheetPr>
    <tabColor rgb="FFFF0000"/>
  </sheetPr>
  <dimension ref="A1:G51"/>
  <sheetViews>
    <sheetView showZeros="0" view="pageLayout" topLeftCell="A5" zoomScaleNormal="100" zoomScaleSheetLayoutView="100" workbookViewId="0">
      <selection activeCell="F9" sqref="F9:F23"/>
    </sheetView>
  </sheetViews>
  <sheetFormatPr defaultColWidth="8.90625" defaultRowHeight="13.2"/>
  <cols>
    <col min="1" max="2" width="2.90625" style="686" customWidth="1"/>
    <col min="3" max="3" width="31.6328125" style="686" customWidth="1"/>
    <col min="4" max="4" width="4.453125" style="686" customWidth="1"/>
    <col min="5" max="5" width="6.81640625" style="686" customWidth="1"/>
    <col min="6" max="6" width="11.08984375" style="686" customWidth="1"/>
    <col min="7" max="7" width="13" style="686" customWidth="1"/>
    <col min="8" max="16384" width="8.90625" style="686"/>
  </cols>
  <sheetData>
    <row r="1" spans="1:7" s="685" customFormat="1" ht="17.25" customHeight="1">
      <c r="A1" s="680" t="s">
        <v>1623</v>
      </c>
      <c r="B1" s="681"/>
      <c r="C1" s="681"/>
      <c r="D1" s="681"/>
      <c r="E1" s="682"/>
      <c r="G1" s="684" t="s">
        <v>1624</v>
      </c>
    </row>
    <row r="2" spans="1:7" s="685" customFormat="1" ht="5.0999999999999996" customHeight="1">
      <c r="A2" s="1163"/>
      <c r="B2" s="1163"/>
      <c r="C2" s="1163"/>
      <c r="D2" s="1163"/>
      <c r="E2" s="1163"/>
      <c r="F2" s="1163"/>
      <c r="G2" s="1163"/>
    </row>
    <row r="3" spans="1:7" ht="5.0999999999999996" customHeight="1"/>
    <row r="5" spans="1:7">
      <c r="A5" s="759"/>
      <c r="B5" s="759"/>
      <c r="C5" s="759"/>
      <c r="D5" s="759"/>
      <c r="E5" s="759"/>
      <c r="F5" s="759"/>
      <c r="G5" s="759"/>
    </row>
    <row r="6" spans="1:7" ht="13.8">
      <c r="A6" s="759"/>
      <c r="C6" s="824" t="s">
        <v>1947</v>
      </c>
      <c r="G6" s="759"/>
    </row>
    <row r="7" spans="1:7">
      <c r="A7" s="759"/>
      <c r="G7" s="759"/>
    </row>
    <row r="8" spans="1:7" ht="20.100000000000001" customHeight="1">
      <c r="A8" s="825"/>
      <c r="B8" s="826"/>
      <c r="C8" s="827"/>
      <c r="D8" s="825"/>
      <c r="E8" s="825"/>
      <c r="F8" s="825"/>
      <c r="G8" s="828"/>
    </row>
    <row r="9" spans="1:7" ht="13.8">
      <c r="A9" s="825"/>
      <c r="B9" s="829" t="s">
        <v>128</v>
      </c>
      <c r="C9" s="829" t="s">
        <v>1670</v>
      </c>
      <c r="F9" s="472">
        <f>'1. ENERGETSKI RAZVOD'!F73</f>
        <v>71147.75</v>
      </c>
      <c r="G9" s="828"/>
    </row>
    <row r="10" spans="1:7" ht="13.8">
      <c r="A10" s="825"/>
      <c r="F10" s="749"/>
      <c r="G10" s="828"/>
    </row>
    <row r="11" spans="1:7" ht="13.8">
      <c r="A11" s="825"/>
      <c r="B11" s="829" t="s">
        <v>231</v>
      </c>
      <c r="C11" s="829" t="s">
        <v>1712</v>
      </c>
      <c r="F11" s="472">
        <f>'2. RASVJETA I UTIČNICE'!F76</f>
        <v>77662</v>
      </c>
      <c r="G11" s="830"/>
    </row>
    <row r="12" spans="1:7" ht="13.8">
      <c r="A12" s="825"/>
      <c r="F12" s="749"/>
      <c r="G12" s="830"/>
    </row>
    <row r="13" spans="1:7" ht="13.8">
      <c r="A13" s="825"/>
      <c r="B13" s="829" t="s">
        <v>93</v>
      </c>
      <c r="C13" s="829" t="s">
        <v>1948</v>
      </c>
      <c r="F13" s="472">
        <f>'3. STROJARSKE INSTALACIJE'!F42</f>
        <v>19927</v>
      </c>
      <c r="G13" s="830"/>
    </row>
    <row r="14" spans="1:7">
      <c r="A14" s="825"/>
      <c r="F14" s="472"/>
      <c r="G14" s="830"/>
    </row>
    <row r="15" spans="1:7" ht="13.8">
      <c r="A15" s="825"/>
      <c r="B15" s="829" t="s">
        <v>320</v>
      </c>
      <c r="C15" s="829" t="s">
        <v>1949</v>
      </c>
      <c r="F15" s="472">
        <f>'4. LPS-IZJEDNAČENJE  POT.'!F50</f>
        <v>13377.3</v>
      </c>
      <c r="G15" s="830"/>
    </row>
    <row r="16" spans="1:7" ht="13.8">
      <c r="A16" s="825"/>
      <c r="B16" s="829"/>
      <c r="C16" s="829"/>
      <c r="D16" s="760"/>
      <c r="E16" s="760"/>
      <c r="F16" s="472"/>
      <c r="G16" s="830"/>
    </row>
    <row r="17" spans="1:7" ht="13.8">
      <c r="A17" s="825"/>
      <c r="B17" s="829">
        <v>5</v>
      </c>
      <c r="C17" s="829" t="s">
        <v>1827</v>
      </c>
      <c r="D17" s="760"/>
      <c r="E17" s="760"/>
      <c r="F17" s="472">
        <f>'5.ZAU'!F66</f>
        <v>8660</v>
      </c>
      <c r="G17" s="830"/>
    </row>
    <row r="18" spans="1:7" ht="13.8">
      <c r="A18" s="825"/>
      <c r="B18" s="829"/>
      <c r="C18" s="829"/>
      <c r="D18" s="760"/>
      <c r="E18" s="760"/>
      <c r="F18" s="472"/>
      <c r="G18" s="830"/>
    </row>
    <row r="19" spans="1:7" ht="13.8">
      <c r="A19" s="825"/>
      <c r="B19" s="829" t="s">
        <v>284</v>
      </c>
      <c r="C19" s="829" t="s">
        <v>1869</v>
      </c>
      <c r="D19" s="760"/>
      <c r="E19" s="760"/>
      <c r="F19" s="472">
        <f>'6. PORTAFON'!F31</f>
        <v>5828</v>
      </c>
      <c r="G19" s="830"/>
    </row>
    <row r="20" spans="1:7" ht="13.8">
      <c r="A20" s="825"/>
      <c r="B20" s="829"/>
      <c r="C20" s="829"/>
      <c r="D20" s="760"/>
      <c r="E20" s="760"/>
      <c r="F20" s="472"/>
      <c r="G20" s="830"/>
    </row>
    <row r="21" spans="1:7" ht="13.8">
      <c r="A21" s="825"/>
      <c r="B21" s="829" t="s">
        <v>461</v>
      </c>
      <c r="C21" s="829" t="s">
        <v>1888</v>
      </c>
      <c r="F21" s="472">
        <f>'7. STRUKTURNO KABLIRANJE'!F76</f>
        <v>22546</v>
      </c>
      <c r="G21" s="828"/>
    </row>
    <row r="22" spans="1:7" ht="13.8">
      <c r="A22" s="825"/>
      <c r="B22" s="829"/>
      <c r="C22" s="829"/>
      <c r="F22" s="472"/>
      <c r="G22" s="828"/>
    </row>
    <row r="23" spans="1:7" ht="13.8">
      <c r="A23" s="825"/>
      <c r="B23" s="829" t="s">
        <v>4</v>
      </c>
      <c r="C23" s="829" t="s">
        <v>1238</v>
      </c>
      <c r="F23" s="472">
        <f>'8. OSTALO'!F27</f>
        <v>2400</v>
      </c>
      <c r="G23" s="828"/>
    </row>
    <row r="24" spans="1:7" ht="13.8">
      <c r="A24" s="825"/>
      <c r="B24" s="831"/>
      <c r="C24" s="831"/>
      <c r="D24" s="831"/>
      <c r="E24" s="831"/>
      <c r="F24" s="832"/>
      <c r="G24" s="830"/>
    </row>
    <row r="25" spans="1:7" ht="13.8">
      <c r="A25" s="825"/>
      <c r="F25" s="749"/>
      <c r="G25" s="830"/>
    </row>
    <row r="26" spans="1:7" ht="13.8">
      <c r="A26" s="825"/>
      <c r="C26" s="833" t="s">
        <v>1950</v>
      </c>
      <c r="F26" s="472">
        <f>SUM(F9:F23)</f>
        <v>221548.05</v>
      </c>
      <c r="G26" s="830"/>
    </row>
    <row r="27" spans="1:7" ht="20.100000000000001" customHeight="1">
      <c r="A27" s="825"/>
      <c r="B27" s="834"/>
      <c r="C27" s="835"/>
      <c r="D27" s="825"/>
      <c r="E27" s="825"/>
      <c r="F27" s="825"/>
      <c r="G27" s="830"/>
    </row>
    <row r="28" spans="1:7" ht="20.100000000000001" customHeight="1">
      <c r="A28" s="825"/>
      <c r="B28" s="834"/>
      <c r="C28" s="835"/>
      <c r="D28" s="825"/>
      <c r="E28" s="825"/>
      <c r="F28" s="825"/>
      <c r="G28" s="830"/>
    </row>
    <row r="29" spans="1:7" ht="20.100000000000001" customHeight="1">
      <c r="A29" s="825"/>
      <c r="B29" s="834"/>
      <c r="C29" s="835"/>
      <c r="D29" s="825"/>
      <c r="E29" s="825"/>
      <c r="F29" s="825"/>
      <c r="G29" s="830"/>
    </row>
    <row r="30" spans="1:7" ht="20.100000000000001" customHeight="1">
      <c r="A30" s="825"/>
      <c r="B30" s="834"/>
      <c r="C30" s="835"/>
      <c r="D30" s="825"/>
      <c r="E30" s="825"/>
      <c r="F30" s="825"/>
      <c r="G30" s="830"/>
    </row>
    <row r="31" spans="1:7" ht="20.100000000000001" customHeight="1">
      <c r="A31" s="825"/>
      <c r="B31" s="834"/>
      <c r="C31" s="835"/>
      <c r="D31" s="825"/>
      <c r="E31" s="825"/>
      <c r="F31" s="825"/>
      <c r="G31" s="830"/>
    </row>
    <row r="32" spans="1:7" ht="20.100000000000001" customHeight="1">
      <c r="A32" s="825"/>
      <c r="B32" s="834"/>
      <c r="C32" s="835"/>
      <c r="D32" s="825"/>
      <c r="E32" s="825"/>
      <c r="F32" s="825"/>
      <c r="G32" s="830"/>
    </row>
    <row r="33" spans="1:7" ht="20.100000000000001" customHeight="1">
      <c r="A33" s="825"/>
      <c r="B33" s="834"/>
      <c r="C33" s="835"/>
      <c r="D33" s="825"/>
      <c r="E33" s="825"/>
      <c r="F33" s="825"/>
      <c r="G33" s="830"/>
    </row>
    <row r="34" spans="1:7" ht="20.100000000000001" customHeight="1">
      <c r="A34" s="825"/>
      <c r="B34" s="834"/>
      <c r="C34" s="835"/>
      <c r="D34" s="825"/>
      <c r="E34" s="825"/>
      <c r="F34" s="825"/>
      <c r="G34" s="830"/>
    </row>
    <row r="35" spans="1:7" ht="20.100000000000001" customHeight="1">
      <c r="A35" s="825"/>
      <c r="B35" s="834"/>
      <c r="C35" s="835"/>
      <c r="D35" s="825"/>
      <c r="E35" s="825"/>
      <c r="F35" s="825"/>
      <c r="G35" s="830"/>
    </row>
    <row r="36" spans="1:7">
      <c r="A36" s="759"/>
      <c r="B36" s="759"/>
      <c r="C36" s="759"/>
      <c r="D36" s="759"/>
      <c r="E36" s="759"/>
      <c r="F36" s="759"/>
      <c r="G36" s="759"/>
    </row>
    <row r="37" spans="1:7">
      <c r="A37" s="759"/>
      <c r="B37" s="759"/>
      <c r="C37" s="759"/>
      <c r="D37" s="759"/>
      <c r="E37" s="759"/>
      <c r="F37" s="759"/>
      <c r="G37" s="759"/>
    </row>
    <row r="38" spans="1:7">
      <c r="A38" s="759"/>
      <c r="B38" s="759"/>
      <c r="C38" s="759"/>
      <c r="D38" s="759"/>
      <c r="E38" s="759"/>
      <c r="F38" s="759"/>
      <c r="G38" s="759"/>
    </row>
    <row r="39" spans="1:7">
      <c r="A39" s="759"/>
      <c r="B39" s="759"/>
      <c r="C39" s="759"/>
      <c r="D39" s="759"/>
      <c r="E39" s="759"/>
      <c r="F39" s="759"/>
      <c r="G39" s="759"/>
    </row>
    <row r="40" spans="1:7" s="703" customFormat="1" ht="12.6">
      <c r="A40" s="836"/>
      <c r="B40" s="836"/>
      <c r="C40" s="836"/>
      <c r="D40" s="836"/>
      <c r="E40" s="836"/>
      <c r="F40" s="836"/>
      <c r="G40" s="836"/>
    </row>
    <row r="41" spans="1:7">
      <c r="A41" s="759"/>
      <c r="B41" s="759"/>
      <c r="C41" s="759"/>
      <c r="D41" s="759"/>
      <c r="E41" s="759"/>
      <c r="F41" s="759"/>
      <c r="G41" s="759"/>
    </row>
    <row r="42" spans="1:7" s="703" customFormat="1" ht="12.6">
      <c r="B42" s="837"/>
      <c r="C42" s="838"/>
    </row>
    <row r="43" spans="1:7" s="703" customFormat="1" ht="12.6"/>
    <row r="44" spans="1:7" s="703" customFormat="1" ht="12.6"/>
    <row r="45" spans="1:7" s="703" customFormat="1" ht="12.6"/>
    <row r="46" spans="1:7" s="703" customFormat="1">
      <c r="F46" s="839"/>
    </row>
    <row r="47" spans="1:7" s="703" customFormat="1" ht="12.6"/>
    <row r="48" spans="1:7" s="703" customFormat="1" ht="12.6"/>
    <row r="49" s="703" customFormat="1" ht="12.6"/>
    <row r="50" s="703" customFormat="1" ht="12.6"/>
    <row r="51" s="703" customFormat="1" ht="12.6"/>
  </sheetData>
  <mergeCells count="1">
    <mergeCell ref="A2:G2"/>
  </mergeCells>
  <printOptions horizontalCentered="1"/>
  <pageMargins left="0.78740157480314965" right="0.39370078740157483" top="0.39370078740157483" bottom="0.78740157480314965" header="0.39370078740157483" footer="0.39370078740157483"/>
  <pageSetup paperSize="9" orientation="portrait" horizontalDpi="300" verticalDpi="300" r:id="rId1"/>
  <headerFooter scaleWithDoc="0">
    <oddFooter>&amp;C&amp;"ISOCPEUR,Regular"&amp;9POS Ivanić – Grad</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DCF7-2530-4B04-AD0E-8CDD0F98EFED}">
  <sheetPr>
    <tabColor rgb="FF7030A0"/>
  </sheetPr>
  <dimension ref="A1:G427"/>
  <sheetViews>
    <sheetView showZeros="0" topLeftCell="A408" zoomScaleNormal="100" zoomScaleSheetLayoutView="115" zoomScalePageLayoutView="130" workbookViewId="0">
      <selection activeCell="F417" sqref="F417:F423"/>
    </sheetView>
  </sheetViews>
  <sheetFormatPr defaultColWidth="7" defaultRowHeight="13.8"/>
  <cols>
    <col min="1" max="1" width="4.08984375" style="982" customWidth="1"/>
    <col min="2" max="2" width="36.36328125" style="877" customWidth="1"/>
    <col min="3" max="3" width="6" style="983" customWidth="1"/>
    <col min="4" max="4" width="5.81640625" style="875" customWidth="1"/>
    <col min="5" max="5" width="9.54296875" style="984" customWidth="1"/>
    <col min="6" max="6" width="10.7265625" style="985" customWidth="1"/>
    <col min="7" max="16384" width="7" style="849"/>
  </cols>
  <sheetData>
    <row r="1" spans="1:7" s="840" customFormat="1" ht="21" customHeight="1">
      <c r="A1" s="1177" t="s">
        <v>1951</v>
      </c>
      <c r="B1" s="1178"/>
      <c r="C1" s="1178"/>
      <c r="D1" s="1178"/>
      <c r="E1" s="1178"/>
      <c r="F1" s="1179"/>
    </row>
    <row r="2" spans="1:7" s="840" customFormat="1" ht="15.6">
      <c r="A2" s="1180"/>
      <c r="B2" s="1181"/>
      <c r="C2" s="1181"/>
      <c r="D2" s="1181"/>
      <c r="E2" s="1181"/>
      <c r="F2" s="1182"/>
    </row>
    <row r="3" spans="1:7" s="842" customFormat="1" ht="39" customHeight="1">
      <c r="A3" s="841"/>
      <c r="B3" s="1183" t="s">
        <v>1952</v>
      </c>
      <c r="C3" s="1183"/>
      <c r="D3" s="1183"/>
      <c r="E3" s="1183"/>
      <c r="F3" s="1184"/>
    </row>
    <row r="4" spans="1:7" s="842" customFormat="1" ht="17.399999999999999" customHeight="1">
      <c r="A4" s="843"/>
      <c r="B4" s="1185" t="s">
        <v>1953</v>
      </c>
      <c r="C4" s="1185"/>
      <c r="D4" s="1185"/>
      <c r="E4" s="1185"/>
      <c r="F4" s="1186"/>
    </row>
    <row r="5" spans="1:7" s="845" customFormat="1">
      <c r="A5" s="844"/>
      <c r="B5" s="1187" t="s">
        <v>1954</v>
      </c>
      <c r="C5" s="1187"/>
      <c r="D5" s="1187"/>
      <c r="E5" s="1187"/>
      <c r="F5" s="1188"/>
    </row>
    <row r="6" spans="1:7" s="846" customFormat="1" ht="15.6">
      <c r="A6" s="1189"/>
      <c r="B6" s="1190"/>
      <c r="C6" s="1190"/>
      <c r="D6" s="1190"/>
      <c r="E6" s="1190"/>
      <c r="F6" s="1191"/>
    </row>
    <row r="7" spans="1:7" s="848" customFormat="1" ht="112.95" customHeight="1">
      <c r="A7" s="847"/>
      <c r="B7" s="1192" t="s">
        <v>1955</v>
      </c>
      <c r="C7" s="1192"/>
      <c r="D7" s="1192"/>
      <c r="E7" s="1192"/>
      <c r="F7" s="1193"/>
    </row>
    <row r="8" spans="1:7">
      <c r="A8" s="1194"/>
      <c r="B8" s="1195"/>
      <c r="C8" s="1195"/>
      <c r="D8" s="1195"/>
      <c r="E8" s="1195"/>
      <c r="F8" s="1196"/>
    </row>
    <row r="9" spans="1:7" s="848" customFormat="1" ht="10.199999999999999">
      <c r="A9" s="850" t="s">
        <v>1956</v>
      </c>
      <c r="B9" s="851" t="s">
        <v>1957</v>
      </c>
      <c r="C9" s="852" t="s">
        <v>1958</v>
      </c>
      <c r="D9" s="853" t="s">
        <v>1959</v>
      </c>
      <c r="E9" s="854" t="s">
        <v>1960</v>
      </c>
      <c r="F9" s="855" t="s">
        <v>1961</v>
      </c>
    </row>
    <row r="10" spans="1:7" s="848" customFormat="1">
      <c r="A10" s="856"/>
      <c r="B10" s="857"/>
      <c r="C10" s="858"/>
      <c r="D10" s="859"/>
      <c r="E10" s="860"/>
      <c r="F10" s="861"/>
    </row>
    <row r="11" spans="1:7" s="864" customFormat="1" ht="15.6">
      <c r="A11" s="862">
        <v>1</v>
      </c>
      <c r="B11" s="1170" t="s">
        <v>1962</v>
      </c>
      <c r="C11" s="1170"/>
      <c r="D11" s="1170"/>
      <c r="E11" s="1170"/>
      <c r="F11" s="1170"/>
      <c r="G11" s="863"/>
    </row>
    <row r="12" spans="1:7" ht="15.6">
      <c r="A12" s="865"/>
      <c r="B12" s="866"/>
      <c r="C12" s="867"/>
      <c r="D12" s="868"/>
      <c r="E12" s="869"/>
      <c r="F12" s="870"/>
    </row>
    <row r="13" spans="1:7">
      <c r="A13" s="871" t="s">
        <v>1963</v>
      </c>
      <c r="B13" s="1169" t="s">
        <v>1964</v>
      </c>
      <c r="C13" s="1169"/>
      <c r="D13" s="1169"/>
      <c r="E13" s="1169"/>
      <c r="F13" s="1169"/>
    </row>
    <row r="14" spans="1:7" s="845" customFormat="1" ht="14.4">
      <c r="A14" s="872"/>
      <c r="B14" s="873"/>
      <c r="C14" s="874"/>
      <c r="D14" s="875"/>
      <c r="E14" s="870"/>
      <c r="F14" s="870"/>
    </row>
    <row r="15" spans="1:7" s="845" customFormat="1" ht="41.4">
      <c r="A15" s="872"/>
      <c r="B15" s="873" t="s">
        <v>1965</v>
      </c>
      <c r="C15" s="874"/>
      <c r="D15" s="875"/>
      <c r="E15" s="1120"/>
      <c r="F15" s="870"/>
    </row>
    <row r="16" spans="1:7" s="845" customFormat="1" ht="14.4">
      <c r="A16" s="872"/>
      <c r="B16" s="873"/>
      <c r="C16" s="874"/>
      <c r="D16" s="875"/>
      <c r="E16" s="1120"/>
      <c r="F16" s="870"/>
    </row>
    <row r="17" spans="1:6" s="845" customFormat="1" ht="43.95" customHeight="1">
      <c r="A17" s="872" t="s">
        <v>1966</v>
      </c>
      <c r="B17" s="873" t="s">
        <v>1967</v>
      </c>
      <c r="C17" s="874" t="s">
        <v>344</v>
      </c>
      <c r="D17" s="875">
        <v>32</v>
      </c>
      <c r="E17" s="1120">
        <v>5</v>
      </c>
      <c r="F17" s="472">
        <f>D17*E17</f>
        <v>160</v>
      </c>
    </row>
    <row r="18" spans="1:6" s="845" customFormat="1" ht="14.4">
      <c r="A18" s="872"/>
      <c r="B18" s="873"/>
      <c r="C18" s="874"/>
      <c r="D18" s="875"/>
      <c r="E18" s="1120"/>
      <c r="F18" s="870">
        <f t="shared" ref="F18:F36" si="0">D18*E18</f>
        <v>0</v>
      </c>
    </row>
    <row r="19" spans="1:6" s="845" customFormat="1" ht="74.400000000000006" customHeight="1">
      <c r="A19" s="872" t="s">
        <v>1968</v>
      </c>
      <c r="B19" s="873" t="s">
        <v>1969</v>
      </c>
      <c r="C19" s="874" t="s">
        <v>344</v>
      </c>
      <c r="D19" s="875">
        <v>32</v>
      </c>
      <c r="E19" s="1120">
        <v>10</v>
      </c>
      <c r="F19" s="472">
        <f t="shared" si="0"/>
        <v>320</v>
      </c>
    </row>
    <row r="20" spans="1:6" s="845" customFormat="1" ht="14.4">
      <c r="A20" s="872"/>
      <c r="B20" s="873"/>
      <c r="C20" s="874"/>
      <c r="D20" s="875"/>
      <c r="E20" s="1120"/>
      <c r="F20" s="472"/>
    </row>
    <row r="21" spans="1:6" s="845" customFormat="1" ht="69.75" customHeight="1">
      <c r="A21" s="872" t="s">
        <v>1970</v>
      </c>
      <c r="B21" s="873" t="s">
        <v>1971</v>
      </c>
      <c r="C21" s="874" t="s">
        <v>522</v>
      </c>
      <c r="D21" s="875">
        <v>16</v>
      </c>
      <c r="E21" s="1120">
        <v>30</v>
      </c>
      <c r="F21" s="472">
        <f t="shared" si="0"/>
        <v>480</v>
      </c>
    </row>
    <row r="22" spans="1:6" s="845" customFormat="1" ht="14.4">
      <c r="A22" s="872"/>
      <c r="B22" s="873"/>
      <c r="C22" s="874"/>
      <c r="D22" s="875"/>
      <c r="E22" s="1120"/>
      <c r="F22" s="870">
        <f t="shared" si="0"/>
        <v>0</v>
      </c>
    </row>
    <row r="23" spans="1:6" s="845" customFormat="1" ht="45" customHeight="1">
      <c r="A23" s="872" t="s">
        <v>1972</v>
      </c>
      <c r="B23" s="873" t="s">
        <v>1973</v>
      </c>
      <c r="C23" s="874" t="s">
        <v>503</v>
      </c>
      <c r="D23" s="875">
        <v>16</v>
      </c>
      <c r="E23" s="1120">
        <v>5</v>
      </c>
      <c r="F23" s="472">
        <f t="shared" si="0"/>
        <v>80</v>
      </c>
    </row>
    <row r="24" spans="1:6" s="845" customFormat="1" ht="14.4">
      <c r="A24" s="872"/>
      <c r="B24" s="873"/>
      <c r="C24" s="874"/>
      <c r="D24" s="875"/>
      <c r="E24" s="1120"/>
      <c r="F24" s="870">
        <f t="shared" si="0"/>
        <v>0</v>
      </c>
    </row>
    <row r="25" spans="1:6" s="845" customFormat="1" ht="42.75" customHeight="1">
      <c r="A25" s="872" t="s">
        <v>1974</v>
      </c>
      <c r="B25" s="873" t="s">
        <v>1975</v>
      </c>
      <c r="C25" s="874" t="s">
        <v>522</v>
      </c>
      <c r="D25" s="875">
        <v>2.4</v>
      </c>
      <c r="E25" s="1120">
        <v>50</v>
      </c>
      <c r="F25" s="472">
        <f t="shared" si="0"/>
        <v>120</v>
      </c>
    </row>
    <row r="26" spans="1:6" s="845" customFormat="1" ht="14.4">
      <c r="A26" s="872"/>
      <c r="B26" s="873"/>
      <c r="C26" s="874"/>
      <c r="D26" s="875"/>
      <c r="E26" s="1120"/>
      <c r="F26" s="870">
        <f t="shared" si="0"/>
        <v>0</v>
      </c>
    </row>
    <row r="27" spans="1:6" ht="69.75" customHeight="1">
      <c r="A27" s="872" t="s">
        <v>1976</v>
      </c>
      <c r="B27" s="873" t="s">
        <v>1977</v>
      </c>
      <c r="C27" s="874" t="s">
        <v>522</v>
      </c>
      <c r="D27" s="875">
        <v>4.8</v>
      </c>
      <c r="E27" s="1120">
        <v>50</v>
      </c>
      <c r="F27" s="472">
        <f t="shared" si="0"/>
        <v>240</v>
      </c>
    </row>
    <row r="28" spans="1:6" s="845" customFormat="1" ht="14.4">
      <c r="A28" s="872"/>
      <c r="B28" s="873"/>
      <c r="C28" s="874"/>
      <c r="D28" s="875"/>
      <c r="E28" s="1120"/>
      <c r="F28" s="870">
        <f t="shared" si="0"/>
        <v>0</v>
      </c>
    </row>
    <row r="29" spans="1:6" ht="97.5" customHeight="1">
      <c r="A29" s="872" t="s">
        <v>1978</v>
      </c>
      <c r="B29" s="873" t="s">
        <v>1979</v>
      </c>
      <c r="C29" s="874" t="s">
        <v>522</v>
      </c>
      <c r="D29" s="875">
        <v>9</v>
      </c>
      <c r="E29" s="1120">
        <v>20</v>
      </c>
      <c r="F29" s="472">
        <f t="shared" si="0"/>
        <v>180</v>
      </c>
    </row>
    <row r="30" spans="1:6" s="845" customFormat="1" ht="14.4">
      <c r="A30" s="872"/>
      <c r="B30" s="873"/>
      <c r="C30" s="874"/>
      <c r="D30" s="875"/>
      <c r="E30" s="1120"/>
      <c r="F30" s="870">
        <f t="shared" si="0"/>
        <v>0</v>
      </c>
    </row>
    <row r="31" spans="1:6" ht="41.4">
      <c r="A31" s="872" t="s">
        <v>1980</v>
      </c>
      <c r="B31" s="873" t="s">
        <v>1981</v>
      </c>
      <c r="C31" s="874" t="s">
        <v>503</v>
      </c>
      <c r="D31" s="875">
        <v>16</v>
      </c>
      <c r="E31" s="1120">
        <v>50</v>
      </c>
      <c r="F31" s="472">
        <f t="shared" si="0"/>
        <v>800</v>
      </c>
    </row>
    <row r="32" spans="1:6">
      <c r="A32" s="872"/>
      <c r="B32" s="873"/>
      <c r="C32" s="874"/>
      <c r="E32" s="1120"/>
      <c r="F32" s="870">
        <f t="shared" si="0"/>
        <v>0</v>
      </c>
    </row>
    <row r="33" spans="1:6" ht="55.2">
      <c r="A33" s="872" t="s">
        <v>1982</v>
      </c>
      <c r="B33" s="873" t="s">
        <v>1983</v>
      </c>
      <c r="C33" s="874" t="s">
        <v>522</v>
      </c>
      <c r="D33" s="875">
        <v>10</v>
      </c>
      <c r="E33" s="1120">
        <v>20</v>
      </c>
      <c r="F33" s="472">
        <f t="shared" si="0"/>
        <v>200</v>
      </c>
    </row>
    <row r="34" spans="1:6">
      <c r="A34" s="872"/>
      <c r="B34" s="873"/>
      <c r="C34" s="874"/>
      <c r="E34" s="1120"/>
      <c r="F34" s="870">
        <f t="shared" si="0"/>
        <v>0</v>
      </c>
    </row>
    <row r="35" spans="1:6" ht="86.25" customHeight="1">
      <c r="A35" s="872" t="s">
        <v>1984</v>
      </c>
      <c r="B35" s="873" t="s">
        <v>1985</v>
      </c>
      <c r="C35" s="874" t="s">
        <v>344</v>
      </c>
      <c r="D35" s="875">
        <v>32</v>
      </c>
      <c r="E35" s="1120">
        <v>4</v>
      </c>
      <c r="F35" s="472">
        <f t="shared" si="0"/>
        <v>128</v>
      </c>
    </row>
    <row r="36" spans="1:6">
      <c r="A36" s="872"/>
      <c r="B36" s="873"/>
      <c r="C36" s="874"/>
      <c r="E36" s="1120"/>
      <c r="F36" s="870">
        <f t="shared" si="0"/>
        <v>0</v>
      </c>
    </row>
    <row r="37" spans="1:6">
      <c r="A37" s="871" t="s">
        <v>1986</v>
      </c>
      <c r="B37" s="1169" t="s">
        <v>1987</v>
      </c>
      <c r="C37" s="1169"/>
      <c r="D37" s="1169"/>
      <c r="E37" s="1169"/>
      <c r="F37" s="1169"/>
    </row>
    <row r="38" spans="1:6">
      <c r="A38" s="872"/>
      <c r="B38" s="873"/>
      <c r="C38" s="874"/>
      <c r="E38" s="870"/>
      <c r="F38" s="870">
        <f>D38*E38</f>
        <v>0</v>
      </c>
    </row>
    <row r="39" spans="1:6" ht="85.5" customHeight="1">
      <c r="A39" s="872">
        <v>1</v>
      </c>
      <c r="B39" s="873" t="s">
        <v>1988</v>
      </c>
      <c r="C39" s="874"/>
      <c r="E39" s="1120"/>
      <c r="F39" s="870">
        <f t="shared" ref="F39:F69" si="1">D39*E39</f>
        <v>0</v>
      </c>
    </row>
    <row r="40" spans="1:6">
      <c r="A40" s="872"/>
      <c r="B40" s="873" t="s">
        <v>1989</v>
      </c>
      <c r="C40" s="874" t="s">
        <v>344</v>
      </c>
      <c r="D40" s="875">
        <v>32</v>
      </c>
      <c r="E40" s="1120">
        <v>40</v>
      </c>
      <c r="F40" s="472">
        <f t="shared" si="1"/>
        <v>1280</v>
      </c>
    </row>
    <row r="41" spans="1:6">
      <c r="A41" s="872"/>
      <c r="B41" s="873" t="s">
        <v>1990</v>
      </c>
      <c r="C41" s="874" t="s">
        <v>391</v>
      </c>
      <c r="D41" s="875">
        <v>3</v>
      </c>
      <c r="E41" s="1120">
        <v>40</v>
      </c>
      <c r="F41" s="472">
        <f t="shared" si="1"/>
        <v>120</v>
      </c>
    </row>
    <row r="42" spans="1:6">
      <c r="A42" s="872"/>
      <c r="B42" s="873"/>
      <c r="C42" s="874"/>
      <c r="E42" s="1120"/>
      <c r="F42" s="870">
        <f t="shared" si="1"/>
        <v>0</v>
      </c>
    </row>
    <row r="43" spans="1:6" ht="78.75" customHeight="1">
      <c r="A43" s="872">
        <v>2</v>
      </c>
      <c r="B43" s="873" t="s">
        <v>1991</v>
      </c>
      <c r="C43" s="874"/>
      <c r="E43" s="1120"/>
      <c r="F43" s="870">
        <f t="shared" si="1"/>
        <v>0</v>
      </c>
    </row>
    <row r="44" spans="1:6">
      <c r="A44" s="872"/>
      <c r="B44" s="873" t="s">
        <v>1992</v>
      </c>
      <c r="C44" s="874" t="s">
        <v>344</v>
      </c>
      <c r="D44" s="875">
        <v>3</v>
      </c>
      <c r="E44" s="1120">
        <v>50</v>
      </c>
      <c r="F44" s="472">
        <f t="shared" si="1"/>
        <v>150</v>
      </c>
    </row>
    <row r="45" spans="1:6">
      <c r="A45" s="872"/>
      <c r="B45" s="873"/>
      <c r="C45" s="874"/>
      <c r="E45" s="1120"/>
      <c r="F45" s="870">
        <f t="shared" si="1"/>
        <v>0</v>
      </c>
    </row>
    <row r="46" spans="1:6" ht="27.6">
      <c r="A46" s="872">
        <v>3</v>
      </c>
      <c r="B46" s="873" t="s">
        <v>1993</v>
      </c>
      <c r="C46" s="874"/>
      <c r="E46" s="1120"/>
      <c r="F46" s="870">
        <f t="shared" si="1"/>
        <v>0</v>
      </c>
    </row>
    <row r="47" spans="1:6">
      <c r="A47" s="872"/>
      <c r="B47" s="873" t="s">
        <v>1994</v>
      </c>
      <c r="C47" s="874" t="s">
        <v>391</v>
      </c>
      <c r="D47" s="875">
        <v>1</v>
      </c>
      <c r="E47" s="1120">
        <v>800</v>
      </c>
      <c r="F47" s="472">
        <f t="shared" si="1"/>
        <v>800</v>
      </c>
    </row>
    <row r="48" spans="1:6">
      <c r="A48" s="872"/>
      <c r="B48" s="873"/>
      <c r="C48" s="874"/>
      <c r="E48" s="1120"/>
      <c r="F48" s="870">
        <f t="shared" si="1"/>
        <v>0</v>
      </c>
    </row>
    <row r="49" spans="1:6">
      <c r="A49" s="872">
        <v>4</v>
      </c>
      <c r="B49" s="873" t="s">
        <v>1995</v>
      </c>
      <c r="C49" s="874"/>
      <c r="E49" s="1120"/>
      <c r="F49" s="870">
        <f t="shared" si="1"/>
        <v>0</v>
      </c>
    </row>
    <row r="50" spans="1:6">
      <c r="A50" s="872"/>
      <c r="B50" s="873" t="s">
        <v>1996</v>
      </c>
      <c r="C50" s="874" t="s">
        <v>391</v>
      </c>
      <c r="D50" s="875">
        <v>1</v>
      </c>
      <c r="E50" s="1120">
        <v>80</v>
      </c>
      <c r="F50" s="472">
        <f t="shared" si="1"/>
        <v>80</v>
      </c>
    </row>
    <row r="51" spans="1:6">
      <c r="A51" s="872"/>
      <c r="B51" s="873"/>
      <c r="C51" s="874"/>
      <c r="E51" s="1120"/>
      <c r="F51" s="870">
        <f t="shared" si="1"/>
        <v>0</v>
      </c>
    </row>
    <row r="52" spans="1:6">
      <c r="A52" s="872">
        <v>5</v>
      </c>
      <c r="B52" s="873" t="s">
        <v>1997</v>
      </c>
      <c r="C52" s="874"/>
      <c r="E52" s="1120"/>
      <c r="F52" s="870">
        <f t="shared" si="1"/>
        <v>0</v>
      </c>
    </row>
    <row r="53" spans="1:6">
      <c r="A53" s="872"/>
      <c r="B53" s="873" t="s">
        <v>1998</v>
      </c>
      <c r="C53" s="874" t="s">
        <v>391</v>
      </c>
      <c r="D53" s="875">
        <v>2</v>
      </c>
      <c r="E53" s="1120">
        <v>80</v>
      </c>
      <c r="F53" s="472">
        <f t="shared" si="1"/>
        <v>160</v>
      </c>
    </row>
    <row r="54" spans="1:6">
      <c r="A54" s="872"/>
      <c r="B54" s="873"/>
      <c r="C54" s="874"/>
      <c r="E54" s="1120"/>
      <c r="F54" s="870">
        <f t="shared" si="1"/>
        <v>0</v>
      </c>
    </row>
    <row r="55" spans="1:6" s="876" customFormat="1" ht="32.4" customHeight="1">
      <c r="A55" s="872">
        <v>6</v>
      </c>
      <c r="B55" s="873" t="s">
        <v>1999</v>
      </c>
      <c r="C55" s="874"/>
      <c r="D55" s="875"/>
      <c r="E55" s="1120"/>
      <c r="F55" s="870">
        <f t="shared" si="1"/>
        <v>0</v>
      </c>
    </row>
    <row r="56" spans="1:6">
      <c r="A56" s="872"/>
      <c r="B56" s="873" t="s">
        <v>2000</v>
      </c>
      <c r="C56" s="874" t="s">
        <v>391</v>
      </c>
      <c r="D56" s="875">
        <v>1</v>
      </c>
      <c r="E56" s="1120">
        <v>150</v>
      </c>
      <c r="F56" s="472">
        <f t="shared" si="1"/>
        <v>150</v>
      </c>
    </row>
    <row r="57" spans="1:6">
      <c r="A57" s="872"/>
      <c r="B57" s="873"/>
      <c r="C57" s="874"/>
      <c r="E57" s="1120"/>
      <c r="F57" s="870">
        <f t="shared" si="1"/>
        <v>0</v>
      </c>
    </row>
    <row r="58" spans="1:6" s="877" customFormat="1" ht="46.5" customHeight="1">
      <c r="A58" s="872">
        <v>7</v>
      </c>
      <c r="B58" s="873" t="s">
        <v>2001</v>
      </c>
      <c r="C58" s="874" t="s">
        <v>391</v>
      </c>
      <c r="D58" s="875">
        <v>1</v>
      </c>
      <c r="E58" s="1120">
        <v>500</v>
      </c>
      <c r="F58" s="472">
        <f t="shared" si="1"/>
        <v>500</v>
      </c>
    </row>
    <row r="59" spans="1:6" s="686" customFormat="1">
      <c r="A59" s="872"/>
      <c r="B59" s="873"/>
      <c r="C59" s="874"/>
      <c r="D59" s="875"/>
      <c r="E59" s="1120"/>
      <c r="F59" s="870">
        <f t="shared" si="1"/>
        <v>0</v>
      </c>
    </row>
    <row r="60" spans="1:6" ht="29.4" customHeight="1">
      <c r="A60" s="872" t="s">
        <v>1980</v>
      </c>
      <c r="B60" s="873" t="s">
        <v>2002</v>
      </c>
      <c r="C60" s="874" t="s">
        <v>391</v>
      </c>
      <c r="D60" s="875">
        <v>1</v>
      </c>
      <c r="E60" s="1120">
        <v>500</v>
      </c>
      <c r="F60" s="472">
        <f t="shared" si="1"/>
        <v>500</v>
      </c>
    </row>
    <row r="61" spans="1:6">
      <c r="A61" s="872"/>
      <c r="B61" s="873"/>
      <c r="C61" s="874"/>
      <c r="E61" s="1120"/>
      <c r="F61" s="870">
        <f t="shared" si="1"/>
        <v>0</v>
      </c>
    </row>
    <row r="62" spans="1:6">
      <c r="A62" s="872">
        <v>9</v>
      </c>
      <c r="B62" s="873" t="s">
        <v>2003</v>
      </c>
      <c r="C62" s="874" t="s">
        <v>344</v>
      </c>
      <c r="D62" s="875">
        <v>32</v>
      </c>
      <c r="E62" s="1120">
        <v>3</v>
      </c>
      <c r="F62" s="472">
        <f t="shared" si="1"/>
        <v>96</v>
      </c>
    </row>
    <row r="63" spans="1:6">
      <c r="A63" s="872"/>
      <c r="B63" s="873"/>
      <c r="C63" s="874"/>
      <c r="E63" s="1120"/>
      <c r="F63" s="870">
        <f t="shared" si="1"/>
        <v>0</v>
      </c>
    </row>
    <row r="64" spans="1:6">
      <c r="A64" s="872">
        <v>10</v>
      </c>
      <c r="B64" s="873" t="s">
        <v>2004</v>
      </c>
      <c r="C64" s="874" t="s">
        <v>344</v>
      </c>
      <c r="D64" s="875">
        <v>32</v>
      </c>
      <c r="E64" s="1120">
        <v>3</v>
      </c>
      <c r="F64" s="472">
        <f t="shared" si="1"/>
        <v>96</v>
      </c>
    </row>
    <row r="65" spans="1:6">
      <c r="A65" s="872"/>
      <c r="B65" s="873"/>
      <c r="C65" s="874"/>
      <c r="E65" s="1120"/>
      <c r="F65" s="870">
        <f t="shared" si="1"/>
        <v>0</v>
      </c>
    </row>
    <row r="66" spans="1:6">
      <c r="A66" s="872" t="s">
        <v>2005</v>
      </c>
      <c r="B66" s="873" t="s">
        <v>2006</v>
      </c>
      <c r="C66" s="874" t="s">
        <v>344</v>
      </c>
      <c r="D66" s="875">
        <v>32</v>
      </c>
      <c r="E66" s="1120">
        <v>30</v>
      </c>
      <c r="F66" s="472">
        <f t="shared" si="1"/>
        <v>960</v>
      </c>
    </row>
    <row r="67" spans="1:6">
      <c r="A67" s="872"/>
      <c r="B67" s="873"/>
      <c r="C67" s="874"/>
      <c r="E67" s="1120"/>
      <c r="F67" s="870">
        <f t="shared" si="1"/>
        <v>0</v>
      </c>
    </row>
    <row r="68" spans="1:6" ht="54" customHeight="1">
      <c r="A68" s="872">
        <v>12</v>
      </c>
      <c r="B68" s="873" t="s">
        <v>2007</v>
      </c>
      <c r="C68" s="874" t="s">
        <v>942</v>
      </c>
      <c r="D68" s="875">
        <v>1</v>
      </c>
      <c r="E68" s="1120">
        <v>500</v>
      </c>
      <c r="F68" s="472">
        <f t="shared" si="1"/>
        <v>500</v>
      </c>
    </row>
    <row r="69" spans="1:6">
      <c r="A69" s="872"/>
      <c r="B69" s="873"/>
      <c r="C69" s="874"/>
      <c r="E69" s="870"/>
      <c r="F69" s="870">
        <f t="shared" si="1"/>
        <v>0</v>
      </c>
    </row>
    <row r="70" spans="1:6">
      <c r="A70" s="871" t="s">
        <v>2008</v>
      </c>
      <c r="B70" s="1169" t="s">
        <v>2009</v>
      </c>
      <c r="C70" s="1169"/>
      <c r="D70" s="1169"/>
      <c r="E70" s="1169"/>
      <c r="F70" s="1169"/>
    </row>
    <row r="71" spans="1:6" s="686" customFormat="1">
      <c r="A71" s="872"/>
      <c r="B71" s="873"/>
      <c r="C71" s="874"/>
      <c r="D71" s="875"/>
      <c r="E71" s="870"/>
      <c r="F71" s="870">
        <f>D71*E71</f>
        <v>0</v>
      </c>
    </row>
    <row r="72" spans="1:6" s="845" customFormat="1" ht="82.5" customHeight="1">
      <c r="A72" s="872">
        <v>1</v>
      </c>
      <c r="B72" s="873" t="s">
        <v>2010</v>
      </c>
      <c r="C72" s="874"/>
      <c r="D72" s="875"/>
      <c r="E72" s="1120"/>
      <c r="F72" s="870">
        <f t="shared" ref="F72:F93" si="2">D72*E72</f>
        <v>0</v>
      </c>
    </row>
    <row r="73" spans="1:6">
      <c r="A73" s="872"/>
      <c r="B73" s="873" t="s">
        <v>2011</v>
      </c>
      <c r="C73" s="874" t="s">
        <v>344</v>
      </c>
      <c r="D73" s="875">
        <v>10</v>
      </c>
      <c r="E73" s="1120">
        <v>60</v>
      </c>
      <c r="F73" s="472">
        <f t="shared" si="2"/>
        <v>600</v>
      </c>
    </row>
    <row r="74" spans="1:6">
      <c r="A74" s="872"/>
      <c r="B74" s="873" t="s">
        <v>2012</v>
      </c>
      <c r="C74" s="874" t="s">
        <v>344</v>
      </c>
      <c r="D74" s="875">
        <v>20</v>
      </c>
      <c r="E74" s="1120">
        <v>50</v>
      </c>
      <c r="F74" s="472">
        <f t="shared" si="2"/>
        <v>1000</v>
      </c>
    </row>
    <row r="75" spans="1:6">
      <c r="A75" s="872"/>
      <c r="B75" s="873" t="s">
        <v>2013</v>
      </c>
      <c r="C75" s="874" t="s">
        <v>344</v>
      </c>
      <c r="D75" s="875">
        <v>12</v>
      </c>
      <c r="E75" s="1120">
        <v>40</v>
      </c>
      <c r="F75" s="472">
        <f t="shared" si="2"/>
        <v>480</v>
      </c>
    </row>
    <row r="76" spans="1:6">
      <c r="A76" s="872"/>
      <c r="B76" s="873" t="s">
        <v>1992</v>
      </c>
      <c r="C76" s="874" t="s">
        <v>344</v>
      </c>
      <c r="D76" s="875">
        <v>10</v>
      </c>
      <c r="E76" s="1120">
        <v>30</v>
      </c>
      <c r="F76" s="472">
        <f t="shared" si="2"/>
        <v>300</v>
      </c>
    </row>
    <row r="77" spans="1:6">
      <c r="A77" s="872"/>
      <c r="B77" s="873"/>
      <c r="C77" s="874"/>
      <c r="E77" s="1120"/>
      <c r="F77" s="870">
        <f t="shared" si="2"/>
        <v>0</v>
      </c>
    </row>
    <row r="78" spans="1:6" ht="41.4">
      <c r="A78" s="872">
        <v>2</v>
      </c>
      <c r="B78" s="873" t="s">
        <v>2014</v>
      </c>
      <c r="C78" s="874"/>
      <c r="E78" s="1120"/>
      <c r="F78" s="870">
        <f t="shared" si="2"/>
        <v>0</v>
      </c>
    </row>
    <row r="79" spans="1:6">
      <c r="A79" s="872"/>
      <c r="B79" s="873" t="s">
        <v>1992</v>
      </c>
      <c r="C79" s="874" t="s">
        <v>344</v>
      </c>
      <c r="D79" s="875">
        <v>95</v>
      </c>
      <c r="E79" s="1120">
        <v>30</v>
      </c>
      <c r="F79" s="472">
        <f t="shared" si="2"/>
        <v>2850</v>
      </c>
    </row>
    <row r="80" spans="1:6">
      <c r="A80" s="872"/>
      <c r="B80" s="873"/>
      <c r="C80" s="874"/>
      <c r="E80" s="1120"/>
      <c r="F80" s="870">
        <f t="shared" si="2"/>
        <v>0</v>
      </c>
    </row>
    <row r="81" spans="1:6" ht="27.6">
      <c r="A81" s="872">
        <v>3</v>
      </c>
      <c r="B81" s="873" t="s">
        <v>2015</v>
      </c>
      <c r="C81" s="874" t="s">
        <v>391</v>
      </c>
      <c r="D81" s="875">
        <v>18</v>
      </c>
      <c r="E81" s="1120">
        <v>150</v>
      </c>
      <c r="F81" s="472">
        <f t="shared" si="2"/>
        <v>2700</v>
      </c>
    </row>
    <row r="82" spans="1:6">
      <c r="A82" s="872"/>
      <c r="B82" s="873"/>
      <c r="C82" s="874"/>
      <c r="E82" s="1120"/>
      <c r="F82" s="870">
        <f t="shared" si="2"/>
        <v>0</v>
      </c>
    </row>
    <row r="83" spans="1:6" ht="28.5" customHeight="1">
      <c r="A83" s="872">
        <v>4</v>
      </c>
      <c r="B83" s="873" t="s">
        <v>2016</v>
      </c>
      <c r="C83" s="874" t="s">
        <v>391</v>
      </c>
      <c r="D83" s="875">
        <v>18</v>
      </c>
      <c r="E83" s="1120">
        <v>250</v>
      </c>
      <c r="F83" s="472">
        <f t="shared" si="2"/>
        <v>4500</v>
      </c>
    </row>
    <row r="84" spans="1:6">
      <c r="A84" s="872"/>
      <c r="B84" s="873"/>
      <c r="C84" s="874"/>
      <c r="E84" s="1120"/>
      <c r="F84" s="870">
        <f t="shared" si="2"/>
        <v>0</v>
      </c>
    </row>
    <row r="85" spans="1:6" ht="87" customHeight="1">
      <c r="A85" s="872">
        <v>5</v>
      </c>
      <c r="B85" s="873" t="s">
        <v>2017</v>
      </c>
      <c r="C85" s="874" t="s">
        <v>391</v>
      </c>
      <c r="D85" s="875">
        <v>18</v>
      </c>
      <c r="E85" s="1120">
        <v>350</v>
      </c>
      <c r="F85" s="472">
        <f t="shared" si="2"/>
        <v>6300</v>
      </c>
    </row>
    <row r="86" spans="1:6">
      <c r="A86" s="872"/>
      <c r="B86" s="873"/>
      <c r="C86" s="874"/>
      <c r="E86" s="1120"/>
      <c r="F86" s="870">
        <f t="shared" si="2"/>
        <v>0</v>
      </c>
    </row>
    <row r="87" spans="1:6" ht="39.75" customHeight="1">
      <c r="A87" s="872">
        <v>6</v>
      </c>
      <c r="B87" s="873" t="s">
        <v>2018</v>
      </c>
      <c r="C87" s="874"/>
      <c r="E87" s="1120"/>
      <c r="F87" s="870">
        <f t="shared" si="2"/>
        <v>0</v>
      </c>
    </row>
    <row r="88" spans="1:6">
      <c r="A88" s="872"/>
      <c r="B88" s="873" t="s">
        <v>2019</v>
      </c>
      <c r="C88" s="874" t="s">
        <v>391</v>
      </c>
      <c r="D88" s="875">
        <v>18</v>
      </c>
      <c r="E88" s="1120">
        <v>250</v>
      </c>
      <c r="F88" s="472">
        <f t="shared" si="2"/>
        <v>4500</v>
      </c>
    </row>
    <row r="89" spans="1:6">
      <c r="A89" s="872"/>
      <c r="B89" s="873"/>
      <c r="C89" s="874"/>
      <c r="E89" s="1120"/>
      <c r="F89" s="870">
        <f t="shared" si="2"/>
        <v>0</v>
      </c>
    </row>
    <row r="90" spans="1:6" ht="52.2" customHeight="1">
      <c r="A90" s="872">
        <v>7</v>
      </c>
      <c r="B90" s="873" t="s">
        <v>2020</v>
      </c>
      <c r="C90" s="874" t="s">
        <v>391</v>
      </c>
      <c r="D90" s="875">
        <v>36</v>
      </c>
      <c r="E90" s="1120">
        <v>50</v>
      </c>
      <c r="F90" s="472">
        <f t="shared" si="2"/>
        <v>1800</v>
      </c>
    </row>
    <row r="91" spans="1:6">
      <c r="A91" s="872"/>
      <c r="B91" s="873"/>
      <c r="C91" s="874"/>
      <c r="E91" s="1120"/>
      <c r="F91" s="870">
        <f t="shared" si="2"/>
        <v>0</v>
      </c>
    </row>
    <row r="92" spans="1:6" ht="45.75" customHeight="1">
      <c r="A92" s="872">
        <v>8</v>
      </c>
      <c r="B92" s="873" t="s">
        <v>2021</v>
      </c>
      <c r="C92" s="874" t="s">
        <v>942</v>
      </c>
      <c r="D92" s="875">
        <v>1</v>
      </c>
      <c r="E92" s="1120">
        <v>4500</v>
      </c>
      <c r="F92" s="472">
        <f t="shared" si="2"/>
        <v>4500</v>
      </c>
    </row>
    <row r="93" spans="1:6">
      <c r="A93" s="872"/>
      <c r="B93" s="873"/>
      <c r="C93" s="874"/>
      <c r="E93" s="1120"/>
      <c r="F93" s="870">
        <f t="shared" si="2"/>
        <v>0</v>
      </c>
    </row>
    <row r="94" spans="1:6" s="845" customFormat="1">
      <c r="A94" s="871" t="s">
        <v>2022</v>
      </c>
      <c r="B94" s="1169" t="s">
        <v>2023</v>
      </c>
      <c r="C94" s="1169"/>
      <c r="D94" s="1169"/>
      <c r="E94" s="1169"/>
      <c r="F94" s="1169"/>
    </row>
    <row r="95" spans="1:6">
      <c r="A95" s="872"/>
      <c r="B95" s="873"/>
      <c r="C95" s="874"/>
      <c r="E95" s="870"/>
      <c r="F95" s="870">
        <f>D95*E95</f>
        <v>0</v>
      </c>
    </row>
    <row r="96" spans="1:6" ht="53.25" customHeight="1">
      <c r="A96" s="872" t="s">
        <v>1966</v>
      </c>
      <c r="B96" s="873" t="s">
        <v>2024</v>
      </c>
      <c r="C96" s="874"/>
      <c r="E96" s="1120"/>
      <c r="F96" s="870">
        <f t="shared" ref="F96:F106" si="3">D96*E96</f>
        <v>0</v>
      </c>
    </row>
    <row r="97" spans="1:6">
      <c r="A97" s="872"/>
      <c r="B97" s="873" t="s">
        <v>2000</v>
      </c>
      <c r="C97" s="874" t="s">
        <v>344</v>
      </c>
      <c r="D97" s="875">
        <v>20</v>
      </c>
      <c r="E97" s="1120">
        <v>40</v>
      </c>
      <c r="F97" s="472">
        <f t="shared" si="3"/>
        <v>800</v>
      </c>
    </row>
    <row r="98" spans="1:6">
      <c r="A98" s="872"/>
      <c r="B98" s="873" t="s">
        <v>2025</v>
      </c>
      <c r="C98" s="874" t="s">
        <v>344</v>
      </c>
      <c r="D98" s="875">
        <v>80</v>
      </c>
      <c r="E98" s="1120">
        <v>30</v>
      </c>
      <c r="F98" s="472">
        <f t="shared" si="3"/>
        <v>2400</v>
      </c>
    </row>
    <row r="99" spans="1:6">
      <c r="A99" s="872"/>
      <c r="B99" s="873" t="s">
        <v>2026</v>
      </c>
      <c r="C99" s="874" t="s">
        <v>344</v>
      </c>
      <c r="D99" s="875">
        <v>180</v>
      </c>
      <c r="E99" s="1120">
        <v>20</v>
      </c>
      <c r="F99" s="472">
        <f t="shared" si="3"/>
        <v>3600</v>
      </c>
    </row>
    <row r="100" spans="1:6">
      <c r="A100" s="872"/>
      <c r="B100" s="873"/>
      <c r="C100" s="874"/>
      <c r="E100" s="1120"/>
      <c r="F100" s="870">
        <f t="shared" si="3"/>
        <v>0</v>
      </c>
    </row>
    <row r="101" spans="1:6" ht="27.6">
      <c r="A101" s="872" t="s">
        <v>1968</v>
      </c>
      <c r="B101" s="873" t="s">
        <v>2027</v>
      </c>
      <c r="C101" s="874"/>
      <c r="E101" s="1120"/>
      <c r="F101" s="870">
        <f t="shared" si="3"/>
        <v>0</v>
      </c>
    </row>
    <row r="102" spans="1:6">
      <c r="A102" s="872"/>
      <c r="B102" s="873" t="s">
        <v>2026</v>
      </c>
      <c r="C102" s="874" t="s">
        <v>391</v>
      </c>
      <c r="D102" s="875">
        <v>18</v>
      </c>
      <c r="E102" s="1120">
        <v>150</v>
      </c>
      <c r="F102" s="472">
        <f t="shared" si="3"/>
        <v>2700</v>
      </c>
    </row>
    <row r="103" spans="1:6">
      <c r="A103" s="872"/>
      <c r="B103" s="873" t="s">
        <v>2025</v>
      </c>
      <c r="C103" s="874" t="s">
        <v>391</v>
      </c>
      <c r="D103" s="875">
        <v>18</v>
      </c>
      <c r="E103" s="1120">
        <v>150</v>
      </c>
      <c r="F103" s="472">
        <f t="shared" si="3"/>
        <v>2700</v>
      </c>
    </row>
    <row r="104" spans="1:6">
      <c r="A104" s="872"/>
      <c r="B104" s="873"/>
      <c r="C104" s="874"/>
      <c r="E104" s="1120"/>
      <c r="F104" s="870">
        <f t="shared" si="3"/>
        <v>0</v>
      </c>
    </row>
    <row r="105" spans="1:6" ht="40.5" customHeight="1">
      <c r="A105" s="872" t="s">
        <v>1970</v>
      </c>
      <c r="B105" s="873" t="s">
        <v>2028</v>
      </c>
      <c r="C105" s="874" t="s">
        <v>391</v>
      </c>
      <c r="D105" s="875">
        <v>35</v>
      </c>
      <c r="E105" s="1120">
        <v>50</v>
      </c>
      <c r="F105" s="472">
        <f t="shared" si="3"/>
        <v>1750</v>
      </c>
    </row>
    <row r="106" spans="1:6">
      <c r="A106" s="872"/>
      <c r="B106" s="873"/>
      <c r="C106" s="874"/>
      <c r="E106" s="1120"/>
      <c r="F106" s="870">
        <f t="shared" si="3"/>
        <v>0</v>
      </c>
    </row>
    <row r="107" spans="1:6" s="845" customFormat="1">
      <c r="A107" s="871" t="s">
        <v>2029</v>
      </c>
      <c r="B107" s="1169" t="s">
        <v>2030</v>
      </c>
      <c r="C107" s="1169"/>
      <c r="D107" s="1169"/>
      <c r="E107" s="1169"/>
      <c r="F107" s="1169"/>
    </row>
    <row r="108" spans="1:6">
      <c r="A108" s="872"/>
      <c r="B108" s="873"/>
      <c r="C108" s="874"/>
      <c r="E108" s="870"/>
      <c r="F108" s="870">
        <f>D108*E108</f>
        <v>0</v>
      </c>
    </row>
    <row r="109" spans="1:6" ht="59.25" customHeight="1">
      <c r="A109" s="872">
        <v>1</v>
      </c>
      <c r="B109" s="873" t="s">
        <v>2031</v>
      </c>
      <c r="C109" s="874" t="s">
        <v>391</v>
      </c>
      <c r="D109" s="875">
        <v>18</v>
      </c>
      <c r="E109" s="1120">
        <v>300</v>
      </c>
      <c r="F109" s="472">
        <f t="shared" ref="F109:F114" si="4">D109*E109</f>
        <v>5400</v>
      </c>
    </row>
    <row r="110" spans="1:6">
      <c r="A110" s="872"/>
      <c r="B110" s="873"/>
      <c r="C110" s="874"/>
      <c r="E110" s="1120"/>
      <c r="F110" s="870">
        <f t="shared" si="4"/>
        <v>0</v>
      </c>
    </row>
    <row r="111" spans="1:6" ht="55.2">
      <c r="A111" s="872" t="s">
        <v>1968</v>
      </c>
      <c r="B111" s="873" t="s">
        <v>2032</v>
      </c>
      <c r="C111" s="874" t="s">
        <v>942</v>
      </c>
      <c r="D111" s="875">
        <v>12</v>
      </c>
      <c r="E111" s="1120">
        <v>250</v>
      </c>
      <c r="F111" s="472">
        <f t="shared" si="4"/>
        <v>3000</v>
      </c>
    </row>
    <row r="112" spans="1:6">
      <c r="A112" s="872"/>
      <c r="B112" s="873"/>
      <c r="C112" s="874"/>
      <c r="E112" s="1120"/>
      <c r="F112" s="870">
        <f t="shared" si="4"/>
        <v>0</v>
      </c>
    </row>
    <row r="113" spans="1:6" ht="55.2">
      <c r="A113" s="872" t="s">
        <v>1970</v>
      </c>
      <c r="B113" s="873" t="s">
        <v>2033</v>
      </c>
      <c r="C113" s="874" t="s">
        <v>503</v>
      </c>
      <c r="D113" s="875">
        <v>24</v>
      </c>
      <c r="E113" s="1120">
        <v>30</v>
      </c>
      <c r="F113" s="472">
        <f t="shared" si="4"/>
        <v>720</v>
      </c>
    </row>
    <row r="114" spans="1:6">
      <c r="A114" s="872"/>
      <c r="B114" s="873"/>
      <c r="C114" s="874"/>
      <c r="E114" s="1120"/>
      <c r="F114" s="870">
        <f t="shared" si="4"/>
        <v>0</v>
      </c>
    </row>
    <row r="115" spans="1:6" s="845" customFormat="1">
      <c r="A115" s="871" t="s">
        <v>1966</v>
      </c>
      <c r="B115" s="878" t="s">
        <v>1962</v>
      </c>
      <c r="C115" s="1166" t="s">
        <v>2034</v>
      </c>
      <c r="D115" s="1166"/>
      <c r="E115" s="1166"/>
      <c r="F115" s="994">
        <f>SUM(F17:F114)</f>
        <v>60700</v>
      </c>
    </row>
    <row r="116" spans="1:6">
      <c r="A116" s="872"/>
      <c r="B116" s="873"/>
      <c r="C116" s="874"/>
      <c r="E116" s="870"/>
      <c r="F116" s="870"/>
    </row>
    <row r="117" spans="1:6" ht="15.6">
      <c r="A117" s="862">
        <v>2</v>
      </c>
      <c r="B117" s="1170" t="s">
        <v>2035</v>
      </c>
      <c r="C117" s="1170"/>
      <c r="D117" s="1170"/>
      <c r="E117" s="1170"/>
      <c r="F117" s="1170"/>
    </row>
    <row r="118" spans="1:6" s="879" customFormat="1" ht="13.5" customHeight="1">
      <c r="A118" s="865"/>
      <c r="B118" s="866"/>
      <c r="C118" s="867"/>
      <c r="D118" s="868"/>
      <c r="E118" s="869"/>
      <c r="F118" s="870">
        <f>D118*E118</f>
        <v>0</v>
      </c>
    </row>
    <row r="119" spans="1:6" ht="14.25" customHeight="1">
      <c r="A119" s="872">
        <v>1</v>
      </c>
      <c r="B119" s="873" t="s">
        <v>2036</v>
      </c>
      <c r="C119" s="874"/>
      <c r="E119" s="870"/>
      <c r="F119" s="870">
        <f>D119*E119</f>
        <v>0</v>
      </c>
    </row>
    <row r="120" spans="1:6">
      <c r="A120" s="872"/>
      <c r="B120" s="873" t="s">
        <v>2037</v>
      </c>
      <c r="C120" s="874"/>
      <c r="E120" s="1120"/>
      <c r="F120" s="870">
        <f t="shared" ref="F120:F183" si="5">D120*E120</f>
        <v>0</v>
      </c>
    </row>
    <row r="121" spans="1:6">
      <c r="A121" s="872"/>
      <c r="B121" s="873" t="s">
        <v>2038</v>
      </c>
      <c r="C121" s="874"/>
      <c r="E121" s="1120"/>
      <c r="F121" s="870">
        <f t="shared" si="5"/>
        <v>0</v>
      </c>
    </row>
    <row r="122" spans="1:6" ht="27.6">
      <c r="A122" s="872"/>
      <c r="B122" s="873" t="s">
        <v>2039</v>
      </c>
      <c r="C122" s="874"/>
      <c r="E122" s="1120"/>
      <c r="F122" s="870">
        <f t="shared" si="5"/>
        <v>0</v>
      </c>
    </row>
    <row r="123" spans="1:6" ht="55.2">
      <c r="A123" s="872"/>
      <c r="B123" s="873" t="s">
        <v>2040</v>
      </c>
      <c r="C123" s="874"/>
      <c r="E123" s="1120"/>
      <c r="F123" s="870">
        <f t="shared" si="5"/>
        <v>0</v>
      </c>
    </row>
    <row r="124" spans="1:6" ht="27.6">
      <c r="A124" s="872"/>
      <c r="B124" s="873" t="s">
        <v>2041</v>
      </c>
      <c r="C124" s="874"/>
      <c r="E124" s="1120"/>
      <c r="F124" s="870">
        <f t="shared" si="5"/>
        <v>0</v>
      </c>
    </row>
    <row r="125" spans="1:6" ht="27.6">
      <c r="A125" s="872"/>
      <c r="B125" s="873" t="s">
        <v>2042</v>
      </c>
      <c r="C125" s="874"/>
      <c r="E125" s="1120"/>
      <c r="F125" s="870">
        <f t="shared" si="5"/>
        <v>0</v>
      </c>
    </row>
    <row r="126" spans="1:6" ht="41.25" customHeight="1">
      <c r="A126" s="872"/>
      <c r="B126" s="873" t="s">
        <v>2043</v>
      </c>
      <c r="C126" s="874"/>
      <c r="E126" s="1120"/>
      <c r="F126" s="870">
        <f t="shared" si="5"/>
        <v>0</v>
      </c>
    </row>
    <row r="127" spans="1:6" ht="27.6">
      <c r="A127" s="872"/>
      <c r="B127" s="873" t="s">
        <v>2044</v>
      </c>
      <c r="C127" s="874"/>
      <c r="E127" s="1120"/>
      <c r="F127" s="870">
        <f t="shared" si="5"/>
        <v>0</v>
      </c>
    </row>
    <row r="128" spans="1:6" ht="17.25" customHeight="1">
      <c r="A128" s="872"/>
      <c r="B128" s="873" t="s">
        <v>2045</v>
      </c>
      <c r="C128" s="874"/>
      <c r="E128" s="1120"/>
      <c r="F128" s="870">
        <f t="shared" si="5"/>
        <v>0</v>
      </c>
    </row>
    <row r="129" spans="1:6" ht="15.75" customHeight="1">
      <c r="A129" s="872"/>
      <c r="B129" s="873" t="s">
        <v>2046</v>
      </c>
      <c r="C129" s="874"/>
      <c r="E129" s="1120"/>
      <c r="F129" s="870">
        <f t="shared" si="5"/>
        <v>0</v>
      </c>
    </row>
    <row r="130" spans="1:6">
      <c r="A130" s="872"/>
      <c r="B130" s="873" t="s">
        <v>2047</v>
      </c>
      <c r="C130" s="874"/>
      <c r="E130" s="1120"/>
      <c r="F130" s="870">
        <f t="shared" si="5"/>
        <v>0</v>
      </c>
    </row>
    <row r="131" spans="1:6">
      <c r="A131" s="872"/>
      <c r="B131" s="873" t="s">
        <v>2048</v>
      </c>
      <c r="C131" s="874"/>
      <c r="E131" s="1120"/>
      <c r="F131" s="870">
        <f t="shared" si="5"/>
        <v>0</v>
      </c>
    </row>
    <row r="132" spans="1:6">
      <c r="A132" s="872"/>
      <c r="B132" s="873" t="s">
        <v>2049</v>
      </c>
      <c r="C132" s="874"/>
      <c r="E132" s="1120"/>
      <c r="F132" s="870">
        <f t="shared" si="5"/>
        <v>0</v>
      </c>
    </row>
    <row r="133" spans="1:6">
      <c r="A133" s="872"/>
      <c r="B133" s="873" t="s">
        <v>2050</v>
      </c>
      <c r="C133" s="874"/>
      <c r="E133" s="1120"/>
      <c r="F133" s="870">
        <f t="shared" si="5"/>
        <v>0</v>
      </c>
    </row>
    <row r="134" spans="1:6">
      <c r="A134" s="872"/>
      <c r="B134" s="873" t="s">
        <v>2051</v>
      </c>
      <c r="C134" s="874"/>
      <c r="E134" s="1120"/>
      <c r="F134" s="870">
        <f t="shared" si="5"/>
        <v>0</v>
      </c>
    </row>
    <row r="135" spans="1:6">
      <c r="A135" s="872"/>
      <c r="B135" s="873" t="s">
        <v>2052</v>
      </c>
      <c r="C135" s="874"/>
      <c r="E135" s="1120"/>
      <c r="F135" s="870">
        <f t="shared" si="5"/>
        <v>0</v>
      </c>
    </row>
    <row r="136" spans="1:6">
      <c r="A136" s="872"/>
      <c r="B136" s="873" t="s">
        <v>2053</v>
      </c>
      <c r="C136" s="874"/>
      <c r="E136" s="1120"/>
      <c r="F136" s="870">
        <f t="shared" si="5"/>
        <v>0</v>
      </c>
    </row>
    <row r="137" spans="1:6">
      <c r="A137" s="872"/>
      <c r="B137" s="873" t="s">
        <v>2054</v>
      </c>
      <c r="C137" s="874"/>
      <c r="E137" s="1120"/>
      <c r="F137" s="870">
        <f t="shared" si="5"/>
        <v>0</v>
      </c>
    </row>
    <row r="138" spans="1:6" ht="27.6">
      <c r="A138" s="872"/>
      <c r="B138" s="873" t="s">
        <v>2055</v>
      </c>
      <c r="C138" s="874"/>
      <c r="E138" s="1120"/>
      <c r="F138" s="870">
        <f t="shared" si="5"/>
        <v>0</v>
      </c>
    </row>
    <row r="139" spans="1:6">
      <c r="A139" s="872"/>
      <c r="B139" s="873" t="s">
        <v>2056</v>
      </c>
      <c r="C139" s="874"/>
      <c r="E139" s="1120"/>
      <c r="F139" s="870">
        <f t="shared" si="5"/>
        <v>0</v>
      </c>
    </row>
    <row r="140" spans="1:6">
      <c r="A140" s="872"/>
      <c r="B140" s="873" t="s">
        <v>2057</v>
      </c>
      <c r="C140" s="874"/>
      <c r="E140" s="1120"/>
      <c r="F140" s="870">
        <f t="shared" si="5"/>
        <v>0</v>
      </c>
    </row>
    <row r="141" spans="1:6">
      <c r="A141" s="872"/>
      <c r="B141" s="873" t="s">
        <v>2058</v>
      </c>
      <c r="C141" s="874"/>
      <c r="E141" s="1120"/>
      <c r="F141" s="870">
        <f t="shared" si="5"/>
        <v>0</v>
      </c>
    </row>
    <row r="142" spans="1:6">
      <c r="A142" s="872"/>
      <c r="B142" s="873" t="s">
        <v>2059</v>
      </c>
      <c r="C142" s="874"/>
      <c r="E142" s="1120"/>
      <c r="F142" s="870">
        <f t="shared" si="5"/>
        <v>0</v>
      </c>
    </row>
    <row r="143" spans="1:6">
      <c r="A143" s="872"/>
      <c r="B143" s="873" t="s">
        <v>2060</v>
      </c>
      <c r="C143" s="874"/>
      <c r="E143" s="1120"/>
      <c r="F143" s="870">
        <f t="shared" si="5"/>
        <v>0</v>
      </c>
    </row>
    <row r="144" spans="1:6">
      <c r="A144" s="872"/>
      <c r="B144" s="873" t="s">
        <v>2061</v>
      </c>
      <c r="C144" s="874"/>
      <c r="E144" s="1120"/>
      <c r="F144" s="870">
        <f t="shared" si="5"/>
        <v>0</v>
      </c>
    </row>
    <row r="145" spans="1:6">
      <c r="A145" s="872"/>
      <c r="B145" s="873" t="s">
        <v>2062</v>
      </c>
      <c r="C145" s="874"/>
      <c r="E145" s="1120"/>
      <c r="F145" s="870">
        <f t="shared" si="5"/>
        <v>0</v>
      </c>
    </row>
    <row r="146" spans="1:6">
      <c r="A146" s="872"/>
      <c r="B146" s="873" t="s">
        <v>2063</v>
      </c>
      <c r="C146" s="874"/>
      <c r="E146" s="1120"/>
      <c r="F146" s="870">
        <f t="shared" si="5"/>
        <v>0</v>
      </c>
    </row>
    <row r="147" spans="1:6">
      <c r="A147" s="872"/>
      <c r="B147" s="873" t="s">
        <v>2064</v>
      </c>
      <c r="C147" s="874"/>
      <c r="E147" s="1120"/>
      <c r="F147" s="870">
        <f t="shared" si="5"/>
        <v>0</v>
      </c>
    </row>
    <row r="148" spans="1:6">
      <c r="A148" s="872"/>
      <c r="B148" s="873" t="s">
        <v>2065</v>
      </c>
      <c r="C148" s="874"/>
      <c r="E148" s="1120"/>
      <c r="F148" s="870">
        <f t="shared" si="5"/>
        <v>0</v>
      </c>
    </row>
    <row r="149" spans="1:6">
      <c r="A149" s="872"/>
      <c r="B149" s="873" t="s">
        <v>2066</v>
      </c>
      <c r="C149" s="874"/>
      <c r="E149" s="1120"/>
      <c r="F149" s="870">
        <f t="shared" si="5"/>
        <v>0</v>
      </c>
    </row>
    <row r="150" spans="1:6">
      <c r="A150" s="872"/>
      <c r="B150" s="873" t="s">
        <v>2067</v>
      </c>
      <c r="C150" s="874"/>
      <c r="E150" s="1120"/>
      <c r="F150" s="870">
        <f t="shared" si="5"/>
        <v>0</v>
      </c>
    </row>
    <row r="151" spans="1:6">
      <c r="A151" s="872"/>
      <c r="B151" s="873" t="s">
        <v>2068</v>
      </c>
      <c r="C151" s="874"/>
      <c r="E151" s="1120"/>
      <c r="F151" s="870">
        <f t="shared" si="5"/>
        <v>0</v>
      </c>
    </row>
    <row r="152" spans="1:6">
      <c r="A152" s="872"/>
      <c r="B152" s="873" t="s">
        <v>2069</v>
      </c>
      <c r="C152" s="874"/>
      <c r="E152" s="1120"/>
      <c r="F152" s="870">
        <f t="shared" si="5"/>
        <v>0</v>
      </c>
    </row>
    <row r="153" spans="1:6">
      <c r="A153" s="872"/>
      <c r="B153" s="873" t="s">
        <v>2070</v>
      </c>
      <c r="C153" s="874"/>
      <c r="E153" s="1120"/>
      <c r="F153" s="870">
        <f t="shared" si="5"/>
        <v>0</v>
      </c>
    </row>
    <row r="154" spans="1:6" ht="17.25" customHeight="1">
      <c r="A154" s="872"/>
      <c r="B154" s="873" t="s">
        <v>2071</v>
      </c>
      <c r="C154" s="874" t="s">
        <v>942</v>
      </c>
      <c r="D154" s="875">
        <v>18</v>
      </c>
      <c r="E154" s="1120">
        <v>2000</v>
      </c>
      <c r="F154" s="472">
        <f t="shared" si="5"/>
        <v>36000</v>
      </c>
    </row>
    <row r="155" spans="1:6">
      <c r="A155" s="872"/>
      <c r="B155" s="873"/>
      <c r="C155" s="874"/>
      <c r="E155" s="1120"/>
      <c r="F155" s="870">
        <f t="shared" si="5"/>
        <v>0</v>
      </c>
    </row>
    <row r="156" spans="1:6" ht="82.5" customHeight="1">
      <c r="A156" s="872">
        <v>2</v>
      </c>
      <c r="B156" s="873" t="s">
        <v>2072</v>
      </c>
      <c r="C156" s="874" t="s">
        <v>942</v>
      </c>
      <c r="D156" s="875">
        <v>18</v>
      </c>
      <c r="E156" s="1120">
        <v>150</v>
      </c>
      <c r="F156" s="472">
        <f t="shared" si="5"/>
        <v>2700</v>
      </c>
    </row>
    <row r="157" spans="1:6">
      <c r="A157" s="872"/>
      <c r="B157" s="873"/>
      <c r="C157" s="874"/>
      <c r="E157" s="1120"/>
      <c r="F157" s="870">
        <f t="shared" si="5"/>
        <v>0</v>
      </c>
    </row>
    <row r="158" spans="1:6">
      <c r="A158" s="872" t="s">
        <v>1970</v>
      </c>
      <c r="B158" s="873" t="s">
        <v>2073</v>
      </c>
      <c r="C158" s="874" t="s">
        <v>942</v>
      </c>
      <c r="D158" s="875">
        <v>18</v>
      </c>
      <c r="E158" s="1120">
        <v>150</v>
      </c>
      <c r="F158" s="472">
        <f t="shared" si="5"/>
        <v>2700</v>
      </c>
    </row>
    <row r="159" spans="1:6">
      <c r="A159" s="872"/>
      <c r="B159" s="873"/>
      <c r="C159" s="874"/>
      <c r="E159" s="1120"/>
      <c r="F159" s="870">
        <f t="shared" si="5"/>
        <v>0</v>
      </c>
    </row>
    <row r="160" spans="1:6">
      <c r="A160" s="872" t="s">
        <v>1972</v>
      </c>
      <c r="B160" s="873" t="s">
        <v>2074</v>
      </c>
      <c r="C160" s="874" t="s">
        <v>942</v>
      </c>
      <c r="D160" s="875">
        <v>18</v>
      </c>
      <c r="E160" s="1120">
        <v>50</v>
      </c>
      <c r="F160" s="472">
        <f t="shared" si="5"/>
        <v>900</v>
      </c>
    </row>
    <row r="161" spans="1:6">
      <c r="A161" s="872"/>
      <c r="B161" s="873"/>
      <c r="C161" s="874"/>
      <c r="E161" s="1120"/>
      <c r="F161" s="870">
        <f t="shared" si="5"/>
        <v>0</v>
      </c>
    </row>
    <row r="162" spans="1:6">
      <c r="A162" s="872" t="s">
        <v>1974</v>
      </c>
      <c r="B162" s="873" t="s">
        <v>2075</v>
      </c>
      <c r="C162" s="874"/>
      <c r="E162" s="1120"/>
      <c r="F162" s="870">
        <f t="shared" si="5"/>
        <v>0</v>
      </c>
    </row>
    <row r="163" spans="1:6" ht="39" customHeight="1">
      <c r="A163" s="872"/>
      <c r="B163" s="873" t="s">
        <v>2076</v>
      </c>
      <c r="C163" s="874"/>
      <c r="E163" s="1120"/>
      <c r="F163" s="870">
        <f t="shared" si="5"/>
        <v>0</v>
      </c>
    </row>
    <row r="164" spans="1:6" ht="53.25" customHeight="1">
      <c r="A164" s="872"/>
      <c r="B164" s="873" t="s">
        <v>2077</v>
      </c>
      <c r="C164" s="874"/>
      <c r="E164" s="1120"/>
      <c r="F164" s="870">
        <f t="shared" si="5"/>
        <v>0</v>
      </c>
    </row>
    <row r="165" spans="1:6" ht="27.75" customHeight="1">
      <c r="A165" s="872"/>
      <c r="B165" s="873" t="s">
        <v>2078</v>
      </c>
      <c r="C165" s="874"/>
      <c r="E165" s="1120"/>
      <c r="F165" s="870">
        <f t="shared" si="5"/>
        <v>0</v>
      </c>
    </row>
    <row r="166" spans="1:6">
      <c r="A166" s="872"/>
      <c r="B166" s="873" t="s">
        <v>2079</v>
      </c>
      <c r="C166" s="874"/>
      <c r="E166" s="1120"/>
      <c r="F166" s="870">
        <f t="shared" si="5"/>
        <v>0</v>
      </c>
    </row>
    <row r="167" spans="1:6">
      <c r="A167" s="872"/>
      <c r="B167" s="873" t="s">
        <v>2080</v>
      </c>
      <c r="C167" s="874"/>
      <c r="E167" s="1120"/>
      <c r="F167" s="870">
        <f t="shared" si="5"/>
        <v>0</v>
      </c>
    </row>
    <row r="168" spans="1:6">
      <c r="A168" s="872"/>
      <c r="B168" s="873" t="s">
        <v>2081</v>
      </c>
      <c r="C168" s="874"/>
      <c r="E168" s="1120"/>
      <c r="F168" s="870">
        <f t="shared" si="5"/>
        <v>0</v>
      </c>
    </row>
    <row r="169" spans="1:6">
      <c r="A169" s="872"/>
      <c r="B169" s="873" t="s">
        <v>2082</v>
      </c>
      <c r="C169" s="874"/>
      <c r="E169" s="1120"/>
      <c r="F169" s="870">
        <f t="shared" si="5"/>
        <v>0</v>
      </c>
    </row>
    <row r="170" spans="1:6">
      <c r="A170" s="872"/>
      <c r="B170" s="873" t="s">
        <v>2083</v>
      </c>
      <c r="C170" s="874"/>
      <c r="E170" s="1120"/>
      <c r="F170" s="870">
        <f t="shared" si="5"/>
        <v>0</v>
      </c>
    </row>
    <row r="171" spans="1:6">
      <c r="A171" s="872"/>
      <c r="B171" s="873" t="s">
        <v>2084</v>
      </c>
      <c r="C171" s="874"/>
      <c r="E171" s="1120"/>
      <c r="F171" s="870">
        <f t="shared" si="5"/>
        <v>0</v>
      </c>
    </row>
    <row r="172" spans="1:6">
      <c r="A172" s="872"/>
      <c r="B172" s="873" t="s">
        <v>2085</v>
      </c>
      <c r="C172" s="874"/>
      <c r="E172" s="1120"/>
      <c r="F172" s="870">
        <f t="shared" si="5"/>
        <v>0</v>
      </c>
    </row>
    <row r="173" spans="1:6">
      <c r="A173" s="872"/>
      <c r="B173" s="873" t="s">
        <v>2086</v>
      </c>
      <c r="C173" s="874"/>
      <c r="E173" s="1120"/>
      <c r="F173" s="870">
        <f t="shared" si="5"/>
        <v>0</v>
      </c>
    </row>
    <row r="174" spans="1:6">
      <c r="A174" s="872"/>
      <c r="B174" s="873" t="s">
        <v>2087</v>
      </c>
      <c r="C174" s="874"/>
      <c r="E174" s="1120"/>
      <c r="F174" s="870">
        <f t="shared" si="5"/>
        <v>0</v>
      </c>
    </row>
    <row r="175" spans="1:6">
      <c r="A175" s="872"/>
      <c r="B175" s="873" t="s">
        <v>2088</v>
      </c>
      <c r="C175" s="874"/>
      <c r="E175" s="1120"/>
      <c r="F175" s="870">
        <f t="shared" si="5"/>
        <v>0</v>
      </c>
    </row>
    <row r="176" spans="1:6">
      <c r="A176" s="872"/>
      <c r="B176" s="873" t="s">
        <v>2089</v>
      </c>
      <c r="C176" s="874"/>
      <c r="E176" s="1120"/>
      <c r="F176" s="870">
        <f t="shared" si="5"/>
        <v>0</v>
      </c>
    </row>
    <row r="177" spans="1:6">
      <c r="A177" s="872"/>
      <c r="B177" s="873" t="s">
        <v>2090</v>
      </c>
      <c r="C177" s="874"/>
      <c r="E177" s="1120"/>
      <c r="F177" s="870">
        <f t="shared" si="5"/>
        <v>0</v>
      </c>
    </row>
    <row r="178" spans="1:6" ht="27.6">
      <c r="A178" s="872"/>
      <c r="B178" s="873" t="s">
        <v>2091</v>
      </c>
      <c r="C178" s="874" t="s">
        <v>942</v>
      </c>
      <c r="D178" s="875">
        <v>18</v>
      </c>
      <c r="E178" s="1120">
        <v>150</v>
      </c>
      <c r="F178" s="472">
        <f t="shared" si="5"/>
        <v>2700</v>
      </c>
    </row>
    <row r="179" spans="1:6">
      <c r="A179" s="872"/>
      <c r="B179" s="873"/>
      <c r="C179" s="874"/>
      <c r="E179" s="1120"/>
      <c r="F179" s="870">
        <f t="shared" si="5"/>
        <v>0</v>
      </c>
    </row>
    <row r="180" spans="1:6" ht="54.75" customHeight="1">
      <c r="A180" s="872" t="s">
        <v>1976</v>
      </c>
      <c r="B180" s="873" t="s">
        <v>2092</v>
      </c>
      <c r="C180" s="874"/>
      <c r="E180" s="1120"/>
      <c r="F180" s="870">
        <f t="shared" si="5"/>
        <v>0</v>
      </c>
    </row>
    <row r="181" spans="1:6" ht="72" customHeight="1">
      <c r="A181" s="872"/>
      <c r="B181" s="873" t="s">
        <v>2093</v>
      </c>
      <c r="C181" s="874" t="s">
        <v>942</v>
      </c>
      <c r="D181" s="875">
        <v>18</v>
      </c>
      <c r="E181" s="1120">
        <v>150</v>
      </c>
      <c r="F181" s="472">
        <f t="shared" si="5"/>
        <v>2700</v>
      </c>
    </row>
    <row r="182" spans="1:6">
      <c r="A182" s="872"/>
      <c r="B182" s="873"/>
      <c r="C182" s="874"/>
      <c r="E182" s="1120"/>
      <c r="F182" s="870">
        <f t="shared" si="5"/>
        <v>0</v>
      </c>
    </row>
    <row r="183" spans="1:6" ht="27.6">
      <c r="A183" s="872" t="s">
        <v>1978</v>
      </c>
      <c r="B183" s="873" t="s">
        <v>2094</v>
      </c>
      <c r="C183" s="874"/>
      <c r="E183" s="1120"/>
      <c r="F183" s="870">
        <f t="shared" si="5"/>
        <v>0</v>
      </c>
    </row>
    <row r="184" spans="1:6">
      <c r="A184" s="872"/>
      <c r="B184" s="873" t="s">
        <v>2095</v>
      </c>
      <c r="C184" s="874"/>
      <c r="E184" s="1120"/>
      <c r="F184" s="870">
        <f t="shared" ref="F184:F246" si="6">D184*E184</f>
        <v>0</v>
      </c>
    </row>
    <row r="185" spans="1:6">
      <c r="A185" s="872"/>
      <c r="B185" s="873" t="s">
        <v>2096</v>
      </c>
      <c r="C185" s="874"/>
      <c r="E185" s="1120"/>
      <c r="F185" s="870">
        <f t="shared" si="6"/>
        <v>0</v>
      </c>
    </row>
    <row r="186" spans="1:6">
      <c r="A186" s="872"/>
      <c r="B186" s="873" t="s">
        <v>2097</v>
      </c>
      <c r="C186" s="874"/>
      <c r="E186" s="1120"/>
      <c r="F186" s="870">
        <f t="shared" si="6"/>
        <v>0</v>
      </c>
    </row>
    <row r="187" spans="1:6">
      <c r="A187" s="872"/>
      <c r="B187" s="873" t="s">
        <v>2098</v>
      </c>
      <c r="C187" s="874" t="s">
        <v>942</v>
      </c>
      <c r="D187" s="875">
        <v>18</v>
      </c>
      <c r="E187" s="1120">
        <v>100</v>
      </c>
      <c r="F187" s="472">
        <f t="shared" si="6"/>
        <v>1800</v>
      </c>
    </row>
    <row r="188" spans="1:6">
      <c r="A188" s="872"/>
      <c r="B188" s="873"/>
      <c r="C188" s="874"/>
      <c r="E188" s="1120"/>
      <c r="F188" s="870">
        <f t="shared" si="6"/>
        <v>0</v>
      </c>
    </row>
    <row r="189" spans="1:6" ht="15" customHeight="1">
      <c r="A189" s="872" t="s">
        <v>1980</v>
      </c>
      <c r="B189" s="873" t="s">
        <v>2099</v>
      </c>
      <c r="C189" s="874" t="s">
        <v>942</v>
      </c>
      <c r="D189" s="875">
        <v>18</v>
      </c>
      <c r="E189" s="1120">
        <v>50</v>
      </c>
      <c r="F189" s="472">
        <f t="shared" si="6"/>
        <v>900</v>
      </c>
    </row>
    <row r="190" spans="1:6">
      <c r="A190" s="872"/>
      <c r="B190" s="873"/>
      <c r="C190" s="874"/>
      <c r="E190" s="1120"/>
      <c r="F190" s="870">
        <f t="shared" si="6"/>
        <v>0</v>
      </c>
    </row>
    <row r="191" spans="1:6">
      <c r="A191" s="872" t="s">
        <v>1982</v>
      </c>
      <c r="B191" s="873" t="s">
        <v>2100</v>
      </c>
      <c r="C191" s="874" t="s">
        <v>942</v>
      </c>
      <c r="D191" s="875">
        <v>18</v>
      </c>
      <c r="E191" s="1120">
        <v>25</v>
      </c>
      <c r="F191" s="472">
        <f t="shared" si="6"/>
        <v>450</v>
      </c>
    </row>
    <row r="192" spans="1:6">
      <c r="A192" s="872"/>
      <c r="B192" s="873"/>
      <c r="C192" s="874"/>
      <c r="E192" s="1120"/>
      <c r="F192" s="870">
        <f t="shared" si="6"/>
        <v>0</v>
      </c>
    </row>
    <row r="193" spans="1:6">
      <c r="A193" s="872" t="s">
        <v>1984</v>
      </c>
      <c r="B193" s="873" t="s">
        <v>2101</v>
      </c>
      <c r="C193" s="874"/>
      <c r="E193" s="1120"/>
      <c r="F193" s="870">
        <f t="shared" si="6"/>
        <v>0</v>
      </c>
    </row>
    <row r="194" spans="1:6">
      <c r="A194" s="872"/>
      <c r="B194" s="873" t="s">
        <v>2000</v>
      </c>
      <c r="C194" s="874" t="s">
        <v>391</v>
      </c>
      <c r="D194" s="875">
        <v>36</v>
      </c>
      <c r="E194" s="1120">
        <v>50</v>
      </c>
      <c r="F194" s="472">
        <f t="shared" si="6"/>
        <v>1800</v>
      </c>
    </row>
    <row r="195" spans="1:6">
      <c r="A195" s="872"/>
      <c r="B195" s="873"/>
      <c r="C195" s="874"/>
      <c r="E195" s="1120"/>
      <c r="F195" s="870">
        <f t="shared" si="6"/>
        <v>0</v>
      </c>
    </row>
    <row r="196" spans="1:6">
      <c r="A196" s="872" t="s">
        <v>2005</v>
      </c>
      <c r="B196" s="873" t="s">
        <v>2102</v>
      </c>
      <c r="C196" s="874"/>
      <c r="E196" s="1120"/>
      <c r="F196" s="870">
        <f t="shared" si="6"/>
        <v>0</v>
      </c>
    </row>
    <row r="197" spans="1:6">
      <c r="A197" s="872"/>
      <c r="B197" s="873" t="s">
        <v>2000</v>
      </c>
      <c r="C197" s="874" t="s">
        <v>391</v>
      </c>
      <c r="D197" s="875">
        <v>18</v>
      </c>
      <c r="E197" s="1120">
        <v>50</v>
      </c>
      <c r="F197" s="472">
        <f t="shared" si="6"/>
        <v>900</v>
      </c>
    </row>
    <row r="198" spans="1:6">
      <c r="A198" s="872"/>
      <c r="B198" s="873"/>
      <c r="C198" s="874"/>
      <c r="E198" s="1120"/>
      <c r="F198" s="870">
        <f t="shared" si="6"/>
        <v>0</v>
      </c>
    </row>
    <row r="199" spans="1:6">
      <c r="A199" s="872" t="s">
        <v>2103</v>
      </c>
      <c r="B199" s="873" t="s">
        <v>2104</v>
      </c>
      <c r="C199" s="874"/>
      <c r="E199" s="1120"/>
      <c r="F199" s="870">
        <f t="shared" si="6"/>
        <v>0</v>
      </c>
    </row>
    <row r="200" spans="1:6">
      <c r="A200" s="872"/>
      <c r="B200" s="873" t="s">
        <v>2026</v>
      </c>
      <c r="C200" s="874" t="s">
        <v>391</v>
      </c>
      <c r="D200" s="875">
        <v>18</v>
      </c>
      <c r="E200" s="1120">
        <v>50</v>
      </c>
      <c r="F200" s="472">
        <f t="shared" si="6"/>
        <v>900</v>
      </c>
    </row>
    <row r="201" spans="1:6">
      <c r="A201" s="872"/>
      <c r="B201" s="873"/>
      <c r="C201" s="874"/>
      <c r="E201" s="1120"/>
      <c r="F201" s="870">
        <f t="shared" si="6"/>
        <v>0</v>
      </c>
    </row>
    <row r="202" spans="1:6">
      <c r="A202" s="872" t="s">
        <v>2105</v>
      </c>
      <c r="B202" s="873" t="s">
        <v>2106</v>
      </c>
      <c r="C202" s="874"/>
      <c r="E202" s="1120"/>
      <c r="F202" s="870">
        <f t="shared" si="6"/>
        <v>0</v>
      </c>
    </row>
    <row r="203" spans="1:6">
      <c r="A203" s="872"/>
      <c r="B203" s="873" t="s">
        <v>2026</v>
      </c>
      <c r="C203" s="874" t="s">
        <v>391</v>
      </c>
      <c r="D203" s="875">
        <v>36</v>
      </c>
      <c r="E203" s="1120">
        <v>50</v>
      </c>
      <c r="F203" s="472">
        <f t="shared" si="6"/>
        <v>1800</v>
      </c>
    </row>
    <row r="204" spans="1:6">
      <c r="A204" s="872"/>
      <c r="B204" s="873"/>
      <c r="C204" s="874"/>
      <c r="E204" s="1120"/>
      <c r="F204" s="870">
        <f t="shared" si="6"/>
        <v>0</v>
      </c>
    </row>
    <row r="205" spans="1:6" ht="68.25" customHeight="1">
      <c r="A205" s="872" t="s">
        <v>2107</v>
      </c>
      <c r="B205" s="873" t="s">
        <v>2108</v>
      </c>
      <c r="C205" s="874"/>
      <c r="E205" s="1120"/>
      <c r="F205" s="870">
        <f t="shared" si="6"/>
        <v>0</v>
      </c>
    </row>
    <row r="206" spans="1:6" ht="45.75" customHeight="1">
      <c r="A206" s="872"/>
      <c r="B206" s="873" t="s">
        <v>2109</v>
      </c>
      <c r="C206" s="874" t="s">
        <v>942</v>
      </c>
      <c r="D206" s="875">
        <v>10</v>
      </c>
      <c r="E206" s="1120">
        <v>250</v>
      </c>
      <c r="F206" s="472">
        <f t="shared" si="6"/>
        <v>2500</v>
      </c>
    </row>
    <row r="207" spans="1:6" ht="48" customHeight="1">
      <c r="A207" s="872"/>
      <c r="B207" s="873" t="s">
        <v>2110</v>
      </c>
      <c r="C207" s="874" t="s">
        <v>942</v>
      </c>
      <c r="D207" s="875">
        <v>4</v>
      </c>
      <c r="E207" s="1120">
        <v>300</v>
      </c>
      <c r="F207" s="472">
        <f t="shared" si="6"/>
        <v>1200</v>
      </c>
    </row>
    <row r="208" spans="1:6" ht="39.75" customHeight="1">
      <c r="A208" s="872"/>
      <c r="B208" s="873" t="s">
        <v>2111</v>
      </c>
      <c r="C208" s="874" t="s">
        <v>942</v>
      </c>
      <c r="D208" s="875">
        <v>4</v>
      </c>
      <c r="E208" s="1120">
        <v>350</v>
      </c>
      <c r="F208" s="472">
        <f t="shared" si="6"/>
        <v>1400</v>
      </c>
    </row>
    <row r="209" spans="1:7" s="879" customFormat="1">
      <c r="A209" s="880"/>
      <c r="B209" s="881"/>
      <c r="C209" s="882"/>
      <c r="D209" s="883"/>
      <c r="E209" s="1120"/>
      <c r="F209" s="870">
        <f t="shared" si="6"/>
        <v>0</v>
      </c>
    </row>
    <row r="210" spans="1:7" ht="51.75" customHeight="1">
      <c r="A210" s="872" t="s">
        <v>2112</v>
      </c>
      <c r="B210" s="873" t="s">
        <v>2113</v>
      </c>
      <c r="C210" s="874"/>
      <c r="E210" s="1120"/>
      <c r="F210" s="870">
        <f t="shared" si="6"/>
        <v>0</v>
      </c>
    </row>
    <row r="211" spans="1:7" s="888" customFormat="1">
      <c r="A211" s="884"/>
      <c r="B211" s="885" t="s">
        <v>2114</v>
      </c>
      <c r="C211" s="886" t="s">
        <v>391</v>
      </c>
      <c r="D211" s="887">
        <v>10</v>
      </c>
      <c r="E211" s="1121">
        <v>250</v>
      </c>
      <c r="F211" s="870"/>
    </row>
    <row r="212" spans="1:7" s="888" customFormat="1">
      <c r="A212" s="884"/>
      <c r="B212" s="885" t="s">
        <v>2115</v>
      </c>
      <c r="C212" s="886" t="s">
        <v>391</v>
      </c>
      <c r="D212" s="887">
        <v>5</v>
      </c>
      <c r="E212" s="1121">
        <v>250</v>
      </c>
      <c r="F212" s="870"/>
      <c r="G212" s="889"/>
    </row>
    <row r="213" spans="1:7" s="888" customFormat="1">
      <c r="A213" s="884"/>
      <c r="B213" s="885" t="s">
        <v>2116</v>
      </c>
      <c r="C213" s="886" t="s">
        <v>391</v>
      </c>
      <c r="D213" s="887">
        <v>2</v>
      </c>
      <c r="E213" s="1121">
        <v>250</v>
      </c>
      <c r="F213" s="870"/>
    </row>
    <row r="214" spans="1:7" s="888" customFormat="1">
      <c r="A214" s="884"/>
      <c r="B214" s="885" t="s">
        <v>2117</v>
      </c>
      <c r="C214" s="886" t="s">
        <v>391</v>
      </c>
      <c r="D214" s="887">
        <v>3</v>
      </c>
      <c r="E214" s="1121">
        <v>250</v>
      </c>
      <c r="F214" s="870"/>
    </row>
    <row r="215" spans="1:7" s="888" customFormat="1">
      <c r="A215" s="884"/>
      <c r="B215" s="885" t="s">
        <v>2118</v>
      </c>
      <c r="C215" s="886" t="s">
        <v>391</v>
      </c>
      <c r="D215" s="887">
        <v>7</v>
      </c>
      <c r="E215" s="1121">
        <v>250</v>
      </c>
      <c r="F215" s="870"/>
    </row>
    <row r="216" spans="1:7" s="888" customFormat="1">
      <c r="A216" s="884"/>
      <c r="B216" s="885" t="s">
        <v>2119</v>
      </c>
      <c r="C216" s="886" t="s">
        <v>391</v>
      </c>
      <c r="D216" s="887">
        <v>11</v>
      </c>
      <c r="E216" s="1121">
        <v>250</v>
      </c>
      <c r="F216" s="870"/>
    </row>
    <row r="217" spans="1:7" s="888" customFormat="1">
      <c r="A217" s="884"/>
      <c r="B217" s="885" t="s">
        <v>2120</v>
      </c>
      <c r="C217" s="886" t="s">
        <v>391</v>
      </c>
      <c r="D217" s="887">
        <v>12</v>
      </c>
      <c r="E217" s="1121">
        <v>250</v>
      </c>
      <c r="F217" s="870"/>
    </row>
    <row r="218" spans="1:7" s="888" customFormat="1">
      <c r="A218" s="884"/>
      <c r="B218" s="885" t="s">
        <v>2121</v>
      </c>
      <c r="C218" s="886" t="s">
        <v>391</v>
      </c>
      <c r="D218" s="887">
        <v>2</v>
      </c>
      <c r="E218" s="1121">
        <v>250</v>
      </c>
      <c r="F218" s="870"/>
    </row>
    <row r="219" spans="1:7" s="888" customFormat="1">
      <c r="A219" s="884"/>
      <c r="B219" s="885" t="s">
        <v>2122</v>
      </c>
      <c r="C219" s="886" t="s">
        <v>391</v>
      </c>
      <c r="D219" s="887">
        <v>2</v>
      </c>
      <c r="E219" s="1121">
        <v>250</v>
      </c>
      <c r="F219" s="870"/>
    </row>
    <row r="220" spans="1:7" s="888" customFormat="1">
      <c r="A220" s="884"/>
      <c r="B220" s="885" t="s">
        <v>2123</v>
      </c>
      <c r="C220" s="886" t="s">
        <v>391</v>
      </c>
      <c r="D220" s="887">
        <v>8</v>
      </c>
      <c r="E220" s="1121">
        <v>250</v>
      </c>
      <c r="F220" s="870"/>
    </row>
    <row r="221" spans="1:7" s="888" customFormat="1">
      <c r="A221" s="884"/>
      <c r="B221" s="885" t="s">
        <v>2124</v>
      </c>
      <c r="C221" s="886" t="s">
        <v>391</v>
      </c>
      <c r="D221" s="887">
        <v>6</v>
      </c>
      <c r="E221" s="1121">
        <v>250</v>
      </c>
      <c r="F221" s="870"/>
    </row>
    <row r="222" spans="1:7" s="888" customFormat="1">
      <c r="A222" s="884"/>
      <c r="B222" s="885" t="s">
        <v>2125</v>
      </c>
      <c r="C222" s="886" t="s">
        <v>391</v>
      </c>
      <c r="D222" s="887">
        <v>2</v>
      </c>
      <c r="E222" s="1121">
        <v>250</v>
      </c>
      <c r="F222" s="870"/>
    </row>
    <row r="223" spans="1:7" s="888" customFormat="1">
      <c r="A223" s="884"/>
      <c r="B223" s="890" t="s">
        <v>2126</v>
      </c>
      <c r="C223" s="886" t="s">
        <v>391</v>
      </c>
      <c r="D223" s="887">
        <f>SUM(D211:D222)</f>
        <v>70</v>
      </c>
      <c r="E223" s="1121">
        <v>250</v>
      </c>
      <c r="F223" s="472">
        <f t="shared" si="6"/>
        <v>17500</v>
      </c>
    </row>
    <row r="224" spans="1:7" s="888" customFormat="1">
      <c r="A224" s="872"/>
      <c r="B224" s="873"/>
      <c r="C224" s="874"/>
      <c r="D224" s="875"/>
      <c r="E224" s="1120"/>
      <c r="F224" s="870">
        <f t="shared" si="6"/>
        <v>0</v>
      </c>
    </row>
    <row r="225" spans="1:6" s="888" customFormat="1" ht="41.4">
      <c r="A225" s="872" t="s">
        <v>2127</v>
      </c>
      <c r="B225" s="873" t="s">
        <v>2128</v>
      </c>
      <c r="C225" s="874"/>
      <c r="D225" s="875"/>
      <c r="E225" s="1120"/>
      <c r="F225" s="870">
        <f t="shared" si="6"/>
        <v>0</v>
      </c>
    </row>
    <row r="226" spans="1:6" s="888" customFormat="1">
      <c r="A226" s="872"/>
      <c r="B226" s="873" t="s">
        <v>2129</v>
      </c>
      <c r="C226" s="874" t="s">
        <v>391</v>
      </c>
      <c r="D226" s="875">
        <v>14</v>
      </c>
      <c r="E226" s="1120">
        <v>300</v>
      </c>
      <c r="F226" s="870"/>
    </row>
    <row r="227" spans="1:6">
      <c r="A227" s="872"/>
      <c r="B227" s="873" t="s">
        <v>2130</v>
      </c>
      <c r="C227" s="874" t="s">
        <v>391</v>
      </c>
      <c r="D227" s="875">
        <v>4</v>
      </c>
      <c r="E227" s="1120">
        <v>300</v>
      </c>
      <c r="F227" s="870"/>
    </row>
    <row r="228" spans="1:6">
      <c r="A228" s="872"/>
      <c r="B228" s="873" t="s">
        <v>2126</v>
      </c>
      <c r="C228" s="874" t="s">
        <v>391</v>
      </c>
      <c r="D228" s="875">
        <f>SUM(D226:D227)</f>
        <v>18</v>
      </c>
      <c r="E228" s="1120">
        <v>300</v>
      </c>
      <c r="F228" s="472">
        <f t="shared" si="6"/>
        <v>5400</v>
      </c>
    </row>
    <row r="229" spans="1:6">
      <c r="A229" s="872"/>
      <c r="B229" s="873"/>
      <c r="C229" s="874"/>
      <c r="E229" s="1120"/>
      <c r="F229" s="870">
        <f t="shared" si="6"/>
        <v>0</v>
      </c>
    </row>
    <row r="230" spans="1:6" ht="58.5" customHeight="1">
      <c r="A230" s="872" t="s">
        <v>2131</v>
      </c>
      <c r="B230" s="873" t="s">
        <v>2132</v>
      </c>
      <c r="C230" s="874"/>
      <c r="E230" s="1120"/>
      <c r="F230" s="870">
        <f t="shared" si="6"/>
        <v>0</v>
      </c>
    </row>
    <row r="231" spans="1:6">
      <c r="A231" s="872"/>
      <c r="B231" s="873" t="s">
        <v>2133</v>
      </c>
      <c r="C231" s="874" t="s">
        <v>344</v>
      </c>
      <c r="D231" s="875">
        <v>30</v>
      </c>
      <c r="E231" s="1120">
        <v>45</v>
      </c>
      <c r="F231" s="472">
        <f t="shared" si="6"/>
        <v>1350</v>
      </c>
    </row>
    <row r="232" spans="1:6">
      <c r="A232" s="872"/>
      <c r="B232" s="873" t="s">
        <v>2134</v>
      </c>
      <c r="C232" s="874" t="s">
        <v>344</v>
      </c>
      <c r="D232" s="875">
        <v>120</v>
      </c>
      <c r="E232" s="1120">
        <v>35</v>
      </c>
      <c r="F232" s="472">
        <f t="shared" si="6"/>
        <v>4200</v>
      </c>
    </row>
    <row r="233" spans="1:6">
      <c r="A233" s="872"/>
      <c r="B233" s="873" t="s">
        <v>2135</v>
      </c>
      <c r="C233" s="874" t="s">
        <v>344</v>
      </c>
      <c r="D233" s="875">
        <v>1260</v>
      </c>
      <c r="E233" s="1120">
        <v>25</v>
      </c>
      <c r="F233" s="472">
        <f t="shared" si="6"/>
        <v>31500</v>
      </c>
    </row>
    <row r="234" spans="1:6">
      <c r="A234" s="872"/>
      <c r="B234" s="873"/>
      <c r="C234" s="874"/>
      <c r="E234" s="1120"/>
      <c r="F234" s="870">
        <f t="shared" si="6"/>
        <v>0</v>
      </c>
    </row>
    <row r="235" spans="1:6">
      <c r="A235" s="872" t="s">
        <v>2136</v>
      </c>
      <c r="B235" s="873" t="s">
        <v>2137</v>
      </c>
      <c r="C235" s="874" t="s">
        <v>391</v>
      </c>
      <c r="D235" s="875">
        <v>120</v>
      </c>
      <c r="E235" s="1120">
        <v>2</v>
      </c>
      <c r="F235" s="472">
        <f t="shared" si="6"/>
        <v>240</v>
      </c>
    </row>
    <row r="236" spans="1:6">
      <c r="A236" s="872"/>
      <c r="B236" s="873"/>
      <c r="C236" s="874"/>
      <c r="E236" s="1120"/>
      <c r="F236" s="870">
        <f t="shared" si="6"/>
        <v>0</v>
      </c>
    </row>
    <row r="237" spans="1:6" ht="41.4">
      <c r="A237" s="872" t="s">
        <v>2138</v>
      </c>
      <c r="B237" s="873" t="s">
        <v>2139</v>
      </c>
      <c r="C237" s="874" t="s">
        <v>942</v>
      </c>
      <c r="D237" s="875">
        <v>18</v>
      </c>
      <c r="E237" s="1120">
        <v>200</v>
      </c>
      <c r="F237" s="472">
        <f t="shared" si="6"/>
        <v>3600</v>
      </c>
    </row>
    <row r="238" spans="1:6">
      <c r="A238" s="872"/>
      <c r="B238" s="873"/>
      <c r="C238" s="874"/>
      <c r="E238" s="1120"/>
      <c r="F238" s="870">
        <f t="shared" si="6"/>
        <v>0</v>
      </c>
    </row>
    <row r="239" spans="1:6" ht="13.5" customHeight="1">
      <c r="A239" s="872" t="s">
        <v>2140</v>
      </c>
      <c r="B239" s="873" t="s">
        <v>2141</v>
      </c>
      <c r="C239" s="874" t="s">
        <v>942</v>
      </c>
      <c r="D239" s="875">
        <v>1</v>
      </c>
      <c r="E239" s="1120">
        <v>500</v>
      </c>
      <c r="F239" s="472">
        <f t="shared" si="6"/>
        <v>500</v>
      </c>
    </row>
    <row r="240" spans="1:6">
      <c r="A240" s="872"/>
      <c r="B240" s="873"/>
      <c r="C240" s="874"/>
      <c r="E240" s="1120"/>
      <c r="F240" s="870">
        <f t="shared" si="6"/>
        <v>0</v>
      </c>
    </row>
    <row r="241" spans="1:7" ht="41.4">
      <c r="A241" s="872" t="s">
        <v>2142</v>
      </c>
      <c r="B241" s="873" t="s">
        <v>2143</v>
      </c>
      <c r="C241" s="874" t="s">
        <v>942</v>
      </c>
      <c r="D241" s="875">
        <v>1</v>
      </c>
      <c r="E241" s="1120">
        <v>10000</v>
      </c>
      <c r="F241" s="472">
        <f t="shared" si="6"/>
        <v>10000</v>
      </c>
    </row>
    <row r="242" spans="1:7">
      <c r="A242" s="872"/>
      <c r="B242" s="873"/>
      <c r="C242" s="874"/>
      <c r="E242" s="1120"/>
      <c r="F242" s="870">
        <f t="shared" si="6"/>
        <v>0</v>
      </c>
    </row>
    <row r="243" spans="1:7" ht="41.4">
      <c r="A243" s="872" t="s">
        <v>2144</v>
      </c>
      <c r="B243" s="873" t="s">
        <v>2145</v>
      </c>
      <c r="C243" s="874" t="s">
        <v>942</v>
      </c>
      <c r="D243" s="875">
        <v>18</v>
      </c>
      <c r="E243" s="1120">
        <v>50</v>
      </c>
      <c r="F243" s="472">
        <f t="shared" si="6"/>
        <v>900</v>
      </c>
    </row>
    <row r="244" spans="1:7">
      <c r="A244" s="872"/>
      <c r="B244" s="873"/>
      <c r="C244" s="874"/>
      <c r="E244" s="1120"/>
      <c r="F244" s="870">
        <f t="shared" si="6"/>
        <v>0</v>
      </c>
    </row>
    <row r="245" spans="1:7">
      <c r="A245" s="872" t="s">
        <v>2146</v>
      </c>
      <c r="B245" s="873" t="s">
        <v>2147</v>
      </c>
      <c r="C245" s="874" t="s">
        <v>942</v>
      </c>
      <c r="D245" s="875">
        <v>1</v>
      </c>
      <c r="E245" s="1120">
        <v>100</v>
      </c>
      <c r="F245" s="472">
        <f t="shared" si="6"/>
        <v>100</v>
      </c>
    </row>
    <row r="246" spans="1:7">
      <c r="A246" s="872"/>
      <c r="B246" s="873"/>
      <c r="C246" s="874"/>
      <c r="E246" s="1120"/>
      <c r="F246" s="870">
        <f t="shared" si="6"/>
        <v>0</v>
      </c>
    </row>
    <row r="247" spans="1:7">
      <c r="A247" s="891">
        <v>2</v>
      </c>
      <c r="B247" s="878" t="s">
        <v>2148</v>
      </c>
      <c r="C247" s="1166" t="s">
        <v>2034</v>
      </c>
      <c r="D247" s="1166"/>
      <c r="E247" s="1166"/>
      <c r="F247" s="994">
        <f>SUM(F118:F246)</f>
        <v>136640</v>
      </c>
    </row>
    <row r="248" spans="1:7">
      <c r="A248" s="872"/>
      <c r="B248" s="873"/>
      <c r="C248" s="874"/>
      <c r="E248" s="870"/>
      <c r="F248" s="870"/>
    </row>
    <row r="249" spans="1:7" ht="15.6">
      <c r="A249" s="892">
        <v>3</v>
      </c>
      <c r="B249" s="1171" t="s">
        <v>2149</v>
      </c>
      <c r="C249" s="1171"/>
      <c r="D249" s="1171"/>
      <c r="E249" s="1171"/>
      <c r="F249" s="1171"/>
    </row>
    <row r="250" spans="1:7">
      <c r="A250" s="893"/>
      <c r="B250" s="894"/>
      <c r="C250" s="895"/>
      <c r="E250" s="896"/>
      <c r="F250" s="897"/>
    </row>
    <row r="251" spans="1:7" ht="82.8">
      <c r="A251" s="872">
        <v>1</v>
      </c>
      <c r="B251" s="898" t="s">
        <v>2150</v>
      </c>
      <c r="C251" s="849"/>
      <c r="D251" s="849"/>
      <c r="E251" s="1122"/>
      <c r="F251" s="899">
        <f>D251*E251</f>
        <v>0</v>
      </c>
    </row>
    <row r="252" spans="1:7" s="879" customFormat="1" ht="15">
      <c r="A252" s="849"/>
      <c r="B252" s="900" t="s">
        <v>2151</v>
      </c>
      <c r="C252" s="849"/>
      <c r="D252" s="849"/>
      <c r="E252" s="1122"/>
      <c r="F252" s="899">
        <f t="shared" ref="F252:F315" si="7">D252*E252</f>
        <v>0</v>
      </c>
    </row>
    <row r="253" spans="1:7" s="879" customFormat="1">
      <c r="A253" s="849"/>
      <c r="B253" s="901" t="s">
        <v>2152</v>
      </c>
      <c r="C253" s="849"/>
      <c r="D253" s="849"/>
      <c r="E253" s="1122"/>
      <c r="F253" s="899">
        <f t="shared" si="7"/>
        <v>0</v>
      </c>
    </row>
    <row r="254" spans="1:7" s="903" customFormat="1" ht="18.75" customHeight="1">
      <c r="A254" s="849"/>
      <c r="B254" s="900" t="s">
        <v>2153</v>
      </c>
      <c r="C254" s="849"/>
      <c r="D254" s="849"/>
      <c r="E254" s="1122"/>
      <c r="F254" s="899">
        <f t="shared" si="7"/>
        <v>0</v>
      </c>
      <c r="G254" s="902"/>
    </row>
    <row r="255" spans="1:7">
      <c r="A255" s="849"/>
      <c r="B255" s="901" t="s">
        <v>2154</v>
      </c>
      <c r="C255" s="849"/>
      <c r="D255" s="849"/>
      <c r="E255" s="1122"/>
      <c r="F255" s="899">
        <f t="shared" si="7"/>
        <v>0</v>
      </c>
    </row>
    <row r="256" spans="1:7" s="905" customFormat="1">
      <c r="A256" s="849"/>
      <c r="B256" s="904" t="s">
        <v>2155</v>
      </c>
      <c r="C256" s="849"/>
      <c r="D256" s="849"/>
      <c r="E256" s="1122"/>
      <c r="F256" s="899">
        <f t="shared" si="7"/>
        <v>0</v>
      </c>
    </row>
    <row r="257" spans="1:6" s="905" customFormat="1" ht="15.6">
      <c r="A257" s="849"/>
      <c r="B257" s="900" t="s">
        <v>2156</v>
      </c>
      <c r="C257" s="849"/>
      <c r="D257" s="849"/>
      <c r="E257" s="1122"/>
      <c r="F257" s="899">
        <f t="shared" si="7"/>
        <v>0</v>
      </c>
    </row>
    <row r="258" spans="1:6" s="905" customFormat="1">
      <c r="A258" s="849"/>
      <c r="B258" s="906" t="s">
        <v>2157</v>
      </c>
      <c r="C258" s="849"/>
      <c r="D258" s="849"/>
      <c r="E258" s="1122"/>
      <c r="F258" s="899">
        <f t="shared" si="7"/>
        <v>0</v>
      </c>
    </row>
    <row r="259" spans="1:6" s="905" customFormat="1">
      <c r="A259" s="849"/>
      <c r="B259" s="907" t="s">
        <v>2158</v>
      </c>
      <c r="C259" s="849"/>
      <c r="D259" s="849"/>
      <c r="E259" s="1122"/>
      <c r="F259" s="899">
        <f t="shared" si="7"/>
        <v>0</v>
      </c>
    </row>
    <row r="260" spans="1:6" s="905" customFormat="1">
      <c r="A260" s="849"/>
      <c r="B260" s="907" t="s">
        <v>2159</v>
      </c>
      <c r="C260" s="849"/>
      <c r="D260" s="849"/>
      <c r="E260" s="1122"/>
      <c r="F260" s="899">
        <f t="shared" si="7"/>
        <v>0</v>
      </c>
    </row>
    <row r="261" spans="1:6" s="905" customFormat="1">
      <c r="A261" s="849"/>
      <c r="B261" s="900" t="s">
        <v>2160</v>
      </c>
      <c r="C261" s="849"/>
      <c r="D261" s="849"/>
      <c r="E261" s="1122"/>
      <c r="F261" s="899">
        <f t="shared" si="7"/>
        <v>0</v>
      </c>
    </row>
    <row r="262" spans="1:6" s="905" customFormat="1">
      <c r="A262" s="849"/>
      <c r="B262" s="908" t="s">
        <v>2161</v>
      </c>
      <c r="C262" s="849"/>
      <c r="D262" s="849"/>
      <c r="E262" s="1122"/>
      <c r="F262" s="899">
        <f t="shared" si="7"/>
        <v>0</v>
      </c>
    </row>
    <row r="263" spans="1:6" s="905" customFormat="1">
      <c r="A263" s="849"/>
      <c r="B263" s="900" t="s">
        <v>2162</v>
      </c>
      <c r="C263" s="849"/>
      <c r="D263" s="849"/>
      <c r="E263" s="1122"/>
      <c r="F263" s="899">
        <f t="shared" si="7"/>
        <v>0</v>
      </c>
    </row>
    <row r="264" spans="1:6" s="905" customFormat="1">
      <c r="A264" s="849"/>
      <c r="B264" s="909" t="s">
        <v>2163</v>
      </c>
      <c r="C264" s="849"/>
      <c r="D264" s="849"/>
      <c r="E264" s="1122"/>
      <c r="F264" s="899">
        <f t="shared" si="7"/>
        <v>0</v>
      </c>
    </row>
    <row r="265" spans="1:6" s="877" customFormat="1">
      <c r="A265" s="910"/>
      <c r="B265" s="911" t="s">
        <v>2164</v>
      </c>
      <c r="C265" s="910"/>
      <c r="D265" s="910"/>
      <c r="E265" s="1123"/>
      <c r="F265" s="899">
        <f t="shared" si="7"/>
        <v>0</v>
      </c>
    </row>
    <row r="266" spans="1:6" s="877" customFormat="1" ht="27.6">
      <c r="A266" s="910"/>
      <c r="B266" s="911" t="s">
        <v>2165</v>
      </c>
      <c r="C266" s="910"/>
      <c r="D266" s="910"/>
      <c r="E266" s="1123"/>
      <c r="F266" s="899">
        <f t="shared" si="7"/>
        <v>0</v>
      </c>
    </row>
    <row r="267" spans="1:6" s="877" customFormat="1" ht="27.6">
      <c r="A267" s="910"/>
      <c r="B267" s="911" t="s">
        <v>2166</v>
      </c>
      <c r="C267" s="910"/>
      <c r="D267" s="910"/>
      <c r="E267" s="1123"/>
      <c r="F267" s="899">
        <f t="shared" si="7"/>
        <v>0</v>
      </c>
    </row>
    <row r="268" spans="1:6" s="877" customFormat="1" ht="27.6">
      <c r="A268" s="910"/>
      <c r="B268" s="911" t="s">
        <v>2167</v>
      </c>
      <c r="C268" s="910"/>
      <c r="D268" s="910"/>
      <c r="E268" s="1123"/>
      <c r="F268" s="899">
        <f t="shared" si="7"/>
        <v>0</v>
      </c>
    </row>
    <row r="269" spans="1:6" s="905" customFormat="1">
      <c r="A269" s="849"/>
      <c r="B269" s="900" t="s">
        <v>2168</v>
      </c>
      <c r="C269" s="849"/>
      <c r="D269" s="849"/>
      <c r="E269" s="1122"/>
      <c r="F269" s="899">
        <f t="shared" si="7"/>
        <v>0</v>
      </c>
    </row>
    <row r="270" spans="1:6" s="905" customFormat="1">
      <c r="A270" s="849"/>
      <c r="B270" s="900" t="s">
        <v>2169</v>
      </c>
      <c r="C270" s="912" t="s">
        <v>391</v>
      </c>
      <c r="D270" s="875">
        <v>4</v>
      </c>
      <c r="E270" s="1120">
        <v>2690</v>
      </c>
      <c r="F270" s="472">
        <f t="shared" si="7"/>
        <v>10760</v>
      </c>
    </row>
    <row r="271" spans="1:6" s="905" customFormat="1">
      <c r="A271" s="913"/>
      <c r="B271" s="914"/>
      <c r="C271" s="914"/>
      <c r="D271" s="915"/>
      <c r="E271" s="1120"/>
      <c r="F271" s="899">
        <f t="shared" si="7"/>
        <v>0</v>
      </c>
    </row>
    <row r="272" spans="1:6" s="905" customFormat="1" ht="66" customHeight="1">
      <c r="A272" s="872" t="s">
        <v>1968</v>
      </c>
      <c r="B272" s="916" t="s">
        <v>2170</v>
      </c>
      <c r="C272" s="914"/>
      <c r="D272" s="915"/>
      <c r="E272" s="1120"/>
      <c r="F272" s="899">
        <f t="shared" si="7"/>
        <v>0</v>
      </c>
    </row>
    <row r="273" spans="1:6" s="905" customFormat="1" ht="15">
      <c r="A273" s="913"/>
      <c r="B273" s="917" t="s">
        <v>2171</v>
      </c>
      <c r="C273" s="914"/>
      <c r="D273" s="915"/>
      <c r="E273" s="1120"/>
      <c r="F273" s="899">
        <f t="shared" si="7"/>
        <v>0</v>
      </c>
    </row>
    <row r="274" spans="1:6" s="905" customFormat="1">
      <c r="A274" s="913"/>
      <c r="B274" s="918" t="s">
        <v>2172</v>
      </c>
      <c r="C274" s="914"/>
      <c r="D274" s="915"/>
      <c r="E274" s="1120"/>
      <c r="F274" s="899">
        <f t="shared" si="7"/>
        <v>0</v>
      </c>
    </row>
    <row r="275" spans="1:6" s="905" customFormat="1" ht="15">
      <c r="A275" s="913"/>
      <c r="B275" s="917" t="s">
        <v>2173</v>
      </c>
      <c r="C275" s="914"/>
      <c r="D275" s="915"/>
      <c r="E275" s="1120"/>
      <c r="F275" s="899">
        <f t="shared" si="7"/>
        <v>0</v>
      </c>
    </row>
    <row r="276" spans="1:6" s="905" customFormat="1">
      <c r="A276" s="913"/>
      <c r="B276" s="918" t="s">
        <v>2174</v>
      </c>
      <c r="C276" s="914"/>
      <c r="D276" s="915"/>
      <c r="E276" s="1120"/>
      <c r="F276" s="899">
        <f t="shared" si="7"/>
        <v>0</v>
      </c>
    </row>
    <row r="277" spans="1:6" s="905" customFormat="1">
      <c r="A277" s="913"/>
      <c r="B277" s="919" t="s">
        <v>2175</v>
      </c>
      <c r="C277" s="914"/>
      <c r="D277" s="915"/>
      <c r="E277" s="1120"/>
      <c r="F277" s="899">
        <f t="shared" si="7"/>
        <v>0</v>
      </c>
    </row>
    <row r="278" spans="1:6" s="905" customFormat="1" ht="15.6">
      <c r="A278" s="913"/>
      <c r="B278" s="917" t="s">
        <v>2176</v>
      </c>
      <c r="C278" s="914"/>
      <c r="D278" s="915"/>
      <c r="E278" s="1120"/>
      <c r="F278" s="899">
        <f t="shared" si="7"/>
        <v>0</v>
      </c>
    </row>
    <row r="279" spans="1:6" s="905" customFormat="1">
      <c r="A279" s="913"/>
      <c r="B279" s="920" t="s">
        <v>2157</v>
      </c>
      <c r="C279" s="914"/>
      <c r="D279" s="915"/>
      <c r="E279" s="1120"/>
      <c r="F279" s="899">
        <f t="shared" si="7"/>
        <v>0</v>
      </c>
    </row>
    <row r="280" spans="1:6" s="905" customFormat="1">
      <c r="A280" s="913"/>
      <c r="B280" s="921" t="s">
        <v>2158</v>
      </c>
      <c r="C280" s="914"/>
      <c r="D280" s="915"/>
      <c r="E280" s="1120"/>
      <c r="F280" s="899">
        <f t="shared" si="7"/>
        <v>0</v>
      </c>
    </row>
    <row r="281" spans="1:6" s="905" customFormat="1">
      <c r="A281" s="913"/>
      <c r="B281" s="921" t="s">
        <v>2177</v>
      </c>
      <c r="C281" s="914"/>
      <c r="D281" s="915"/>
      <c r="E281" s="1120"/>
      <c r="F281" s="899">
        <f t="shared" si="7"/>
        <v>0</v>
      </c>
    </row>
    <row r="282" spans="1:6" s="905" customFormat="1">
      <c r="A282" s="913"/>
      <c r="B282" s="917" t="s">
        <v>2160</v>
      </c>
      <c r="C282" s="914"/>
      <c r="D282" s="915"/>
      <c r="E282" s="1120"/>
      <c r="F282" s="899">
        <f t="shared" si="7"/>
        <v>0</v>
      </c>
    </row>
    <row r="283" spans="1:6" s="905" customFormat="1">
      <c r="A283" s="913"/>
      <c r="B283" s="917" t="s">
        <v>2162</v>
      </c>
      <c r="C283" s="914"/>
      <c r="D283" s="915"/>
      <c r="E283" s="1120"/>
      <c r="F283" s="899">
        <f t="shared" si="7"/>
        <v>0</v>
      </c>
    </row>
    <row r="284" spans="1:6" s="905" customFormat="1">
      <c r="A284" s="913"/>
      <c r="B284" s="922" t="s">
        <v>2178</v>
      </c>
      <c r="C284" s="912"/>
      <c r="D284" s="923"/>
      <c r="E284" s="1120"/>
      <c r="F284" s="899">
        <f t="shared" si="7"/>
        <v>0</v>
      </c>
    </row>
    <row r="285" spans="1:6" s="905" customFormat="1">
      <c r="A285" s="913"/>
      <c r="B285" s="917" t="s">
        <v>2179</v>
      </c>
      <c r="C285" s="914"/>
      <c r="D285" s="915"/>
      <c r="E285" s="1120"/>
      <c r="F285" s="899">
        <f t="shared" si="7"/>
        <v>0</v>
      </c>
    </row>
    <row r="286" spans="1:6" s="905" customFormat="1" ht="27.6">
      <c r="A286" s="913"/>
      <c r="B286" s="924" t="s">
        <v>2165</v>
      </c>
      <c r="C286" s="914"/>
      <c r="D286" s="915"/>
      <c r="E286" s="1120"/>
      <c r="F286" s="899">
        <f t="shared" si="7"/>
        <v>0</v>
      </c>
    </row>
    <row r="287" spans="1:6" s="905" customFormat="1" ht="27.6">
      <c r="A287" s="913"/>
      <c r="B287" s="924" t="s">
        <v>2166</v>
      </c>
      <c r="C287" s="914"/>
      <c r="D287" s="915"/>
      <c r="E287" s="1120"/>
      <c r="F287" s="899">
        <f t="shared" si="7"/>
        <v>0</v>
      </c>
    </row>
    <row r="288" spans="1:6" s="905" customFormat="1" ht="27.6">
      <c r="A288" s="913"/>
      <c r="B288" s="924" t="s">
        <v>2167</v>
      </c>
      <c r="C288" s="914"/>
      <c r="D288" s="915"/>
      <c r="E288" s="1120"/>
      <c r="F288" s="899">
        <f t="shared" si="7"/>
        <v>0</v>
      </c>
    </row>
    <row r="289" spans="1:6" s="905" customFormat="1">
      <c r="A289" s="913"/>
      <c r="B289" s="917" t="s">
        <v>2180</v>
      </c>
      <c r="C289" s="914"/>
      <c r="D289" s="915"/>
      <c r="E289" s="1120"/>
      <c r="F289" s="899">
        <f t="shared" si="7"/>
        <v>0</v>
      </c>
    </row>
    <row r="290" spans="1:6" s="905" customFormat="1">
      <c r="A290" s="913"/>
      <c r="B290" s="917" t="s">
        <v>2181</v>
      </c>
      <c r="C290" s="912" t="s">
        <v>391</v>
      </c>
      <c r="D290" s="875">
        <v>4</v>
      </c>
      <c r="E290" s="1120">
        <v>2480</v>
      </c>
      <c r="F290" s="472">
        <f t="shared" si="7"/>
        <v>9920</v>
      </c>
    </row>
    <row r="291" spans="1:6" s="905" customFormat="1">
      <c r="A291" s="913"/>
      <c r="B291" s="925"/>
      <c r="C291" s="914"/>
      <c r="D291" s="915"/>
      <c r="E291" s="1120"/>
      <c r="F291" s="899">
        <f t="shared" si="7"/>
        <v>0</v>
      </c>
    </row>
    <row r="292" spans="1:6" s="905" customFormat="1" ht="82.8">
      <c r="A292" s="872" t="s">
        <v>1970</v>
      </c>
      <c r="B292" s="916" t="s">
        <v>2182</v>
      </c>
      <c r="C292" s="914"/>
      <c r="D292" s="915"/>
      <c r="E292" s="1120"/>
      <c r="F292" s="899">
        <f t="shared" si="7"/>
        <v>0</v>
      </c>
    </row>
    <row r="293" spans="1:6" s="905" customFormat="1" ht="15">
      <c r="A293" s="913"/>
      <c r="B293" s="917" t="s">
        <v>2183</v>
      </c>
      <c r="C293" s="914"/>
      <c r="D293" s="915"/>
      <c r="E293" s="1120"/>
      <c r="F293" s="899">
        <f t="shared" si="7"/>
        <v>0</v>
      </c>
    </row>
    <row r="294" spans="1:6" s="905" customFormat="1" ht="14.25" customHeight="1">
      <c r="A294" s="913"/>
      <c r="B294" s="918" t="s">
        <v>2184</v>
      </c>
      <c r="C294" s="914"/>
      <c r="D294" s="915"/>
      <c r="E294" s="1120"/>
      <c r="F294" s="899">
        <f t="shared" si="7"/>
        <v>0</v>
      </c>
    </row>
    <row r="295" spans="1:6" s="905" customFormat="1" ht="15">
      <c r="A295" s="913"/>
      <c r="B295" s="917" t="s">
        <v>2185</v>
      </c>
      <c r="C295" s="914"/>
      <c r="D295" s="915"/>
      <c r="E295" s="1120"/>
      <c r="F295" s="899">
        <f t="shared" si="7"/>
        <v>0</v>
      </c>
    </row>
    <row r="296" spans="1:6" s="905" customFormat="1">
      <c r="A296" s="913"/>
      <c r="B296" s="918" t="s">
        <v>2186</v>
      </c>
      <c r="C296" s="914"/>
      <c r="D296" s="915"/>
      <c r="E296" s="1120"/>
      <c r="F296" s="899">
        <f t="shared" si="7"/>
        <v>0</v>
      </c>
    </row>
    <row r="297" spans="1:6" s="905" customFormat="1">
      <c r="A297" s="913"/>
      <c r="B297" s="918" t="s">
        <v>2187</v>
      </c>
      <c r="C297" s="914"/>
      <c r="D297" s="915"/>
      <c r="E297" s="1120"/>
      <c r="F297" s="899">
        <f t="shared" si="7"/>
        <v>0</v>
      </c>
    </row>
    <row r="298" spans="1:6" s="905" customFormat="1" ht="15.6">
      <c r="A298" s="913"/>
      <c r="B298" s="917" t="s">
        <v>2188</v>
      </c>
      <c r="C298" s="914"/>
      <c r="D298" s="915"/>
      <c r="E298" s="1120"/>
      <c r="F298" s="899">
        <f t="shared" si="7"/>
        <v>0</v>
      </c>
    </row>
    <row r="299" spans="1:6" s="905" customFormat="1">
      <c r="A299" s="913"/>
      <c r="B299" s="920" t="s">
        <v>2157</v>
      </c>
      <c r="C299" s="914"/>
      <c r="D299" s="915"/>
      <c r="E299" s="1120"/>
      <c r="F299" s="899">
        <f t="shared" si="7"/>
        <v>0</v>
      </c>
    </row>
    <row r="300" spans="1:6" s="905" customFormat="1">
      <c r="A300" s="913"/>
      <c r="B300" s="921" t="s">
        <v>2158</v>
      </c>
      <c r="C300" s="914"/>
      <c r="D300" s="915"/>
      <c r="E300" s="1120"/>
      <c r="F300" s="899">
        <f t="shared" si="7"/>
        <v>0</v>
      </c>
    </row>
    <row r="301" spans="1:6" s="905" customFormat="1">
      <c r="A301" s="913"/>
      <c r="B301" s="921" t="s">
        <v>2189</v>
      </c>
      <c r="C301" s="914"/>
      <c r="D301" s="915"/>
      <c r="E301" s="1120"/>
      <c r="F301" s="899">
        <f t="shared" si="7"/>
        <v>0</v>
      </c>
    </row>
    <row r="302" spans="1:6" s="905" customFormat="1">
      <c r="A302" s="913"/>
      <c r="B302" s="917" t="s">
        <v>2190</v>
      </c>
      <c r="C302" s="912"/>
      <c r="D302" s="923"/>
      <c r="E302" s="1120"/>
      <c r="F302" s="899">
        <f t="shared" si="7"/>
        <v>0</v>
      </c>
    </row>
    <row r="303" spans="1:6" s="905" customFormat="1">
      <c r="A303" s="926"/>
      <c r="B303" s="917" t="s">
        <v>2191</v>
      </c>
      <c r="C303" s="927"/>
      <c r="D303" s="928"/>
      <c r="E303" s="1120"/>
      <c r="F303" s="899">
        <f t="shared" si="7"/>
        <v>0</v>
      </c>
    </row>
    <row r="304" spans="1:6" s="905" customFormat="1">
      <c r="A304" s="913"/>
      <c r="B304" s="922" t="s">
        <v>2192</v>
      </c>
      <c r="C304" s="914"/>
      <c r="D304" s="915"/>
      <c r="E304" s="1120"/>
      <c r="F304" s="899">
        <f t="shared" si="7"/>
        <v>0</v>
      </c>
    </row>
    <row r="305" spans="1:6" s="905" customFormat="1">
      <c r="A305" s="913"/>
      <c r="B305" s="917" t="s">
        <v>2193</v>
      </c>
      <c r="C305" s="914"/>
      <c r="D305" s="915"/>
      <c r="E305" s="1120"/>
      <c r="F305" s="899">
        <f t="shared" si="7"/>
        <v>0</v>
      </c>
    </row>
    <row r="306" spans="1:6" s="905" customFormat="1">
      <c r="A306" s="913"/>
      <c r="B306" s="917" t="s">
        <v>2165</v>
      </c>
      <c r="C306" s="914"/>
      <c r="D306" s="915"/>
      <c r="E306" s="1120"/>
      <c r="F306" s="899">
        <f t="shared" si="7"/>
        <v>0</v>
      </c>
    </row>
    <row r="307" spans="1:6" s="905" customFormat="1">
      <c r="A307" s="913"/>
      <c r="B307" s="917" t="s">
        <v>2166</v>
      </c>
      <c r="C307" s="914"/>
      <c r="D307" s="915"/>
      <c r="E307" s="1120"/>
      <c r="F307" s="899">
        <f t="shared" si="7"/>
        <v>0</v>
      </c>
    </row>
    <row r="308" spans="1:6" s="905" customFormat="1">
      <c r="A308" s="913"/>
      <c r="B308" s="917" t="s">
        <v>2167</v>
      </c>
      <c r="C308" s="912"/>
      <c r="D308" s="923"/>
      <c r="E308" s="1120"/>
      <c r="F308" s="899">
        <f t="shared" si="7"/>
        <v>0</v>
      </c>
    </row>
    <row r="309" spans="1:6" s="905" customFormat="1">
      <c r="A309" s="913"/>
      <c r="B309" s="917" t="s">
        <v>2194</v>
      </c>
      <c r="C309" s="914"/>
      <c r="D309" s="915"/>
      <c r="E309" s="1120"/>
      <c r="F309" s="899">
        <f t="shared" si="7"/>
        <v>0</v>
      </c>
    </row>
    <row r="310" spans="1:6" s="905" customFormat="1">
      <c r="A310" s="913"/>
      <c r="B310" s="917" t="s">
        <v>2195</v>
      </c>
      <c r="C310" s="912" t="s">
        <v>391</v>
      </c>
      <c r="D310" s="875">
        <v>10</v>
      </c>
      <c r="E310" s="1120">
        <v>2010</v>
      </c>
      <c r="F310" s="472">
        <f t="shared" si="7"/>
        <v>20100</v>
      </c>
    </row>
    <row r="311" spans="1:6" s="905" customFormat="1">
      <c r="A311" s="913"/>
      <c r="B311" s="929"/>
      <c r="C311" s="914"/>
      <c r="D311" s="915"/>
      <c r="E311" s="1120"/>
      <c r="F311" s="899">
        <f t="shared" si="7"/>
        <v>0</v>
      </c>
    </row>
    <row r="312" spans="1:6" s="905" customFormat="1" ht="69">
      <c r="A312" s="872" t="s">
        <v>1972</v>
      </c>
      <c r="B312" s="930" t="s">
        <v>2196</v>
      </c>
      <c r="C312" s="912"/>
      <c r="D312" s="923"/>
      <c r="E312" s="1120"/>
      <c r="F312" s="899">
        <f t="shared" si="7"/>
        <v>0</v>
      </c>
    </row>
    <row r="313" spans="1:6" s="905" customFormat="1" ht="15">
      <c r="A313" s="913"/>
      <c r="B313" s="931" t="s">
        <v>2197</v>
      </c>
      <c r="C313" s="912"/>
      <c r="D313" s="923"/>
      <c r="E313" s="1120"/>
      <c r="F313" s="899">
        <f t="shared" si="7"/>
        <v>0</v>
      </c>
    </row>
    <row r="314" spans="1:6" s="905" customFormat="1" ht="15">
      <c r="A314" s="913"/>
      <c r="B314" s="931" t="s">
        <v>2198</v>
      </c>
      <c r="C314" s="914"/>
      <c r="D314" s="915"/>
      <c r="E314" s="1120"/>
      <c r="F314" s="899">
        <f t="shared" si="7"/>
        <v>0</v>
      </c>
    </row>
    <row r="315" spans="1:6" s="905" customFormat="1">
      <c r="A315" s="913"/>
      <c r="B315" s="932" t="s">
        <v>2199</v>
      </c>
      <c r="C315" s="914"/>
      <c r="D315" s="915"/>
      <c r="E315" s="1120"/>
      <c r="F315" s="899">
        <f t="shared" si="7"/>
        <v>0</v>
      </c>
    </row>
    <row r="316" spans="1:6" s="905" customFormat="1">
      <c r="A316" s="913"/>
      <c r="B316" s="932" t="s">
        <v>2200</v>
      </c>
      <c r="C316" s="914"/>
      <c r="D316" s="915"/>
      <c r="E316" s="1120"/>
      <c r="F316" s="899">
        <f t="shared" ref="F316:F362" si="8">D316*E316</f>
        <v>0</v>
      </c>
    </row>
    <row r="317" spans="1:6" s="905" customFormat="1">
      <c r="A317" s="913"/>
      <c r="B317" s="933" t="s">
        <v>2201</v>
      </c>
      <c r="C317" s="914"/>
      <c r="D317" s="915"/>
      <c r="E317" s="1120"/>
      <c r="F317" s="899">
        <f t="shared" si="8"/>
        <v>0</v>
      </c>
    </row>
    <row r="318" spans="1:6" s="905" customFormat="1" ht="27.6">
      <c r="A318" s="913"/>
      <c r="B318" s="932" t="s">
        <v>2202</v>
      </c>
      <c r="C318" s="912"/>
      <c r="D318" s="923"/>
      <c r="E318" s="1120"/>
      <c r="F318" s="899">
        <f t="shared" si="8"/>
        <v>0</v>
      </c>
    </row>
    <row r="319" spans="1:6" s="905" customFormat="1">
      <c r="A319" s="913"/>
      <c r="B319" s="932" t="s">
        <v>2203</v>
      </c>
      <c r="C319" s="914"/>
      <c r="D319" s="915"/>
      <c r="E319" s="1120"/>
      <c r="F319" s="899">
        <f t="shared" si="8"/>
        <v>0</v>
      </c>
    </row>
    <row r="320" spans="1:6" s="905" customFormat="1" ht="27.6">
      <c r="A320" s="913"/>
      <c r="B320" s="932" t="s">
        <v>2204</v>
      </c>
      <c r="C320" s="912"/>
      <c r="D320" s="923"/>
      <c r="E320" s="1120"/>
      <c r="F320" s="899">
        <f t="shared" si="8"/>
        <v>0</v>
      </c>
    </row>
    <row r="321" spans="1:6" s="905" customFormat="1">
      <c r="A321" s="913"/>
      <c r="B321" s="932" t="s">
        <v>2205</v>
      </c>
      <c r="C321" s="914"/>
      <c r="D321" s="915"/>
      <c r="E321" s="1120"/>
      <c r="F321" s="899">
        <f t="shared" si="8"/>
        <v>0</v>
      </c>
    </row>
    <row r="322" spans="1:6" s="905" customFormat="1" ht="20.25" customHeight="1">
      <c r="A322" s="913"/>
      <c r="B322" s="932" t="s">
        <v>2206</v>
      </c>
      <c r="C322" s="914"/>
      <c r="D322" s="915"/>
      <c r="E322" s="1120"/>
      <c r="F322" s="899">
        <f t="shared" si="8"/>
        <v>0</v>
      </c>
    </row>
    <row r="323" spans="1:6" s="905" customFormat="1" ht="12.75" customHeight="1">
      <c r="A323" s="913"/>
      <c r="B323" s="932" t="s">
        <v>2207</v>
      </c>
      <c r="C323" s="912"/>
      <c r="D323" s="923"/>
      <c r="E323" s="1120"/>
      <c r="F323" s="899">
        <f t="shared" si="8"/>
        <v>0</v>
      </c>
    </row>
    <row r="324" spans="1:6" s="905" customFormat="1">
      <c r="A324" s="913"/>
      <c r="B324" s="932" t="s">
        <v>2208</v>
      </c>
      <c r="C324" s="912"/>
      <c r="D324" s="923"/>
      <c r="E324" s="1120"/>
      <c r="F324" s="899">
        <f t="shared" si="8"/>
        <v>0</v>
      </c>
    </row>
    <row r="325" spans="1:6">
      <c r="A325" s="913"/>
      <c r="B325" s="932" t="s">
        <v>2209</v>
      </c>
      <c r="C325" s="912" t="s">
        <v>391</v>
      </c>
      <c r="D325" s="875">
        <v>18</v>
      </c>
      <c r="E325" s="1120">
        <v>700</v>
      </c>
      <c r="F325" s="472">
        <f t="shared" si="8"/>
        <v>12600</v>
      </c>
    </row>
    <row r="326" spans="1:6">
      <c r="A326" s="913"/>
      <c r="B326" s="934"/>
      <c r="C326" s="912"/>
      <c r="D326" s="923"/>
      <c r="E326" s="1120"/>
      <c r="F326" s="899">
        <f t="shared" si="8"/>
        <v>0</v>
      </c>
    </row>
    <row r="327" spans="1:6" ht="91.5" customHeight="1">
      <c r="A327" s="872" t="s">
        <v>1974</v>
      </c>
      <c r="B327" s="930" t="s">
        <v>2210</v>
      </c>
      <c r="C327" s="912"/>
      <c r="D327" s="923"/>
      <c r="E327" s="1120"/>
      <c r="F327" s="899">
        <f t="shared" si="8"/>
        <v>0</v>
      </c>
    </row>
    <row r="328" spans="1:6" ht="15">
      <c r="A328" s="913"/>
      <c r="B328" s="931" t="s">
        <v>2211</v>
      </c>
      <c r="C328" s="912"/>
      <c r="D328" s="923"/>
      <c r="E328" s="1120"/>
      <c r="F328" s="899">
        <f t="shared" si="8"/>
        <v>0</v>
      </c>
    </row>
    <row r="329" spans="1:6" ht="15">
      <c r="A329" s="913"/>
      <c r="B329" s="931" t="s">
        <v>2212</v>
      </c>
      <c r="C329" s="912"/>
      <c r="D329" s="923"/>
      <c r="E329" s="1120"/>
      <c r="F329" s="899">
        <f t="shared" si="8"/>
        <v>0</v>
      </c>
    </row>
    <row r="330" spans="1:6">
      <c r="A330" s="913"/>
      <c r="B330" s="935" t="s">
        <v>2199</v>
      </c>
      <c r="C330" s="912"/>
      <c r="D330" s="923"/>
      <c r="E330" s="1120"/>
      <c r="F330" s="899">
        <f t="shared" si="8"/>
        <v>0</v>
      </c>
    </row>
    <row r="331" spans="1:6">
      <c r="A331" s="913"/>
      <c r="B331" s="936" t="s">
        <v>2213</v>
      </c>
      <c r="C331" s="912"/>
      <c r="D331" s="887"/>
      <c r="E331" s="1120"/>
      <c r="F331" s="899">
        <f t="shared" si="8"/>
        <v>0</v>
      </c>
    </row>
    <row r="332" spans="1:6">
      <c r="A332" s="913"/>
      <c r="B332" s="935" t="s">
        <v>2214</v>
      </c>
      <c r="C332" s="912"/>
      <c r="D332" s="887"/>
      <c r="E332" s="1120"/>
      <c r="F332" s="899">
        <f t="shared" si="8"/>
        <v>0</v>
      </c>
    </row>
    <row r="333" spans="1:6">
      <c r="A333" s="913"/>
      <c r="B333" s="936" t="s">
        <v>2215</v>
      </c>
      <c r="C333" s="912"/>
      <c r="D333" s="887"/>
      <c r="E333" s="1120"/>
      <c r="F333" s="899">
        <f t="shared" si="8"/>
        <v>0</v>
      </c>
    </row>
    <row r="334" spans="1:6">
      <c r="A334" s="913"/>
      <c r="B334" s="936" t="s">
        <v>2216</v>
      </c>
      <c r="C334" s="912"/>
      <c r="D334" s="887"/>
      <c r="E334" s="1120"/>
      <c r="F334" s="899">
        <f t="shared" si="8"/>
        <v>0</v>
      </c>
    </row>
    <row r="335" spans="1:6" ht="15.6">
      <c r="A335" s="913"/>
      <c r="B335" s="936" t="s">
        <v>2217</v>
      </c>
      <c r="C335" s="912"/>
      <c r="D335" s="887"/>
      <c r="E335" s="1120"/>
      <c r="F335" s="899">
        <f t="shared" si="8"/>
        <v>0</v>
      </c>
    </row>
    <row r="336" spans="1:6" ht="27.6">
      <c r="A336" s="913"/>
      <c r="B336" s="936" t="s">
        <v>2218</v>
      </c>
      <c r="C336" s="912" t="s">
        <v>391</v>
      </c>
      <c r="D336" s="875">
        <v>30</v>
      </c>
      <c r="E336" s="1120">
        <v>500</v>
      </c>
      <c r="F336" s="472">
        <f t="shared" si="8"/>
        <v>15000</v>
      </c>
    </row>
    <row r="337" spans="1:6">
      <c r="A337" s="893"/>
      <c r="B337" s="894"/>
      <c r="C337" s="895"/>
      <c r="E337" s="1120"/>
      <c r="F337" s="899">
        <f t="shared" si="8"/>
        <v>0</v>
      </c>
    </row>
    <row r="338" spans="1:6" ht="54" customHeight="1">
      <c r="A338" s="893">
        <v>6</v>
      </c>
      <c r="B338" s="937" t="s">
        <v>2219</v>
      </c>
      <c r="C338" s="938"/>
      <c r="E338" s="1120"/>
      <c r="F338" s="899">
        <f t="shared" si="8"/>
        <v>0</v>
      </c>
    </row>
    <row r="339" spans="1:6">
      <c r="A339" s="893"/>
      <c r="B339" s="937" t="s">
        <v>2220</v>
      </c>
      <c r="C339" s="938" t="s">
        <v>344</v>
      </c>
      <c r="D339" s="875">
        <v>480</v>
      </c>
      <c r="E339" s="1120">
        <v>12</v>
      </c>
      <c r="F339" s="472">
        <f t="shared" si="8"/>
        <v>5760</v>
      </c>
    </row>
    <row r="340" spans="1:6">
      <c r="A340" s="893"/>
      <c r="B340" s="937" t="s">
        <v>2221</v>
      </c>
      <c r="C340" s="938" t="s">
        <v>344</v>
      </c>
      <c r="D340" s="875">
        <v>480</v>
      </c>
      <c r="E340" s="1120">
        <v>17</v>
      </c>
      <c r="F340" s="472">
        <f t="shared" si="8"/>
        <v>8160</v>
      </c>
    </row>
    <row r="341" spans="1:6">
      <c r="A341" s="893"/>
      <c r="B341" s="937"/>
      <c r="C341" s="938"/>
      <c r="E341" s="1120"/>
      <c r="F341" s="899">
        <f t="shared" si="8"/>
        <v>0</v>
      </c>
    </row>
    <row r="342" spans="1:6" ht="41.4">
      <c r="A342" s="893">
        <v>7</v>
      </c>
      <c r="B342" s="937" t="s">
        <v>2222</v>
      </c>
      <c r="C342" s="938" t="s">
        <v>154</v>
      </c>
      <c r="D342" s="875">
        <v>9</v>
      </c>
      <c r="E342" s="1120">
        <v>150</v>
      </c>
      <c r="F342" s="472">
        <f t="shared" si="8"/>
        <v>1350</v>
      </c>
    </row>
    <row r="343" spans="1:6">
      <c r="A343" s="893"/>
      <c r="B343" s="937"/>
      <c r="C343" s="938"/>
      <c r="E343" s="1120"/>
      <c r="F343" s="899">
        <f t="shared" si="8"/>
        <v>0</v>
      </c>
    </row>
    <row r="344" spans="1:6" ht="41.4">
      <c r="A344" s="939" t="s">
        <v>1980</v>
      </c>
      <c r="B344" s="877" t="s">
        <v>2223</v>
      </c>
      <c r="C344" s="874"/>
      <c r="E344" s="1120"/>
      <c r="F344" s="899">
        <f t="shared" si="8"/>
        <v>0</v>
      </c>
    </row>
    <row r="345" spans="1:6">
      <c r="A345" s="939"/>
      <c r="B345" s="877" t="s">
        <v>2224</v>
      </c>
      <c r="C345" s="874" t="s">
        <v>344</v>
      </c>
      <c r="D345" s="875">
        <v>360</v>
      </c>
      <c r="E345" s="1120">
        <v>20</v>
      </c>
      <c r="F345" s="472">
        <f t="shared" si="8"/>
        <v>7200</v>
      </c>
    </row>
    <row r="346" spans="1:6">
      <c r="A346" s="939"/>
      <c r="C346" s="874"/>
      <c r="E346" s="1120"/>
      <c r="F346" s="899">
        <f t="shared" si="8"/>
        <v>0</v>
      </c>
    </row>
    <row r="347" spans="1:6" ht="27.6">
      <c r="A347" s="939" t="s">
        <v>1982</v>
      </c>
      <c r="B347" s="877" t="s">
        <v>2225</v>
      </c>
      <c r="C347" s="874" t="s">
        <v>391</v>
      </c>
      <c r="D347" s="875">
        <v>36</v>
      </c>
      <c r="E347" s="1120">
        <v>150</v>
      </c>
      <c r="F347" s="472">
        <f t="shared" si="8"/>
        <v>5400</v>
      </c>
    </row>
    <row r="348" spans="1:6">
      <c r="A348" s="893"/>
      <c r="B348" s="937"/>
      <c r="C348" s="938"/>
      <c r="E348" s="1120"/>
      <c r="F348" s="899">
        <f t="shared" si="8"/>
        <v>0</v>
      </c>
    </row>
    <row r="349" spans="1:6" ht="41.4">
      <c r="A349" s="893">
        <v>10</v>
      </c>
      <c r="B349" s="937" t="s">
        <v>2226</v>
      </c>
      <c r="C349" s="938" t="s">
        <v>942</v>
      </c>
      <c r="D349" s="875">
        <v>18</v>
      </c>
      <c r="E349" s="1120">
        <v>150</v>
      </c>
      <c r="F349" s="472">
        <f t="shared" si="8"/>
        <v>2700</v>
      </c>
    </row>
    <row r="350" spans="1:6">
      <c r="A350" s="893"/>
      <c r="B350" s="937"/>
      <c r="C350" s="938"/>
      <c r="E350" s="1120"/>
      <c r="F350" s="899">
        <f t="shared" si="8"/>
        <v>0</v>
      </c>
    </row>
    <row r="351" spans="1:6">
      <c r="A351" s="893">
        <v>11</v>
      </c>
      <c r="B351" s="937" t="s">
        <v>2227</v>
      </c>
      <c r="C351" s="938" t="s">
        <v>942</v>
      </c>
      <c r="D351" s="875">
        <v>18</v>
      </c>
      <c r="E351" s="1120">
        <v>250</v>
      </c>
      <c r="F351" s="472">
        <f t="shared" si="8"/>
        <v>4500</v>
      </c>
    </row>
    <row r="352" spans="1:6">
      <c r="A352" s="893"/>
      <c r="B352" s="937"/>
      <c r="C352" s="938"/>
      <c r="E352" s="1120"/>
      <c r="F352" s="899">
        <f t="shared" si="8"/>
        <v>0</v>
      </c>
    </row>
    <row r="353" spans="1:6" ht="15" customHeight="1">
      <c r="A353" s="893">
        <v>12</v>
      </c>
      <c r="B353" s="937" t="s">
        <v>2228</v>
      </c>
      <c r="C353" s="938" t="s">
        <v>942</v>
      </c>
      <c r="D353" s="875">
        <v>18</v>
      </c>
      <c r="E353" s="1120">
        <v>100</v>
      </c>
      <c r="F353" s="472">
        <f t="shared" si="8"/>
        <v>1800</v>
      </c>
    </row>
    <row r="354" spans="1:6" ht="15" customHeight="1">
      <c r="A354" s="893"/>
      <c r="B354" s="937"/>
      <c r="C354" s="938"/>
      <c r="E354" s="1120"/>
      <c r="F354" s="472"/>
    </row>
    <row r="355" spans="1:6" ht="55.2">
      <c r="A355" s="893">
        <v>13</v>
      </c>
      <c r="B355" s="937" t="s">
        <v>2229</v>
      </c>
      <c r="C355" s="938" t="s">
        <v>942</v>
      </c>
      <c r="D355" s="875">
        <v>18</v>
      </c>
      <c r="E355" s="1120">
        <v>150</v>
      </c>
      <c r="F355" s="472">
        <f t="shared" si="8"/>
        <v>2700</v>
      </c>
    </row>
    <row r="356" spans="1:6">
      <c r="A356" s="939"/>
      <c r="C356" s="874"/>
      <c r="E356" s="1120"/>
      <c r="F356" s="899">
        <f t="shared" si="8"/>
        <v>0</v>
      </c>
    </row>
    <row r="357" spans="1:6">
      <c r="A357" s="939" t="s">
        <v>2107</v>
      </c>
      <c r="B357" s="877" t="s">
        <v>2230</v>
      </c>
      <c r="C357" s="874" t="s">
        <v>942</v>
      </c>
      <c r="D357" s="875">
        <v>1</v>
      </c>
      <c r="E357" s="1120">
        <v>150</v>
      </c>
      <c r="F357" s="472">
        <f t="shared" si="8"/>
        <v>150</v>
      </c>
    </row>
    <row r="358" spans="1:6">
      <c r="A358" s="939"/>
      <c r="C358" s="874"/>
      <c r="E358" s="1120"/>
      <c r="F358" s="899">
        <f t="shared" si="8"/>
        <v>0</v>
      </c>
    </row>
    <row r="359" spans="1:6">
      <c r="A359" s="893"/>
      <c r="B359" s="940" t="s">
        <v>314</v>
      </c>
      <c r="C359" s="938"/>
      <c r="D359" s="941"/>
      <c r="E359" s="956"/>
      <c r="F359" s="899">
        <f t="shared" si="8"/>
        <v>0</v>
      </c>
    </row>
    <row r="360" spans="1:6" ht="96.6">
      <c r="A360" s="893"/>
      <c r="B360" s="943" t="s">
        <v>2231</v>
      </c>
      <c r="C360" s="938"/>
      <c r="D360" s="941"/>
      <c r="E360" s="956"/>
      <c r="F360" s="899">
        <f t="shared" si="8"/>
        <v>0</v>
      </c>
    </row>
    <row r="361" spans="1:6" ht="41.4">
      <c r="A361" s="944"/>
      <c r="B361" s="943" t="s">
        <v>2232</v>
      </c>
      <c r="C361" s="938"/>
      <c r="D361" s="941"/>
      <c r="E361" s="956"/>
      <c r="F361" s="899">
        <f t="shared" si="8"/>
        <v>0</v>
      </c>
    </row>
    <row r="362" spans="1:6">
      <c r="A362" s="939"/>
      <c r="C362" s="874"/>
      <c r="E362" s="1120"/>
      <c r="F362" s="899">
        <f t="shared" si="8"/>
        <v>0</v>
      </c>
    </row>
    <row r="363" spans="1:6">
      <c r="A363" s="891">
        <v>3</v>
      </c>
      <c r="B363" s="878" t="s">
        <v>2149</v>
      </c>
      <c r="C363" s="1166" t="s">
        <v>2034</v>
      </c>
      <c r="D363" s="1166"/>
      <c r="E363" s="1166"/>
      <c r="F363" s="994">
        <f>SUM(F250:F362)</f>
        <v>108100</v>
      </c>
    </row>
    <row r="364" spans="1:6">
      <c r="A364" s="872"/>
      <c r="B364" s="873"/>
      <c r="C364" s="874"/>
      <c r="E364" s="870"/>
      <c r="F364" s="870"/>
    </row>
    <row r="365" spans="1:6" ht="15.6">
      <c r="A365" s="945">
        <v>4</v>
      </c>
      <c r="B365" s="1172" t="s">
        <v>2233</v>
      </c>
      <c r="C365" s="1172"/>
      <c r="D365" s="1172"/>
      <c r="E365" s="1172"/>
      <c r="F365" s="1172"/>
    </row>
    <row r="366" spans="1:6" ht="15.6">
      <c r="A366" s="946"/>
      <c r="B366" s="947"/>
      <c r="C366" s="948"/>
      <c r="D366" s="949"/>
      <c r="E366" s="950"/>
      <c r="F366" s="951">
        <f t="shared" ref="F366:F411" si="9">D366*E366</f>
        <v>0</v>
      </c>
    </row>
    <row r="367" spans="1:6">
      <c r="A367" s="952" t="s">
        <v>2234</v>
      </c>
      <c r="B367" s="1173" t="s">
        <v>2235</v>
      </c>
      <c r="C367" s="1173"/>
      <c r="D367" s="1173"/>
      <c r="E367" s="1173"/>
      <c r="F367" s="1173"/>
    </row>
    <row r="368" spans="1:6">
      <c r="A368" s="953"/>
      <c r="B368" s="954"/>
      <c r="C368" s="955"/>
      <c r="E368" s="942"/>
      <c r="F368" s="942">
        <f t="shared" si="9"/>
        <v>0</v>
      </c>
    </row>
    <row r="369" spans="1:6" ht="41.25" customHeight="1">
      <c r="A369" s="872" t="s">
        <v>1966</v>
      </c>
      <c r="B369" s="873" t="s">
        <v>2236</v>
      </c>
      <c r="C369" s="874" t="s">
        <v>391</v>
      </c>
      <c r="D369" s="875">
        <v>16</v>
      </c>
      <c r="E369" s="1120">
        <v>150</v>
      </c>
      <c r="F369" s="472">
        <f t="shared" si="9"/>
        <v>2400</v>
      </c>
    </row>
    <row r="370" spans="1:6">
      <c r="A370" s="872"/>
      <c r="B370" s="873"/>
      <c r="C370" s="874"/>
      <c r="E370" s="1120"/>
      <c r="F370" s="870">
        <f t="shared" si="9"/>
        <v>0</v>
      </c>
    </row>
    <row r="371" spans="1:6" ht="41.4">
      <c r="A371" s="872" t="s">
        <v>1968</v>
      </c>
      <c r="B371" s="877" t="s">
        <v>2237</v>
      </c>
      <c r="C371" s="955"/>
      <c r="E371" s="956"/>
      <c r="F371" s="870">
        <f t="shared" si="9"/>
        <v>0</v>
      </c>
    </row>
    <row r="372" spans="1:6">
      <c r="A372" s="872"/>
      <c r="B372" s="957" t="s">
        <v>2238</v>
      </c>
      <c r="C372" s="955" t="s">
        <v>391</v>
      </c>
      <c r="D372" s="875">
        <v>16</v>
      </c>
      <c r="E372" s="956">
        <v>200</v>
      </c>
      <c r="F372" s="472">
        <f t="shared" si="9"/>
        <v>3200</v>
      </c>
    </row>
    <row r="373" spans="1:6">
      <c r="A373" s="872"/>
      <c r="B373" s="957"/>
      <c r="C373" s="955"/>
      <c r="E373" s="956"/>
      <c r="F373" s="870">
        <f t="shared" si="9"/>
        <v>0</v>
      </c>
    </row>
    <row r="374" spans="1:6" ht="29.25" customHeight="1">
      <c r="A374" s="872" t="s">
        <v>1970</v>
      </c>
      <c r="B374" s="877" t="s">
        <v>2239</v>
      </c>
      <c r="C374" s="874"/>
      <c r="E374" s="1120"/>
      <c r="F374" s="870">
        <f t="shared" si="9"/>
        <v>0</v>
      </c>
    </row>
    <row r="375" spans="1:6">
      <c r="A375" s="872"/>
      <c r="B375" s="957" t="s">
        <v>1554</v>
      </c>
      <c r="C375" s="955" t="s">
        <v>391</v>
      </c>
      <c r="D375" s="875">
        <v>18</v>
      </c>
      <c r="E375" s="956">
        <v>200</v>
      </c>
      <c r="F375" s="472">
        <f t="shared" si="9"/>
        <v>3600</v>
      </c>
    </row>
    <row r="376" spans="1:6">
      <c r="A376" s="872"/>
      <c r="B376" s="873"/>
      <c r="C376" s="874"/>
      <c r="E376" s="1120"/>
      <c r="F376" s="870">
        <f t="shared" si="9"/>
        <v>0</v>
      </c>
    </row>
    <row r="377" spans="1:6" ht="27.75" customHeight="1">
      <c r="A377" s="872" t="s">
        <v>1972</v>
      </c>
      <c r="B377" s="877" t="s">
        <v>2240</v>
      </c>
      <c r="C377" s="955"/>
      <c r="E377" s="956"/>
      <c r="F377" s="870">
        <f t="shared" si="9"/>
        <v>0</v>
      </c>
    </row>
    <row r="378" spans="1:6">
      <c r="A378" s="872"/>
      <c r="B378" s="957" t="s">
        <v>2241</v>
      </c>
      <c r="C378" s="955" t="s">
        <v>391</v>
      </c>
      <c r="D378" s="875">
        <v>16</v>
      </c>
      <c r="E378" s="956">
        <v>50</v>
      </c>
      <c r="F378" s="472">
        <f t="shared" si="9"/>
        <v>800</v>
      </c>
    </row>
    <row r="379" spans="1:6">
      <c r="A379" s="872"/>
      <c r="B379" s="957"/>
      <c r="C379" s="955"/>
      <c r="E379" s="956"/>
      <c r="F379" s="870">
        <f t="shared" si="9"/>
        <v>0</v>
      </c>
    </row>
    <row r="380" spans="1:6" ht="41.4">
      <c r="A380" s="958">
        <v>5</v>
      </c>
      <c r="B380" s="877" t="s">
        <v>2242</v>
      </c>
      <c r="C380" s="959"/>
      <c r="E380" s="1124"/>
      <c r="F380" s="870">
        <f t="shared" si="9"/>
        <v>0</v>
      </c>
    </row>
    <row r="381" spans="1:6">
      <c r="A381" s="958"/>
      <c r="B381" s="877" t="s">
        <v>2243</v>
      </c>
      <c r="C381" s="959" t="s">
        <v>344</v>
      </c>
      <c r="D381" s="875">
        <v>110</v>
      </c>
      <c r="E381" s="1124">
        <v>25</v>
      </c>
      <c r="F381" s="472">
        <f t="shared" si="9"/>
        <v>2750</v>
      </c>
    </row>
    <row r="382" spans="1:6">
      <c r="A382" s="958"/>
      <c r="C382" s="959"/>
      <c r="E382" s="1124"/>
      <c r="F382" s="870">
        <f t="shared" si="9"/>
        <v>0</v>
      </c>
    </row>
    <row r="383" spans="1:6" ht="41.4">
      <c r="A383" s="958">
        <v>6</v>
      </c>
      <c r="B383" s="877" t="s">
        <v>2244</v>
      </c>
      <c r="C383" s="959"/>
      <c r="E383" s="1124"/>
      <c r="F383" s="870">
        <f t="shared" si="9"/>
        <v>0</v>
      </c>
    </row>
    <row r="384" spans="1:6">
      <c r="A384" s="958"/>
      <c r="B384" s="877" t="s">
        <v>2238</v>
      </c>
      <c r="C384" s="959" t="s">
        <v>344</v>
      </c>
      <c r="D384" s="875">
        <v>90</v>
      </c>
      <c r="E384" s="1124">
        <v>20</v>
      </c>
      <c r="F384" s="472">
        <f t="shared" si="9"/>
        <v>1800</v>
      </c>
    </row>
    <row r="385" spans="1:6">
      <c r="A385" s="872"/>
      <c r="B385" s="960"/>
      <c r="C385" s="955"/>
      <c r="E385" s="956"/>
      <c r="F385" s="870">
        <f t="shared" si="9"/>
        <v>0</v>
      </c>
    </row>
    <row r="386" spans="1:6" ht="27.6">
      <c r="A386" s="872" t="s">
        <v>1978</v>
      </c>
      <c r="B386" s="877" t="s">
        <v>2245</v>
      </c>
      <c r="C386" s="955" t="s">
        <v>942</v>
      </c>
      <c r="D386" s="875">
        <v>1</v>
      </c>
      <c r="E386" s="956">
        <v>150</v>
      </c>
      <c r="F386" s="472">
        <f t="shared" si="9"/>
        <v>150</v>
      </c>
    </row>
    <row r="387" spans="1:6">
      <c r="A387" s="939"/>
      <c r="B387" s="961"/>
      <c r="C387" s="955"/>
      <c r="E387" s="956"/>
      <c r="F387" s="870">
        <f t="shared" si="9"/>
        <v>0</v>
      </c>
    </row>
    <row r="388" spans="1:6" ht="41.4">
      <c r="A388" s="872" t="s">
        <v>1980</v>
      </c>
      <c r="B388" s="877" t="s">
        <v>2246</v>
      </c>
      <c r="C388" s="955" t="s">
        <v>942</v>
      </c>
      <c r="D388" s="875">
        <v>1</v>
      </c>
      <c r="E388" s="956">
        <v>100</v>
      </c>
      <c r="F388" s="472">
        <f t="shared" si="9"/>
        <v>100</v>
      </c>
    </row>
    <row r="389" spans="1:6">
      <c r="A389" s="880"/>
      <c r="B389" s="962"/>
      <c r="C389" s="963"/>
      <c r="D389" s="883"/>
      <c r="E389" s="1125"/>
      <c r="F389" s="870">
        <f t="shared" si="9"/>
        <v>0</v>
      </c>
    </row>
    <row r="390" spans="1:6" ht="14.4">
      <c r="A390" s="964" t="s">
        <v>2247</v>
      </c>
      <c r="B390" s="965" t="s">
        <v>2248</v>
      </c>
      <c r="C390" s="966"/>
      <c r="D390" s="967"/>
      <c r="E390" s="1126"/>
      <c r="F390" s="870">
        <f t="shared" si="9"/>
        <v>0</v>
      </c>
    </row>
    <row r="391" spans="1:6" ht="14.4">
      <c r="A391" s="872"/>
      <c r="C391" s="955"/>
      <c r="E391" s="969"/>
      <c r="F391" s="870">
        <f t="shared" si="9"/>
        <v>0</v>
      </c>
    </row>
    <row r="392" spans="1:6" ht="55.2">
      <c r="A392" s="958">
        <v>1</v>
      </c>
      <c r="B392" s="877" t="s">
        <v>2249</v>
      </c>
      <c r="C392" s="959"/>
      <c r="E392" s="1124"/>
      <c r="F392" s="870">
        <f t="shared" si="9"/>
        <v>0</v>
      </c>
    </row>
    <row r="393" spans="1:6">
      <c r="A393" s="958"/>
      <c r="B393" s="877" t="s">
        <v>2250</v>
      </c>
      <c r="C393" s="959" t="s">
        <v>344</v>
      </c>
      <c r="D393" s="875">
        <v>90</v>
      </c>
      <c r="E393" s="1124">
        <v>15</v>
      </c>
      <c r="F393" s="472">
        <f t="shared" si="9"/>
        <v>1350</v>
      </c>
    </row>
    <row r="394" spans="1:6" ht="14.4">
      <c r="A394" s="872"/>
      <c r="B394" s="960"/>
      <c r="C394" s="955"/>
      <c r="E394" s="969"/>
      <c r="F394" s="870">
        <f t="shared" si="9"/>
        <v>0</v>
      </c>
    </row>
    <row r="395" spans="1:6" ht="41.4">
      <c r="A395" s="958">
        <v>2</v>
      </c>
      <c r="B395" s="877" t="s">
        <v>2251</v>
      </c>
      <c r="C395" s="959"/>
      <c r="E395" s="1124"/>
      <c r="F395" s="870">
        <f t="shared" si="9"/>
        <v>0</v>
      </c>
    </row>
    <row r="396" spans="1:6">
      <c r="A396" s="958"/>
      <c r="B396" s="877" t="s">
        <v>2250</v>
      </c>
      <c r="C396" s="959" t="s">
        <v>344</v>
      </c>
      <c r="D396" s="875">
        <v>110</v>
      </c>
      <c r="E396" s="1124">
        <v>15</v>
      </c>
      <c r="F396" s="472">
        <f t="shared" si="9"/>
        <v>1650</v>
      </c>
    </row>
    <row r="397" spans="1:6" ht="14.4">
      <c r="A397" s="872"/>
      <c r="B397" s="960"/>
      <c r="C397" s="955"/>
      <c r="E397" s="969"/>
      <c r="F397" s="870">
        <f t="shared" si="9"/>
        <v>0</v>
      </c>
    </row>
    <row r="398" spans="1:6" ht="41.4">
      <c r="A398" s="970">
        <v>3</v>
      </c>
      <c r="B398" s="873" t="s">
        <v>2252</v>
      </c>
      <c r="C398" s="955"/>
      <c r="E398" s="1124"/>
      <c r="F398" s="870">
        <f t="shared" si="9"/>
        <v>0</v>
      </c>
    </row>
    <row r="399" spans="1:6" ht="15">
      <c r="A399" s="970"/>
      <c r="B399" s="971" t="s">
        <v>2253</v>
      </c>
      <c r="C399" s="955" t="s">
        <v>391</v>
      </c>
      <c r="D399" s="875">
        <v>10</v>
      </c>
      <c r="E399" s="1124">
        <v>50</v>
      </c>
      <c r="F399" s="472">
        <f t="shared" si="9"/>
        <v>500</v>
      </c>
    </row>
    <row r="400" spans="1:6">
      <c r="A400" s="970"/>
      <c r="B400" s="971"/>
      <c r="C400" s="955"/>
      <c r="E400" s="1124"/>
      <c r="F400" s="870">
        <f t="shared" si="9"/>
        <v>0</v>
      </c>
    </row>
    <row r="401" spans="1:6" ht="27.6">
      <c r="A401" s="970">
        <v>4</v>
      </c>
      <c r="B401" s="873" t="s">
        <v>2254</v>
      </c>
      <c r="C401" s="955"/>
      <c r="E401" s="1124"/>
      <c r="F401" s="870">
        <f t="shared" si="9"/>
        <v>0</v>
      </c>
    </row>
    <row r="402" spans="1:6">
      <c r="A402" s="970"/>
      <c r="B402" s="849" t="s">
        <v>2255</v>
      </c>
      <c r="C402" s="955" t="s">
        <v>391</v>
      </c>
      <c r="D402" s="875">
        <v>50</v>
      </c>
      <c r="E402" s="1124">
        <v>80</v>
      </c>
      <c r="F402" s="472">
        <f t="shared" si="9"/>
        <v>4000</v>
      </c>
    </row>
    <row r="403" spans="1:6">
      <c r="A403" s="970"/>
      <c r="B403" s="849"/>
      <c r="C403" s="955"/>
      <c r="E403" s="1124"/>
      <c r="F403" s="870">
        <f t="shared" si="9"/>
        <v>0</v>
      </c>
    </row>
    <row r="404" spans="1:6" ht="27.6">
      <c r="A404" s="872" t="s">
        <v>1974</v>
      </c>
      <c r="B404" s="943" t="s">
        <v>2256</v>
      </c>
      <c r="C404" s="955" t="s">
        <v>942</v>
      </c>
      <c r="D404" s="875">
        <v>1</v>
      </c>
      <c r="E404" s="956">
        <v>150</v>
      </c>
      <c r="F404" s="472">
        <f t="shared" si="9"/>
        <v>150</v>
      </c>
    </row>
    <row r="405" spans="1:6">
      <c r="A405" s="939"/>
      <c r="C405" s="955"/>
      <c r="E405" s="956"/>
      <c r="F405" s="870">
        <f t="shared" si="9"/>
        <v>0</v>
      </c>
    </row>
    <row r="406" spans="1:6">
      <c r="A406" s="939" t="s">
        <v>1976</v>
      </c>
      <c r="B406" s="877" t="s">
        <v>2257</v>
      </c>
      <c r="C406" s="955" t="s">
        <v>942</v>
      </c>
      <c r="D406" s="875">
        <v>1</v>
      </c>
      <c r="E406" s="956">
        <v>150</v>
      </c>
      <c r="F406" s="472">
        <f t="shared" si="9"/>
        <v>150</v>
      </c>
    </row>
    <row r="407" spans="1:6">
      <c r="A407" s="939"/>
      <c r="C407" s="955"/>
      <c r="E407" s="956"/>
      <c r="F407" s="870">
        <f t="shared" si="9"/>
        <v>0</v>
      </c>
    </row>
    <row r="408" spans="1:6" ht="41.4">
      <c r="A408" s="872" t="s">
        <v>1978</v>
      </c>
      <c r="B408" s="943" t="s">
        <v>2258</v>
      </c>
      <c r="C408" s="955" t="s">
        <v>942</v>
      </c>
      <c r="D408" s="875">
        <v>1</v>
      </c>
      <c r="E408" s="956">
        <v>150</v>
      </c>
      <c r="F408" s="472">
        <f t="shared" si="9"/>
        <v>150</v>
      </c>
    </row>
    <row r="409" spans="1:6">
      <c r="A409" s="939"/>
      <c r="C409" s="955"/>
      <c r="E409" s="956"/>
      <c r="F409" s="870">
        <f t="shared" si="9"/>
        <v>0</v>
      </c>
    </row>
    <row r="410" spans="1:6" ht="55.2">
      <c r="A410" s="872" t="s">
        <v>1980</v>
      </c>
      <c r="B410" s="943" t="s">
        <v>2259</v>
      </c>
      <c r="C410" s="955" t="s">
        <v>942</v>
      </c>
      <c r="D410" s="875">
        <v>1</v>
      </c>
      <c r="E410" s="956">
        <v>1000</v>
      </c>
      <c r="F410" s="472">
        <f t="shared" si="9"/>
        <v>1000</v>
      </c>
    </row>
    <row r="411" spans="1:6">
      <c r="A411" s="872"/>
      <c r="B411" s="943"/>
      <c r="C411" s="955"/>
      <c r="E411" s="956"/>
      <c r="F411" s="870">
        <f t="shared" si="9"/>
        <v>0</v>
      </c>
    </row>
    <row r="412" spans="1:6" ht="14.4">
      <c r="A412" s="891">
        <v>4</v>
      </c>
      <c r="B412" s="878" t="s">
        <v>2233</v>
      </c>
      <c r="C412" s="1167" t="s">
        <v>2260</v>
      </c>
      <c r="D412" s="1167"/>
      <c r="E412" s="1167"/>
      <c r="F412" s="994">
        <f>SUM(F368:F411)</f>
        <v>23750</v>
      </c>
    </row>
    <row r="413" spans="1:6" ht="12.75" customHeight="1">
      <c r="A413" s="872"/>
      <c r="B413" s="873"/>
      <c r="C413" s="874"/>
      <c r="E413" s="870"/>
      <c r="F413" s="870"/>
    </row>
    <row r="414" spans="1:6" ht="12.75" customHeight="1">
      <c r="A414" s="872"/>
      <c r="B414" s="873"/>
      <c r="C414" s="874"/>
      <c r="E414" s="870"/>
      <c r="F414" s="870"/>
    </row>
    <row r="415" spans="1:6" ht="18">
      <c r="A415" s="1174" t="s">
        <v>2261</v>
      </c>
      <c r="B415" s="1175"/>
      <c r="C415" s="1175"/>
      <c r="D415" s="1175"/>
      <c r="E415" s="1175"/>
      <c r="F415" s="1176"/>
    </row>
    <row r="416" spans="1:6">
      <c r="A416" s="1168"/>
      <c r="B416" s="1168"/>
      <c r="C416" s="1168"/>
      <c r="D416" s="1168"/>
      <c r="E416" s="1168"/>
      <c r="F416" s="1168"/>
    </row>
    <row r="417" spans="1:6">
      <c r="A417" s="891">
        <v>1</v>
      </c>
      <c r="B417" s="878" t="s">
        <v>2262</v>
      </c>
      <c r="C417" s="1166" t="s">
        <v>2034</v>
      </c>
      <c r="D417" s="1166"/>
      <c r="E417" s="1166"/>
      <c r="F417" s="994">
        <f>F115</f>
        <v>60700</v>
      </c>
    </row>
    <row r="418" spans="1:6" ht="14.4">
      <c r="A418" s="972"/>
      <c r="B418" s="965"/>
      <c r="C418" s="973"/>
      <c r="D418" s="967"/>
      <c r="E418" s="974"/>
      <c r="F418" s="968"/>
    </row>
    <row r="419" spans="1:6">
      <c r="A419" s="891">
        <v>2</v>
      </c>
      <c r="B419" s="878" t="s">
        <v>2148</v>
      </c>
      <c r="C419" s="1166" t="s">
        <v>2034</v>
      </c>
      <c r="D419" s="1166"/>
      <c r="E419" s="1166"/>
      <c r="F419" s="994">
        <f>F247</f>
        <v>136640</v>
      </c>
    </row>
    <row r="420" spans="1:6">
      <c r="A420" s="1197"/>
      <c r="B420" s="1197"/>
      <c r="C420" s="1197"/>
      <c r="D420" s="1197"/>
      <c r="E420" s="1197"/>
      <c r="F420" s="1197"/>
    </row>
    <row r="421" spans="1:6">
      <c r="A421" s="891">
        <v>3</v>
      </c>
      <c r="B421" s="878" t="s">
        <v>2149</v>
      </c>
      <c r="C421" s="1166" t="s">
        <v>2034</v>
      </c>
      <c r="D421" s="1166"/>
      <c r="E421" s="1166"/>
      <c r="F421" s="994">
        <f>F363</f>
        <v>108100</v>
      </c>
    </row>
    <row r="422" spans="1:6">
      <c r="A422" s="1198"/>
      <c r="B422" s="1198"/>
      <c r="C422" s="1198"/>
      <c r="D422" s="1198"/>
      <c r="E422" s="1198"/>
      <c r="F422" s="1198"/>
    </row>
    <row r="423" spans="1:6" ht="14.4">
      <c r="A423" s="891">
        <v>4</v>
      </c>
      <c r="B423" s="878" t="s">
        <v>2233</v>
      </c>
      <c r="C423" s="1167" t="s">
        <v>2034</v>
      </c>
      <c r="D423" s="1167"/>
      <c r="E423" s="1167"/>
      <c r="F423" s="994">
        <f>F412</f>
        <v>23750</v>
      </c>
    </row>
    <row r="424" spans="1:6">
      <c r="A424" s="1197"/>
      <c r="B424" s="1197"/>
      <c r="C424" s="1197"/>
      <c r="D424" s="1197"/>
      <c r="E424" s="1197"/>
      <c r="F424" s="1197"/>
    </row>
    <row r="425" spans="1:6">
      <c r="A425" s="975"/>
      <c r="B425" s="1164" t="s">
        <v>2263</v>
      </c>
      <c r="C425" s="1164"/>
      <c r="D425" s="1164"/>
      <c r="E425" s="1164"/>
      <c r="F425" s="994">
        <f>F417+F419+F421+F423</f>
        <v>329190</v>
      </c>
    </row>
    <row r="426" spans="1:6">
      <c r="A426" s="1165"/>
      <c r="B426" s="1165"/>
      <c r="C426" s="1165"/>
      <c r="D426" s="1165"/>
      <c r="E426" s="1165"/>
      <c r="F426" s="1165"/>
    </row>
    <row r="427" spans="1:6" ht="14.4">
      <c r="A427" s="976"/>
      <c r="B427" s="977"/>
      <c r="C427" s="978"/>
      <c r="D427" s="979"/>
      <c r="E427" s="980"/>
      <c r="F427" s="981"/>
    </row>
  </sheetData>
  <sheetProtection selectLockedCells="1" selectUnlockedCells="1"/>
  <mergeCells count="30">
    <mergeCell ref="B70:F70"/>
    <mergeCell ref="A1:F1"/>
    <mergeCell ref="A2:F2"/>
    <mergeCell ref="B3:F3"/>
    <mergeCell ref="B4:F4"/>
    <mergeCell ref="B5:F5"/>
    <mergeCell ref="A6:F6"/>
    <mergeCell ref="B7:F7"/>
    <mergeCell ref="A8:F8"/>
    <mergeCell ref="B11:F11"/>
    <mergeCell ref="B13:F13"/>
    <mergeCell ref="B37:F37"/>
    <mergeCell ref="A416:F416"/>
    <mergeCell ref="B94:F94"/>
    <mergeCell ref="B107:F107"/>
    <mergeCell ref="C115:E115"/>
    <mergeCell ref="B117:F117"/>
    <mergeCell ref="C247:E247"/>
    <mergeCell ref="B249:F249"/>
    <mergeCell ref="C363:E363"/>
    <mergeCell ref="B365:F365"/>
    <mergeCell ref="B367:F367"/>
    <mergeCell ref="C412:E412"/>
    <mergeCell ref="A415:F415"/>
    <mergeCell ref="B425:E425"/>
    <mergeCell ref="A426:F426"/>
    <mergeCell ref="C417:E417"/>
    <mergeCell ref="C419:E419"/>
    <mergeCell ref="C421:E421"/>
    <mergeCell ref="C423:E423"/>
  </mergeCells>
  <conditionalFormatting sqref="E250:E269">
    <cfRule type="cellIs" dxfId="1" priority="1" stopIfTrue="1" operator="equal">
      <formula>0</formula>
    </cfRule>
  </conditionalFormatting>
  <conditionalFormatting sqref="E359:E361">
    <cfRule type="cellIs" dxfId="0" priority="2" stopIfTrue="1" operator="equal">
      <formula>0</formula>
    </cfRule>
  </conditionalFormatting>
  <pageMargins left="0.98425196850393704" right="0.19685039370078741" top="0.98425196850393704" bottom="0.78740157480314965" header="0.39370078740157483" footer="0.39370078740157483"/>
  <pageSetup paperSize="9" firstPageNumber="0" orientation="portrait" verticalDpi="300" r:id="rId1"/>
  <headerFooter alignWithMargins="0">
    <oddHeader>&amp;L      "Pro-Ing" d.o.o.
      Zagreb, Trakošćanska 6
      ured: Krapinska 27&amp;CVišestambena zgrada
          k.č.br. 1148/4, k.o. Ivanić – Grad, Ivanić – Grad 
                 (formirana od dijela k.č.br. 1148/1 k.o. Ivanić – Grad)
&amp;R&amp;P/&amp;N</oddHeader>
    <oddFooter>&amp;L    Zagreb, 02.2025&amp;C     Strojarske instalacije&amp;RBP 24222-S</oddFooter>
  </headerFooter>
  <rowBreaks count="6" manualBreakCount="6">
    <brk id="106" max="5" man="1"/>
    <brk id="116" max="5" man="1"/>
    <brk id="224" max="5" man="1"/>
    <brk id="248" max="5" man="1"/>
    <brk id="358" max="5" man="1"/>
    <brk id="364"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36</vt:i4>
      </vt:variant>
      <vt:variant>
        <vt:lpstr>Imenovani rasponi</vt:lpstr>
      </vt:variant>
      <vt:variant>
        <vt:i4>62</vt:i4>
      </vt:variant>
    </vt:vector>
  </HeadingPairs>
  <TitlesOfParts>
    <vt:vector size="98" baseType="lpstr">
      <vt:lpstr>SVE</vt:lpstr>
      <vt:lpstr>NASLOVNICA I UKUPNA REKAP.</vt:lpstr>
      <vt:lpstr>GRAĐ_OBRT_NASL_REKAP_OPĆI U</vt:lpstr>
      <vt:lpstr>1.ZEM.</vt:lpstr>
      <vt:lpstr>2. BET. I AB</vt:lpstr>
      <vt:lpstr>3. ZID.</vt:lpstr>
      <vt:lpstr>4.SKELE</vt:lpstr>
      <vt:lpstr>5.IZOL.</vt:lpstr>
      <vt:lpstr>6.LIM</vt:lpstr>
      <vt:lpstr>7.TES.</vt:lpstr>
      <vt:lpstr>8.GIPS.</vt:lpstr>
      <vt:lpstr>9. STOL. </vt:lpstr>
      <vt:lpstr>10.1.BRAV.ALU VANJ.</vt:lpstr>
      <vt:lpstr>10.2.BRAV.PP</vt:lpstr>
      <vt:lpstr>10.3. ČN BRAVARIJA</vt:lpstr>
      <vt:lpstr>11.FASAD.</vt:lpstr>
      <vt:lpstr>12. LIČIL.</vt:lpstr>
      <vt:lpstr>13. PARKETARSKI</vt:lpstr>
      <vt:lpstr>14.KER. </vt:lpstr>
      <vt:lpstr>15.PODOPOL. </vt:lpstr>
      <vt:lpstr>16. OPREMA</vt:lpstr>
      <vt:lpstr>17. OKOLIŠ</vt:lpstr>
      <vt:lpstr>18. OSTALO</vt:lpstr>
      <vt:lpstr>ViK</vt:lpstr>
      <vt:lpstr>NASLOVNICA GOR</vt:lpstr>
      <vt:lpstr>Opće</vt:lpstr>
      <vt:lpstr>1. ENERGETSKI RAZVOD</vt:lpstr>
      <vt:lpstr>2. RASVJETA I UTIČNICE</vt:lpstr>
      <vt:lpstr>3. STROJARSKE INSTALACIJE</vt:lpstr>
      <vt:lpstr>4. LPS-IZJEDNAČENJE  POT.</vt:lpstr>
      <vt:lpstr>5.ZAU</vt:lpstr>
      <vt:lpstr>6. PORTAFON</vt:lpstr>
      <vt:lpstr>7. STRUKTURNO KABLIRANJE</vt:lpstr>
      <vt:lpstr>8. OSTALO</vt:lpstr>
      <vt:lpstr>REKAPITULACIJA</vt:lpstr>
      <vt:lpstr>STROJARSKE INSTALACIJE</vt:lpstr>
      <vt:lpstr>'6. PORTAFON'!_rbr</vt:lpstr>
      <vt:lpstr>'7. STRUKTURNO KABLIRANJE'!_rbr</vt:lpstr>
      <vt:lpstr>'9. STOL. '!ad</vt:lpstr>
      <vt:lpstr>'11.FASAD.'!af</vt:lpstr>
      <vt:lpstr>'12. LIČIL.'!ag</vt:lpstr>
      <vt:lpstr>'15.PODOPOL. '!ah</vt:lpstr>
      <vt:lpstr>'2. BET. I AB'!aj</vt:lpstr>
      <vt:lpstr>'3. ZID.'!ak</vt:lpstr>
      <vt:lpstr>'1.ZEM.'!as</vt:lpstr>
      <vt:lpstr>'4.SKELE'!d</vt:lpstr>
      <vt:lpstr>'6.LIM'!e</vt:lpstr>
      <vt:lpstr>'14.KER. '!ha</vt:lpstr>
      <vt:lpstr>'1. ENERGETSKI RAZVOD'!Ispis_naslova</vt:lpstr>
      <vt:lpstr>'2. RASVJETA I UTIČNICE'!Ispis_naslova</vt:lpstr>
      <vt:lpstr>'3. STROJARSKE INSTALACIJE'!Ispis_naslova</vt:lpstr>
      <vt:lpstr>'4. LPS-IZJEDNAČENJE  POT.'!Ispis_naslova</vt:lpstr>
      <vt:lpstr>'5.ZAU'!Ispis_naslova</vt:lpstr>
      <vt:lpstr>'6. PORTAFON'!Ispis_naslova</vt:lpstr>
      <vt:lpstr>'7. STRUKTURNO KABLIRANJE'!Ispis_naslova</vt:lpstr>
      <vt:lpstr>'8. OSTALO'!Ispis_naslova</vt:lpstr>
      <vt:lpstr>Opće!Ispis_naslova</vt:lpstr>
      <vt:lpstr>'STROJARSKE INSTALACIJE'!Ispis_naslova</vt:lpstr>
      <vt:lpstr>ViK!Ispis_naslova</vt:lpstr>
      <vt:lpstr>'1. ENERGETSKI RAZVOD'!Podrucje_ispisa</vt:lpstr>
      <vt:lpstr>'1.ZEM.'!Podrucje_ispisa</vt:lpstr>
      <vt:lpstr>'10.1.BRAV.ALU VANJ.'!Podrucje_ispisa</vt:lpstr>
      <vt:lpstr>'10.3. ČN BRAVARIJA'!Podrucje_ispisa</vt:lpstr>
      <vt:lpstr>'11.FASAD.'!Podrucje_ispisa</vt:lpstr>
      <vt:lpstr>'12. LIČIL.'!Podrucje_ispisa</vt:lpstr>
      <vt:lpstr>'13. PARKETARSKI'!Podrucje_ispisa</vt:lpstr>
      <vt:lpstr>'14.KER. '!Podrucje_ispisa</vt:lpstr>
      <vt:lpstr>'15.PODOPOL. '!Podrucje_ispisa</vt:lpstr>
      <vt:lpstr>'16. OPREMA'!Podrucje_ispisa</vt:lpstr>
      <vt:lpstr>'17. OKOLIŠ'!Podrucje_ispisa</vt:lpstr>
      <vt:lpstr>'18. OSTALO'!Podrucje_ispisa</vt:lpstr>
      <vt:lpstr>'2. BET. I AB'!Podrucje_ispisa</vt:lpstr>
      <vt:lpstr>'2. RASVJETA I UTIČNICE'!Podrucje_ispisa</vt:lpstr>
      <vt:lpstr>'3. STROJARSKE INSTALACIJE'!Podrucje_ispisa</vt:lpstr>
      <vt:lpstr>'3. ZID.'!Podrucje_ispisa</vt:lpstr>
      <vt:lpstr>'4. LPS-IZJEDNAČENJE  POT.'!Podrucje_ispisa</vt:lpstr>
      <vt:lpstr>'4.SKELE'!Podrucje_ispisa</vt:lpstr>
      <vt:lpstr>'5.IZOL.'!Podrucje_ispisa</vt:lpstr>
      <vt:lpstr>'5.ZAU'!Podrucje_ispisa</vt:lpstr>
      <vt:lpstr>'6. PORTAFON'!Podrucje_ispisa</vt:lpstr>
      <vt:lpstr>'6.LIM'!Podrucje_ispisa</vt:lpstr>
      <vt:lpstr>'7. STRUKTURNO KABLIRANJE'!Podrucje_ispisa</vt:lpstr>
      <vt:lpstr>'7.TES.'!Podrucje_ispisa</vt:lpstr>
      <vt:lpstr>'8. OSTALO'!Podrucje_ispisa</vt:lpstr>
      <vt:lpstr>'8.GIPS.'!Podrucje_ispisa</vt:lpstr>
      <vt:lpstr>'9. STOL. '!Podrucje_ispisa</vt:lpstr>
      <vt:lpstr>'GRAĐ_OBRT_NASL_REKAP_OPĆI U'!Podrucje_ispisa</vt:lpstr>
      <vt:lpstr>'NASLOVNICA GOR'!Podrucje_ispisa</vt:lpstr>
      <vt:lpstr>'NASLOVNICA I UKUPNA REKAP.'!Podrucje_ispisa</vt:lpstr>
      <vt:lpstr>Opće!Podrucje_ispisa</vt:lpstr>
      <vt:lpstr>REKAPITULACIJA!Podrucje_ispisa</vt:lpstr>
      <vt:lpstr>'STROJARSKE INSTALACIJE'!Podrucje_ispisa</vt:lpstr>
      <vt:lpstr>ViK!Podrucje_ispisa</vt:lpstr>
      <vt:lpstr>'5.IZOL.'!w</vt:lpstr>
      <vt:lpstr>Z_3E4F8DDF_C09F_4627_83EC_759111DC9655_.wvu.PrintArea</vt:lpstr>
      <vt:lpstr>'1.ZEM.'!Zemljani</vt:lpstr>
      <vt:lpstr>'7.TES.'!zz</vt:lpstr>
      <vt:lpstr>'8.GIPS.'!zzu</vt:lpstr>
    </vt:vector>
  </TitlesOfParts>
  <Company>ARCO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Troškovnik GO</dc:title>
  <dc:subject>Vrtić Jarun</dc:subject>
  <dc:creator>Renato  COTTIERO, dipl.ing.arh.</dc:creator>
  <cp:lastModifiedBy>office</cp:lastModifiedBy>
  <cp:lastPrinted>2025-03-03T10:35:38Z</cp:lastPrinted>
  <dcterms:created xsi:type="dcterms:W3CDTF">1997-10-10T22:57:57Z</dcterms:created>
  <dcterms:modified xsi:type="dcterms:W3CDTF">2025-09-25T14:46:17Z</dcterms:modified>
</cp:coreProperties>
</file>