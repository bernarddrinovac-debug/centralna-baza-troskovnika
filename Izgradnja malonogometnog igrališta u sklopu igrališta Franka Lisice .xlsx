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Moj disk\CONCORDIA CONSULTING\TROŠKOVNICI\"/>
    </mc:Choice>
  </mc:AlternateContent>
  <xr:revisionPtr revIDLastSave="0" documentId="13_ncr:1_{EA396B09-BB3A-4F0C-8F4F-9980AFDEB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7" i="1" l="1"/>
  <c r="F179" i="1" s="1"/>
  <c r="F156" i="1"/>
  <c r="F160" i="1"/>
  <c r="F164" i="1"/>
  <c r="F165" i="1"/>
  <c r="F169" i="1"/>
  <c r="F170" i="1"/>
  <c r="F171" i="1"/>
  <c r="F172" i="1"/>
  <c r="F176" i="1"/>
  <c r="F150" i="1"/>
  <c r="F139" i="1" l="1"/>
  <c r="F135" i="1"/>
  <c r="F131" i="1"/>
  <c r="F127" i="1"/>
  <c r="F117" i="1"/>
  <c r="F113" i="1"/>
  <c r="F109" i="1"/>
  <c r="F119" i="1" s="1"/>
  <c r="F185" i="1" s="1"/>
  <c r="F100" i="1"/>
  <c r="F96" i="1"/>
  <c r="F102" i="1" s="1"/>
  <c r="F184" i="1" s="1"/>
  <c r="F87" i="1"/>
  <c r="F83" i="1"/>
  <c r="F89" i="1" s="1"/>
  <c r="F183" i="1" s="1"/>
  <c r="F74" i="1"/>
  <c r="F70" i="1"/>
  <c r="F66" i="1"/>
  <c r="F62" i="1"/>
  <c r="F58" i="1"/>
  <c r="F55" i="1"/>
  <c r="F51" i="1"/>
  <c r="F50" i="1"/>
  <c r="F46" i="1"/>
  <c r="F43" i="1"/>
  <c r="F39" i="1"/>
  <c r="F35" i="1"/>
  <c r="F31" i="1"/>
  <c r="F27" i="1"/>
  <c r="F23" i="1"/>
  <c r="F14" i="1"/>
  <c r="F13" i="1"/>
  <c r="F9" i="1"/>
  <c r="F16" i="1" s="1"/>
  <c r="F181" i="1" s="1"/>
  <c r="F141" i="1" l="1"/>
  <c r="F186" i="1" s="1"/>
  <c r="F76" i="1"/>
  <c r="F182" i="1" s="1"/>
  <c r="F187" i="1"/>
  <c r="F188" i="1" s="1"/>
  <c r="F190" i="1" l="1"/>
  <c r="F192" i="1" s="1"/>
</calcChain>
</file>

<file path=xl/sharedStrings.xml><?xml version="1.0" encoding="utf-8"?>
<sst xmlns="http://schemas.openxmlformats.org/spreadsheetml/2006/main" count="258" uniqueCount="172">
  <si>
    <t>TROŠKOVNIK RADOVA IGRALIŠTA U BIBINJAMA</t>
  </si>
  <si>
    <t>R. br.</t>
  </si>
  <si>
    <t>Opis stavke</t>
  </si>
  <si>
    <t>J.mj.</t>
  </si>
  <si>
    <t>Količina</t>
  </si>
  <si>
    <t>Jedinična cijena</t>
  </si>
  <si>
    <t>Ukupna cijena</t>
  </si>
  <si>
    <t>1.</t>
  </si>
  <si>
    <t>PRIPREMNI RADOVI</t>
  </si>
  <si>
    <t>1.1.</t>
  </si>
  <si>
    <r>
      <rPr>
        <sz val="11"/>
        <color theme="1"/>
        <rFont val="Arial"/>
        <family val="2"/>
      </rPr>
      <t>Iskolčenje rubnih dijelov</t>
    </r>
    <r>
      <rPr>
        <sz val="11"/>
        <rFont val="Arial"/>
        <family val="2"/>
      </rPr>
      <t>a igrališta</t>
    </r>
  </si>
  <si>
    <t>Rad obuhvaća postavljanje oznaka kojima se utvrđuje položaj svih elemenata igrališta</t>
  </si>
  <si>
    <t>Paušalni obračun</t>
  </si>
  <si>
    <t>pauš.</t>
  </si>
  <si>
    <t>1.2.</t>
  </si>
  <si>
    <t>Izrada sigurnosne ograde oko gradilišta, tabli obavještenja o izvođenju građevinskih radova. Postavljanje tabli obavještenja o opasnostima i upozorenjima.</t>
  </si>
  <si>
    <t>Rad obuhvaća montažu, demontažu i održavanje zaštitne ograde visine 2 m koja će osigurati neovlašteno ulaženje na gradilište. Na ulazu u gradilište potrebno je postaviti tablu s osnovnim podatcima o gradilištu ( osnovni podatci o objektu, izvođaču, investitoru, projektantu, nadzoru, građevinskoj dozvoli itd), postavljanje tabli s upozorenjima i opasnostima (tabla dimenzija 80x60 cm).</t>
  </si>
  <si>
    <t>Obračun po m´ postavljene ograde</t>
  </si>
  <si>
    <t>m´</t>
  </si>
  <si>
    <t>Obračun po komadu postavljenih tabli</t>
  </si>
  <si>
    <t>kom</t>
  </si>
  <si>
    <t>UKUPNO 1.</t>
  </si>
  <si>
    <t>2.</t>
  </si>
  <si>
    <t>ZEMLJANI RADOVI</t>
  </si>
  <si>
    <t>2.1.</t>
  </si>
  <si>
    <t>Strojno skidanje humusnog površinskog sloja debljine 20 cm odgurivanjem na prosječnu udaljenost cca 40 m.</t>
  </si>
  <si>
    <t xml:space="preserve">Rad obuhvaća skidanje površinskog humusa s buldozerom ili nekim drugim strojem, utovar u prijevozno sredstvo i odvoz na privremenu deponiju do daljnje uporabe. </t>
  </si>
  <si>
    <r>
      <rPr>
        <sz val="11"/>
        <color theme="1"/>
        <rFont val="Arial"/>
        <family val="2"/>
      </rPr>
      <t>Obračun po m</t>
    </r>
    <r>
      <rPr>
        <sz val="11"/>
        <color theme="1"/>
        <rFont val="Calibri"/>
        <family val="2"/>
      </rPr>
      <t xml:space="preserve">²  </t>
    </r>
    <r>
      <rPr>
        <sz val="11"/>
        <color theme="1"/>
        <rFont val="Arial"/>
        <family val="2"/>
      </rPr>
      <t xml:space="preserve">uklonjene površine </t>
    </r>
  </si>
  <si>
    <r>
      <rPr>
        <sz val="11"/>
        <rFont val="Arial"/>
        <family val="2"/>
      </rPr>
      <t>m</t>
    </r>
    <r>
      <rPr>
        <sz val="11"/>
        <rFont val="Calibri"/>
        <family val="2"/>
      </rPr>
      <t>²</t>
    </r>
  </si>
  <si>
    <t>2.2.</t>
  </si>
  <si>
    <r>
      <rPr>
        <sz val="11"/>
        <color theme="1"/>
        <rFont val="Arial"/>
        <family val="2"/>
      </rPr>
      <t xml:space="preserve">Strojni iskop materijala C kategorije do projektirane kote s točnošću </t>
    </r>
    <r>
      <rPr>
        <sz val="11"/>
        <color theme="1"/>
        <rFont val="Calibri"/>
        <family val="2"/>
      </rPr>
      <t xml:space="preserve">± </t>
    </r>
    <r>
      <rPr>
        <sz val="11"/>
        <color theme="1"/>
        <rFont val="Arial"/>
        <family val="2"/>
      </rPr>
      <t xml:space="preserve">5 cm.  </t>
    </r>
  </si>
  <si>
    <t>Rad obuhvaća iskop, utovar i odvoz materijala C kategorije. Materijal se deponira na  privremenu deponiju do daljne uporabe.</t>
  </si>
  <si>
    <t>Obračun po m³ sraslog materijala</t>
  </si>
  <si>
    <r>
      <rPr>
        <sz val="11"/>
        <rFont val="Arial"/>
        <family val="2"/>
      </rPr>
      <t>m</t>
    </r>
    <r>
      <rPr>
        <vertAlign val="superscript"/>
        <sz val="11"/>
        <rFont val="Arial"/>
        <family val="2"/>
      </rPr>
      <t>3</t>
    </r>
  </si>
  <si>
    <t>2.3.</t>
  </si>
  <si>
    <t xml:space="preserve">Strojni iskop trakastih temelja obodnih zidova </t>
  </si>
  <si>
    <t xml:space="preserve">Rad obuhvaća iskop, utovar i odvoz materijala na privremenu deponiju. Dio materijal vraća se nakon završetka betonskih radova, višak materijala odvozi se na privremenu deponiju do daljnje uporabe. </t>
  </si>
  <si>
    <t>2.4.</t>
  </si>
  <si>
    <t>Strojni iskop kanala za postavljanje drenažnih cijevi i okana u materijalu C kategorije s utovarom u kamion.</t>
  </si>
  <si>
    <t>Rad obuhvaća iskop, utovar i odvoz materijala. Dubina i širina kanala ovisi o promjeru drenažnih cijevi. Materijal se deponira na gradilištu do daljne uporabe.</t>
  </si>
  <si>
    <t>2.5.</t>
  </si>
  <si>
    <t>Strojni iskop kanala upojnog bunara u materijalu C kategorije s utovarom u kamion.</t>
  </si>
  <si>
    <t>Rad obuhvaća iskop, utovar i odvoz materijala.  Materijal se deponira na gradilištu do daljne uporabe.</t>
  </si>
  <si>
    <t>2.6.</t>
  </si>
  <si>
    <t xml:space="preserve">Ručno planiranje  dna temelja obodnih zidova krupnozrnatim kamenim materijalom od 0-64 mm s točnošću ± 3 cm. </t>
  </si>
  <si>
    <t xml:space="preserve">Rad obuhvaća nabavu, dopremu i ugradnju krupnozrnatog materijala od 0-64 mm. Materijal je potrebno zbiti na propisanu zbijenost. Ukoliko zbijeni materijal ne postigne propisanu zbijenost potrebno je obavjestiti projektanta o daljnjim postupanjima. </t>
  </si>
  <si>
    <r>
      <rPr>
        <sz val="11"/>
        <color theme="1"/>
        <rFont val="Arial"/>
        <family val="2"/>
      </rPr>
      <t>Obračun po m</t>
    </r>
    <r>
      <rPr>
        <sz val="11"/>
        <color theme="1"/>
        <rFont val="Calibri"/>
        <family val="2"/>
      </rPr>
      <t>²</t>
    </r>
    <r>
      <rPr>
        <sz val="11"/>
        <color theme="1"/>
        <rFont val="Arial"/>
        <family val="2"/>
      </rPr>
      <t xml:space="preserve"> zbijenog materijala</t>
    </r>
  </si>
  <si>
    <t xml:space="preserve">2.7. </t>
  </si>
  <si>
    <t xml:space="preserve">Nabava, doprema i ugradnja geotekstila (200g) u kanale za drenažu. </t>
  </si>
  <si>
    <r>
      <rPr>
        <sz val="11"/>
        <color theme="1"/>
        <rFont val="Arial"/>
        <family val="2"/>
      </rPr>
      <t>Obračun po m</t>
    </r>
    <r>
      <rPr>
        <sz val="11"/>
        <color theme="1"/>
        <rFont val="Calibri"/>
        <family val="2"/>
      </rPr>
      <t>²</t>
    </r>
    <r>
      <rPr>
        <sz val="11"/>
        <color theme="1"/>
        <rFont val="Arial"/>
        <family val="2"/>
      </rPr>
      <t xml:space="preserve"> ugrađenog geotekstila s  preklopom</t>
    </r>
  </si>
  <si>
    <t>2.8.</t>
  </si>
  <si>
    <t>Zasipanje temelja obodnog zida i nasipanje površine igrališta materijalom C kategorije.</t>
  </si>
  <si>
    <t>Rad obuhvaća dopremu s privremenog deponija, ugradnji i zbijanje.</t>
  </si>
  <si>
    <t>Obračun po m³ ugrađenog materijala u zbijenom stanju. Materijal s gradilišta</t>
  </si>
  <si>
    <t>Obračun po m³ ugrađenog materijala u zbijenom stanju. Materijal dopremljen iz posudišta</t>
  </si>
  <si>
    <t xml:space="preserve">2.9. </t>
  </si>
  <si>
    <t>Izrada nasipa od krupnozrnatog materijala  32-64 mm.</t>
  </si>
  <si>
    <t xml:space="preserve">Rad obuhvaća nabavu dopremu i ugradnju materijala. Materijal se ugrađuje u donjem dijelu nosivog sloja. Materijal je potrebno zbiti na propisanu zbijenost.  </t>
  </si>
  <si>
    <r>
      <rPr>
        <sz val="11"/>
        <color theme="1"/>
        <rFont val="Arial"/>
        <family val="2"/>
      </rPr>
      <t>Obračun po m</t>
    </r>
    <r>
      <rPr>
        <sz val="11"/>
        <color theme="1"/>
        <rFont val="Calibri"/>
        <family val="2"/>
      </rPr>
      <t>³</t>
    </r>
    <r>
      <rPr>
        <sz val="11"/>
        <color indexed="8"/>
        <rFont val="Arial"/>
        <family val="2"/>
      </rPr>
      <t xml:space="preserve"> zbijenog kamenog materijala</t>
    </r>
  </si>
  <si>
    <r>
      <rPr>
        <sz val="11"/>
        <rFont val="Arial"/>
        <family val="2"/>
      </rPr>
      <t>m</t>
    </r>
    <r>
      <rPr>
        <sz val="11"/>
        <rFont val="Calibri"/>
        <family val="2"/>
      </rPr>
      <t>³</t>
    </r>
  </si>
  <si>
    <t xml:space="preserve">2.10. </t>
  </si>
  <si>
    <t xml:space="preserve">Nabava, doprema i ugradnja geotekstila (200g) cijelom površinom igrališta uz prethodno zatvaranje/preklapanje postojećeg geotekstila u drenažnim kanalima. </t>
  </si>
  <si>
    <t>2.11.</t>
  </si>
  <si>
    <t>Nabava, doprema i ugradnja sloja krupnozrnatog kamenog materijala od 16 - 32 mm površinom cijelog terena u visini od 20 cm uz strojno nabijanje. Sloj se izvodi u padu.</t>
  </si>
  <si>
    <t xml:space="preserve">Rad obuhvaća nabavu, dopremu i ugradnju materijala. Materijal je potrebno zbiti na propisanu zbijenost. </t>
  </si>
  <si>
    <t>2.12.</t>
  </si>
  <si>
    <t>Nabava, doprema i ugradnja sloja krupnozrnatog kamenog materijala od 0-16 mm površinom cijelog terena u visini od 7 cm uz strojno nabijanje. Nasip se izvodi u padu.</t>
  </si>
  <si>
    <t>2.13.</t>
  </si>
  <si>
    <t>Nabava, doprema i ugradnja sloja krupnozrnatog kamenog materijala od 0-4 mm površinom cijelog terena u visini od 7 cm uz strojno nabijanje. Sloj se izvodi u padu.</t>
  </si>
  <si>
    <t>2.14.</t>
  </si>
  <si>
    <t xml:space="preserve">Nabava, doprema i ugradnja sloja krupnozrnatog kamenog materijala od 4-250 mm  u visini cijelog upojnog jarka uz strojno nabijanje. Jarak se izvodi u nagibu. </t>
  </si>
  <si>
    <t>UKUPNO 2.</t>
  </si>
  <si>
    <t>3.</t>
  </si>
  <si>
    <t>ARMIRAČKI  RADOVI</t>
  </si>
  <si>
    <t>3.1.</t>
  </si>
  <si>
    <t>Izrada armaturne temelja zida i temelja stupova.</t>
  </si>
  <si>
    <t xml:space="preserve">Rad obuhvaća nabavu, dopremu, rezanje, savijanje i izradu armature temelja. </t>
  </si>
  <si>
    <t>Obračun po kg ugrađene armature</t>
  </si>
  <si>
    <t>kg</t>
  </si>
  <si>
    <t>3.2.</t>
  </si>
  <si>
    <t>Izrada armature zida.</t>
  </si>
  <si>
    <t xml:space="preserve">Rad obuhvaća nabavu, dopremu, rezanje, savijanje i izradu armature zida. </t>
  </si>
  <si>
    <t>UKUPNO 3.</t>
  </si>
  <si>
    <t>4.</t>
  </si>
  <si>
    <t>TESARSKI  RADOVI</t>
  </si>
  <si>
    <t>4.1.</t>
  </si>
  <si>
    <t>Izrada oplate temelja obodnog zida i temelja stupa.</t>
  </si>
  <si>
    <t xml:space="preserve">Rad obuhvaća nabavu, dopremu i izradu oplate temelja. </t>
  </si>
  <si>
    <r>
      <rPr>
        <sz val="11"/>
        <rFont val="Arial"/>
        <family val="2"/>
      </rPr>
      <t>Obračun po m</t>
    </r>
    <r>
      <rPr>
        <sz val="11"/>
        <rFont val="Calibri"/>
        <family val="2"/>
      </rPr>
      <t xml:space="preserve">² </t>
    </r>
    <r>
      <rPr>
        <sz val="11"/>
        <rFont val="Arial"/>
        <family val="2"/>
      </rPr>
      <t>izrađene oplate</t>
    </r>
  </si>
  <si>
    <t>4.2.</t>
  </si>
  <si>
    <t>Izrada oplate obodnog zida.</t>
  </si>
  <si>
    <t xml:space="preserve">Rad obuhvaća nabavu, dopremu i izradu oplate zida. </t>
  </si>
  <si>
    <t>UKUPNO 4.</t>
  </si>
  <si>
    <t>5.</t>
  </si>
  <si>
    <t>BETONSKI  RADOVI</t>
  </si>
  <si>
    <t>5.1.</t>
  </si>
  <si>
    <t>Izrada podložnog betona temeljnih zidova i temelja stupova C16/20.</t>
  </si>
  <si>
    <t xml:space="preserve">Rad obuhvaća nabavu, ugradnju i završnu obradu betona. </t>
  </si>
  <si>
    <t>Obračun po m³ ugrađenog betona</t>
  </si>
  <si>
    <t>5.2.</t>
  </si>
  <si>
    <t>Izrada trakastih temelja C 25/30 dimenzija 40x50 cm i temelja stupova 80x80x60.</t>
  </si>
  <si>
    <t>Rad obuhvaća ugradnju, završnu obradu i njegu betona.</t>
  </si>
  <si>
    <r>
      <rPr>
        <sz val="11"/>
        <rFont val="Arial"/>
        <family val="2"/>
      </rPr>
      <t>Obračun po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ugrađenog betona</t>
    </r>
  </si>
  <si>
    <t>5.3.</t>
  </si>
  <si>
    <t xml:space="preserve">Izrada obodnog zida širine 30 cm betonom C 25/30. </t>
  </si>
  <si>
    <t>UKUPNO 5.</t>
  </si>
  <si>
    <t>7.</t>
  </si>
  <si>
    <t>BRAVARSKI RADOVI</t>
  </si>
  <si>
    <t>7.1.</t>
  </si>
  <si>
    <t>Postavljanje ogradnih stupova zaštitne ograde igrališta. Visina stupa 200 cm.</t>
  </si>
  <si>
    <t>Rad obuhvaća nabavu, dopremu i ugradnju stupova prema u skladu s projektom i zahtjevom proizvođača.</t>
  </si>
  <si>
    <t>Obračun po komadu profila</t>
  </si>
  <si>
    <t>7.2.</t>
  </si>
  <si>
    <t>Postavljanje zaštitne ograde. Ograda se izvodi u vidu panela izrađenih od pocinčane žice i dodatno plastificirani. Visina ograde 200 cm.</t>
  </si>
  <si>
    <t>Rad obuhvaća nabavu, dopremu i ugradnju zaštitne ograde sa svim spojnim dijelovima koji osiguravaju stabilnost i čvrstoću ograde, te smanjuju buku od udaraca.</t>
  </si>
  <si>
    <r>
      <rPr>
        <sz val="11"/>
        <color theme="1"/>
        <rFont val="Arial"/>
        <family val="2"/>
      </rPr>
      <t>Obračun po m</t>
    </r>
    <r>
      <rPr>
        <sz val="11"/>
        <color theme="1"/>
        <rFont val="Calibri"/>
        <family val="2"/>
      </rPr>
      <t xml:space="preserve">² </t>
    </r>
    <r>
      <rPr>
        <sz val="11"/>
        <color theme="1"/>
        <rFont val="Arial"/>
        <family val="2"/>
      </rPr>
      <t>ograde</t>
    </r>
  </si>
  <si>
    <r>
      <rPr>
        <sz val="11"/>
        <color theme="1"/>
        <rFont val="Arial"/>
        <family val="2"/>
      </rPr>
      <t>m</t>
    </r>
    <r>
      <rPr>
        <sz val="11"/>
        <color theme="1"/>
        <rFont val="Calibri"/>
        <family val="2"/>
      </rPr>
      <t>²</t>
    </r>
  </si>
  <si>
    <t>7.3.</t>
  </si>
  <si>
    <t xml:space="preserve">Nabava i postavljanje ulaznih vrata igrališta. </t>
  </si>
  <si>
    <t xml:space="preserve">Rad obuhvaća nabavu, dopremu i ugradnju prefabriciranih vrata. Ukoliko se ne radi o prefabriciranim elementima potrebno je obraditi oštre rubove elemenata, obrada na mjestima varova, nanošenje zaštitnih slojeva. Ispuna moja biti izvedena od ograde u vidu panela izrađenih od pocinčane žice, dodatno plastificrana. Dvokrilna vrata dimenzija 200 x 200 cm. </t>
  </si>
  <si>
    <t>Obračun po komadu ugrađenih vrata</t>
  </si>
  <si>
    <t>7.4.</t>
  </si>
  <si>
    <t>Postavljanje  stupova iza gola. Visina stupa 800 cm.</t>
  </si>
  <si>
    <t>UKUPNO 7.</t>
  </si>
  <si>
    <t>8.</t>
  </si>
  <si>
    <t>OSTALI RADOVI</t>
  </si>
  <si>
    <t>8.1.</t>
  </si>
  <si>
    <t>Postavljanje amortizirajuće podloge za umjetnu travu (shock pad podloga) debljine 10 mm</t>
  </si>
  <si>
    <t>Stavka zahtjeva nabavu, dopremu i ugradnju amortizirajuće podloge</t>
  </si>
  <si>
    <t>Prije ugradnje amortizirajućeg sloja podlogu treba odobriti nadzorni inženjer.</t>
  </si>
  <si>
    <t>Stavka obuhvaća sav rad i materijal do potpunog završetka.</t>
  </si>
  <si>
    <r>
      <rPr>
        <sz val="11"/>
        <rFont val="Arial"/>
        <family val="2"/>
      </rPr>
      <t>Obračun po m</t>
    </r>
    <r>
      <rPr>
        <sz val="11"/>
        <rFont val="Calibri"/>
        <family val="2"/>
      </rPr>
      <t xml:space="preserve">² </t>
    </r>
    <r>
      <rPr>
        <sz val="11"/>
        <rFont val="Arial"/>
        <family val="2"/>
      </rPr>
      <t xml:space="preserve"> postavljene podloge</t>
    </r>
  </si>
  <si>
    <t>Ugradnja umjetne trave</t>
  </si>
  <si>
    <t>DOBAVA, DOPREMA I UGRADNJA</t>
  </si>
  <si>
    <t>8.2.</t>
  </si>
  <si>
    <t>Cijena uključuje sav potrošni materijal, transport i rad na postavljanju umjetne trave do potpune gotovosti. Izvođenje bijelih linija širine 12cm za nogomet uključeno u cijenu.</t>
  </si>
  <si>
    <t>8.3.</t>
  </si>
  <si>
    <t xml:space="preserve">Postavljanje golova na igralištu. </t>
  </si>
  <si>
    <t xml:space="preserve">Rad obuhvaća nabavu, dopremu i ugradnju golova 2x3 m prema FIFi-nim standardima. Golove je potrebno pozicionirati i učvrstiti na projektom predviđeno mjesto. Gol mora sadržavati sve elemente (konstrukciju, mrežu i ankere za pričvršćivanje). </t>
  </si>
  <si>
    <t>Obračun po komadu ugrađenog elementa</t>
  </si>
  <si>
    <t>8.4.</t>
  </si>
  <si>
    <t xml:space="preserve">Postavljanje pletene zaštitne mreže iza golova 8 x 20 metara. </t>
  </si>
  <si>
    <t>Rad obuhvaća nabavu, dopremu i ugradnju mreža. Mreža se postavlja na čelične stupove. Pričvršćuje se na čelične stupove pomoću INOX užeta. U cijenu uključen nabava, doprema i ugradnja mreže i svih pričvrsnih materijala potrebnih za završetak stavke.</t>
  </si>
  <si>
    <t>Obračun po komadu ugrađene mreže</t>
  </si>
  <si>
    <t>Obračun po metru ugrađenog INOX užeta</t>
  </si>
  <si>
    <t>m</t>
  </si>
  <si>
    <t>8.5.</t>
  </si>
  <si>
    <t>Postavljanje drenažnih perforiranih  PVC.</t>
  </si>
  <si>
    <t>Rad obuhvaća nabavu, dopremu, rezanje i ugradnju  PVC procjednica na bočnim stranama zida na završnoj koti asfaltnog zastora.</t>
  </si>
  <si>
    <r>
      <rPr>
        <sz val="11"/>
        <color theme="1"/>
        <rFont val="Arial"/>
        <family val="2"/>
      </rPr>
      <t xml:space="preserve">Obračun po metru ugrađene cijevi </t>
    </r>
    <r>
      <rPr>
        <sz val="11"/>
        <color theme="1"/>
        <rFont val="Calibri"/>
        <family val="2"/>
      </rPr>
      <t>Ø</t>
    </r>
    <r>
      <rPr>
        <sz val="11"/>
        <color theme="1"/>
        <rFont val="Arial"/>
        <family val="2"/>
      </rPr>
      <t>125</t>
    </r>
  </si>
  <si>
    <r>
      <rPr>
        <sz val="11"/>
        <color theme="1"/>
        <rFont val="Arial"/>
        <family val="2"/>
      </rPr>
      <t xml:space="preserve">Obračun po metru ugrađene cijevi </t>
    </r>
    <r>
      <rPr>
        <sz val="11"/>
        <color theme="1"/>
        <rFont val="Calibri"/>
        <family val="2"/>
      </rPr>
      <t>Ø</t>
    </r>
    <r>
      <rPr>
        <sz val="11"/>
        <color theme="1"/>
        <rFont val="Arial"/>
        <family val="2"/>
      </rPr>
      <t>160</t>
    </r>
  </si>
  <si>
    <t>Obračun po komadu ugrađenih koljena125 90°</t>
  </si>
  <si>
    <t>Obračun po komadu ugrađenih koljena 160/125 45°</t>
  </si>
  <si>
    <t>8.6.</t>
  </si>
  <si>
    <t>Postavljanje PEHD DN 800 okana s pripadajućim ljevano željeznim poklopcima 125 kN.</t>
  </si>
  <si>
    <t xml:space="preserve">Rad obuhvaća nabavu, dopremu, rezanje i ugradnju  PEHD okana. </t>
  </si>
  <si>
    <t>Obračun po ugrađenom oknu</t>
  </si>
  <si>
    <t>Obračun po ugrađenom poklopcu</t>
  </si>
  <si>
    <t>UKUPNO 8.</t>
  </si>
  <si>
    <t>1. PRIPREMNI RADOVI</t>
  </si>
  <si>
    <t>2.ZEMLJANI RADOVI</t>
  </si>
  <si>
    <t>3. ARMIRAČKI RADOVI</t>
  </si>
  <si>
    <t>4.TESARSKI RADOVI</t>
  </si>
  <si>
    <t>5. BETONSKI RADOVI</t>
  </si>
  <si>
    <t>6. BRAVARSKI RADOVI</t>
  </si>
  <si>
    <t>7. OSTALI RADOVI</t>
  </si>
  <si>
    <t>UKUPNO:</t>
  </si>
  <si>
    <t>PDV 25 %</t>
  </si>
  <si>
    <t>Izradio:</t>
  </si>
  <si>
    <t>dipl.ing.građ. Željko Čirjak</t>
  </si>
  <si>
    <t>Na navedene iznose zaračunava se još PDV u iznosu 25%</t>
  </si>
  <si>
    <t>Umjetna trava s ravnim vlatima duljine 40 mm s ispunom koja zadovoljava kriterije FIFA-e (Federation Internationale de Football Association) potrebnim za ishođenje FIFA QUALITY PRO certifikata. Umjetna trava se isporučuje u rolama širine 4m, a međusobni spojevi ljepe se posebnim geotekstilnim trakama i poliuretanskim ljepilom za umjetnu travu.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</si>
</sst>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n&quot;_-;\-* #,##0.00\ &quot;kn&quot;_-;_-* &quot;-&quot;??\ &quot;kn&quot;_-;_-@_-"/>
    <numFmt numFmtId="164" formatCode="_-* #,##0.00\ _k_n_-;\-* #,##0.00\ _k_n_-;_-* &quot;-&quot;??\ _k_n_-;_-@_-"/>
    <numFmt numFmtId="165" formatCode="_-* #,##0.00\ [$€-1]_-;\-* #,##0.00\ [$€-1]_-;_-* &quot;-&quot;??\ [$€-1]_-;_-@_-"/>
  </numFmts>
  <fonts count="34">
    <font>
      <sz val="11"/>
      <color theme="1"/>
      <name val="Calibri"/>
      <charset val="238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8"/>
      <color rgb="FF000000"/>
      <name val="Arial"/>
      <family val="2"/>
    </font>
    <font>
      <i/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2"/>
      <name val="YU Swiss"/>
      <charset val="134"/>
    </font>
    <font>
      <sz val="10"/>
      <name val="Tahoma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vertAlign val="superscript"/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9" applyNumberFormat="0" applyAlignment="0" applyProtection="0"/>
    <xf numFmtId="0" fontId="16" fillId="3" borderId="0" applyNumberFormat="0" applyBorder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9" fillId="0" borderId="12" applyNumberFormat="0" applyFill="0" applyAlignment="0" applyProtection="0"/>
    <xf numFmtId="0" fontId="19" fillId="0" borderId="0" applyNumberFormat="0" applyFill="0" applyBorder="0" applyAlignment="0" applyProtection="0"/>
    <xf numFmtId="0" fontId="20" fillId="2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33" fillId="0" borderId="0"/>
    <xf numFmtId="0" fontId="23" fillId="0" borderId="0"/>
    <xf numFmtId="0" fontId="24" fillId="0" borderId="13" applyNumberFormat="0" applyFill="0" applyAlignment="0" applyProtection="0"/>
    <xf numFmtId="0" fontId="25" fillId="22" borderId="14" applyNumberFormat="0" applyAlignment="0" applyProtection="0"/>
    <xf numFmtId="0" fontId="26" fillId="0" borderId="0" applyNumberFormat="0" applyFill="0" applyBorder="0" applyAlignment="0" applyProtection="0"/>
    <xf numFmtId="0" fontId="27" fillId="0" borderId="15" applyNumberFormat="0" applyFill="0" applyAlignment="0" applyProtection="0"/>
    <xf numFmtId="0" fontId="28" fillId="7" borderId="9" applyNumberFormat="0" applyAlignment="0" applyProtection="0"/>
    <xf numFmtId="44" fontId="2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left" vertical="top"/>
    </xf>
    <xf numFmtId="0" fontId="4" fillId="0" borderId="3" xfId="0" applyFont="1" applyBorder="1"/>
    <xf numFmtId="2" fontId="4" fillId="0" borderId="1" xfId="0" applyNumberFormat="1" applyFont="1" applyBorder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5" fillId="0" borderId="0" xfId="34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5" fillId="0" borderId="0" xfId="34" applyFont="1" applyAlignment="1">
      <alignment horizontal="left" vertical="top" wrapText="1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/>
    <xf numFmtId="49" fontId="8" fillId="0" borderId="0" xfId="34" applyNumberFormat="1" applyFont="1" applyAlignment="1">
      <alignment horizontal="left" vertical="top"/>
    </xf>
    <xf numFmtId="0" fontId="9" fillId="0" borderId="0" xfId="33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5" fillId="0" borderId="0" xfId="33" applyFont="1" applyAlignment="1">
      <alignment horizontal="left" vertical="top" wrapText="1"/>
    </xf>
    <xf numFmtId="0" fontId="5" fillId="0" borderId="0" xfId="33" applyFont="1" applyAlignment="1">
      <alignment horizontal="center"/>
    </xf>
    <xf numFmtId="0" fontId="5" fillId="0" borderId="0" xfId="33" applyFont="1" applyAlignment="1">
      <alignment horizontal="center" vertical="center"/>
    </xf>
    <xf numFmtId="0" fontId="2" fillId="0" borderId="0" xfId="0" applyFont="1" applyAlignment="1">
      <alignment vertical="center"/>
    </xf>
    <xf numFmtId="16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5" xfId="0" applyFont="1" applyBorder="1"/>
    <xf numFmtId="2" fontId="2" fillId="0" borderId="5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0" borderId="5" xfId="0" applyFont="1" applyBorder="1"/>
    <xf numFmtId="2" fontId="4" fillId="0" borderId="6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9" fillId="0" borderId="0" xfId="33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33" quotePrefix="1" applyFont="1" applyAlignment="1">
      <alignment horizontal="left" vertical="top" wrapText="1"/>
    </xf>
    <xf numFmtId="0" fontId="9" fillId="0" borderId="0" xfId="33" quotePrefix="1" applyFont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/>
    </xf>
  </cellXfs>
  <cellStyles count="46">
    <cellStyle name="20% - Isticanje1 2" xfId="1" xr:uid="{00000000-0005-0000-0000-000031000000}"/>
    <cellStyle name="20% - Isticanje2 2" xfId="2" xr:uid="{00000000-0005-0000-0000-000032000000}"/>
    <cellStyle name="20% - Isticanje3 2" xfId="3" xr:uid="{00000000-0005-0000-0000-000033000000}"/>
    <cellStyle name="20% - Isticanje4 2" xfId="4" xr:uid="{00000000-0005-0000-0000-000034000000}"/>
    <cellStyle name="20% - Isticanje5 2" xfId="5" xr:uid="{00000000-0005-0000-0000-000035000000}"/>
    <cellStyle name="20% - Isticanje6 2" xfId="6" xr:uid="{00000000-0005-0000-0000-000036000000}"/>
    <cellStyle name="40% - Isticanje2 2" xfId="7" xr:uid="{00000000-0005-0000-0000-000037000000}"/>
    <cellStyle name="40% - Isticanje3 2" xfId="8" xr:uid="{00000000-0005-0000-0000-000038000000}"/>
    <cellStyle name="40% - Isticanje4 2" xfId="9" xr:uid="{00000000-0005-0000-0000-000039000000}"/>
    <cellStyle name="40% - Isticanje5 2" xfId="10" xr:uid="{00000000-0005-0000-0000-00003A000000}"/>
    <cellStyle name="40% - Isticanje6 2" xfId="11" xr:uid="{00000000-0005-0000-0000-00003B000000}"/>
    <cellStyle name="40% - Naglasak1" xfId="12" xr:uid="{00000000-0005-0000-0000-00003C000000}"/>
    <cellStyle name="60% - Isticanje1 2" xfId="13" xr:uid="{00000000-0005-0000-0000-00003D000000}"/>
    <cellStyle name="60% - Isticanje2 2" xfId="14" xr:uid="{00000000-0005-0000-0000-00003E000000}"/>
    <cellStyle name="60% - Isticanje3 2" xfId="15" xr:uid="{00000000-0005-0000-0000-00003F000000}"/>
    <cellStyle name="60% - Isticanje4 2" xfId="16" xr:uid="{00000000-0005-0000-0000-000040000000}"/>
    <cellStyle name="60% - Isticanje5 2" xfId="17" xr:uid="{00000000-0005-0000-0000-000041000000}"/>
    <cellStyle name="60% - Isticanje6 2" xfId="18" xr:uid="{00000000-0005-0000-0000-000042000000}"/>
    <cellStyle name="Isticanje1 2" xfId="19" xr:uid="{00000000-0005-0000-0000-000043000000}"/>
    <cellStyle name="Isticanje2 2" xfId="20" xr:uid="{00000000-0005-0000-0000-000044000000}"/>
    <cellStyle name="Isticanje3 2" xfId="21" xr:uid="{00000000-0005-0000-0000-000045000000}"/>
    <cellStyle name="Isticanje4 2" xfId="22" xr:uid="{00000000-0005-0000-0000-000046000000}"/>
    <cellStyle name="Isticanje5 2" xfId="23" xr:uid="{00000000-0005-0000-0000-000047000000}"/>
    <cellStyle name="Isticanje6 2" xfId="24" xr:uid="{00000000-0005-0000-0000-000048000000}"/>
    <cellStyle name="Izračun 2" xfId="25" xr:uid="{00000000-0005-0000-0000-000049000000}"/>
    <cellStyle name="Loše 2" xfId="26" xr:uid="{00000000-0005-0000-0000-00004A000000}"/>
    <cellStyle name="Naslov 1 2" xfId="27" xr:uid="{00000000-0005-0000-0000-00004B000000}"/>
    <cellStyle name="Naslov 2 2" xfId="28" xr:uid="{00000000-0005-0000-0000-00004C000000}"/>
    <cellStyle name="Naslov 3 2" xfId="29" xr:uid="{00000000-0005-0000-0000-00004D000000}"/>
    <cellStyle name="Naslov 4 2" xfId="30" xr:uid="{00000000-0005-0000-0000-00004E000000}"/>
    <cellStyle name="Neutralno 2" xfId="31" xr:uid="{00000000-0005-0000-0000-00004F000000}"/>
    <cellStyle name="Normal" xfId="0" builtinId="0"/>
    <cellStyle name="Normal 4" xfId="32" xr:uid="{00000000-0005-0000-0000-000050000000}"/>
    <cellStyle name="Normal_Troskovnik" xfId="33" xr:uid="{00000000-0005-0000-0000-000051000000}"/>
    <cellStyle name="Normalno 2" xfId="34" xr:uid="{00000000-0005-0000-0000-000052000000}"/>
    <cellStyle name="Normalno 3" xfId="35" xr:uid="{00000000-0005-0000-0000-000053000000}"/>
    <cellStyle name="Obično_Sit.br.21-05 Okončana Bumes Supetar Kopila" xfId="36" xr:uid="{00000000-0005-0000-0000-000054000000}"/>
    <cellStyle name="Povezana ćelija 2" xfId="37" xr:uid="{00000000-0005-0000-0000-000055000000}"/>
    <cellStyle name="Provjera ćelije 2" xfId="38" xr:uid="{00000000-0005-0000-0000-000056000000}"/>
    <cellStyle name="Tekst objašnjenja 2" xfId="39" xr:uid="{00000000-0005-0000-0000-000057000000}"/>
    <cellStyle name="Ukupni zbroj 2" xfId="40" xr:uid="{00000000-0005-0000-0000-000058000000}"/>
    <cellStyle name="Unos 2" xfId="41" xr:uid="{00000000-0005-0000-0000-000059000000}"/>
    <cellStyle name="Valuta 2" xfId="42" xr:uid="{00000000-0005-0000-0000-00005A000000}"/>
    <cellStyle name="Zarez 2" xfId="43" xr:uid="{00000000-0005-0000-0000-00005B000000}"/>
    <cellStyle name="Zarez 2 2" xfId="44" xr:uid="{00000000-0005-0000-0000-00005C000000}"/>
    <cellStyle name="Zarez 3" xfId="45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showWhiteSpace="0" view="pageBreakPreview" topLeftCell="A175" zoomScaleNormal="100" zoomScaleSheetLayoutView="100" workbookViewId="0">
      <selection activeCell="F192" sqref="F192"/>
    </sheetView>
  </sheetViews>
  <sheetFormatPr defaultColWidth="9" defaultRowHeight="15"/>
  <cols>
    <col min="1" max="1" width="5.42578125" customWidth="1"/>
    <col min="2" max="2" width="34.28515625" customWidth="1"/>
    <col min="3" max="3" width="7" customWidth="1"/>
    <col min="4" max="4" width="9.42578125" customWidth="1"/>
    <col min="5" max="5" width="15.28515625" customWidth="1"/>
    <col min="6" max="6" width="14.140625" customWidth="1"/>
  </cols>
  <sheetData>
    <row r="1" spans="1:6" ht="18">
      <c r="A1" s="66" t="s">
        <v>0</v>
      </c>
      <c r="B1" s="66"/>
      <c r="C1" s="66"/>
      <c r="D1" s="66"/>
      <c r="E1" s="66"/>
      <c r="F1" s="66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>
      <c r="A5" s="4" t="s">
        <v>7</v>
      </c>
      <c r="B5" s="5" t="s">
        <v>8</v>
      </c>
      <c r="C5" s="6"/>
      <c r="D5" s="6"/>
      <c r="E5" s="6"/>
      <c r="F5" s="7"/>
    </row>
    <row r="6" spans="1:6">
      <c r="A6" s="8"/>
      <c r="B6" s="1"/>
      <c r="C6" s="1"/>
      <c r="D6" s="1"/>
      <c r="E6" s="1"/>
      <c r="F6" s="1"/>
    </row>
    <row r="7" spans="1:6" ht="17.25" customHeight="1">
      <c r="A7" s="8" t="s">
        <v>9</v>
      </c>
      <c r="B7" s="9" t="s">
        <v>10</v>
      </c>
      <c r="C7" s="1"/>
      <c r="D7" s="1"/>
      <c r="E7" s="1"/>
      <c r="F7" s="1"/>
    </row>
    <row r="8" spans="1:6" ht="42.75">
      <c r="B8" s="9" t="s">
        <v>11</v>
      </c>
    </row>
    <row r="9" spans="1:6">
      <c r="A9" s="8"/>
      <c r="B9" s="1" t="s">
        <v>12</v>
      </c>
      <c r="C9" s="10" t="s">
        <v>13</v>
      </c>
      <c r="D9" s="11">
        <v>1</v>
      </c>
      <c r="E9" s="11">
        <v>1100</v>
      </c>
      <c r="F9" s="11">
        <f>D9*E9</f>
        <v>1100</v>
      </c>
    </row>
    <row r="10" spans="1:6">
      <c r="A10" s="8"/>
      <c r="B10" s="1"/>
      <c r="C10" s="10"/>
      <c r="D10" s="11"/>
      <c r="E10" s="11"/>
      <c r="F10" s="11"/>
    </row>
    <row r="11" spans="1:6" ht="71.25">
      <c r="A11" s="8" t="s">
        <v>14</v>
      </c>
      <c r="B11" s="9" t="s">
        <v>15</v>
      </c>
      <c r="C11" s="10"/>
      <c r="D11" s="11"/>
      <c r="E11" s="11"/>
      <c r="F11" s="11"/>
    </row>
    <row r="12" spans="1:6" ht="190.5" customHeight="1">
      <c r="A12" s="8"/>
      <c r="B12" s="9" t="s">
        <v>16</v>
      </c>
      <c r="C12" s="10"/>
      <c r="D12" s="11"/>
      <c r="E12" s="11"/>
      <c r="F12" s="11"/>
    </row>
    <row r="13" spans="1:6">
      <c r="A13" s="8"/>
      <c r="B13" s="12" t="s">
        <v>17</v>
      </c>
      <c r="C13" s="10" t="s">
        <v>18</v>
      </c>
      <c r="D13" s="11">
        <v>225</v>
      </c>
      <c r="E13" s="11">
        <v>10</v>
      </c>
      <c r="F13" s="11">
        <f>D13*E13</f>
        <v>2250</v>
      </c>
    </row>
    <row r="14" spans="1:6" ht="29.25">
      <c r="A14" s="8"/>
      <c r="B14" s="12" t="s">
        <v>19</v>
      </c>
      <c r="C14" s="10" t="s">
        <v>20</v>
      </c>
      <c r="D14" s="11">
        <v>2</v>
      </c>
      <c r="E14" s="11">
        <v>120</v>
      </c>
      <c r="F14" s="11">
        <f>D14*E14</f>
        <v>240</v>
      </c>
    </row>
    <row r="15" spans="1:6">
      <c r="A15" s="8"/>
      <c r="B15" s="1"/>
      <c r="C15" s="10"/>
      <c r="D15" s="11"/>
      <c r="E15" s="11"/>
      <c r="F15" s="11"/>
    </row>
    <row r="16" spans="1:6">
      <c r="A16" s="13"/>
      <c r="B16" s="14" t="s">
        <v>21</v>
      </c>
      <c r="C16" s="6"/>
      <c r="D16" s="6"/>
      <c r="E16" s="6"/>
      <c r="F16" s="15">
        <f>SUM(F9:F14)</f>
        <v>3590</v>
      </c>
    </row>
    <row r="17" spans="1:6">
      <c r="A17" s="8"/>
      <c r="B17" s="16"/>
      <c r="C17" s="1"/>
      <c r="D17" s="1"/>
      <c r="E17" s="1"/>
      <c r="F17" s="17"/>
    </row>
    <row r="18" spans="1:6">
      <c r="A18" s="2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</row>
    <row r="19" spans="1:6">
      <c r="A19" s="4" t="s">
        <v>22</v>
      </c>
      <c r="B19" s="5" t="s">
        <v>23</v>
      </c>
      <c r="C19" s="6"/>
      <c r="D19" s="6"/>
      <c r="E19" s="6"/>
      <c r="F19" s="7"/>
    </row>
    <row r="20" spans="1:6">
      <c r="A20" s="8"/>
      <c r="B20" s="1"/>
      <c r="C20" s="1"/>
      <c r="D20" s="1"/>
      <c r="E20" s="1"/>
      <c r="F20" s="1"/>
    </row>
    <row r="21" spans="1:6" ht="57">
      <c r="A21" s="8" t="s">
        <v>24</v>
      </c>
      <c r="B21" s="18" t="s">
        <v>25</v>
      </c>
    </row>
    <row r="22" spans="1:6" ht="85.5">
      <c r="A22" s="8"/>
      <c r="B22" s="18" t="s">
        <v>26</v>
      </c>
    </row>
    <row r="23" spans="1:6">
      <c r="A23" s="19"/>
      <c r="B23" s="9" t="s">
        <v>27</v>
      </c>
      <c r="C23" s="20" t="s">
        <v>28</v>
      </c>
      <c r="D23" s="21">
        <v>2660</v>
      </c>
      <c r="E23" s="11">
        <v>5</v>
      </c>
      <c r="F23" s="11">
        <f>D23*E23</f>
        <v>13300</v>
      </c>
    </row>
    <row r="24" spans="1:6">
      <c r="A24" s="8"/>
      <c r="B24" s="18"/>
      <c r="C24" s="20"/>
      <c r="D24" s="21"/>
      <c r="E24" s="11"/>
      <c r="F24" s="11"/>
    </row>
    <row r="25" spans="1:6" ht="43.5">
      <c r="A25" s="8" t="s">
        <v>29</v>
      </c>
      <c r="B25" s="18" t="s">
        <v>30</v>
      </c>
    </row>
    <row r="26" spans="1:6" ht="71.25">
      <c r="A26" s="8"/>
      <c r="B26" s="18" t="s">
        <v>31</v>
      </c>
    </row>
    <row r="27" spans="1:6" ht="16.5">
      <c r="B27" s="18" t="s">
        <v>32</v>
      </c>
      <c r="C27" s="20" t="s">
        <v>33</v>
      </c>
      <c r="D27" s="11">
        <v>265</v>
      </c>
      <c r="E27" s="11">
        <v>29</v>
      </c>
      <c r="F27" s="11">
        <f>D27*E27</f>
        <v>7685</v>
      </c>
    </row>
    <row r="28" spans="1:6">
      <c r="A28" s="8"/>
      <c r="B28" s="1"/>
      <c r="C28" s="1"/>
      <c r="D28" s="1"/>
      <c r="E28" s="1"/>
      <c r="F28" s="11"/>
    </row>
    <row r="29" spans="1:6" ht="28.5">
      <c r="A29" s="8" t="s">
        <v>34</v>
      </c>
      <c r="B29" s="9" t="s">
        <v>35</v>
      </c>
    </row>
    <row r="30" spans="1:6" ht="99.75">
      <c r="A30" s="8"/>
      <c r="B30" s="9" t="s">
        <v>36</v>
      </c>
    </row>
    <row r="31" spans="1:6" ht="16.5">
      <c r="A31" s="8"/>
      <c r="B31" s="18" t="s">
        <v>32</v>
      </c>
      <c r="C31" s="20" t="s">
        <v>33</v>
      </c>
      <c r="D31" s="11">
        <v>360</v>
      </c>
      <c r="E31" s="11">
        <v>29</v>
      </c>
      <c r="F31" s="11">
        <f>D31*E31</f>
        <v>10440</v>
      </c>
    </row>
    <row r="32" spans="1:6">
      <c r="A32" s="8"/>
      <c r="B32" s="18"/>
      <c r="C32" s="20"/>
      <c r="D32" s="11"/>
      <c r="E32" s="11"/>
      <c r="F32" s="11"/>
    </row>
    <row r="33" spans="1:6" ht="45" customHeight="1">
      <c r="A33" s="8" t="s">
        <v>37</v>
      </c>
      <c r="B33" s="22" t="s">
        <v>38</v>
      </c>
      <c r="C33" s="20"/>
      <c r="D33" s="11"/>
      <c r="E33" s="11"/>
      <c r="F33" s="11"/>
    </row>
    <row r="34" spans="1:6" ht="75" customHeight="1">
      <c r="A34" s="8"/>
      <c r="B34" s="23" t="s">
        <v>39</v>
      </c>
      <c r="C34" s="20"/>
      <c r="D34" s="11"/>
      <c r="E34" s="11"/>
      <c r="F34" s="11"/>
    </row>
    <row r="35" spans="1:6" ht="16.5">
      <c r="A35" s="8"/>
      <c r="B35" s="18" t="s">
        <v>32</v>
      </c>
      <c r="C35" s="20" t="s">
        <v>33</v>
      </c>
      <c r="D35" s="11">
        <v>140</v>
      </c>
      <c r="E35" s="11">
        <v>29</v>
      </c>
      <c r="F35" s="11">
        <f>D35*E35</f>
        <v>4060</v>
      </c>
    </row>
    <row r="36" spans="1:6">
      <c r="A36" s="8"/>
      <c r="B36" s="18"/>
      <c r="C36" s="20"/>
      <c r="D36" s="11"/>
      <c r="E36" s="11"/>
      <c r="F36" s="11"/>
    </row>
    <row r="37" spans="1:6" ht="43.5">
      <c r="A37" s="8" t="s">
        <v>40</v>
      </c>
      <c r="B37" s="22" t="s">
        <v>41</v>
      </c>
      <c r="C37" s="20"/>
      <c r="D37" s="11"/>
      <c r="E37" s="11"/>
      <c r="F37" s="11"/>
    </row>
    <row r="38" spans="1:6" ht="57">
      <c r="A38" s="8"/>
      <c r="B38" s="23" t="s">
        <v>42</v>
      </c>
      <c r="C38" s="20"/>
      <c r="D38" s="11"/>
      <c r="E38" s="11"/>
      <c r="F38" s="11"/>
    </row>
    <row r="39" spans="1:6" ht="16.5">
      <c r="A39" s="8"/>
      <c r="B39" s="18" t="s">
        <v>32</v>
      </c>
      <c r="C39" s="20" t="s">
        <v>33</v>
      </c>
      <c r="D39" s="11">
        <v>26.5</v>
      </c>
      <c r="E39" s="11">
        <v>30</v>
      </c>
      <c r="F39" s="11">
        <f>D39*E39</f>
        <v>795</v>
      </c>
    </row>
    <row r="40" spans="1:6">
      <c r="A40" s="8"/>
      <c r="B40" s="1"/>
      <c r="C40" s="1"/>
      <c r="D40" s="1"/>
      <c r="E40" s="1"/>
      <c r="F40" s="11"/>
    </row>
    <row r="41" spans="1:6" ht="57">
      <c r="A41" s="8" t="s">
        <v>43</v>
      </c>
      <c r="B41" s="18" t="s">
        <v>44</v>
      </c>
    </row>
    <row r="42" spans="1:6" ht="116.25" customHeight="1">
      <c r="A42" s="8"/>
      <c r="B42" s="18" t="s">
        <v>45</v>
      </c>
    </row>
    <row r="43" spans="1:6">
      <c r="A43" s="8"/>
      <c r="B43" s="18" t="s">
        <v>46</v>
      </c>
      <c r="C43" s="20" t="s">
        <v>28</v>
      </c>
      <c r="D43" s="11">
        <v>295</v>
      </c>
      <c r="E43" s="11">
        <v>16</v>
      </c>
      <c r="F43" s="11">
        <f>D43*E43</f>
        <v>4720</v>
      </c>
    </row>
    <row r="44" spans="1:6">
      <c r="A44" s="8"/>
      <c r="B44" s="18"/>
      <c r="C44" s="20"/>
      <c r="D44" s="11"/>
      <c r="E44" s="11"/>
      <c r="F44" s="11"/>
    </row>
    <row r="45" spans="1:6" ht="43.5">
      <c r="A45" s="8" t="s">
        <v>47</v>
      </c>
      <c r="B45" s="22" t="s">
        <v>48</v>
      </c>
      <c r="C45" s="20"/>
      <c r="D45" s="11"/>
      <c r="E45" s="11"/>
      <c r="F45" s="11"/>
    </row>
    <row r="46" spans="1:6" ht="29.25">
      <c r="A46" s="8"/>
      <c r="B46" s="23" t="s">
        <v>49</v>
      </c>
      <c r="C46" s="20" t="s">
        <v>28</v>
      </c>
      <c r="D46" s="11">
        <v>950</v>
      </c>
      <c r="E46" s="11">
        <v>2.2000000000000002</v>
      </c>
      <c r="F46" s="11">
        <f>D46*E46</f>
        <v>2090</v>
      </c>
    </row>
    <row r="47" spans="1:6">
      <c r="A47" s="8"/>
      <c r="B47" s="18"/>
      <c r="C47" s="20"/>
      <c r="D47" s="11"/>
      <c r="E47" s="11"/>
      <c r="F47" s="11"/>
    </row>
    <row r="48" spans="1:6" ht="42.75">
      <c r="A48" s="8" t="s">
        <v>50</v>
      </c>
      <c r="B48" s="23" t="s">
        <v>51</v>
      </c>
      <c r="C48" s="1"/>
      <c r="D48" s="1"/>
      <c r="E48" s="1"/>
      <c r="F48" s="1"/>
    </row>
    <row r="49" spans="1:6" ht="42.75">
      <c r="A49" s="8"/>
      <c r="B49" s="18" t="s">
        <v>52</v>
      </c>
      <c r="C49" s="1"/>
      <c r="D49" s="1"/>
      <c r="E49" s="1"/>
      <c r="F49" s="1"/>
    </row>
    <row r="50" spans="1:6" ht="48" customHeight="1">
      <c r="B50" s="18" t="s">
        <v>53</v>
      </c>
      <c r="C50" s="20" t="s">
        <v>33</v>
      </c>
      <c r="D50" s="11">
        <v>975</v>
      </c>
      <c r="E50" s="11">
        <v>15</v>
      </c>
      <c r="F50" s="11">
        <f>D50*E50</f>
        <v>14625</v>
      </c>
    </row>
    <row r="51" spans="1:6" ht="45.75" customHeight="1">
      <c r="B51" s="18" t="s">
        <v>54</v>
      </c>
      <c r="C51" s="20" t="s">
        <v>33</v>
      </c>
      <c r="D51" s="11">
        <v>300</v>
      </c>
      <c r="E51" s="11">
        <v>15</v>
      </c>
      <c r="F51" s="11">
        <f>D51*E51</f>
        <v>4500</v>
      </c>
    </row>
    <row r="52" spans="1:6">
      <c r="A52" s="8"/>
      <c r="B52" s="1"/>
      <c r="C52" s="1"/>
      <c r="D52" s="1"/>
      <c r="E52" s="1"/>
      <c r="F52" s="10"/>
    </row>
    <row r="53" spans="1:6" ht="28.5">
      <c r="A53" s="8" t="s">
        <v>55</v>
      </c>
      <c r="B53" s="23" t="s">
        <v>56</v>
      </c>
    </row>
    <row r="54" spans="1:6" ht="71.25">
      <c r="A54" s="8"/>
      <c r="B54" s="18" t="s">
        <v>57</v>
      </c>
    </row>
    <row r="55" spans="1:6" ht="29.25">
      <c r="B55" s="18" t="s">
        <v>58</v>
      </c>
      <c r="C55" s="20" t="s">
        <v>59</v>
      </c>
      <c r="D55" s="11">
        <v>545</v>
      </c>
      <c r="E55" s="11">
        <v>26</v>
      </c>
      <c r="F55" s="11">
        <f>D55*E55</f>
        <v>14170</v>
      </c>
    </row>
    <row r="56" spans="1:6">
      <c r="B56" s="18"/>
      <c r="C56" s="20"/>
      <c r="D56" s="11"/>
      <c r="E56" s="11"/>
      <c r="F56" s="11"/>
    </row>
    <row r="57" spans="1:6" ht="72">
      <c r="A57" s="8" t="s">
        <v>60</v>
      </c>
      <c r="B57" s="22" t="s">
        <v>61</v>
      </c>
      <c r="C57" s="20"/>
      <c r="D57" s="11"/>
      <c r="E57" s="11"/>
      <c r="F57" s="11"/>
    </row>
    <row r="58" spans="1:6" ht="29.25">
      <c r="B58" s="23" t="s">
        <v>49</v>
      </c>
      <c r="C58" s="20" t="s">
        <v>28</v>
      </c>
      <c r="D58" s="11">
        <v>2480</v>
      </c>
      <c r="E58" s="11">
        <v>2</v>
      </c>
      <c r="F58" s="11">
        <f>D58*E58</f>
        <v>4960</v>
      </c>
    </row>
    <row r="59" spans="1:6">
      <c r="B59" s="23"/>
      <c r="C59" s="20"/>
      <c r="D59" s="11"/>
      <c r="E59" s="11"/>
      <c r="F59" s="11"/>
    </row>
    <row r="60" spans="1:6" ht="72">
      <c r="A60" s="8" t="s">
        <v>62</v>
      </c>
      <c r="B60" s="22" t="s">
        <v>63</v>
      </c>
      <c r="C60" s="1"/>
      <c r="D60" s="1"/>
      <c r="E60" s="1"/>
      <c r="F60" s="1"/>
    </row>
    <row r="61" spans="1:6" ht="57">
      <c r="A61" s="8"/>
      <c r="B61" s="24" t="s">
        <v>64</v>
      </c>
      <c r="C61" s="1"/>
      <c r="D61" s="1"/>
      <c r="E61" s="1"/>
      <c r="F61" s="1"/>
    </row>
    <row r="62" spans="1:6" ht="29.25">
      <c r="A62" s="8"/>
      <c r="B62" s="18" t="s">
        <v>58</v>
      </c>
      <c r="C62" s="20" t="s">
        <v>59</v>
      </c>
      <c r="D62" s="11">
        <v>480</v>
      </c>
      <c r="E62" s="11">
        <v>40</v>
      </c>
      <c r="F62" s="11">
        <f>D62*E62</f>
        <v>19200</v>
      </c>
    </row>
    <row r="63" spans="1:6">
      <c r="B63" s="1"/>
      <c r="C63" s="1"/>
      <c r="D63" s="1"/>
      <c r="E63" s="1"/>
      <c r="F63" s="1"/>
    </row>
    <row r="64" spans="1:6" ht="72">
      <c r="A64" s="8" t="s">
        <v>65</v>
      </c>
      <c r="B64" s="22" t="s">
        <v>66</v>
      </c>
      <c r="C64" s="1"/>
      <c r="D64" s="1"/>
      <c r="E64" s="1"/>
      <c r="F64" s="1"/>
    </row>
    <row r="65" spans="1:6" ht="57">
      <c r="A65" s="8"/>
      <c r="B65" s="24" t="s">
        <v>64</v>
      </c>
      <c r="C65" s="1"/>
      <c r="D65" s="1"/>
      <c r="E65" s="1"/>
      <c r="F65" s="1"/>
    </row>
    <row r="66" spans="1:6" ht="29.25">
      <c r="A66" s="8"/>
      <c r="B66" s="18" t="s">
        <v>58</v>
      </c>
      <c r="C66" s="20" t="s">
        <v>59</v>
      </c>
      <c r="D66" s="11">
        <v>160</v>
      </c>
      <c r="E66" s="11">
        <v>45</v>
      </c>
      <c r="F66" s="11">
        <f>D66*E66</f>
        <v>7200</v>
      </c>
    </row>
    <row r="67" spans="1:6">
      <c r="A67" s="8"/>
      <c r="B67" s="1"/>
      <c r="C67" s="1"/>
      <c r="D67" s="1"/>
      <c r="E67" s="1"/>
      <c r="F67" s="1"/>
    </row>
    <row r="68" spans="1:6" ht="72">
      <c r="A68" s="8" t="s">
        <v>67</v>
      </c>
      <c r="B68" s="22" t="s">
        <v>68</v>
      </c>
      <c r="C68" s="1"/>
      <c r="D68" s="1"/>
      <c r="E68" s="1"/>
      <c r="F68" s="1"/>
    </row>
    <row r="69" spans="1:6" ht="57">
      <c r="A69" s="8"/>
      <c r="B69" s="24" t="s">
        <v>64</v>
      </c>
      <c r="C69" s="1"/>
      <c r="D69" s="1"/>
      <c r="E69" s="1"/>
      <c r="F69" s="1"/>
    </row>
    <row r="70" spans="1:6" ht="29.25">
      <c r="A70" s="8"/>
      <c r="B70" s="18" t="s">
        <v>58</v>
      </c>
      <c r="C70" s="20" t="s">
        <v>59</v>
      </c>
      <c r="D70" s="11">
        <v>70</v>
      </c>
      <c r="E70" s="11">
        <v>45</v>
      </c>
      <c r="F70" s="11">
        <f>D70*E70</f>
        <v>3150</v>
      </c>
    </row>
    <row r="71" spans="1:6">
      <c r="A71" s="8"/>
      <c r="B71" s="18"/>
      <c r="C71" s="20"/>
      <c r="D71" s="11"/>
      <c r="E71" s="11"/>
      <c r="F71" s="11"/>
    </row>
    <row r="72" spans="1:6" ht="72">
      <c r="A72" s="8" t="s">
        <v>69</v>
      </c>
      <c r="B72" s="22" t="s">
        <v>70</v>
      </c>
      <c r="C72" s="1"/>
      <c r="D72" s="1"/>
      <c r="E72" s="1"/>
      <c r="F72" s="1"/>
    </row>
    <row r="73" spans="1:6" ht="57">
      <c r="A73" s="8"/>
      <c r="B73" s="24" t="s">
        <v>64</v>
      </c>
      <c r="C73" s="1"/>
      <c r="D73" s="1"/>
      <c r="E73" s="1"/>
      <c r="F73" s="1"/>
    </row>
    <row r="74" spans="1:6" ht="29.25">
      <c r="A74" s="8"/>
      <c r="B74" s="18" t="s">
        <v>58</v>
      </c>
      <c r="C74" s="20" t="s">
        <v>59</v>
      </c>
      <c r="D74" s="11">
        <v>26.5</v>
      </c>
      <c r="E74" s="11">
        <v>45</v>
      </c>
      <c r="F74" s="11">
        <f>D74*E74</f>
        <v>1192.5</v>
      </c>
    </row>
    <row r="75" spans="1:6">
      <c r="A75" s="8"/>
    </row>
    <row r="76" spans="1:6">
      <c r="A76" s="13"/>
      <c r="B76" s="14" t="s">
        <v>71</v>
      </c>
      <c r="C76" s="6"/>
      <c r="D76" s="6"/>
      <c r="E76" s="6"/>
      <c r="F76" s="25">
        <f>SUM(F23:F74)</f>
        <v>112087.5</v>
      </c>
    </row>
    <row r="77" spans="1:6">
      <c r="A77" s="8"/>
      <c r="B77" s="16"/>
      <c r="C77" s="1"/>
      <c r="D77" s="1"/>
      <c r="E77" s="1"/>
      <c r="F77" s="26"/>
    </row>
    <row r="78" spans="1:6">
      <c r="A78" s="4" t="s">
        <v>72</v>
      </c>
      <c r="B78" s="67" t="s">
        <v>73</v>
      </c>
      <c r="C78" s="67"/>
      <c r="D78" s="67"/>
      <c r="E78" s="6"/>
      <c r="F78" s="7"/>
    </row>
    <row r="79" spans="1:6">
      <c r="A79" s="2" t="s">
        <v>1</v>
      </c>
      <c r="B79" s="3" t="s">
        <v>2</v>
      </c>
      <c r="C79" s="3" t="s">
        <v>3</v>
      </c>
      <c r="D79" s="3" t="s">
        <v>4</v>
      </c>
      <c r="E79" s="3" t="s">
        <v>5</v>
      </c>
      <c r="F79" s="3" t="s">
        <v>6</v>
      </c>
    </row>
    <row r="80" spans="1:6">
      <c r="B80" s="27"/>
      <c r="C80" s="27"/>
      <c r="D80" s="27"/>
      <c r="E80" s="27"/>
      <c r="F80" s="27"/>
    </row>
    <row r="81" spans="1:6" ht="28.5">
      <c r="A81" s="28" t="s">
        <v>74</v>
      </c>
      <c r="B81" s="29" t="s">
        <v>75</v>
      </c>
      <c r="C81" s="1"/>
      <c r="D81" s="1"/>
      <c r="E81" s="1"/>
      <c r="F81" s="1"/>
    </row>
    <row r="82" spans="1:6" ht="42.75">
      <c r="A82" s="30"/>
      <c r="B82" s="61" t="s">
        <v>76</v>
      </c>
      <c r="C82" s="1"/>
      <c r="D82" s="1"/>
      <c r="E82" s="1"/>
      <c r="F82" s="1"/>
    </row>
    <row r="83" spans="1:6">
      <c r="B83" s="31" t="s">
        <v>77</v>
      </c>
      <c r="C83" s="32" t="s">
        <v>78</v>
      </c>
      <c r="D83" s="11">
        <v>3696</v>
      </c>
      <c r="E83" s="11">
        <v>2.2999999999999998</v>
      </c>
      <c r="F83" s="11">
        <f>D83*E83</f>
        <v>8500.7999999999993</v>
      </c>
    </row>
    <row r="84" spans="1:6">
      <c r="A84" s="28"/>
      <c r="B84" s="1"/>
      <c r="C84" s="1"/>
      <c r="D84" s="1"/>
      <c r="E84" s="1"/>
      <c r="F84" s="1"/>
    </row>
    <row r="85" spans="1:6">
      <c r="A85" s="8" t="s">
        <v>79</v>
      </c>
      <c r="B85" s="61" t="s">
        <v>80</v>
      </c>
      <c r="C85" s="32"/>
      <c r="D85" s="1"/>
      <c r="E85" s="1"/>
      <c r="F85" s="1"/>
    </row>
    <row r="86" spans="1:6" ht="42.75">
      <c r="A86" s="8"/>
      <c r="B86" s="61" t="s">
        <v>81</v>
      </c>
      <c r="C86" s="32"/>
      <c r="D86" s="1"/>
      <c r="E86" s="1"/>
      <c r="F86" s="1"/>
    </row>
    <row r="87" spans="1:6">
      <c r="B87" s="31" t="s">
        <v>77</v>
      </c>
      <c r="C87" s="32" t="s">
        <v>78</v>
      </c>
      <c r="D87" s="11">
        <v>5546.6</v>
      </c>
      <c r="E87" s="11">
        <v>2.2999999999999998</v>
      </c>
      <c r="F87" s="11">
        <f>D87*E87</f>
        <v>12757.18</v>
      </c>
    </row>
    <row r="88" spans="1:6">
      <c r="A88" s="8"/>
      <c r="B88" s="31"/>
      <c r="C88" s="32"/>
      <c r="D88" s="11"/>
      <c r="E88" s="11"/>
      <c r="F88" s="11"/>
    </row>
    <row r="89" spans="1:6">
      <c r="A89" s="13"/>
      <c r="B89" s="14" t="s">
        <v>82</v>
      </c>
      <c r="C89" s="6"/>
      <c r="D89" s="6"/>
      <c r="E89" s="6"/>
      <c r="F89" s="25">
        <f>SUM(F83:F87)</f>
        <v>21257.98</v>
      </c>
    </row>
    <row r="90" spans="1:6">
      <c r="A90" s="8"/>
      <c r="B90" s="16"/>
      <c r="C90" s="1"/>
      <c r="D90" s="1"/>
      <c r="E90" s="1"/>
      <c r="F90" s="26"/>
    </row>
    <row r="91" spans="1:6">
      <c r="A91" s="4" t="s">
        <v>83</v>
      </c>
      <c r="B91" s="67" t="s">
        <v>84</v>
      </c>
      <c r="C91" s="67"/>
      <c r="D91" s="67"/>
      <c r="E91" s="6"/>
      <c r="F91" s="7"/>
    </row>
    <row r="92" spans="1:6">
      <c r="A92" s="2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6</v>
      </c>
    </row>
    <row r="93" spans="1:6">
      <c r="B93" s="27"/>
      <c r="C93" s="27"/>
      <c r="D93" s="27"/>
      <c r="E93" s="27"/>
      <c r="F93" s="27"/>
    </row>
    <row r="94" spans="1:6" ht="28.5">
      <c r="A94" s="28" t="s">
        <v>85</v>
      </c>
      <c r="B94" s="31" t="s">
        <v>86</v>
      </c>
      <c r="C94" s="1"/>
      <c r="D94" s="1"/>
      <c r="E94" s="1"/>
      <c r="F94" s="1"/>
    </row>
    <row r="95" spans="1:6" ht="28.5">
      <c r="A95" s="30"/>
      <c r="B95" s="61" t="s">
        <v>87</v>
      </c>
      <c r="C95" s="1"/>
      <c r="D95" s="1"/>
      <c r="E95" s="1"/>
      <c r="F95" s="1"/>
    </row>
    <row r="96" spans="1:6">
      <c r="B96" s="31" t="s">
        <v>88</v>
      </c>
      <c r="C96" s="32" t="s">
        <v>28</v>
      </c>
      <c r="D96" s="11">
        <v>200</v>
      </c>
      <c r="E96" s="11">
        <v>27</v>
      </c>
      <c r="F96" s="11">
        <f>D96*E96</f>
        <v>5400</v>
      </c>
    </row>
    <row r="97" spans="1:6">
      <c r="A97" s="28"/>
      <c r="B97" s="1"/>
      <c r="C97" s="1"/>
      <c r="D97" s="1"/>
      <c r="E97" s="1"/>
      <c r="F97" s="1"/>
    </row>
    <row r="98" spans="1:6">
      <c r="A98" s="8" t="s">
        <v>89</v>
      </c>
      <c r="B98" s="61" t="s">
        <v>90</v>
      </c>
      <c r="C98" s="32"/>
      <c r="D98" s="1"/>
      <c r="E98" s="1"/>
      <c r="F98" s="1"/>
    </row>
    <row r="99" spans="1:6" ht="28.5">
      <c r="A99" s="8"/>
      <c r="B99" s="61" t="s">
        <v>91</v>
      </c>
      <c r="C99" s="1"/>
      <c r="D99" s="1"/>
      <c r="E99" s="1"/>
      <c r="F99" s="1"/>
    </row>
    <row r="100" spans="1:6">
      <c r="B100" s="31" t="s">
        <v>88</v>
      </c>
      <c r="C100" s="32" t="s">
        <v>28</v>
      </c>
      <c r="D100" s="11">
        <v>470</v>
      </c>
      <c r="E100" s="11">
        <v>27</v>
      </c>
      <c r="F100" s="11">
        <f>D100*E100</f>
        <v>12690</v>
      </c>
    </row>
    <row r="101" spans="1:6">
      <c r="A101" s="8"/>
      <c r="B101" s="31"/>
      <c r="C101" s="32"/>
      <c r="D101" s="11"/>
      <c r="E101" s="11"/>
      <c r="F101" s="11"/>
    </row>
    <row r="102" spans="1:6">
      <c r="A102" s="13"/>
      <c r="B102" s="14" t="s">
        <v>92</v>
      </c>
      <c r="C102" s="6"/>
      <c r="D102" s="6"/>
      <c r="E102" s="6"/>
      <c r="F102" s="25">
        <f>SUM(F96:F100)</f>
        <v>18090</v>
      </c>
    </row>
    <row r="103" spans="1:6">
      <c r="A103" s="8"/>
      <c r="B103" s="16"/>
      <c r="C103" s="1"/>
      <c r="D103" s="1"/>
      <c r="E103" s="1"/>
      <c r="F103" s="26"/>
    </row>
    <row r="104" spans="1:6">
      <c r="A104" s="4" t="s">
        <v>93</v>
      </c>
      <c r="B104" s="67" t="s">
        <v>94</v>
      </c>
      <c r="C104" s="67"/>
      <c r="D104" s="67"/>
      <c r="E104" s="6"/>
      <c r="F104" s="7"/>
    </row>
    <row r="105" spans="1:6">
      <c r="A105" s="2" t="s">
        <v>1</v>
      </c>
      <c r="B105" s="3" t="s">
        <v>2</v>
      </c>
      <c r="C105" s="3" t="s">
        <v>3</v>
      </c>
      <c r="D105" s="3" t="s">
        <v>4</v>
      </c>
      <c r="E105" s="3" t="s">
        <v>5</v>
      </c>
      <c r="F105" s="3" t="s">
        <v>6</v>
      </c>
    </row>
    <row r="106" spans="1:6">
      <c r="B106" s="27"/>
      <c r="C106" s="27"/>
      <c r="D106" s="27"/>
      <c r="E106" s="27"/>
      <c r="F106" s="27"/>
    </row>
    <row r="107" spans="1:6" ht="28.5">
      <c r="A107" s="28" t="s">
        <v>95</v>
      </c>
      <c r="B107" s="29" t="s">
        <v>96</v>
      </c>
      <c r="C107" s="1"/>
      <c r="D107" s="1"/>
      <c r="E107" s="1"/>
      <c r="F107" s="1"/>
    </row>
    <row r="108" spans="1:6" ht="28.5">
      <c r="A108" s="30"/>
      <c r="B108" s="61" t="s">
        <v>97</v>
      </c>
      <c r="C108" s="1"/>
      <c r="D108" s="1"/>
      <c r="E108" s="1"/>
      <c r="F108" s="1"/>
    </row>
    <row r="109" spans="1:6" ht="16.5">
      <c r="B109" s="31" t="s">
        <v>98</v>
      </c>
      <c r="C109" s="33" t="s">
        <v>33</v>
      </c>
      <c r="D109" s="11">
        <v>14.7</v>
      </c>
      <c r="E109" s="11">
        <v>170</v>
      </c>
      <c r="F109" s="11">
        <f>D109*E109</f>
        <v>2499</v>
      </c>
    </row>
    <row r="110" spans="1:6">
      <c r="A110" s="28"/>
      <c r="B110" s="1"/>
      <c r="C110" s="34"/>
      <c r="D110" s="1"/>
      <c r="E110" s="1"/>
      <c r="F110" s="1"/>
    </row>
    <row r="111" spans="1:6" ht="42.75">
      <c r="A111" s="8" t="s">
        <v>99</v>
      </c>
      <c r="B111" s="62" t="s">
        <v>100</v>
      </c>
      <c r="C111" s="33"/>
      <c r="D111" s="1"/>
      <c r="E111" s="1"/>
      <c r="F111" s="1"/>
    </row>
    <row r="112" spans="1:6" ht="28.5">
      <c r="A112" s="8"/>
      <c r="B112" s="61" t="s">
        <v>101</v>
      </c>
      <c r="C112" s="33"/>
      <c r="D112" s="1"/>
      <c r="E112" s="1"/>
      <c r="F112" s="1"/>
    </row>
    <row r="113" spans="1:6" ht="16.5">
      <c r="B113" s="31" t="s">
        <v>102</v>
      </c>
      <c r="C113" s="33" t="s">
        <v>33</v>
      </c>
      <c r="D113" s="11">
        <v>46.2</v>
      </c>
      <c r="E113" s="11">
        <v>175</v>
      </c>
      <c r="F113" s="11">
        <f>D113*E113</f>
        <v>8085.0000000000009</v>
      </c>
    </row>
    <row r="114" spans="1:6">
      <c r="A114" s="8"/>
      <c r="B114" s="31"/>
      <c r="C114" s="33"/>
      <c r="D114" s="11"/>
      <c r="E114" s="11"/>
      <c r="F114" s="11"/>
    </row>
    <row r="115" spans="1:6" ht="28.5">
      <c r="A115" s="8" t="s">
        <v>103</v>
      </c>
      <c r="B115" s="61" t="s">
        <v>104</v>
      </c>
      <c r="C115" s="33"/>
      <c r="D115" s="1"/>
      <c r="E115" s="1"/>
      <c r="F115" s="1"/>
    </row>
    <row r="116" spans="1:6" ht="28.5">
      <c r="A116" s="8"/>
      <c r="B116" s="61" t="s">
        <v>101</v>
      </c>
      <c r="C116" s="33"/>
      <c r="D116" s="1"/>
      <c r="E116" s="1"/>
      <c r="F116" s="1"/>
    </row>
    <row r="117" spans="1:6" ht="16.5">
      <c r="B117" s="31" t="s">
        <v>102</v>
      </c>
      <c r="C117" s="33" t="s">
        <v>33</v>
      </c>
      <c r="D117" s="11">
        <v>69.3</v>
      </c>
      <c r="E117" s="11">
        <v>175</v>
      </c>
      <c r="F117" s="11">
        <f>D117*E117</f>
        <v>12127.5</v>
      </c>
    </row>
    <row r="118" spans="1:6">
      <c r="A118" s="8"/>
      <c r="B118" s="31"/>
      <c r="C118" s="32"/>
      <c r="D118" s="11"/>
      <c r="E118" s="11"/>
      <c r="F118" s="11"/>
    </row>
    <row r="119" spans="1:6">
      <c r="A119" s="13"/>
      <c r="B119" s="14" t="s">
        <v>105</v>
      </c>
      <c r="C119" s="6"/>
      <c r="D119" s="6"/>
      <c r="E119" s="6"/>
      <c r="F119" s="15">
        <f>SUM(F109:F117)</f>
        <v>22711.5</v>
      </c>
    </row>
    <row r="120" spans="1:6">
      <c r="A120" s="8"/>
    </row>
    <row r="121" spans="1:6">
      <c r="B121" s="1"/>
      <c r="C121" s="1"/>
      <c r="D121" s="1"/>
      <c r="E121" s="1"/>
      <c r="F121" s="1"/>
    </row>
    <row r="122" spans="1:6">
      <c r="A122" s="4" t="s">
        <v>106</v>
      </c>
      <c r="B122" s="63" t="s">
        <v>107</v>
      </c>
      <c r="C122" s="63"/>
      <c r="D122" s="6"/>
      <c r="E122" s="6"/>
      <c r="F122" s="7"/>
    </row>
    <row r="123" spans="1:6">
      <c r="A123" s="2" t="s">
        <v>1</v>
      </c>
      <c r="B123" s="3" t="s">
        <v>2</v>
      </c>
      <c r="C123" s="3" t="s">
        <v>3</v>
      </c>
      <c r="D123" s="3" t="s">
        <v>4</v>
      </c>
      <c r="E123" s="3" t="s">
        <v>5</v>
      </c>
      <c r="F123" s="3" t="s">
        <v>6</v>
      </c>
    </row>
    <row r="124" spans="1:6">
      <c r="B124" s="1"/>
      <c r="C124" s="1"/>
      <c r="D124" s="1"/>
      <c r="E124" s="1"/>
      <c r="F124" s="1"/>
    </row>
    <row r="125" spans="1:6" ht="42.75">
      <c r="A125" s="35" t="s">
        <v>108</v>
      </c>
      <c r="B125" s="18" t="s">
        <v>109</v>
      </c>
      <c r="C125" s="1"/>
      <c r="D125" s="1"/>
      <c r="E125" s="1"/>
      <c r="F125" s="1"/>
    </row>
    <row r="126" spans="1:6" ht="42.75">
      <c r="A126" s="8"/>
      <c r="B126" s="18" t="s">
        <v>110</v>
      </c>
      <c r="C126" s="1"/>
      <c r="D126" s="1"/>
      <c r="E126" s="1"/>
      <c r="F126" s="1"/>
    </row>
    <row r="127" spans="1:6">
      <c r="B127" s="36" t="s">
        <v>111</v>
      </c>
      <c r="C127" s="10" t="s">
        <v>20</v>
      </c>
      <c r="D127" s="11">
        <v>90</v>
      </c>
      <c r="E127" s="11">
        <v>30</v>
      </c>
      <c r="F127" s="11">
        <f>D127*E127</f>
        <v>2700</v>
      </c>
    </row>
    <row r="128" spans="1:6" ht="15.75" customHeight="1">
      <c r="A128" s="8"/>
      <c r="B128" s="36"/>
      <c r="C128" s="37"/>
      <c r="D128" s="1"/>
      <c r="E128" s="1"/>
      <c r="F128" s="1"/>
    </row>
    <row r="129" spans="1:6" ht="71.25">
      <c r="A129" s="8" t="s">
        <v>112</v>
      </c>
      <c r="B129" s="18" t="s">
        <v>113</v>
      </c>
      <c r="C129" s="37"/>
      <c r="D129" s="1"/>
      <c r="E129" s="1"/>
      <c r="F129" s="1"/>
    </row>
    <row r="130" spans="1:6" ht="71.25">
      <c r="A130" s="8"/>
      <c r="B130" s="18" t="s">
        <v>114</v>
      </c>
      <c r="C130" s="37"/>
      <c r="D130" s="1"/>
      <c r="E130" s="1"/>
      <c r="F130" s="1"/>
    </row>
    <row r="131" spans="1:6">
      <c r="B131" s="36" t="s">
        <v>115</v>
      </c>
      <c r="C131" s="37" t="s">
        <v>116</v>
      </c>
      <c r="D131" s="11">
        <v>410</v>
      </c>
      <c r="E131" s="11">
        <v>60</v>
      </c>
      <c r="F131" s="11">
        <f>D131*E131</f>
        <v>24600</v>
      </c>
    </row>
    <row r="132" spans="1:6">
      <c r="A132" s="8"/>
      <c r="B132" s="36"/>
      <c r="C132" s="37"/>
      <c r="D132" s="11"/>
      <c r="E132" s="11"/>
      <c r="F132" s="11"/>
    </row>
    <row r="133" spans="1:6" ht="28.5">
      <c r="A133" s="1" t="s">
        <v>117</v>
      </c>
      <c r="B133" s="38" t="s">
        <v>118</v>
      </c>
      <c r="C133" s="37"/>
      <c r="D133" s="11"/>
      <c r="E133" s="11"/>
      <c r="F133" s="11"/>
    </row>
    <row r="134" spans="1:6" ht="156.75">
      <c r="A134" s="1"/>
      <c r="B134" s="38" t="s">
        <v>119</v>
      </c>
      <c r="C134" s="37"/>
      <c r="D134" s="11"/>
      <c r="E134" s="11"/>
      <c r="F134" s="11"/>
    </row>
    <row r="135" spans="1:6" ht="28.5">
      <c r="B135" s="38" t="s">
        <v>120</v>
      </c>
      <c r="C135" s="37" t="s">
        <v>20</v>
      </c>
      <c r="D135" s="11">
        <v>6</v>
      </c>
      <c r="E135" s="11">
        <v>700</v>
      </c>
      <c r="F135" s="11">
        <f>D135*E135</f>
        <v>4200</v>
      </c>
    </row>
    <row r="136" spans="1:6">
      <c r="B136" s="38"/>
      <c r="C136" s="37"/>
      <c r="D136" s="11"/>
      <c r="E136" s="11"/>
      <c r="F136" s="11"/>
    </row>
    <row r="137" spans="1:6" ht="28.5">
      <c r="A137" s="35" t="s">
        <v>121</v>
      </c>
      <c r="B137" s="18" t="s">
        <v>122</v>
      </c>
      <c r="C137" s="1"/>
      <c r="D137" s="1"/>
      <c r="E137" s="1"/>
      <c r="F137" s="1"/>
    </row>
    <row r="138" spans="1:6" ht="42.75">
      <c r="A138" s="8"/>
      <c r="B138" s="18" t="s">
        <v>110</v>
      </c>
      <c r="C138" s="1"/>
      <c r="D138" s="1"/>
      <c r="E138" s="1"/>
      <c r="F138" s="1"/>
    </row>
    <row r="139" spans="1:6">
      <c r="B139" s="36" t="s">
        <v>111</v>
      </c>
      <c r="C139" s="10" t="s">
        <v>20</v>
      </c>
      <c r="D139" s="11">
        <v>10</v>
      </c>
      <c r="E139" s="11">
        <v>400</v>
      </c>
      <c r="F139" s="11">
        <f>D139*E139</f>
        <v>4000</v>
      </c>
    </row>
    <row r="140" spans="1:6">
      <c r="A140" s="1"/>
      <c r="B140" s="39"/>
      <c r="C140" s="39"/>
      <c r="D140" s="40"/>
      <c r="E140" s="40"/>
      <c r="F140" s="40"/>
    </row>
    <row r="141" spans="1:6">
      <c r="A141" s="41"/>
      <c r="B141" s="42" t="s">
        <v>123</v>
      </c>
      <c r="C141" s="39"/>
      <c r="D141" s="39"/>
      <c r="E141" s="39"/>
      <c r="F141" s="43">
        <f>SUM(F127:F139)</f>
        <v>35500</v>
      </c>
    </row>
    <row r="142" spans="1:6">
      <c r="A142" s="1"/>
    </row>
    <row r="143" spans="1:6">
      <c r="A143" s="4" t="s">
        <v>124</v>
      </c>
      <c r="B143" s="63" t="s">
        <v>125</v>
      </c>
      <c r="C143" s="63"/>
      <c r="D143" s="6"/>
      <c r="E143" s="6"/>
      <c r="F143" s="7"/>
    </row>
    <row r="144" spans="1:6">
      <c r="A144" s="2" t="s">
        <v>1</v>
      </c>
      <c r="B144" s="3" t="s">
        <v>2</v>
      </c>
      <c r="C144" s="3" t="s">
        <v>3</v>
      </c>
      <c r="D144" s="3" t="s">
        <v>4</v>
      </c>
      <c r="E144" s="3" t="s">
        <v>5</v>
      </c>
      <c r="F144" s="3" t="s">
        <v>6</v>
      </c>
    </row>
    <row r="146" spans="1:6" ht="43.5">
      <c r="A146" s="36" t="s">
        <v>126</v>
      </c>
      <c r="B146" s="44" t="s">
        <v>127</v>
      </c>
      <c r="C146" s="1"/>
      <c r="D146" s="11"/>
      <c r="E146" s="11"/>
      <c r="F146" s="11"/>
    </row>
    <row r="147" spans="1:6" ht="29.25">
      <c r="A147" s="36"/>
      <c r="B147" s="44" t="s">
        <v>128</v>
      </c>
      <c r="C147" s="1"/>
      <c r="D147" s="11"/>
      <c r="E147" s="11"/>
      <c r="F147" s="11"/>
    </row>
    <row r="148" spans="1:6" ht="43.5">
      <c r="A148" s="36"/>
      <c r="B148" s="44" t="s">
        <v>129</v>
      </c>
      <c r="C148" s="1"/>
      <c r="D148" s="11"/>
      <c r="E148" s="11"/>
      <c r="F148" s="11"/>
    </row>
    <row r="149" spans="1:6" ht="29.25">
      <c r="A149" s="36"/>
      <c r="B149" s="44" t="s">
        <v>130</v>
      </c>
      <c r="C149" s="1"/>
      <c r="D149" s="11"/>
      <c r="E149" s="11"/>
      <c r="F149" s="11"/>
    </row>
    <row r="150" spans="1:6" ht="29.25">
      <c r="A150" s="36"/>
      <c r="B150" s="45" t="s">
        <v>131</v>
      </c>
      <c r="C150" s="10" t="s">
        <v>116</v>
      </c>
      <c r="D150" s="11">
        <v>2100</v>
      </c>
      <c r="E150" s="11">
        <v>8</v>
      </c>
      <c r="F150" s="11">
        <f>D150*E150</f>
        <v>16800</v>
      </c>
    </row>
    <row r="151" spans="1:6">
      <c r="B151" s="46"/>
      <c r="C151" s="1"/>
      <c r="D151" s="11"/>
      <c r="E151" s="11"/>
      <c r="F151" s="11"/>
    </row>
    <row r="152" spans="1:6">
      <c r="B152" s="44" t="s">
        <v>132</v>
      </c>
    </row>
    <row r="153" spans="1:6" ht="29.25">
      <c r="A153" s="1"/>
      <c r="B153" s="47" t="s">
        <v>133</v>
      </c>
      <c r="C153" s="34"/>
      <c r="D153" s="11"/>
      <c r="E153" s="11"/>
      <c r="F153" s="11"/>
    </row>
    <row r="154" spans="1:6" ht="171.75">
      <c r="A154" s="1" t="s">
        <v>134</v>
      </c>
      <c r="B154" s="44" t="s">
        <v>171</v>
      </c>
      <c r="C154" s="34"/>
      <c r="D154" s="11"/>
      <c r="E154" s="11"/>
      <c r="F154" s="11"/>
    </row>
    <row r="155" spans="1:6" ht="86.25">
      <c r="A155" s="1"/>
      <c r="B155" s="44" t="s">
        <v>135</v>
      </c>
      <c r="C155" s="34"/>
      <c r="D155" s="11"/>
      <c r="E155" s="11"/>
      <c r="F155" s="11"/>
    </row>
    <row r="156" spans="1:6" ht="29.25">
      <c r="B156" s="45" t="s">
        <v>131</v>
      </c>
      <c r="C156" s="10" t="s">
        <v>116</v>
      </c>
      <c r="D156" s="11">
        <v>2100</v>
      </c>
      <c r="E156" s="11">
        <v>24</v>
      </c>
      <c r="F156" s="11">
        <f>D156*E156</f>
        <v>50400</v>
      </c>
    </row>
    <row r="157" spans="1:6">
      <c r="A157" s="1"/>
      <c r="B157" s="36"/>
      <c r="C157" s="1"/>
      <c r="D157" s="11"/>
      <c r="E157" s="11"/>
      <c r="F157" s="11"/>
    </row>
    <row r="158" spans="1:6">
      <c r="A158" s="1" t="s">
        <v>136</v>
      </c>
      <c r="B158" s="36" t="s">
        <v>137</v>
      </c>
      <c r="C158" s="1"/>
      <c r="D158" s="11"/>
      <c r="E158" s="11"/>
      <c r="F158" s="11"/>
    </row>
    <row r="159" spans="1:6" ht="30" customHeight="1">
      <c r="B159" s="38" t="s">
        <v>138</v>
      </c>
      <c r="C159" s="1"/>
      <c r="D159" s="11"/>
      <c r="E159" s="11"/>
      <c r="F159" s="11"/>
    </row>
    <row r="160" spans="1:6" ht="28.5">
      <c r="B160" s="38" t="s">
        <v>139</v>
      </c>
      <c r="C160" s="34" t="s">
        <v>20</v>
      </c>
      <c r="D160" s="11">
        <v>2</v>
      </c>
      <c r="E160" s="11">
        <v>800</v>
      </c>
      <c r="F160" s="11">
        <f>D160*E160</f>
        <v>1600</v>
      </c>
    </row>
    <row r="161" spans="1:6">
      <c r="B161" s="38"/>
      <c r="C161" s="34"/>
      <c r="D161" s="11"/>
      <c r="E161" s="11"/>
      <c r="F161" s="11"/>
    </row>
    <row r="162" spans="1:6" ht="28.5">
      <c r="A162" s="1" t="s">
        <v>140</v>
      </c>
      <c r="B162" s="38" t="s">
        <v>141</v>
      </c>
      <c r="C162" s="1"/>
      <c r="D162" s="11"/>
      <c r="E162" s="11"/>
      <c r="F162" s="11"/>
    </row>
    <row r="163" spans="1:6" ht="128.25">
      <c r="B163" s="38" t="s">
        <v>142</v>
      </c>
      <c r="C163" s="1"/>
      <c r="D163" s="11"/>
      <c r="E163" s="11"/>
      <c r="F163" s="11"/>
    </row>
    <row r="164" spans="1:6" ht="28.5">
      <c r="B164" s="38" t="s">
        <v>143</v>
      </c>
      <c r="C164" s="34" t="s">
        <v>20</v>
      </c>
      <c r="D164" s="11">
        <v>2</v>
      </c>
      <c r="E164" s="11">
        <v>1400</v>
      </c>
      <c r="F164" s="11">
        <f>D164*E164</f>
        <v>2800</v>
      </c>
    </row>
    <row r="165" spans="1:6" ht="28.5">
      <c r="B165" s="38" t="s">
        <v>144</v>
      </c>
      <c r="C165" s="34" t="s">
        <v>145</v>
      </c>
      <c r="D165" s="11">
        <v>160</v>
      </c>
      <c r="E165" s="11">
        <v>0.8</v>
      </c>
      <c r="F165" s="11">
        <f>D165*E165</f>
        <v>128</v>
      </c>
    </row>
    <row r="166" spans="1:6">
      <c r="A166" s="1"/>
      <c r="B166" s="38"/>
      <c r="C166" s="34"/>
      <c r="D166" s="11"/>
      <c r="E166" s="11"/>
      <c r="F166" s="11"/>
    </row>
    <row r="167" spans="1:6" ht="28.5">
      <c r="A167" s="34" t="s">
        <v>146</v>
      </c>
      <c r="B167" s="48" t="s">
        <v>147</v>
      </c>
      <c r="C167" s="34"/>
      <c r="D167" s="11"/>
      <c r="E167" s="11"/>
      <c r="F167" s="11"/>
    </row>
    <row r="168" spans="1:6" ht="71.25">
      <c r="A168" s="1"/>
      <c r="B168" s="38" t="s">
        <v>148</v>
      </c>
      <c r="C168" s="34"/>
      <c r="D168" s="11"/>
      <c r="E168" s="11"/>
      <c r="F168" s="11"/>
    </row>
    <row r="169" spans="1:6" ht="29.25">
      <c r="B169" s="49" t="s">
        <v>149</v>
      </c>
      <c r="C169" s="19" t="s">
        <v>145</v>
      </c>
      <c r="D169" s="50">
        <v>420</v>
      </c>
      <c r="E169" s="50">
        <v>30</v>
      </c>
      <c r="F169" s="50">
        <f>D169*E169</f>
        <v>12600</v>
      </c>
    </row>
    <row r="170" spans="1:6" ht="29.25">
      <c r="B170" s="49" t="s">
        <v>150</v>
      </c>
      <c r="C170" s="19" t="s">
        <v>145</v>
      </c>
      <c r="D170" s="50">
        <v>200</v>
      </c>
      <c r="E170" s="50">
        <v>30</v>
      </c>
      <c r="F170" s="50">
        <f>D170*E170</f>
        <v>6000</v>
      </c>
    </row>
    <row r="171" spans="1:6" ht="28.5">
      <c r="B171" s="51" t="s">
        <v>151</v>
      </c>
      <c r="C171" s="52" t="s">
        <v>20</v>
      </c>
      <c r="D171" s="50">
        <v>10</v>
      </c>
      <c r="E171" s="50">
        <v>25</v>
      </c>
      <c r="F171" s="50">
        <f>D171*E171</f>
        <v>250</v>
      </c>
    </row>
    <row r="172" spans="1:6" ht="28.5">
      <c r="B172" s="51" t="s">
        <v>152</v>
      </c>
      <c r="C172" s="52" t="s">
        <v>20</v>
      </c>
      <c r="D172" s="50">
        <v>30</v>
      </c>
      <c r="E172" s="50">
        <v>27</v>
      </c>
      <c r="F172" s="50">
        <f>D172*E172</f>
        <v>810</v>
      </c>
    </row>
    <row r="173" spans="1:6">
      <c r="B173" s="51"/>
      <c r="C173" s="52"/>
      <c r="D173" s="50"/>
      <c r="E173" s="50"/>
      <c r="F173" s="50"/>
    </row>
    <row r="174" spans="1:6" ht="42.75">
      <c r="A174" s="34" t="s">
        <v>153</v>
      </c>
      <c r="B174" s="48" t="s">
        <v>154</v>
      </c>
      <c r="C174" s="34"/>
      <c r="D174" s="11"/>
      <c r="E174" s="11"/>
      <c r="F174" s="11"/>
    </row>
    <row r="175" spans="1:6" ht="28.5">
      <c r="A175" s="1"/>
      <c r="B175" s="38" t="s">
        <v>155</v>
      </c>
      <c r="C175" s="34"/>
      <c r="D175" s="11"/>
      <c r="E175" s="11"/>
      <c r="F175" s="11"/>
    </row>
    <row r="176" spans="1:6">
      <c r="B176" s="49" t="s">
        <v>156</v>
      </c>
      <c r="C176" s="19" t="s">
        <v>20</v>
      </c>
      <c r="D176" s="50">
        <v>4</v>
      </c>
      <c r="E176" s="50">
        <v>2100</v>
      </c>
      <c r="F176" s="50">
        <f>D176*E176</f>
        <v>8400</v>
      </c>
    </row>
    <row r="177" spans="1:6">
      <c r="B177" s="49" t="s">
        <v>157</v>
      </c>
      <c r="C177" s="19" t="s">
        <v>20</v>
      </c>
      <c r="D177" s="50">
        <v>4</v>
      </c>
      <c r="E177" s="50">
        <v>240</v>
      </c>
      <c r="F177" s="50">
        <f>D177*E177</f>
        <v>960</v>
      </c>
    </row>
    <row r="178" spans="1:6">
      <c r="A178" s="1"/>
      <c r="B178" s="36"/>
      <c r="C178" s="1"/>
      <c r="D178" s="11"/>
      <c r="E178" s="11"/>
      <c r="F178" s="11"/>
    </row>
    <row r="179" spans="1:6">
      <c r="A179" s="41"/>
      <c r="B179" s="14" t="s">
        <v>158</v>
      </c>
      <c r="C179" s="6"/>
      <c r="D179" s="6"/>
      <c r="E179" s="6"/>
      <c r="F179" s="15">
        <f>SUM(F150:F177)</f>
        <v>100748</v>
      </c>
    </row>
    <row r="181" spans="1:6">
      <c r="A181" s="53"/>
      <c r="B181" s="5" t="s">
        <v>159</v>
      </c>
      <c r="C181" s="5"/>
      <c r="D181" s="5"/>
      <c r="E181" s="54"/>
      <c r="F181" s="25">
        <f>F16</f>
        <v>3590</v>
      </c>
    </row>
    <row r="182" spans="1:6">
      <c r="A182" s="53"/>
      <c r="B182" s="5" t="s">
        <v>160</v>
      </c>
      <c r="C182" s="5"/>
      <c r="D182" s="5"/>
      <c r="E182" s="54"/>
      <c r="F182" s="25">
        <f>F76</f>
        <v>112087.5</v>
      </c>
    </row>
    <row r="183" spans="1:6">
      <c r="A183" s="53"/>
      <c r="B183" s="5" t="s">
        <v>161</v>
      </c>
      <c r="C183" s="5"/>
      <c r="D183" s="5"/>
      <c r="E183" s="54"/>
      <c r="F183" s="25">
        <f>F89</f>
        <v>21257.98</v>
      </c>
    </row>
    <row r="184" spans="1:6">
      <c r="A184" s="53"/>
      <c r="B184" s="5" t="s">
        <v>162</v>
      </c>
      <c r="C184" s="5"/>
      <c r="D184" s="5"/>
      <c r="E184" s="54"/>
      <c r="F184" s="25">
        <f>F102</f>
        <v>18090</v>
      </c>
    </row>
    <row r="185" spans="1:6">
      <c r="A185" s="53"/>
      <c r="B185" s="5" t="s">
        <v>163</v>
      </c>
      <c r="C185" s="5"/>
      <c r="D185" s="5"/>
      <c r="E185" s="54"/>
      <c r="F185" s="25">
        <f>F119</f>
        <v>22711.5</v>
      </c>
    </row>
    <row r="186" spans="1:6">
      <c r="A186" s="53"/>
      <c r="B186" s="64" t="s">
        <v>164</v>
      </c>
      <c r="C186" s="64"/>
      <c r="D186" s="64"/>
      <c r="E186" s="55"/>
      <c r="F186" s="25">
        <f>F141</f>
        <v>35500</v>
      </c>
    </row>
    <row r="187" spans="1:6">
      <c r="A187" s="53"/>
      <c r="B187" s="64" t="s">
        <v>165</v>
      </c>
      <c r="C187" s="64"/>
      <c r="D187" s="64"/>
      <c r="E187" s="55"/>
      <c r="F187" s="25">
        <f>F179</f>
        <v>100748</v>
      </c>
    </row>
    <row r="188" spans="1:6">
      <c r="A188" s="56"/>
      <c r="B188" s="14" t="s">
        <v>166</v>
      </c>
      <c r="C188" s="55"/>
      <c r="D188" s="55"/>
      <c r="E188" s="55"/>
      <c r="F188" s="25">
        <f>SUM(F181:F187)</f>
        <v>313984.98</v>
      </c>
    </row>
    <row r="189" spans="1:6">
      <c r="A189" s="57"/>
    </row>
    <row r="190" spans="1:6">
      <c r="A190" s="53"/>
      <c r="B190" s="14" t="s">
        <v>167</v>
      </c>
      <c r="C190" s="55"/>
      <c r="D190" s="55"/>
      <c r="E190" s="55"/>
      <c r="F190" s="58">
        <f>F188*0.25</f>
        <v>78496.244999999995</v>
      </c>
    </row>
    <row r="192" spans="1:6">
      <c r="A192" s="53"/>
      <c r="B192" s="14" t="s">
        <v>166</v>
      </c>
      <c r="C192" s="55"/>
      <c r="D192" s="55"/>
      <c r="E192" s="55"/>
      <c r="F192" s="68">
        <f>F188+F190</f>
        <v>392481.22499999998</v>
      </c>
    </row>
    <row r="195" spans="1:6">
      <c r="D195" s="34" t="s">
        <v>168</v>
      </c>
    </row>
    <row r="196" spans="1:6" ht="15.75">
      <c r="D196" s="59" t="s">
        <v>169</v>
      </c>
      <c r="E196" s="59"/>
      <c r="F196" s="59"/>
    </row>
    <row r="199" spans="1:6">
      <c r="B199" s="60"/>
      <c r="C199" s="60"/>
    </row>
    <row r="201" spans="1:6">
      <c r="A201" s="65" t="s">
        <v>170</v>
      </c>
      <c r="B201" s="65"/>
      <c r="C201" s="65"/>
      <c r="D201" s="65"/>
    </row>
  </sheetData>
  <mergeCells count="9">
    <mergeCell ref="B143:C143"/>
    <mergeCell ref="B186:D186"/>
    <mergeCell ref="B187:D187"/>
    <mergeCell ref="A201:D201"/>
    <mergeCell ref="A1:F1"/>
    <mergeCell ref="B78:D78"/>
    <mergeCell ref="B91:D91"/>
    <mergeCell ref="B104:D104"/>
    <mergeCell ref="B122:C122"/>
  </mergeCells>
  <pageMargins left="0.7" right="0.7" top="0.75" bottom="5.9951388888888903" header="0.3" footer="0.3"/>
  <pageSetup paperSize="9" scale="53" orientation="portrait" r:id="rId1"/>
  <rowBreaks count="7" manualBreakCount="7">
    <brk id="16" max="16383" man="1"/>
    <brk id="35" max="16383" man="1"/>
    <brk id="51" max="16383" man="1"/>
    <brk id="68" max="16383" man="1"/>
    <brk id="96" max="16383" man="1"/>
    <brk id="144" max="16383" man="1"/>
    <brk id="1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Ured-02</dc:creator>
  <cp:lastModifiedBy>Bernard Drinovac</cp:lastModifiedBy>
  <cp:lastPrinted>2022-01-28T11:55:00Z</cp:lastPrinted>
  <dcterms:created xsi:type="dcterms:W3CDTF">2022-01-20T13:34:00Z</dcterms:created>
  <dcterms:modified xsi:type="dcterms:W3CDTF">2025-11-12T08:36:16Z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E55A396911B645D6A0EF68BB551F9D9B_12</vt:lpwstr>
  </property>
  <property fmtid="{D5CDD505-2E9C-101B-9397-08002B2CF9AE}" pid="3" name="KSOProductBuildVer">
    <vt:lpwstr>1033-12.2.0.18911</vt:lpwstr>
  </property>
</Properties>
</file>