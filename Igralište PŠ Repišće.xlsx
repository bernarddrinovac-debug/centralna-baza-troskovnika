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FDA9B4B9-EBB4-4235-8B7D-8F70BA6FD5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naslov" sheetId="1" r:id="rId1"/>
    <sheet name="2. rekapitulacija" sheetId="2" r:id="rId2"/>
    <sheet name="3. troškovn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3" l="1"/>
  <c r="G69" i="3"/>
  <c r="G11" i="3"/>
  <c r="G56" i="3" l="1"/>
  <c r="G51" i="3"/>
  <c r="G50" i="3"/>
  <c r="G46" i="3"/>
  <c r="G45" i="3"/>
  <c r="G44" i="3"/>
  <c r="G43" i="3"/>
  <c r="G42" i="3"/>
  <c r="G41" i="3"/>
  <c r="G29" i="3"/>
  <c r="G28" i="3"/>
  <c r="G27" i="3"/>
  <c r="G26" i="3"/>
  <c r="G33" i="3"/>
  <c r="G32" i="3"/>
  <c r="G31" i="3"/>
  <c r="G30" i="3"/>
  <c r="G110" i="3" l="1"/>
  <c r="G12" i="3" l="1"/>
  <c r="G138" i="3" s="1"/>
  <c r="G11" i="2" s="1"/>
  <c r="G55" i="3" l="1"/>
  <c r="G54" i="3"/>
  <c r="G53" i="3"/>
  <c r="G52" i="3"/>
  <c r="G49" i="3"/>
  <c r="G48" i="3"/>
  <c r="G47" i="3"/>
  <c r="G40" i="3"/>
  <c r="G39" i="3"/>
  <c r="G35" i="3"/>
  <c r="G34" i="3"/>
  <c r="G25" i="3"/>
  <c r="G36" i="3" s="1"/>
  <c r="G146" i="3" s="1"/>
  <c r="G19" i="2" s="1"/>
  <c r="G20" i="3"/>
  <c r="G58" i="3" l="1"/>
  <c r="G150" i="3" s="1"/>
  <c r="G23" i="2" s="1"/>
  <c r="G127" i="3"/>
  <c r="G129" i="3" s="1"/>
  <c r="G174" i="3" s="1"/>
  <c r="G47" i="2" s="1"/>
  <c r="G122" i="3"/>
  <c r="G121" i="3"/>
  <c r="G120" i="3"/>
  <c r="G119" i="3"/>
  <c r="G118" i="3"/>
  <c r="G117" i="3"/>
  <c r="G116" i="3"/>
  <c r="G115" i="3"/>
  <c r="G114" i="3"/>
  <c r="G113" i="3"/>
  <c r="G112" i="3"/>
  <c r="G111" i="3"/>
  <c r="G105" i="3"/>
  <c r="G104" i="3"/>
  <c r="G103" i="3"/>
  <c r="G102" i="3"/>
  <c r="G101" i="3"/>
  <c r="G100" i="3"/>
  <c r="G99" i="3"/>
  <c r="G93" i="3"/>
  <c r="G92" i="3"/>
  <c r="G91" i="3"/>
  <c r="G90" i="3"/>
  <c r="G83" i="3"/>
  <c r="G82" i="3"/>
  <c r="G81" i="3"/>
  <c r="G80" i="3"/>
  <c r="G79" i="3"/>
  <c r="G78" i="3"/>
  <c r="G77" i="3"/>
  <c r="G76" i="3"/>
  <c r="G67" i="3"/>
  <c r="G66" i="3"/>
  <c r="G65" i="3"/>
  <c r="G64" i="3"/>
  <c r="G63" i="3"/>
  <c r="G62" i="3"/>
  <c r="G19" i="3"/>
  <c r="G18" i="3"/>
  <c r="G17" i="3"/>
  <c r="G16" i="3"/>
  <c r="G10" i="3"/>
  <c r="G85" i="3" l="1"/>
  <c r="G158" i="3" s="1"/>
  <c r="G31" i="2" s="1"/>
  <c r="G71" i="3"/>
  <c r="G154" i="3" s="1"/>
  <c r="G27" i="2" s="1"/>
  <c r="G95" i="3"/>
  <c r="G162" i="3" s="1"/>
  <c r="G35" i="2" s="1"/>
  <c r="G107" i="3"/>
  <c r="G166" i="3" s="1"/>
  <c r="G39" i="2" s="1"/>
  <c r="G124" i="3"/>
  <c r="G170" i="3" s="1"/>
  <c r="G43" i="2" s="1"/>
  <c r="G21" i="3"/>
  <c r="G142" i="3" l="1"/>
  <c r="G15" i="2" s="1"/>
  <c r="G179" i="3" l="1"/>
  <c r="G52" i="2" s="1"/>
  <c r="G53" i="2" s="1"/>
  <c r="G54" i="2" s="1"/>
  <c r="G180" i="3" l="1"/>
  <c r="G181" i="3" s="1"/>
</calcChain>
</file>

<file path=xl/sharedStrings.xml><?xml version="1.0" encoding="utf-8"?>
<sst xmlns="http://schemas.openxmlformats.org/spreadsheetml/2006/main" count="329" uniqueCount="191">
  <si>
    <t>bez PDV-a</t>
  </si>
  <si>
    <t>II. REKAPITULACIJA TROŠKOVA - SVEUKUPNO</t>
  </si>
  <si>
    <t>PDV 25%</t>
  </si>
  <si>
    <t>jed.mj.</t>
  </si>
  <si>
    <t>kol.</t>
  </si>
  <si>
    <t>jed. cijena</t>
  </si>
  <si>
    <t>1.A</t>
  </si>
  <si>
    <t>1.A.01./a</t>
  </si>
  <si>
    <t>m2</t>
  </si>
  <si>
    <t>1.B.01./a</t>
  </si>
  <si>
    <t>kom</t>
  </si>
  <si>
    <t>m</t>
  </si>
  <si>
    <t>3.C</t>
  </si>
  <si>
    <t>II. REKAPITULACIJA TROŠKOVA - RAZRADA</t>
  </si>
  <si>
    <t>OPĆE NAPOMENE***</t>
  </si>
  <si>
    <t>Nacrti, tehnički opis i troškovnik čine cijelinu projekta. Izvođač je dužan proučiti sve navedene dijelove projekta, te u slučaju nejasnoća tražiti objašnjenje od projektanta. Nepoznavanje crtanog dijela projekta i tehničkog opisa neće se prihvatiti kao razlog za povišenje jediničnih cijena ili greške u izvedbi.</t>
  </si>
  <si>
    <t>Ovisno o vrsti radova sastavni dio jediničnih cijena su i: donošenje na uvid i izrada oglednih primjeraka, izrada radioničke dokumentacije, te nacrti polaganja pojedinih elemenata.</t>
  </si>
  <si>
    <t>Kod svih radova izvođač je dužan držati se uputa, važećih zakona i propisa, tehničkih uputa pojedinih proizvođača, koji moraju biti u skladu sa HRN i EU normama.</t>
  </si>
  <si>
    <t>Kod kalkuliranja cijena za pojedine radove izvođač mora uzeti u obzir sve faze radova, sve potrebne elemente i radnje koji čine tehnološku cjelinu izvedbe, jer se VTR neće priznavati zbog 'nepotpune' kalkulacije cijene.</t>
  </si>
  <si>
    <t>U okviru pripremnih radova potrebno je proučiti detaljno tehničku dokumentaciju, te pripremiti radioničke nacrte i dinamički plan izvođenja radova prije početka radova.</t>
  </si>
  <si>
    <t>Izvođač radova treba prije izvođenja radova izraditi sve uzorke, te iste dati projektantu na pismeno odobrenje. 
Izvođač radova treba uporabiti materijale koji u svemu (vrsti, boji i kvaliteti) jednak uzorku što ga odabere projektant od uzoraka predloženih od strane izvođača.</t>
  </si>
  <si>
    <t>REKONSTRUKCIJA ŠKOLSKOG SPORTSKOG IGRALIŠTA PŠ REPIŠĆE</t>
  </si>
  <si>
    <t>PRIPREMNI RADOVI</t>
  </si>
  <si>
    <t>GRAĐEVINSKO OBRTNIČKI RADOVI UREĐENJA IGRALIŠTA I OKOLIŠA</t>
  </si>
  <si>
    <t>Elaborat iskolčenja i geodetska mjerenja</t>
  </si>
  <si>
    <t>Projekt elektroinstalacije</t>
  </si>
  <si>
    <t>2.B</t>
  </si>
  <si>
    <t>RUŠENJE I DEMONTAŽA</t>
  </si>
  <si>
    <t>1.B.01</t>
  </si>
  <si>
    <t>Iskapčanje postojeće elektroinstalacije za rad na rasvjetnim stupovima igrališta</t>
  </si>
  <si>
    <t>1.B.02</t>
  </si>
  <si>
    <t>m3</t>
  </si>
  <si>
    <t>1.B.03</t>
  </si>
  <si>
    <t xml:space="preserve">Strojno uklanjanje asfaltne površine igrališta do zrnate podloge. Debljina asfalta je cca 12 cm. Uklonjeni asfalt se usitnjava, utovaruje u kamion i odvozi na zbrinjavanje, prema Pravilniku o vrstama otpada. </t>
  </si>
  <si>
    <t>Pregled nasipa kamenog i šljunčanog materijala ispod asfaltne površine igrališta. Strojno uklanjanje nestabilnog dijela nasipa debljine cca 20 cm. Odlaganje na gradilišnu deponiju</t>
  </si>
  <si>
    <t>Utovar i odvoz građevinske šute i naknada za zbrinjavanje građevinskog otpada</t>
  </si>
  <si>
    <t>ZEMLJANI RADOVI</t>
  </si>
  <si>
    <t>Kontrola temeljnog tla i dodatni nadzor ovlaštenih geomehaničara prilikom iskopa. Predviđa se 5 obilazaka</t>
  </si>
  <si>
    <t>Strojni iskop humusa sa šljunčanim materijalom, debljine 30 cm.</t>
  </si>
  <si>
    <t>Strojni široki iskop za potporne zidove u materijalu C kategorije prema GN 200 iskop u kategoriji 3 /II do 4/III</t>
  </si>
  <si>
    <t>Razni iskopi za temelje i kanale u materijalu C kategorije prema GN 200 iskop u kategoriji 3/II do 4/III s pravilnom obradom profila iskopa. Dubina iskopa do 1 m.</t>
  </si>
  <si>
    <t>Izrada pokosa na dijelu uz cestu i prema školi. Rad uključuje formiranje pravilnog pokosa 3/1 od postojeće zemlje</t>
  </si>
  <si>
    <t>Dobava i razastiranja sloja tampon šljunka, debljine 10 cm ispod temeljnih traka, stopa i stepenica</t>
  </si>
  <si>
    <t>UKUPNO PRIPREMNI RADOVI</t>
  </si>
  <si>
    <t>Nasipavanje uz potporne i rubne arm. bet. zidove sa zemljom dobivenom iz iskopa do visine prema projektu</t>
  </si>
  <si>
    <t>Uređenje temeljnog nasipa na igralištu nakon iskopa planiranjem te dobavom i ugradnjom geotekstila</t>
  </si>
  <si>
    <t>3.C.01</t>
  </si>
  <si>
    <t>3.C.02</t>
  </si>
  <si>
    <t>3.C.03</t>
  </si>
  <si>
    <t>3.C.04</t>
  </si>
  <si>
    <t>3.C.05</t>
  </si>
  <si>
    <t>3.C.06</t>
  </si>
  <si>
    <t>3.C.07</t>
  </si>
  <si>
    <t>3.C.08</t>
  </si>
  <si>
    <t xml:space="preserve">Izrada nasipa od mehanički sabijenog zrnastog kamenog materijala, debljina sloja do 20 cm. </t>
  </si>
  <si>
    <t>3.C.09</t>
  </si>
  <si>
    <t>3.C.10</t>
  </si>
  <si>
    <t>Izrada plitke drenaže od perforiranih dvoslojnih drenažnih PVC cijevi profila DN 160 mm, iskop rova, dobava cijevi</t>
  </si>
  <si>
    <t>3.C.11</t>
  </si>
  <si>
    <t>Utovar odvoz i zbrinjavanje viška zemlje na trajnu deponiju udaljenosti do 25 km</t>
  </si>
  <si>
    <t>m1</t>
  </si>
  <si>
    <t>Osnovna škola Klinča Sela</t>
  </si>
  <si>
    <t>Troškovnik građevinskih i obrtničkih radova uređenja igrališta i okoliša</t>
  </si>
  <si>
    <t>UKUPNO RUŠENJE I DEMONTAŽA</t>
  </si>
  <si>
    <t>UKUPNO ZEMLJANI RADOVI</t>
  </si>
  <si>
    <t>Strojno rušenje armirano betonskih potpornih zidova zajedno sa stopama i zidova ograde</t>
  </si>
  <si>
    <t>BETONSKI I ARMIRANOBETONSKI RADOVI</t>
  </si>
  <si>
    <t xml:space="preserve">Izvedba betonske podloge za nadstrešnice, u zemlji.  Mali presjek, beton tlačne čvrstoće C 25/30 (MB-30). Debljina podloge 20 cm. </t>
  </si>
  <si>
    <t>Dobava mrežaste armature Q 166 i betona, ugradba i zaštita.</t>
  </si>
  <si>
    <t>kg</t>
  </si>
  <si>
    <t>4.D.02</t>
  </si>
  <si>
    <t>4D.01</t>
  </si>
  <si>
    <t>4D.03</t>
  </si>
  <si>
    <t xml:space="preserve">Izrada podložnog betona ispod trakastih temelja, stopa i vanjskih AB površina, prije polaganja </t>
  </si>
  <si>
    <t>4D.04</t>
  </si>
  <si>
    <t>4D.05</t>
  </si>
  <si>
    <t>Izrada arm. bet. Potpornih zidova u zemlji, i djelomično u oplati - beton</t>
  </si>
  <si>
    <t xml:space="preserve">                                                                                             oplata</t>
  </si>
  <si>
    <t>Izrada arm. bet. trakastih temelja i razdjelnih zidova u zemlji. Dobava betona, ugradba i zaštita. - beton</t>
  </si>
  <si>
    <t xml:space="preserve">                                                                                                                                            oplata</t>
  </si>
  <si>
    <t>4D.06</t>
  </si>
  <si>
    <t>Izrada arm. bet. vanjskih ravnih stepenica, dobava betona, ugradba i zaštita. - beton</t>
  </si>
  <si>
    <t xml:space="preserve">                                                                                                                oplata</t>
  </si>
  <si>
    <t>4D.07</t>
  </si>
  <si>
    <t>Izrada zamjenskog betonskog materijala u slučaju promjene temeljnog tla. Dobava betona i ugradba.</t>
  </si>
  <si>
    <t>Armatura</t>
  </si>
  <si>
    <t>4D.08</t>
  </si>
  <si>
    <t xml:space="preserve">Izrada armirano betonskih zidova, dna i ploče šahta za drenažnu pumpu. Dobava betona, ugradba i zaštita. </t>
  </si>
  <si>
    <t>Oplata</t>
  </si>
  <si>
    <t>Poklopac</t>
  </si>
  <si>
    <t>4D.09</t>
  </si>
  <si>
    <t>Izrada projekta arm.bet. konstrukcije - armaturnih nacrta prema statičkom proračunu</t>
  </si>
  <si>
    <t>4D.10</t>
  </si>
  <si>
    <t>Izvedba i ugradnja armature za armirano betonske konstrukcije - RA B 500 B</t>
  </si>
  <si>
    <t xml:space="preserve">                                                                                             MAG B 500 B</t>
  </si>
  <si>
    <t>UKUPNO BETONSKI I ARMIRANOBETONSKI RADOVI</t>
  </si>
  <si>
    <t>KONSTRUKCIJA IGRALIŠTA</t>
  </si>
  <si>
    <t>Izrada nosivog sloja površina sportskog igrališta od mehanički sabijenog zrnatog materijala. Debljina nosivog sloja iznosi 20 cm.</t>
  </si>
  <si>
    <t>5E.01</t>
  </si>
  <si>
    <t>Izrada nosivog sloja sportskog igrališta od bitumeniziranog kamenog materijala BNS-22 debljine 5 cm.</t>
  </si>
  <si>
    <t>Izrada habajućeg sloja sportskog igrališta od asfaltbetona AB - 11, debljine 4 cm.</t>
  </si>
  <si>
    <t>5E.03</t>
  </si>
  <si>
    <t>5E.02</t>
  </si>
  <si>
    <t xml:space="preserve">Dobava i ugradnja tipskih betonskih rubnjaka dimenzije 10/22 cm za rub igrališta. </t>
  </si>
  <si>
    <t>5E.04</t>
  </si>
  <si>
    <t>Dobava i ugradnja tipskih betonskih rigola dimenzije 40/50/12 cm za rub igrališta. Polažu se na pripremljenu betonsku podlogu C 10/15. - rigoli</t>
  </si>
  <si>
    <t>Spoj na cestovnu kanalizaciju</t>
  </si>
  <si>
    <t>5E.05</t>
  </si>
  <si>
    <t>5E.06</t>
  </si>
  <si>
    <t xml:space="preserve">Dobava i polaganje betonskog nearmiranog opločnika d = 8 cm. Opločnici su u formi kvadrata u dvije različite veličine i boje. Polažu se na sloj kamenog agregata granulacije 2-4 mm debljine 3-5 cm. </t>
  </si>
  <si>
    <t>Uzdužne oznake na sportskom igralištu. To su pune crte široke 8 cm, bijele boje</t>
  </si>
  <si>
    <t>UKUPNO KONSTRUKCIJA IGRALIŠTA</t>
  </si>
  <si>
    <t>ZAŠTITNA OGRADA IGRALIŠTA</t>
  </si>
  <si>
    <t>Izrada i ugradba ograde vanjskih stepenica. Izrađena je od dva uzdužna čelična profila Ø 50 mm na visini 60 i 90 cm. Vertikalni nosači 30/30 mm na svakih 2 m. Visina ograde je 90 + 10 cm. Pričvrščenje sa vanjske strane armirano bet. zida stepenica. Završna obrada plastificiranje.</t>
  </si>
  <si>
    <t>6F.01</t>
  </si>
  <si>
    <t>6F.02</t>
  </si>
  <si>
    <t>Izrada zaštitne ograde igrališta. Visina ograde 1,2 m. Izrađena je od metalne mreže, rastegnuta između čeličnih stupova Ø 5 cm na razmaku od 3 m. Stupovi se ugrađuju u arm.bet. Temeljne stope 40/40 cm dubine 60 cm.</t>
  </si>
  <si>
    <t>Dvokrilna vrata s bravom i ključem dimenzija 180/120</t>
  </si>
  <si>
    <t>Jednokrilna kolna posmična vrata s bravom i ključem dim 320 / 160cm</t>
  </si>
  <si>
    <t>6F.03</t>
  </si>
  <si>
    <t>Izrada ograde igrališta. Visina ograde 1,6 i 3,6 m. Izrađena je od metalne mreže, rastegnuta između čeličnih stupova Ø 6 cm na razmaku od 3 m. Sve u kompletu, dobava i montaža</t>
  </si>
  <si>
    <t>Ograda visine 1,6 m</t>
  </si>
  <si>
    <t>Ograda visine 3,6 m</t>
  </si>
  <si>
    <t>UKUPNO ZAŠTITNA OGRADA IGRALIŠTA</t>
  </si>
  <si>
    <t>DOBAVA I UGRADNJA OPREME</t>
  </si>
  <si>
    <t>7G.01</t>
  </si>
  <si>
    <t>Nabava, prijevoz i montaža zaštićene nadstrešnice za rezervne igrače, model standardni, cca 500 cm, PVC sjedalice za 9 igrača. Montira se na AB podlogu koja nije u stavci.</t>
  </si>
  <si>
    <t>7G.02</t>
  </si>
  <si>
    <t>Nabava, prijevoz i montaža zaštićene nadstrešnice za delegate, model standardni, cca 300 cm, PVC sjedalice za 4 osobe. Montira se na AB podlogu koja nije u stavci.</t>
  </si>
  <si>
    <t>7G.03</t>
  </si>
  <si>
    <t>Dobava i ugradba na tribinu sjedalica za gledatelje. Sjedalica je od polipropilena ili poliamida, veličine min 40/35 cm, bez naslona. Montira se na armirano betonsku podlogu tribina.</t>
  </si>
  <si>
    <t>7G.04</t>
  </si>
  <si>
    <t>Dobava i montaža rukometnog gola - natjecateljski. Rukometni gol sa sklopivom vruče cičanom konstrukcijom s glavnom mrežom, zavjesom i podnim pričvršćenjem.</t>
  </si>
  <si>
    <t>UKUPNO DOBAVA I GRADNJA OPREME</t>
  </si>
  <si>
    <t>ODVODNJA</t>
  </si>
  <si>
    <t>8H.01</t>
  </si>
  <si>
    <t>Dobava i ugradba linijske rešetke na kanalu iz polimer betona s integriranim brtvama. Presjek kanala 300 cm2. Rešetka od nehrđajućeg čelika. Element se polaže na sloj AB podloge i sloj šljunka u već iskopane rovove.</t>
  </si>
  <si>
    <t>Rešetka</t>
  </si>
  <si>
    <t>Spojni element s bočnim izvodom</t>
  </si>
  <si>
    <t>Podložni beton 10 cm</t>
  </si>
  <si>
    <t>Sloj šljunka 10 cm</t>
  </si>
  <si>
    <t>8H.02</t>
  </si>
  <si>
    <t>Dobava i ugradba PE cijevi s odgovarajućim spojnim i fazonskim komadima za izvedbu vanjakog cijevovoda za oborinsku vodu. U stavku ulaze svi potrebni komadi za međusobno spajanje, potrebne brtve i vijci, spojnice za elektrofuzijsko zavarivanje, slobodne prirubnice i ostali pribor.</t>
  </si>
  <si>
    <t>PE 160 m1</t>
  </si>
  <si>
    <t>UKUPNO ODVODNJA</t>
  </si>
  <si>
    <t>9I.01</t>
  </si>
  <si>
    <t>Dobava, montaža i spajanje čeličnog višekutnog stupa visine H = 10m, nosivosti do 70kg, stup mora imati antikorozivnu zaštitu izvana i iznutra, mora biti opremljen vratima, letvicom za ovjes stupne razdjelnice, naglavak stupa fi 60 mm</t>
  </si>
  <si>
    <t>9I.02</t>
  </si>
  <si>
    <t>Dobava, montaža i niveliranje čelične vruće pocinčane stupne konzole za montažu četiri reflektora. Konzola je predviđena za montažu na metalni stup</t>
  </si>
  <si>
    <t>9I.03</t>
  </si>
  <si>
    <t>Dobava montaža i spajanje na stup visine 10 m LED reflektora, sljedećih karakteristika:</t>
  </si>
  <si>
    <t>aluminijsko kućište, pokrov optike od stakla ili polikarbonata, snaga reflektora maksimalno 164 W, svjetlosni tok reflektora minimalno 17000 lm, simetrične optike, indeks uzvrata boje minimalno 80 , korelirana temperatura nijanse bijelog svjetla 3000K, zaštite IP66, IK08, električna klasa I, temperaturno područje rada od -40˚C do +50 ˚C</t>
  </si>
  <si>
    <t>9I.04</t>
  </si>
  <si>
    <t>Nabava, dobava,montaža i spajanje razdjelnika u rasvjetni stup za prihvat dva kabela presjeka 5 x 4 mm². U stavku uključiti jedan tropolni osigurača karakteristike C6, 10kA, 230V, 50 Hz. U stavku uključiti montažni i spojni pribor za montažu osigurača, kabela i montažu razdjelnika u stup.</t>
  </si>
  <si>
    <t>9I.05</t>
  </si>
  <si>
    <t xml:space="preserve">Nabava, dobava i montaža i spajanje kabela tipa NYY-J 3x1,5 mm² u svaki stup rasvjete po reflektoru. Prosječno treba postaviti 12 m po reflektoru. </t>
  </si>
  <si>
    <t>9I.06</t>
  </si>
  <si>
    <t>Dobava i polaganje u iskopani rov kabela NYY-J 5x10 mm2</t>
  </si>
  <si>
    <t>9I.07</t>
  </si>
  <si>
    <t>Dobava i polaganje PEHD cijevi f 50 mm</t>
  </si>
  <si>
    <t>9I.08</t>
  </si>
  <si>
    <t>Dobava materijala i izvedba temelja od betona kvalitete MB 20, dim. 90x90x100 cm te ugraditi cijevi za kabele i temeljne vijke</t>
  </si>
  <si>
    <t>9I.09</t>
  </si>
  <si>
    <t>Demontaža postojećih rasvjetnih stupova i temelja</t>
  </si>
  <si>
    <t>9I.10</t>
  </si>
  <si>
    <t>Dobava i polaganje u iskopani rov čelične pocinčane trake Fe/Zn 40x4 mm</t>
  </si>
  <si>
    <t>9I.11</t>
  </si>
  <si>
    <t>Dobava i polaganje u rov plastične upozoravajuće trake</t>
  </si>
  <si>
    <t>9I.12</t>
  </si>
  <si>
    <t>Ispitivanje instalacije, mjerenje nivoa osvjetljenosti i puštanje u rad</t>
  </si>
  <si>
    <t>UKUPNO ELEKRO INSTALACIJE I VANJSKA RASVJETA</t>
  </si>
  <si>
    <t>ELEKTRO INSTALACIJE I VANJSKA RASVJETA</t>
  </si>
  <si>
    <t>HORTIKULTURNO UREĐENJE</t>
  </si>
  <si>
    <t>Uređenje zelenih površina humusiranjem i zatravljivanje. Humusiranje se radi usloju od 30 cm, nakon humusiranja obavlja se zatravljivanje. Humusiranje se obavlja razastiranjem humusa iz iskopa. Prije ugradnje obavlja se kemijska analiza tla u ovlaštenom laboratoriju. Tlo mora sadržavati 2 - 3% organske tvari, dobre opskrbljenosti s fiziološki aktivnim fosforom i kalijem, pH 6-7. Izrada travnjaka. Plitko prekopavanje navežene plodne zemlje, ugradnja organskih hranila. Travna smjesa standardna.</t>
  </si>
  <si>
    <t>UKUPNO HORTIKULTURNO UREĐENJE</t>
  </si>
  <si>
    <t>10J.01</t>
  </si>
  <si>
    <t>I:</t>
  </si>
  <si>
    <t>II:</t>
  </si>
  <si>
    <t>III.</t>
  </si>
  <si>
    <t>IV:</t>
  </si>
  <si>
    <t>V.</t>
  </si>
  <si>
    <t>VI.</t>
  </si>
  <si>
    <t>VII.</t>
  </si>
  <si>
    <t>VIII.</t>
  </si>
  <si>
    <t>ELEKTROINSTALACIJE I VANJSKA RASVJETA</t>
  </si>
  <si>
    <t>IX.</t>
  </si>
  <si>
    <t>X.</t>
  </si>
  <si>
    <t>SVEUKUPNO BEZ PDV-a</t>
  </si>
  <si>
    <t>SVEUKUPNO S PDV-om</t>
  </si>
  <si>
    <t>Rekapitulacija - troškovnik rekonstrukcija igrališta u PŠ Repišće</t>
  </si>
  <si>
    <t>Rekonstrukcija školskog sportskog igrališta PŠ repišće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</si>
</sst>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[$kn-41A]"/>
    <numFmt numFmtId="165" formatCode="[$€]#,##0.00"/>
    <numFmt numFmtId="166" formatCode="#,##0.00\ &quot;kn&quot;"/>
    <numFmt numFmtId="167" formatCode="d\-mmm"/>
    <numFmt numFmtId="168" formatCode="_-* #,##0.00\ [$€-803]_-;\-* #,##0.00\ [$€-803]_-;_-* &quot;-&quot;??\ [$€-803]_-;_-@_-"/>
  </numFmts>
  <fonts count="2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6"/>
      <color rgb="FF000000"/>
      <name val="Calibri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FFFFFF"/>
      <name val="Arial"/>
      <family val="2"/>
      <charset val="238"/>
    </font>
    <font>
      <sz val="10"/>
      <color rgb="FFFF00FF"/>
      <name val="Arial"/>
      <family val="2"/>
      <charset val="238"/>
    </font>
    <font>
      <strike/>
      <sz val="10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b/>
      <sz val="11"/>
      <color theme="1"/>
      <name val="Lato"/>
    </font>
    <font>
      <sz val="11"/>
      <color theme="1"/>
      <name val="Lato"/>
    </font>
    <font>
      <sz val="11"/>
      <color theme="1"/>
      <name val="Arial"/>
      <family val="2"/>
      <charset val="238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6"/>
      <color theme="1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0"/>
      <color theme="0" tint="-4.9989318521683403E-2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8DB3E2"/>
        <bgColor rgb="FF8DB3E2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CFE2F3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8DB3E2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1" fillId="3" borderId="2" xfId="0" applyFont="1" applyFill="1" applyBorder="1"/>
    <xf numFmtId="164" fontId="5" fillId="3" borderId="2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7" fillId="4" borderId="2" xfId="0" applyNumberFormat="1" applyFont="1" applyFill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2" borderId="2" xfId="0" applyFont="1" applyFill="1" applyBorder="1"/>
    <xf numFmtId="164" fontId="5" fillId="2" borderId="2" xfId="0" applyNumberFormat="1" applyFont="1" applyFill="1" applyBorder="1" applyAlignment="1">
      <alignment horizontal="right" wrapText="1"/>
    </xf>
    <xf numFmtId="0" fontId="8" fillId="5" borderId="2" xfId="0" applyFont="1" applyFill="1" applyBorder="1"/>
    <xf numFmtId="165" fontId="5" fillId="5" borderId="2" xfId="0" applyNumberFormat="1" applyFont="1" applyFill="1" applyBorder="1" applyAlignment="1">
      <alignment horizontal="right" wrapText="1"/>
    </xf>
    <xf numFmtId="4" fontId="2" fillId="0" borderId="2" xfId="0" applyNumberFormat="1" applyFont="1" applyBorder="1" applyAlignment="1">
      <alignment horizontal="right" wrapText="1"/>
    </xf>
    <xf numFmtId="165" fontId="7" fillId="0" borderId="2" xfId="0" applyNumberFormat="1" applyFont="1" applyBorder="1" applyAlignment="1">
      <alignment horizontal="righ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4" fillId="6" borderId="1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8" fillId="3" borderId="2" xfId="0" applyFont="1" applyFill="1" applyBorder="1"/>
    <xf numFmtId="0" fontId="7" fillId="0" borderId="2" xfId="0" applyFont="1" applyBorder="1"/>
    <xf numFmtId="0" fontId="4" fillId="0" borderId="2" xfId="0" applyFont="1" applyBorder="1"/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/>
    <xf numFmtId="0" fontId="9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165" fontId="1" fillId="0" borderId="5" xfId="0" applyNumberFormat="1" applyFont="1" applyBorder="1" applyAlignment="1">
      <alignment horizontal="right" wrapText="1"/>
    </xf>
    <xf numFmtId="0" fontId="2" fillId="2" borderId="2" xfId="0" applyFont="1" applyFill="1" applyBorder="1"/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164" fontId="10" fillId="0" borderId="2" xfId="0" applyNumberFormat="1" applyFont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165" fontId="2" fillId="2" borderId="2" xfId="0" applyNumberFormat="1" applyFont="1" applyFill="1" applyBorder="1" applyAlignment="1">
      <alignment horizontal="right" wrapText="1"/>
    </xf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0" fontId="7" fillId="0" borderId="2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165" fontId="1" fillId="0" borderId="5" xfId="0" applyNumberFormat="1" applyFont="1" applyBorder="1" applyAlignment="1">
      <alignment horizontal="right"/>
    </xf>
    <xf numFmtId="0" fontId="2" fillId="0" borderId="13" xfId="0" applyFont="1" applyBorder="1" applyAlignment="1">
      <alignment wrapText="1"/>
    </xf>
    <xf numFmtId="0" fontId="1" fillId="0" borderId="11" xfId="0" applyFont="1" applyBorder="1" applyAlignment="1">
      <alignment horizontal="center"/>
    </xf>
    <xf numFmtId="166" fontId="1" fillId="0" borderId="11" xfId="0" applyNumberFormat="1" applyFont="1" applyBorder="1" applyAlignment="1">
      <alignment horizontal="right"/>
    </xf>
    <xf numFmtId="166" fontId="1" fillId="0" borderId="2" xfId="0" applyNumberFormat="1" applyFont="1" applyBorder="1" applyAlignment="1">
      <alignment horizontal="right"/>
    </xf>
    <xf numFmtId="167" fontId="1" fillId="0" borderId="12" xfId="0" applyNumberFormat="1" applyFont="1" applyBorder="1"/>
    <xf numFmtId="0" fontId="7" fillId="0" borderId="6" xfId="0" applyFont="1" applyBorder="1" applyAlignment="1">
      <alignment horizontal="left" wrapText="1"/>
    </xf>
    <xf numFmtId="0" fontId="1" fillId="0" borderId="7" xfId="0" applyFont="1" applyBorder="1"/>
    <xf numFmtId="165" fontId="7" fillId="0" borderId="7" xfId="0" applyNumberFormat="1" applyFont="1" applyBorder="1" applyAlignment="1">
      <alignment horizontal="right" wrapText="1"/>
    </xf>
    <xf numFmtId="165" fontId="7" fillId="0" borderId="8" xfId="0" applyNumberFormat="1" applyFont="1" applyBorder="1" applyAlignment="1">
      <alignment horizontal="right" wrapText="1"/>
    </xf>
    <xf numFmtId="0" fontId="11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15" fillId="0" borderId="2" xfId="0" applyFont="1" applyBorder="1" applyAlignment="1">
      <alignment horizontal="center" wrapText="1"/>
    </xf>
    <xf numFmtId="165" fontId="15" fillId="0" borderId="2" xfId="0" applyNumberFormat="1" applyFont="1" applyBorder="1" applyAlignment="1">
      <alignment horizontal="right" wrapText="1"/>
    </xf>
    <xf numFmtId="0" fontId="17" fillId="3" borderId="2" xfId="0" applyFont="1" applyFill="1" applyBorder="1" applyAlignment="1">
      <alignment horizontal="right"/>
    </xf>
    <xf numFmtId="0" fontId="16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wrapText="1"/>
    </xf>
    <xf numFmtId="0" fontId="4" fillId="6" borderId="6" xfId="0" applyFont="1" applyFill="1" applyBorder="1" applyAlignment="1">
      <alignment vertical="center"/>
    </xf>
    <xf numFmtId="0" fontId="8" fillId="3" borderId="2" xfId="0" applyFont="1" applyFill="1" applyBorder="1" applyAlignment="1" applyProtection="1">
      <alignment horizontal="right"/>
      <protection locked="0"/>
    </xf>
    <xf numFmtId="4" fontId="2" fillId="0" borderId="2" xfId="0" applyNumberFormat="1" applyFont="1" applyBorder="1" applyAlignment="1" applyProtection="1">
      <alignment horizontal="right" wrapText="1"/>
      <protection locked="0"/>
    </xf>
    <xf numFmtId="165" fontId="2" fillId="0" borderId="2" xfId="0" applyNumberFormat="1" applyFont="1" applyBorder="1" applyAlignment="1" applyProtection="1">
      <alignment horizontal="right" wrapText="1"/>
      <protection locked="0"/>
    </xf>
    <xf numFmtId="165" fontId="1" fillId="0" borderId="5" xfId="0" applyNumberFormat="1" applyFont="1" applyBorder="1" applyAlignment="1" applyProtection="1">
      <alignment horizontal="right" wrapText="1"/>
      <protection locked="0"/>
    </xf>
    <xf numFmtId="0" fontId="1" fillId="0" borderId="2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4" fontId="10" fillId="0" borderId="2" xfId="0" applyNumberFormat="1" applyFont="1" applyBorder="1" applyAlignment="1" applyProtection="1">
      <alignment horizontal="right" wrapText="1"/>
      <protection locked="0"/>
    </xf>
    <xf numFmtId="165" fontId="2" fillId="2" borderId="2" xfId="0" applyNumberFormat="1" applyFont="1" applyFill="1" applyBorder="1" applyAlignment="1" applyProtection="1">
      <alignment horizontal="right" wrapText="1"/>
      <protection locked="0"/>
    </xf>
    <xf numFmtId="165" fontId="15" fillId="0" borderId="2" xfId="0" applyNumberFormat="1" applyFont="1" applyBorder="1" applyAlignment="1" applyProtection="1">
      <alignment horizontal="right" wrapText="1"/>
      <protection locked="0"/>
    </xf>
    <xf numFmtId="0" fontId="8" fillId="0" borderId="2" xfId="0" applyFont="1" applyBorder="1" applyAlignment="1" applyProtection="1">
      <alignment horizontal="right"/>
      <protection locked="0"/>
    </xf>
    <xf numFmtId="165" fontId="1" fillId="0" borderId="5" xfId="0" applyNumberFormat="1" applyFont="1" applyBorder="1" applyAlignment="1" applyProtection="1">
      <alignment horizontal="right"/>
      <protection locked="0"/>
    </xf>
    <xf numFmtId="166" fontId="1" fillId="0" borderId="11" xfId="0" applyNumberFormat="1" applyFont="1" applyBorder="1" applyAlignment="1" applyProtection="1">
      <alignment horizontal="right"/>
      <protection locked="0"/>
    </xf>
    <xf numFmtId="0" fontId="1" fillId="0" borderId="7" xfId="0" applyFont="1" applyBorder="1" applyAlignment="1" applyProtection="1">
      <alignment horizontal="right"/>
      <protection locked="0"/>
    </xf>
    <xf numFmtId="0" fontId="18" fillId="0" borderId="2" xfId="0" applyFont="1" applyBorder="1"/>
    <xf numFmtId="0" fontId="20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wrapText="1"/>
    </xf>
    <xf numFmtId="0" fontId="0" fillId="0" borderId="2" xfId="0" applyBorder="1"/>
    <xf numFmtId="165" fontId="2" fillId="0" borderId="5" xfId="0" applyNumberFormat="1" applyFont="1" applyBorder="1" applyAlignment="1">
      <alignment horizontal="right" wrapText="1"/>
    </xf>
    <xf numFmtId="0" fontId="20" fillId="0" borderId="2" xfId="0" applyFont="1" applyBorder="1"/>
    <xf numFmtId="0" fontId="20" fillId="2" borderId="2" xfId="0" applyFont="1" applyFill="1" applyBorder="1"/>
    <xf numFmtId="168" fontId="2" fillId="0" borderId="2" xfId="0" applyNumberFormat="1" applyFont="1" applyBorder="1" applyAlignment="1" applyProtection="1">
      <alignment horizontal="right" wrapText="1"/>
      <protection locked="0"/>
    </xf>
    <xf numFmtId="0" fontId="20" fillId="0" borderId="2" xfId="0" applyFont="1" applyBorder="1" applyAlignment="1">
      <alignment wrapText="1"/>
    </xf>
    <xf numFmtId="0" fontId="21" fillId="0" borderId="2" xfId="0" applyFont="1" applyBorder="1"/>
    <xf numFmtId="0" fontId="19" fillId="0" borderId="3" xfId="0" applyFont="1" applyBorder="1"/>
    <xf numFmtId="0" fontId="20" fillId="0" borderId="3" xfId="0" applyFont="1" applyBorder="1" applyAlignment="1">
      <alignment vertical="center" wrapText="1"/>
    </xf>
    <xf numFmtId="0" fontId="2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0" fillId="2" borderId="3" xfId="0" applyFont="1" applyFill="1" applyBorder="1"/>
    <xf numFmtId="0" fontId="1" fillId="7" borderId="2" xfId="0" applyFont="1" applyFill="1" applyBorder="1"/>
    <xf numFmtId="0" fontId="19" fillId="7" borderId="3" xfId="0" applyFont="1" applyFill="1" applyBorder="1"/>
    <xf numFmtId="0" fontId="2" fillId="7" borderId="2" xfId="0" applyFont="1" applyFill="1" applyBorder="1" applyAlignment="1">
      <alignment horizontal="center" wrapText="1"/>
    </xf>
    <xf numFmtId="165" fontId="2" fillId="7" borderId="2" xfId="0" applyNumberFormat="1" applyFont="1" applyFill="1" applyBorder="1" applyAlignment="1" applyProtection="1">
      <alignment horizontal="right" wrapText="1"/>
      <protection locked="0"/>
    </xf>
    <xf numFmtId="0" fontId="0" fillId="7" borderId="2" xfId="0" applyFill="1" applyBorder="1"/>
    <xf numFmtId="165" fontId="2" fillId="7" borderId="2" xfId="0" applyNumberFormat="1" applyFont="1" applyFill="1" applyBorder="1" applyAlignment="1">
      <alignment horizontal="right" wrapText="1"/>
    </xf>
    <xf numFmtId="0" fontId="7" fillId="8" borderId="2" xfId="0" applyFont="1" applyFill="1" applyBorder="1"/>
    <xf numFmtId="0" fontId="4" fillId="8" borderId="2" xfId="0" applyFont="1" applyFill="1" applyBorder="1"/>
    <xf numFmtId="0" fontId="2" fillId="8" borderId="2" xfId="0" applyFont="1" applyFill="1" applyBorder="1" applyAlignment="1">
      <alignment horizontal="center" wrapText="1"/>
    </xf>
    <xf numFmtId="4" fontId="2" fillId="8" borderId="2" xfId="0" applyNumberFormat="1" applyFont="1" applyFill="1" applyBorder="1" applyAlignment="1" applyProtection="1">
      <alignment horizontal="right" wrapText="1"/>
      <protection locked="0"/>
    </xf>
    <xf numFmtId="164" fontId="2" fillId="8" borderId="2" xfId="0" applyNumberFormat="1" applyFont="1" applyFill="1" applyBorder="1" applyAlignment="1">
      <alignment horizontal="right" wrapText="1"/>
    </xf>
    <xf numFmtId="0" fontId="18" fillId="8" borderId="2" xfId="0" applyFont="1" applyFill="1" applyBorder="1"/>
    <xf numFmtId="0" fontId="19" fillId="8" borderId="3" xfId="0" applyFont="1" applyFill="1" applyBorder="1"/>
    <xf numFmtId="0" fontId="20" fillId="7" borderId="2" xfId="0" applyFont="1" applyFill="1" applyBorder="1"/>
    <xf numFmtId="0" fontId="21" fillId="7" borderId="2" xfId="0" applyFont="1" applyFill="1" applyBorder="1"/>
    <xf numFmtId="0" fontId="20" fillId="7" borderId="2" xfId="0" applyFont="1" applyFill="1" applyBorder="1" applyAlignment="1">
      <alignment horizontal="center" wrapText="1"/>
    </xf>
    <xf numFmtId="0" fontId="20" fillId="8" borderId="2" xfId="0" applyFont="1" applyFill="1" applyBorder="1"/>
    <xf numFmtId="0" fontId="21" fillId="8" borderId="2" xfId="0" applyFont="1" applyFill="1" applyBorder="1"/>
    <xf numFmtId="0" fontId="20" fillId="8" borderId="2" xfId="0" applyFont="1" applyFill="1" applyBorder="1" applyAlignment="1">
      <alignment horizontal="center" wrapText="1"/>
    </xf>
    <xf numFmtId="165" fontId="2" fillId="8" borderId="2" xfId="0" applyNumberFormat="1" applyFont="1" applyFill="1" applyBorder="1" applyAlignment="1" applyProtection="1">
      <alignment horizontal="right" wrapText="1"/>
      <protection locked="0"/>
    </xf>
    <xf numFmtId="165" fontId="2" fillId="8" borderId="2" xfId="0" applyNumberFormat="1" applyFont="1" applyFill="1" applyBorder="1" applyAlignment="1">
      <alignment horizontal="right" wrapText="1"/>
    </xf>
    <xf numFmtId="0" fontId="2" fillId="7" borderId="2" xfId="0" applyFont="1" applyFill="1" applyBorder="1"/>
    <xf numFmtId="4" fontId="2" fillId="7" borderId="2" xfId="0" applyNumberFormat="1" applyFont="1" applyFill="1" applyBorder="1" applyAlignment="1" applyProtection="1">
      <alignment horizontal="right" wrapText="1"/>
      <protection locked="0"/>
    </xf>
    <xf numFmtId="164" fontId="2" fillId="7" borderId="2" xfId="0" applyNumberFormat="1" applyFont="1" applyFill="1" applyBorder="1" applyAlignment="1">
      <alignment horizontal="right" wrapText="1"/>
    </xf>
    <xf numFmtId="0" fontId="20" fillId="0" borderId="3" xfId="0" applyFont="1" applyBorder="1"/>
    <xf numFmtId="0" fontId="20" fillId="2" borderId="2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wrapText="1"/>
    </xf>
    <xf numFmtId="0" fontId="2" fillId="8" borderId="2" xfId="0" applyFont="1" applyFill="1" applyBorder="1"/>
    <xf numFmtId="0" fontId="1" fillId="9" borderId="2" xfId="0" applyFont="1" applyFill="1" applyBorder="1"/>
    <xf numFmtId="0" fontId="21" fillId="9" borderId="2" xfId="0" applyFont="1" applyFill="1" applyBorder="1" applyAlignment="1">
      <alignment horizontal="left" wrapText="1"/>
    </xf>
    <xf numFmtId="4" fontId="1" fillId="9" borderId="2" xfId="0" applyNumberFormat="1" applyFont="1" applyFill="1" applyBorder="1" applyAlignment="1" applyProtection="1">
      <alignment horizontal="right"/>
      <protection locked="0"/>
    </xf>
    <xf numFmtId="165" fontId="7" fillId="9" borderId="2" xfId="0" applyNumberFormat="1" applyFont="1" applyFill="1" applyBorder="1" applyAlignment="1">
      <alignment horizontal="right" wrapText="1"/>
    </xf>
    <xf numFmtId="0" fontId="21" fillId="7" borderId="2" xfId="0" applyFont="1" applyFill="1" applyBorder="1" applyAlignment="1">
      <alignment wrapText="1"/>
    </xf>
    <xf numFmtId="0" fontId="20" fillId="7" borderId="2" xfId="0" applyFont="1" applyFill="1" applyBorder="1" applyAlignment="1">
      <alignment wrapText="1"/>
    </xf>
    <xf numFmtId="0" fontId="18" fillId="0" borderId="5" xfId="0" applyFont="1" applyBorder="1" applyAlignment="1">
      <alignment horizontal="center"/>
    </xf>
    <xf numFmtId="0" fontId="21" fillId="7" borderId="13" xfId="0" applyFont="1" applyFill="1" applyBorder="1" applyAlignment="1">
      <alignment wrapText="1"/>
    </xf>
    <xf numFmtId="0" fontId="1" fillId="7" borderId="11" xfId="0" applyFont="1" applyFill="1" applyBorder="1" applyAlignment="1">
      <alignment horizontal="center"/>
    </xf>
    <xf numFmtId="166" fontId="1" fillId="7" borderId="11" xfId="0" applyNumberFormat="1" applyFont="1" applyFill="1" applyBorder="1" applyAlignment="1" applyProtection="1">
      <alignment horizontal="right"/>
      <protection locked="0"/>
    </xf>
    <xf numFmtId="166" fontId="1" fillId="7" borderId="2" xfId="0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center"/>
    </xf>
    <xf numFmtId="165" fontId="1" fillId="7" borderId="5" xfId="0" applyNumberFormat="1" applyFont="1" applyFill="1" applyBorder="1" applyAlignment="1" applyProtection="1">
      <alignment horizontal="right"/>
      <protection locked="0"/>
    </xf>
    <xf numFmtId="165" fontId="1" fillId="7" borderId="5" xfId="0" applyNumberFormat="1" applyFont="1" applyFill="1" applyBorder="1" applyAlignment="1">
      <alignment horizontal="right"/>
    </xf>
    <xf numFmtId="0" fontId="21" fillId="8" borderId="6" xfId="0" applyFont="1" applyFill="1" applyBorder="1" applyAlignment="1">
      <alignment vertical="center" wrapText="1"/>
    </xf>
    <xf numFmtId="0" fontId="19" fillId="8" borderId="2" xfId="0" applyFont="1" applyFill="1" applyBorder="1"/>
    <xf numFmtId="0" fontId="1" fillId="8" borderId="2" xfId="0" applyFont="1" applyFill="1" applyBorder="1"/>
    <xf numFmtId="0" fontId="21" fillId="8" borderId="2" xfId="0" applyFont="1" applyFill="1" applyBorder="1" applyAlignment="1">
      <alignment wrapText="1"/>
    </xf>
    <xf numFmtId="0" fontId="21" fillId="8" borderId="13" xfId="0" applyFont="1" applyFill="1" applyBorder="1" applyAlignment="1">
      <alignment wrapText="1"/>
    </xf>
    <xf numFmtId="0" fontId="2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 applyProtection="1">
      <alignment vertical="center" wrapText="1"/>
      <protection locked="0"/>
    </xf>
    <xf numFmtId="166" fontId="1" fillId="8" borderId="2" xfId="0" applyNumberFormat="1" applyFont="1" applyFill="1" applyBorder="1" applyAlignment="1">
      <alignment horizontal="right"/>
    </xf>
    <xf numFmtId="4" fontId="20" fillId="8" borderId="2" xfId="0" applyNumberFormat="1" applyFont="1" applyFill="1" applyBorder="1" applyAlignment="1" applyProtection="1">
      <alignment horizontal="right" wrapText="1"/>
      <protection locked="0"/>
    </xf>
    <xf numFmtId="164" fontId="20" fillId="8" borderId="2" xfId="0" applyNumberFormat="1" applyFont="1" applyFill="1" applyBorder="1" applyAlignment="1">
      <alignment horizontal="right" wrapText="1"/>
    </xf>
    <xf numFmtId="0" fontId="17" fillId="0" borderId="2" xfId="0" applyFont="1" applyBorder="1" applyAlignment="1">
      <alignment horizontal="right"/>
    </xf>
    <xf numFmtId="0" fontId="1" fillId="11" borderId="2" xfId="0" applyFont="1" applyFill="1" applyBorder="1"/>
    <xf numFmtId="165" fontId="7" fillId="11" borderId="2" xfId="0" applyNumberFormat="1" applyFont="1" applyFill="1" applyBorder="1" applyAlignment="1">
      <alignment horizontal="right" wrapText="1"/>
    </xf>
    <xf numFmtId="0" fontId="2" fillId="10" borderId="2" xfId="0" applyFont="1" applyFill="1" applyBorder="1" applyAlignment="1">
      <alignment horizontal="right" wrapText="1"/>
    </xf>
    <xf numFmtId="0" fontId="18" fillId="3" borderId="2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20" fillId="12" borderId="2" xfId="0" applyFont="1" applyFill="1" applyBorder="1" applyAlignment="1">
      <alignment horizontal="center" wrapText="1"/>
    </xf>
    <xf numFmtId="165" fontId="24" fillId="13" borderId="2" xfId="0" applyNumberFormat="1" applyFont="1" applyFill="1" applyBorder="1" applyAlignment="1">
      <alignment horizontal="right" wrapText="1"/>
    </xf>
    <xf numFmtId="0" fontId="2" fillId="0" borderId="3" xfId="0" applyFont="1" applyBorder="1"/>
    <xf numFmtId="0" fontId="2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7" borderId="3" xfId="0" applyFont="1" applyFill="1" applyBorder="1"/>
    <xf numFmtId="0" fontId="2" fillId="7" borderId="4" xfId="0" applyFont="1" applyFill="1" applyBorder="1"/>
    <xf numFmtId="0" fontId="1" fillId="7" borderId="4" xfId="0" applyFont="1" applyFill="1" applyBorder="1" applyAlignment="1">
      <alignment horizontal="right"/>
    </xf>
    <xf numFmtId="0" fontId="2" fillId="7" borderId="5" xfId="0" applyFont="1" applyFill="1" applyBorder="1" applyAlignment="1">
      <alignment horizontal="right"/>
    </xf>
    <xf numFmtId="165" fontId="21" fillId="4" borderId="2" xfId="0" applyNumberFormat="1" applyFont="1" applyFill="1" applyBorder="1" applyAlignment="1">
      <alignment horizontal="right" wrapText="1"/>
    </xf>
    <xf numFmtId="165" fontId="2" fillId="7" borderId="2" xfId="0" applyNumberFormat="1" applyFont="1" applyFill="1" applyBorder="1" applyAlignment="1">
      <alignment horizontal="right"/>
    </xf>
    <xf numFmtId="0" fontId="22" fillId="0" borderId="0" xfId="0" applyFont="1"/>
    <xf numFmtId="0" fontId="0" fillId="0" borderId="0" xfId="0"/>
    <xf numFmtId="49" fontId="5" fillId="5" borderId="6" xfId="0" applyNumberFormat="1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23" fillId="3" borderId="3" xfId="0" applyFont="1" applyFill="1" applyBorder="1" applyAlignment="1">
      <alignment horizontal="left" wrapText="1"/>
    </xf>
    <xf numFmtId="0" fontId="6" fillId="0" borderId="4" xfId="0" applyFont="1" applyBorder="1"/>
    <xf numFmtId="0" fontId="6" fillId="0" borderId="5" xfId="0" applyFont="1" applyBorder="1"/>
    <xf numFmtId="0" fontId="21" fillId="11" borderId="3" xfId="0" applyFont="1" applyFill="1" applyBorder="1" applyAlignment="1">
      <alignment horizontal="left" wrapText="1"/>
    </xf>
    <xf numFmtId="0" fontId="6" fillId="7" borderId="4" xfId="0" applyFont="1" applyFill="1" applyBorder="1"/>
    <xf numFmtId="0" fontId="6" fillId="7" borderId="5" xfId="0" applyFont="1" applyFill="1" applyBorder="1"/>
    <xf numFmtId="0" fontId="7" fillId="2" borderId="3" xfId="0" applyFont="1" applyFill="1" applyBorder="1" applyAlignment="1">
      <alignment horizontal="left" wrapText="1"/>
    </xf>
    <xf numFmtId="0" fontId="21" fillId="10" borderId="3" xfId="0" applyFont="1" applyFill="1" applyBorder="1" applyAlignment="1">
      <alignment horizontal="left" wrapText="1"/>
    </xf>
    <xf numFmtId="0" fontId="21" fillId="12" borderId="3" xfId="0" applyFont="1" applyFill="1" applyBorder="1" applyAlignment="1">
      <alignment horizontal="left" wrapText="1"/>
    </xf>
    <xf numFmtId="0" fontId="6" fillId="13" borderId="4" xfId="0" applyFont="1" applyFill="1" applyBorder="1"/>
    <xf numFmtId="0" fontId="6" fillId="13" borderId="5" xfId="0" applyFont="1" applyFill="1" applyBorder="1"/>
    <xf numFmtId="0" fontId="21" fillId="4" borderId="3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23" fillId="5" borderId="3" xfId="0" applyFont="1" applyFill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10" borderId="3" xfId="0" applyFont="1" applyFill="1" applyBorder="1" applyAlignment="1">
      <alignment horizontal="left" wrapText="1"/>
    </xf>
    <xf numFmtId="49" fontId="13" fillId="2" borderId="3" xfId="0" applyNumberFormat="1" applyFont="1" applyFill="1" applyBorder="1" applyAlignment="1">
      <alignment wrapText="1"/>
    </xf>
    <xf numFmtId="49" fontId="12" fillId="2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wrapText="1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8" sqref="D8"/>
    </sheetView>
  </sheetViews>
  <sheetFormatPr defaultColWidth="12.6640625" defaultRowHeight="15" customHeight="1" x14ac:dyDescent="0.25"/>
  <cols>
    <col min="1" max="1" width="14.44140625" customWidth="1"/>
    <col min="2" max="2" width="42" customWidth="1"/>
    <col min="3" max="6" width="14.44140625" customWidth="1"/>
  </cols>
  <sheetData>
    <row r="1" spans="1:2" ht="15.75" customHeight="1" x14ac:dyDescent="0.25">
      <c r="A1" s="1"/>
      <c r="B1" s="2"/>
    </row>
    <row r="2" spans="1:2" ht="15.75" customHeight="1" x14ac:dyDescent="0.25">
      <c r="B2" s="2"/>
    </row>
    <row r="3" spans="1:2" ht="15.75" customHeight="1" x14ac:dyDescent="0.25">
      <c r="B3" s="2"/>
    </row>
    <row r="4" spans="1:2" ht="15.75" customHeight="1" x14ac:dyDescent="0.25">
      <c r="B4" s="2"/>
    </row>
    <row r="5" spans="1:2" ht="15.75" customHeight="1" x14ac:dyDescent="0.4">
      <c r="A5" s="166" t="s">
        <v>61</v>
      </c>
      <c r="B5" s="167"/>
    </row>
    <row r="6" spans="1:2" ht="15.75" customHeight="1" x14ac:dyDescent="0.25">
      <c r="A6" s="1"/>
      <c r="B6" s="2"/>
    </row>
    <row r="7" spans="1:2" ht="36" customHeight="1" x14ac:dyDescent="0.4">
      <c r="A7" s="3" t="s">
        <v>190</v>
      </c>
      <c r="B7" s="2"/>
    </row>
    <row r="8" spans="1:2" ht="15.75" customHeight="1" x14ac:dyDescent="0.25">
      <c r="B8" s="2"/>
    </row>
    <row r="9" spans="1:2" ht="15.75" customHeight="1" x14ac:dyDescent="0.25">
      <c r="A9" s="1"/>
      <c r="B9" s="2"/>
    </row>
    <row r="10" spans="1:2" ht="15.75" customHeight="1" x14ac:dyDescent="0.25">
      <c r="A10" s="1"/>
      <c r="B10" s="2"/>
    </row>
    <row r="11" spans="1:2" ht="15.75" customHeight="1" x14ac:dyDescent="0.25">
      <c r="B11" s="2"/>
    </row>
    <row r="12" spans="1:2" ht="15.75" customHeight="1" x14ac:dyDescent="0.25">
      <c r="B12" s="2"/>
    </row>
    <row r="13" spans="1:2" ht="15.75" customHeight="1" x14ac:dyDescent="0.25">
      <c r="B13" s="2"/>
    </row>
    <row r="14" spans="1:2" ht="15.75" customHeight="1" x14ac:dyDescent="0.25">
      <c r="A14" s="4" t="s">
        <v>62</v>
      </c>
      <c r="B14" s="2"/>
    </row>
    <row r="15" spans="1:2" ht="15.75" customHeight="1" x14ac:dyDescent="0.25"/>
    <row r="16" spans="1:2" ht="15.75" customHeight="1" x14ac:dyDescent="0.25"/>
    <row r="17" spans="2:2" ht="15.75" customHeight="1" x14ac:dyDescent="0.25"/>
    <row r="18" spans="2:2" ht="15.75" customHeight="1" x14ac:dyDescent="0.25"/>
    <row r="19" spans="2:2" ht="15.75" customHeight="1" x14ac:dyDescent="0.25"/>
    <row r="20" spans="2:2" ht="15.75" customHeight="1" x14ac:dyDescent="0.25"/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4" ht="15.75" customHeight="1" x14ac:dyDescent="0.25"/>
    <row r="34" spans="2:4" ht="15.75" customHeight="1" x14ac:dyDescent="0.25"/>
    <row r="35" spans="2:4" ht="15.75" customHeight="1" x14ac:dyDescent="0.25"/>
    <row r="36" spans="2:4" ht="15.75" customHeight="1" x14ac:dyDescent="0.25"/>
    <row r="37" spans="2:4" ht="12" customHeight="1" x14ac:dyDescent="0.25"/>
    <row r="38" spans="2:4" ht="15.75" customHeight="1" x14ac:dyDescent="0.25">
      <c r="B38" s="2"/>
      <c r="D38" s="5"/>
    </row>
    <row r="39" spans="2:4" ht="15.75" customHeight="1" x14ac:dyDescent="0.25">
      <c r="B39" s="2"/>
    </row>
    <row r="40" spans="2:4" ht="15.75" customHeight="1" x14ac:dyDescent="0.25">
      <c r="B40" s="2"/>
    </row>
    <row r="41" spans="2:4" ht="15.75" customHeight="1" x14ac:dyDescent="0.25">
      <c r="B41" s="2"/>
    </row>
    <row r="42" spans="2:4" ht="15.75" customHeight="1" x14ac:dyDescent="0.25">
      <c r="B42" s="2"/>
    </row>
    <row r="43" spans="2:4" ht="15.75" customHeight="1" x14ac:dyDescent="0.25">
      <c r="B43" s="2"/>
    </row>
    <row r="44" spans="2:4" ht="15.75" customHeight="1" x14ac:dyDescent="0.25">
      <c r="B44" s="2"/>
    </row>
    <row r="45" spans="2:4" ht="15.75" customHeight="1" x14ac:dyDescent="0.25">
      <c r="B45" s="2"/>
    </row>
    <row r="46" spans="2:4" ht="15.75" customHeight="1" x14ac:dyDescent="0.25">
      <c r="B46" s="2"/>
    </row>
    <row r="47" spans="2:4" ht="15.75" customHeight="1" x14ac:dyDescent="0.25">
      <c r="B47" s="2"/>
    </row>
    <row r="48" spans="2:4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/>
    <row r="239" spans="2:2" ht="15.75" customHeight="1" x14ac:dyDescent="0.25"/>
    <row r="240" spans="2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5:B5"/>
  </mergeCells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G54"/>
  <sheetViews>
    <sheetView topLeftCell="A13" workbookViewId="0">
      <selection activeCell="B25" sqref="B25:F25"/>
    </sheetView>
  </sheetViews>
  <sheetFormatPr defaultColWidth="12.6640625" defaultRowHeight="15" customHeight="1" x14ac:dyDescent="0.25"/>
  <cols>
    <col min="1" max="1" width="10.88671875" customWidth="1"/>
    <col min="2" max="2" width="63.109375" customWidth="1"/>
    <col min="3" max="3" width="9" customWidth="1"/>
    <col min="4" max="4" width="6.33203125" customWidth="1"/>
  </cols>
  <sheetData>
    <row r="3" spans="1:7" ht="15" customHeight="1" x14ac:dyDescent="0.4">
      <c r="B3" s="3" t="s">
        <v>189</v>
      </c>
    </row>
    <row r="6" spans="1:7" ht="15" customHeight="1" x14ac:dyDescent="0.25">
      <c r="A6" s="168" t="s">
        <v>13</v>
      </c>
      <c r="B6" s="169"/>
      <c r="C6" s="169"/>
      <c r="D6" s="169"/>
      <c r="E6" s="169"/>
      <c r="F6" s="169"/>
      <c r="G6" s="170"/>
    </row>
    <row r="7" spans="1:7" ht="15" customHeight="1" x14ac:dyDescent="0.25">
      <c r="A7" s="171"/>
      <c r="B7" s="172"/>
      <c r="C7" s="172"/>
      <c r="D7" s="172"/>
      <c r="E7" s="172"/>
      <c r="F7" s="172"/>
      <c r="G7" s="173"/>
    </row>
    <row r="8" spans="1:7" ht="15" customHeight="1" x14ac:dyDescent="0.25">
      <c r="A8" s="10"/>
      <c r="B8" s="10"/>
      <c r="C8" s="10"/>
      <c r="D8" s="10"/>
      <c r="E8" s="14"/>
      <c r="F8" s="11"/>
      <c r="G8" s="11"/>
    </row>
    <row r="9" spans="1:7" ht="15" customHeight="1" x14ac:dyDescent="0.25">
      <c r="A9" s="152" t="s">
        <v>176</v>
      </c>
      <c r="B9" s="174" t="s">
        <v>22</v>
      </c>
      <c r="C9" s="175"/>
      <c r="D9" s="175"/>
      <c r="E9" s="175"/>
      <c r="F9" s="176"/>
      <c r="G9" s="7" t="s">
        <v>0</v>
      </c>
    </row>
    <row r="10" spans="1:7" ht="15" customHeight="1" x14ac:dyDescent="0.25">
      <c r="A10" s="10"/>
      <c r="B10" s="10"/>
      <c r="C10" s="10"/>
      <c r="D10" s="10"/>
      <c r="E10" s="11"/>
      <c r="F10" s="11"/>
      <c r="G10" s="12"/>
    </row>
    <row r="11" spans="1:7" ht="15" customHeight="1" x14ac:dyDescent="0.25">
      <c r="A11" s="149"/>
      <c r="B11" s="177" t="s">
        <v>43</v>
      </c>
      <c r="C11" s="178"/>
      <c r="D11" s="178"/>
      <c r="E11" s="178"/>
      <c r="F11" s="179"/>
      <c r="G11" s="150">
        <f>'3. troškovnik'!G138</f>
        <v>2200</v>
      </c>
    </row>
    <row r="12" spans="1:7" ht="15" customHeight="1" x14ac:dyDescent="0.25">
      <c r="A12" s="10"/>
      <c r="B12" s="10"/>
      <c r="C12" s="10"/>
      <c r="D12" s="10"/>
      <c r="E12" s="14"/>
      <c r="F12" s="11"/>
      <c r="G12" s="11"/>
    </row>
    <row r="13" spans="1:7" ht="15" customHeight="1" x14ac:dyDescent="0.25">
      <c r="A13" s="152" t="s">
        <v>177</v>
      </c>
      <c r="B13" s="174" t="s">
        <v>27</v>
      </c>
      <c r="C13" s="175"/>
      <c r="D13" s="175"/>
      <c r="E13" s="175"/>
      <c r="F13" s="176"/>
      <c r="G13" s="7" t="s">
        <v>0</v>
      </c>
    </row>
    <row r="14" spans="1:7" ht="15" customHeight="1" x14ac:dyDescent="0.25">
      <c r="A14" s="8"/>
      <c r="B14" s="180"/>
      <c r="C14" s="175"/>
      <c r="D14" s="175"/>
      <c r="E14" s="175"/>
      <c r="F14" s="176"/>
      <c r="G14" s="9"/>
    </row>
    <row r="15" spans="1:7" ht="15" customHeight="1" x14ac:dyDescent="0.25">
      <c r="A15" s="151"/>
      <c r="B15" s="181" t="s">
        <v>63</v>
      </c>
      <c r="C15" s="178"/>
      <c r="D15" s="178"/>
      <c r="E15" s="178"/>
      <c r="F15" s="179"/>
      <c r="G15" s="99">
        <f>'3. troškovnik'!G142</f>
        <v>12252</v>
      </c>
    </row>
    <row r="16" spans="1:7" ht="15" customHeight="1" x14ac:dyDescent="0.25">
      <c r="A16" s="8"/>
      <c r="B16" s="180"/>
      <c r="C16" s="175"/>
      <c r="D16" s="175"/>
      <c r="E16" s="175"/>
      <c r="F16" s="176"/>
      <c r="G16" s="9"/>
    </row>
    <row r="17" spans="1:7" ht="15" customHeight="1" x14ac:dyDescent="0.25">
      <c r="A17" s="154" t="s">
        <v>178</v>
      </c>
      <c r="B17" s="182" t="s">
        <v>36</v>
      </c>
      <c r="C17" s="183"/>
      <c r="D17" s="183"/>
      <c r="E17" s="183"/>
      <c r="F17" s="184"/>
      <c r="G17" s="155" t="s">
        <v>0</v>
      </c>
    </row>
    <row r="18" spans="1:7" ht="15" customHeight="1" x14ac:dyDescent="0.25">
      <c r="A18" s="8"/>
      <c r="B18" s="180"/>
      <c r="C18" s="175"/>
      <c r="D18" s="175"/>
      <c r="E18" s="175"/>
      <c r="F18" s="176"/>
      <c r="G18" s="9"/>
    </row>
    <row r="19" spans="1:7" ht="15" customHeight="1" x14ac:dyDescent="0.25">
      <c r="A19" s="151"/>
      <c r="B19" s="181" t="s">
        <v>64</v>
      </c>
      <c r="C19" s="178"/>
      <c r="D19" s="178"/>
      <c r="E19" s="178"/>
      <c r="F19" s="179"/>
      <c r="G19" s="99">
        <f>'3. troškovnik'!G146</f>
        <v>14231.5</v>
      </c>
    </row>
    <row r="20" spans="1:7" ht="15" customHeight="1" x14ac:dyDescent="0.25">
      <c r="A20" s="10"/>
      <c r="B20" s="10"/>
      <c r="C20" s="10"/>
      <c r="D20" s="10"/>
      <c r="E20" s="11"/>
      <c r="F20" s="11"/>
      <c r="G20" s="12"/>
    </row>
    <row r="21" spans="1:7" ht="15" customHeight="1" x14ac:dyDescent="0.25">
      <c r="A21" s="153" t="s">
        <v>179</v>
      </c>
      <c r="B21" s="185" t="s">
        <v>66</v>
      </c>
      <c r="C21" s="175"/>
      <c r="D21" s="175"/>
      <c r="E21" s="175"/>
      <c r="F21" s="176"/>
      <c r="G21" s="164" t="s">
        <v>0</v>
      </c>
    </row>
    <row r="22" spans="1:7" ht="15" customHeight="1" x14ac:dyDescent="0.25">
      <c r="A22" s="10"/>
      <c r="B22" s="10"/>
      <c r="C22" s="10"/>
      <c r="D22" s="10"/>
      <c r="E22" s="14"/>
      <c r="F22" s="11"/>
      <c r="G22" s="11"/>
    </row>
    <row r="23" spans="1:7" ht="15" customHeight="1" x14ac:dyDescent="0.25">
      <c r="A23" s="115"/>
      <c r="B23" s="160"/>
      <c r="C23" s="161"/>
      <c r="D23" s="161"/>
      <c r="E23" s="162"/>
      <c r="F23" s="163"/>
      <c r="G23" s="99">
        <f>'3. troškovnik'!G150</f>
        <v>45430</v>
      </c>
    </row>
    <row r="24" spans="1:7" ht="15" customHeight="1" x14ac:dyDescent="0.25">
      <c r="A24" s="10"/>
      <c r="B24" s="156"/>
      <c r="C24" s="157"/>
      <c r="D24" s="157"/>
      <c r="E24" s="158"/>
      <c r="F24" s="159"/>
      <c r="G24" s="11"/>
    </row>
    <row r="25" spans="1:7" ht="15" customHeight="1" x14ac:dyDescent="0.25">
      <c r="A25" s="152" t="s">
        <v>180</v>
      </c>
      <c r="B25" s="174" t="s">
        <v>96</v>
      </c>
      <c r="C25" s="175"/>
      <c r="D25" s="175"/>
      <c r="E25" s="175"/>
      <c r="F25" s="176"/>
      <c r="G25" s="7" t="s">
        <v>0</v>
      </c>
    </row>
    <row r="26" spans="1:7" ht="15" customHeight="1" x14ac:dyDescent="0.25">
      <c r="A26" s="8"/>
      <c r="B26" s="180"/>
      <c r="C26" s="175"/>
      <c r="D26" s="175"/>
      <c r="E26" s="175"/>
      <c r="F26" s="176"/>
      <c r="G26" s="9"/>
    </row>
    <row r="27" spans="1:7" ht="15" customHeight="1" x14ac:dyDescent="0.25">
      <c r="A27" s="151"/>
      <c r="B27" s="181" t="s">
        <v>111</v>
      </c>
      <c r="C27" s="178"/>
      <c r="D27" s="178"/>
      <c r="E27" s="178"/>
      <c r="F27" s="179"/>
      <c r="G27" s="165">
        <f>'3. troškovnik'!G154</f>
        <v>38794</v>
      </c>
    </row>
    <row r="28" spans="1:7" ht="15" customHeight="1" x14ac:dyDescent="0.25">
      <c r="A28" s="8"/>
      <c r="B28" s="180"/>
      <c r="C28" s="175"/>
      <c r="D28" s="175"/>
      <c r="E28" s="175"/>
      <c r="F28" s="176"/>
      <c r="G28" s="9"/>
    </row>
    <row r="29" spans="1:7" ht="15" customHeight="1" x14ac:dyDescent="0.25">
      <c r="A29" s="152" t="s">
        <v>181</v>
      </c>
      <c r="B29" s="174" t="s">
        <v>112</v>
      </c>
      <c r="C29" s="175"/>
      <c r="D29" s="175"/>
      <c r="E29" s="175"/>
      <c r="F29" s="176"/>
      <c r="G29" s="7" t="s">
        <v>0</v>
      </c>
    </row>
    <row r="30" spans="1:7" ht="15" customHeight="1" x14ac:dyDescent="0.25">
      <c r="A30" s="8"/>
      <c r="B30" s="180"/>
      <c r="C30" s="175"/>
      <c r="D30" s="175"/>
      <c r="E30" s="175"/>
      <c r="F30" s="176"/>
      <c r="G30" s="9"/>
    </row>
    <row r="31" spans="1:7" ht="15" customHeight="1" x14ac:dyDescent="0.25">
      <c r="A31" s="151"/>
      <c r="B31" s="181" t="s">
        <v>112</v>
      </c>
      <c r="C31" s="178"/>
      <c r="D31" s="178"/>
      <c r="E31" s="178"/>
      <c r="F31" s="179"/>
      <c r="G31" s="99">
        <f>'3. troškovnik'!G158</f>
        <v>20320</v>
      </c>
    </row>
    <row r="32" spans="1:7" ht="15" customHeight="1" x14ac:dyDescent="0.25">
      <c r="A32" s="8"/>
      <c r="B32" s="180"/>
      <c r="C32" s="175"/>
      <c r="D32" s="175"/>
      <c r="E32" s="175"/>
      <c r="F32" s="176"/>
      <c r="G32" s="9"/>
    </row>
    <row r="33" spans="1:7" ht="15" customHeight="1" x14ac:dyDescent="0.25">
      <c r="A33" s="153" t="s">
        <v>182</v>
      </c>
      <c r="B33" s="185" t="s">
        <v>124</v>
      </c>
      <c r="C33" s="175"/>
      <c r="D33" s="175"/>
      <c r="E33" s="175"/>
      <c r="F33" s="176"/>
      <c r="G33" s="13"/>
    </row>
    <row r="34" spans="1:7" ht="15" customHeight="1" x14ac:dyDescent="0.25">
      <c r="A34" s="10"/>
      <c r="B34" s="10"/>
      <c r="C34" s="10"/>
      <c r="D34" s="10"/>
      <c r="E34" s="14"/>
      <c r="F34" s="11"/>
      <c r="G34" s="11"/>
    </row>
    <row r="35" spans="1:7" ht="15" customHeight="1" x14ac:dyDescent="0.25">
      <c r="A35" s="151"/>
      <c r="B35" s="181" t="s">
        <v>124</v>
      </c>
      <c r="C35" s="178"/>
      <c r="D35" s="178"/>
      <c r="E35" s="178"/>
      <c r="F35" s="179"/>
      <c r="G35" s="99">
        <f>'3. troškovnik'!G162</f>
        <v>14120</v>
      </c>
    </row>
    <row r="36" spans="1:7" ht="15" customHeight="1" x14ac:dyDescent="0.25">
      <c r="A36" s="10"/>
      <c r="B36" s="10"/>
      <c r="C36" s="10"/>
      <c r="D36" s="10"/>
      <c r="E36" s="14"/>
      <c r="F36" s="11"/>
      <c r="G36" s="11"/>
    </row>
    <row r="37" spans="1:7" ht="15" customHeight="1" x14ac:dyDescent="0.25">
      <c r="A37" s="152" t="s">
        <v>183</v>
      </c>
      <c r="B37" s="174" t="s">
        <v>134</v>
      </c>
      <c r="C37" s="175"/>
      <c r="D37" s="175"/>
      <c r="E37" s="175"/>
      <c r="F37" s="176"/>
      <c r="G37" s="7" t="s">
        <v>0</v>
      </c>
    </row>
    <row r="38" spans="1:7" ht="15" customHeight="1" x14ac:dyDescent="0.25">
      <c r="A38" s="8"/>
      <c r="B38" s="180"/>
      <c r="C38" s="175"/>
      <c r="D38" s="175"/>
      <c r="E38" s="175"/>
      <c r="F38" s="176"/>
      <c r="G38" s="9"/>
    </row>
    <row r="39" spans="1:7" ht="15" customHeight="1" x14ac:dyDescent="0.25">
      <c r="A39" s="151"/>
      <c r="B39" s="181" t="s">
        <v>134</v>
      </c>
      <c r="C39" s="178"/>
      <c r="D39" s="178"/>
      <c r="E39" s="178"/>
      <c r="F39" s="179"/>
      <c r="G39" s="99">
        <f>'3. troškovnik'!G166</f>
        <v>1612</v>
      </c>
    </row>
    <row r="40" spans="1:7" ht="15" customHeight="1" x14ac:dyDescent="0.25">
      <c r="A40" s="8"/>
      <c r="B40" s="180"/>
      <c r="C40" s="175"/>
      <c r="D40" s="175"/>
      <c r="E40" s="175"/>
      <c r="F40" s="176"/>
      <c r="G40" s="9"/>
    </row>
    <row r="41" spans="1:7" ht="15" customHeight="1" x14ac:dyDescent="0.25">
      <c r="A41" s="152" t="s">
        <v>185</v>
      </c>
      <c r="B41" s="174" t="s">
        <v>184</v>
      </c>
      <c r="C41" s="175"/>
      <c r="D41" s="175"/>
      <c r="E41" s="175"/>
      <c r="F41" s="176"/>
      <c r="G41" s="7" t="s">
        <v>0</v>
      </c>
    </row>
    <row r="42" spans="1:7" ht="15" customHeight="1" x14ac:dyDescent="0.25">
      <c r="A42" s="8"/>
      <c r="B42" s="180"/>
      <c r="C42" s="175"/>
      <c r="D42" s="175"/>
      <c r="E42" s="175"/>
      <c r="F42" s="176"/>
      <c r="G42" s="9"/>
    </row>
    <row r="43" spans="1:7" ht="15" customHeight="1" x14ac:dyDescent="0.25">
      <c r="A43" s="151"/>
      <c r="B43" s="181" t="s">
        <v>184</v>
      </c>
      <c r="C43" s="178"/>
      <c r="D43" s="178"/>
      <c r="E43" s="178"/>
      <c r="F43" s="179"/>
      <c r="G43" s="99">
        <f>'3. troškovnik'!G170</f>
        <v>15525</v>
      </c>
    </row>
    <row r="44" spans="1:7" ht="15" customHeight="1" x14ac:dyDescent="0.25">
      <c r="A44" s="10"/>
      <c r="B44" s="10"/>
      <c r="C44" s="10"/>
      <c r="D44" s="10"/>
      <c r="E44" s="11"/>
      <c r="F44" s="11"/>
      <c r="G44" s="11"/>
    </row>
    <row r="45" spans="1:7" ht="15" customHeight="1" x14ac:dyDescent="0.25">
      <c r="A45" s="153" t="s">
        <v>186</v>
      </c>
      <c r="B45" s="185" t="s">
        <v>172</v>
      </c>
      <c r="C45" s="175"/>
      <c r="D45" s="175"/>
      <c r="E45" s="175"/>
      <c r="F45" s="176"/>
      <c r="G45" s="13"/>
    </row>
    <row r="46" spans="1:7" ht="15" customHeight="1" x14ac:dyDescent="0.25">
      <c r="A46" s="10"/>
      <c r="B46" s="10"/>
      <c r="C46" s="10"/>
      <c r="D46" s="10"/>
      <c r="E46" s="11"/>
      <c r="F46" s="11"/>
      <c r="G46" s="11"/>
    </row>
    <row r="47" spans="1:7" ht="15" customHeight="1" x14ac:dyDescent="0.25">
      <c r="A47" s="151"/>
      <c r="B47" s="181" t="s">
        <v>172</v>
      </c>
      <c r="C47" s="178"/>
      <c r="D47" s="178"/>
      <c r="E47" s="178"/>
      <c r="F47" s="179"/>
      <c r="G47" s="99">
        <f>'3. troškovnik'!G174</f>
        <v>2400</v>
      </c>
    </row>
    <row r="48" spans="1:7" ht="15" customHeight="1" x14ac:dyDescent="0.25">
      <c r="A48" s="10"/>
      <c r="B48" s="10"/>
      <c r="C48" s="10"/>
      <c r="D48" s="10"/>
      <c r="E48" s="14"/>
      <c r="F48" s="11"/>
      <c r="G48" s="11"/>
    </row>
    <row r="49" spans="1:7" ht="15" customHeight="1" x14ac:dyDescent="0.25">
      <c r="A49" s="168" t="s">
        <v>1</v>
      </c>
      <c r="B49" s="169"/>
      <c r="C49" s="169"/>
      <c r="D49" s="169"/>
      <c r="E49" s="169"/>
      <c r="F49" s="169"/>
      <c r="G49" s="170"/>
    </row>
    <row r="50" spans="1:7" ht="15" customHeight="1" x14ac:dyDescent="0.25">
      <c r="A50" s="171"/>
      <c r="B50" s="172"/>
      <c r="C50" s="172"/>
      <c r="D50" s="172"/>
      <c r="E50" s="172"/>
      <c r="F50" s="172"/>
      <c r="G50" s="173"/>
    </row>
    <row r="51" spans="1:7" ht="15" customHeight="1" x14ac:dyDescent="0.25">
      <c r="A51" s="15"/>
      <c r="B51" s="186"/>
      <c r="C51" s="175"/>
      <c r="D51" s="175"/>
      <c r="E51" s="175"/>
      <c r="F51" s="176"/>
      <c r="G51" s="16"/>
    </row>
    <row r="52" spans="1:7" ht="15" customHeight="1" x14ac:dyDescent="0.25">
      <c r="A52" s="17"/>
      <c r="B52" s="187" t="s">
        <v>187</v>
      </c>
      <c r="C52" s="175"/>
      <c r="D52" s="175"/>
      <c r="E52" s="175"/>
      <c r="F52" s="176"/>
      <c r="G52" s="18">
        <f>'3. troškovnik'!G179</f>
        <v>166884.5</v>
      </c>
    </row>
    <row r="53" spans="1:7" ht="15" customHeight="1" x14ac:dyDescent="0.25">
      <c r="A53" s="15"/>
      <c r="B53" s="188" t="s">
        <v>2</v>
      </c>
      <c r="C53" s="175"/>
      <c r="D53" s="175"/>
      <c r="E53" s="176"/>
      <c r="F53" s="19">
        <v>0.25</v>
      </c>
      <c r="G53" s="20">
        <f>G52*F53</f>
        <v>41721.125</v>
      </c>
    </row>
    <row r="54" spans="1:7" ht="15" customHeight="1" x14ac:dyDescent="0.25">
      <c r="A54" s="17"/>
      <c r="B54" s="187" t="s">
        <v>188</v>
      </c>
      <c r="C54" s="175"/>
      <c r="D54" s="175"/>
      <c r="E54" s="175"/>
      <c r="F54" s="176"/>
      <c r="G54" s="18">
        <f>G52+G53</f>
        <v>208605.625</v>
      </c>
    </row>
  </sheetData>
  <mergeCells count="35">
    <mergeCell ref="A49:G50"/>
    <mergeCell ref="B51:F51"/>
    <mergeCell ref="B52:F52"/>
    <mergeCell ref="B53:E53"/>
    <mergeCell ref="B54:F54"/>
    <mergeCell ref="B41:F41"/>
    <mergeCell ref="B42:F42"/>
    <mergeCell ref="B43:F43"/>
    <mergeCell ref="B45:F45"/>
    <mergeCell ref="B47:F47"/>
    <mergeCell ref="B35:F35"/>
    <mergeCell ref="B37:F37"/>
    <mergeCell ref="B38:F38"/>
    <mergeCell ref="B39:F39"/>
    <mergeCell ref="B40:F40"/>
    <mergeCell ref="B29:F29"/>
    <mergeCell ref="B30:F30"/>
    <mergeCell ref="B31:F31"/>
    <mergeCell ref="B32:F32"/>
    <mergeCell ref="B33:F33"/>
    <mergeCell ref="B21:F21"/>
    <mergeCell ref="B25:F25"/>
    <mergeCell ref="B26:F26"/>
    <mergeCell ref="B27:F27"/>
    <mergeCell ref="B28:F28"/>
    <mergeCell ref="B15:F15"/>
    <mergeCell ref="B16:F16"/>
    <mergeCell ref="B17:F17"/>
    <mergeCell ref="B18:F18"/>
    <mergeCell ref="B19:F19"/>
    <mergeCell ref="A6:G7"/>
    <mergeCell ref="B9:F9"/>
    <mergeCell ref="B11:F11"/>
    <mergeCell ref="B13:F13"/>
    <mergeCell ref="B14:F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89"/>
  <sheetViews>
    <sheetView tabSelected="1" topLeftCell="A167" zoomScale="120" zoomScaleNormal="120" workbookViewId="0">
      <selection activeCell="E57" sqref="E57"/>
    </sheetView>
  </sheetViews>
  <sheetFormatPr defaultColWidth="12.6640625" defaultRowHeight="13.2" x14ac:dyDescent="0.25"/>
  <cols>
    <col min="1" max="1" width="10.88671875" customWidth="1"/>
    <col min="2" max="2" width="99.109375" customWidth="1"/>
    <col min="3" max="3" width="8.109375" customWidth="1"/>
    <col min="4" max="4" width="6.109375" customWidth="1"/>
    <col min="5" max="5" width="14.44140625" customWidth="1"/>
    <col min="6" max="6" width="17" customWidth="1"/>
    <col min="7" max="7" width="18" customWidth="1"/>
    <col min="8" max="9" width="14.44140625" customWidth="1"/>
    <col min="10" max="26" width="17.33203125" customWidth="1"/>
  </cols>
  <sheetData>
    <row r="1" spans="1:9" x14ac:dyDescent="0.25">
      <c r="A1" s="192">
        <v>0</v>
      </c>
      <c r="B1" s="175"/>
      <c r="C1" s="175"/>
      <c r="D1" s="175"/>
      <c r="E1" s="175"/>
      <c r="F1" s="175"/>
      <c r="G1" s="176"/>
      <c r="H1" s="21"/>
      <c r="I1" s="22"/>
    </row>
    <row r="2" spans="1:9" x14ac:dyDescent="0.25">
      <c r="A2" s="10"/>
      <c r="B2" s="10"/>
      <c r="C2" s="10"/>
      <c r="D2" s="10"/>
      <c r="E2" s="14"/>
      <c r="F2" s="11"/>
      <c r="G2" s="11"/>
      <c r="H2" s="21"/>
      <c r="I2" s="22"/>
    </row>
    <row r="3" spans="1:9" ht="27" customHeight="1" x14ac:dyDescent="0.25">
      <c r="A3" s="23">
        <v>1</v>
      </c>
      <c r="B3" s="65" t="s">
        <v>21</v>
      </c>
      <c r="C3" s="65"/>
      <c r="D3" s="65"/>
      <c r="E3" s="65"/>
      <c r="F3" s="65"/>
      <c r="G3" s="65"/>
      <c r="H3" s="21"/>
      <c r="I3" s="22"/>
    </row>
    <row r="4" spans="1:9" x14ac:dyDescent="0.25">
      <c r="A4" s="24"/>
      <c r="B4" s="193"/>
      <c r="C4" s="175"/>
      <c r="D4" s="175"/>
      <c r="E4" s="175"/>
      <c r="F4" s="175"/>
      <c r="G4" s="176"/>
      <c r="H4" s="21"/>
      <c r="I4" s="22"/>
    </row>
    <row r="5" spans="1:9" x14ac:dyDescent="0.25">
      <c r="A5" s="10"/>
      <c r="B5" s="193"/>
      <c r="C5" s="175"/>
      <c r="D5" s="175"/>
      <c r="E5" s="175"/>
      <c r="F5" s="175"/>
      <c r="G5" s="176"/>
      <c r="H5" s="21"/>
      <c r="I5" s="22"/>
    </row>
    <row r="6" spans="1:9" x14ac:dyDescent="0.25">
      <c r="A6" s="6"/>
      <c r="B6" s="25" t="s">
        <v>23</v>
      </c>
      <c r="C6" s="25" t="s">
        <v>3</v>
      </c>
      <c r="D6" s="25" t="s">
        <v>4</v>
      </c>
      <c r="E6" s="66" t="s">
        <v>5</v>
      </c>
      <c r="F6" s="62"/>
      <c r="G6" s="62"/>
      <c r="H6" s="21"/>
      <c r="I6" s="22"/>
    </row>
    <row r="7" spans="1:9" x14ac:dyDescent="0.25">
      <c r="A7" s="31"/>
      <c r="B7" s="43"/>
      <c r="C7" s="43"/>
      <c r="D7" s="43"/>
      <c r="E7" s="75"/>
      <c r="F7" s="148"/>
      <c r="G7" s="148"/>
      <c r="H7" s="21"/>
      <c r="I7" s="22"/>
    </row>
    <row r="8" spans="1:9" x14ac:dyDescent="0.25">
      <c r="A8" s="100" t="s">
        <v>6</v>
      </c>
      <c r="B8" s="101" t="s">
        <v>22</v>
      </c>
      <c r="C8" s="102"/>
      <c r="D8" s="102"/>
      <c r="E8" s="103"/>
      <c r="F8" s="104"/>
      <c r="G8" s="104"/>
      <c r="H8" s="21"/>
      <c r="I8" s="22"/>
    </row>
    <row r="9" spans="1:9" x14ac:dyDescent="0.25">
      <c r="A9" s="26"/>
      <c r="B9" s="27"/>
      <c r="C9" s="28"/>
      <c r="D9" s="28"/>
      <c r="E9" s="67"/>
      <c r="F9" s="29"/>
      <c r="G9" s="29"/>
      <c r="H9" s="21"/>
      <c r="I9" s="22"/>
    </row>
    <row r="10" spans="1:9" x14ac:dyDescent="0.25">
      <c r="A10" s="10" t="s">
        <v>7</v>
      </c>
      <c r="B10" s="63" t="s">
        <v>24</v>
      </c>
      <c r="C10" s="81" t="s">
        <v>10</v>
      </c>
      <c r="D10" s="28">
        <v>1</v>
      </c>
      <c r="E10" s="68">
        <v>1200</v>
      </c>
      <c r="F10" s="82"/>
      <c r="G10" s="9">
        <f>D10*E10</f>
        <v>1200</v>
      </c>
      <c r="H10" s="22"/>
      <c r="I10" s="22"/>
    </row>
    <row r="11" spans="1:9" x14ac:dyDescent="0.25">
      <c r="A11" s="10" t="s">
        <v>9</v>
      </c>
      <c r="B11" s="79" t="s">
        <v>25</v>
      </c>
      <c r="C11" s="81" t="s">
        <v>10</v>
      </c>
      <c r="D11" s="28">
        <v>1</v>
      </c>
      <c r="E11" s="68">
        <v>1000</v>
      </c>
      <c r="F11" s="82"/>
      <c r="G11" s="9">
        <f>D11*E11</f>
        <v>1000</v>
      </c>
      <c r="H11" s="32"/>
      <c r="I11" s="22"/>
    </row>
    <row r="12" spans="1:9" x14ac:dyDescent="0.25">
      <c r="A12" s="94"/>
      <c r="B12" s="95" t="s">
        <v>43</v>
      </c>
      <c r="C12" s="96"/>
      <c r="D12" s="96"/>
      <c r="E12" s="97"/>
      <c r="F12" s="98"/>
      <c r="G12" s="99">
        <f>SUM(E10:E11)</f>
        <v>2200</v>
      </c>
      <c r="H12" s="21"/>
      <c r="I12" s="22"/>
    </row>
    <row r="13" spans="1:9" x14ac:dyDescent="0.25">
      <c r="A13" s="31"/>
      <c r="B13" s="89"/>
      <c r="C13" s="28"/>
      <c r="D13" s="28"/>
      <c r="E13" s="68"/>
      <c r="F13" s="82"/>
      <c r="G13" s="9"/>
      <c r="H13" s="21"/>
      <c r="I13" s="22"/>
    </row>
    <row r="14" spans="1:9" x14ac:dyDescent="0.25">
      <c r="A14" s="105" t="s">
        <v>26</v>
      </c>
      <c r="B14" s="106" t="s">
        <v>27</v>
      </c>
      <c r="C14" s="102"/>
      <c r="D14" s="102"/>
      <c r="E14" s="103"/>
      <c r="F14" s="104"/>
      <c r="G14" s="104"/>
      <c r="H14" s="5"/>
      <c r="I14" s="33"/>
    </row>
    <row r="15" spans="1:9" x14ac:dyDescent="0.25">
      <c r="A15" s="79"/>
      <c r="B15" s="89"/>
      <c r="C15" s="28"/>
      <c r="D15" s="28"/>
      <c r="E15" s="67"/>
      <c r="F15" s="29"/>
      <c r="G15" s="29"/>
      <c r="H15" s="5"/>
      <c r="I15" s="33"/>
    </row>
    <row r="16" spans="1:9" x14ac:dyDescent="0.25">
      <c r="A16" s="79" t="s">
        <v>28</v>
      </c>
      <c r="B16" s="80" t="s">
        <v>29</v>
      </c>
      <c r="C16" s="28" t="s">
        <v>10</v>
      </c>
      <c r="D16" s="28">
        <v>1</v>
      </c>
      <c r="E16" s="68">
        <v>200</v>
      </c>
      <c r="F16" s="82"/>
      <c r="G16" s="9">
        <f>D16*E16</f>
        <v>200</v>
      </c>
      <c r="H16" s="21"/>
      <c r="I16" s="22"/>
    </row>
    <row r="17" spans="1:26" x14ac:dyDescent="0.25">
      <c r="A17" s="79" t="s">
        <v>30</v>
      </c>
      <c r="B17" s="80" t="s">
        <v>65</v>
      </c>
      <c r="C17" s="81" t="s">
        <v>31</v>
      </c>
      <c r="D17" s="28">
        <v>28</v>
      </c>
      <c r="E17" s="68">
        <v>120</v>
      </c>
      <c r="F17" s="82"/>
      <c r="G17" s="83">
        <f>D17*E17</f>
        <v>3360</v>
      </c>
      <c r="H17" s="5"/>
      <c r="I17" s="3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5" customHeight="1" x14ac:dyDescent="0.25">
      <c r="A18" s="79" t="s">
        <v>32</v>
      </c>
      <c r="B18" s="30" t="s">
        <v>33</v>
      </c>
      <c r="C18" s="28" t="s">
        <v>8</v>
      </c>
      <c r="D18" s="28">
        <v>880</v>
      </c>
      <c r="E18" s="68">
        <v>6</v>
      </c>
      <c r="F18" s="82"/>
      <c r="G18" s="83">
        <f>D18*E18</f>
        <v>5280</v>
      </c>
      <c r="H18" s="5"/>
      <c r="I18" s="3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6.4" x14ac:dyDescent="0.25">
      <c r="A19" s="79" t="s">
        <v>32</v>
      </c>
      <c r="B19" s="80" t="s">
        <v>34</v>
      </c>
      <c r="C19" s="35" t="s">
        <v>8</v>
      </c>
      <c r="D19" s="35">
        <v>176</v>
      </c>
      <c r="E19" s="69">
        <v>2</v>
      </c>
      <c r="F19" s="82"/>
      <c r="G19" s="36">
        <f>D19*E19</f>
        <v>352</v>
      </c>
      <c r="H19" s="34"/>
      <c r="I19" s="33"/>
    </row>
    <row r="20" spans="1:26" x14ac:dyDescent="0.25">
      <c r="A20" s="84" t="s">
        <v>32</v>
      </c>
      <c r="B20" s="84" t="s">
        <v>35</v>
      </c>
      <c r="C20" s="81" t="s">
        <v>31</v>
      </c>
      <c r="D20" s="28">
        <v>204</v>
      </c>
      <c r="E20" s="68">
        <v>15</v>
      </c>
      <c r="F20" s="9"/>
      <c r="G20" s="9">
        <f>D20*E20</f>
        <v>3060</v>
      </c>
      <c r="H20" s="21"/>
      <c r="I20" s="22"/>
    </row>
    <row r="21" spans="1:26" x14ac:dyDescent="0.25">
      <c r="A21" s="107"/>
      <c r="B21" s="108" t="s">
        <v>63</v>
      </c>
      <c r="C21" s="109"/>
      <c r="D21" s="96"/>
      <c r="E21" s="97"/>
      <c r="F21" s="99"/>
      <c r="G21" s="99">
        <f>SUM(G16:G20)</f>
        <v>12252</v>
      </c>
      <c r="H21" s="21"/>
      <c r="I21" s="22"/>
    </row>
    <row r="22" spans="1:26" x14ac:dyDescent="0.25">
      <c r="A22" s="84"/>
      <c r="B22" s="88"/>
      <c r="C22" s="81"/>
      <c r="D22" s="28"/>
      <c r="E22" s="68"/>
      <c r="F22" s="9"/>
      <c r="G22" s="9"/>
      <c r="H22" s="21"/>
      <c r="I22" s="22"/>
    </row>
    <row r="23" spans="1:26" x14ac:dyDescent="0.25">
      <c r="A23" s="110" t="s">
        <v>12</v>
      </c>
      <c r="B23" s="111" t="s">
        <v>36</v>
      </c>
      <c r="C23" s="112"/>
      <c r="D23" s="102"/>
      <c r="E23" s="113"/>
      <c r="F23" s="114"/>
      <c r="G23" s="114"/>
      <c r="H23" s="21"/>
      <c r="I23" s="22"/>
    </row>
    <row r="24" spans="1:26" x14ac:dyDescent="0.25">
      <c r="A24" s="84"/>
      <c r="B24" s="88"/>
      <c r="C24" s="81"/>
      <c r="D24" s="28"/>
      <c r="E24" s="68"/>
      <c r="F24" s="9"/>
      <c r="G24" s="9"/>
      <c r="H24" s="21"/>
      <c r="I24" s="22"/>
    </row>
    <row r="25" spans="1:26" x14ac:dyDescent="0.25">
      <c r="A25" s="84" t="s">
        <v>46</v>
      </c>
      <c r="B25" s="84" t="s">
        <v>37</v>
      </c>
      <c r="C25" s="81" t="s">
        <v>10</v>
      </c>
      <c r="D25" s="28">
        <v>5</v>
      </c>
      <c r="E25" s="86">
        <v>150</v>
      </c>
      <c r="F25" s="9"/>
      <c r="G25" s="9">
        <f t="shared" ref="G25:G35" si="0">D25*E25</f>
        <v>750</v>
      </c>
      <c r="H25" s="21"/>
      <c r="I25" s="22"/>
    </row>
    <row r="26" spans="1:26" x14ac:dyDescent="0.25">
      <c r="A26" s="85" t="s">
        <v>47</v>
      </c>
      <c r="B26" s="10" t="s">
        <v>38</v>
      </c>
      <c r="C26" s="81" t="s">
        <v>31</v>
      </c>
      <c r="D26" s="28">
        <v>30</v>
      </c>
      <c r="E26" s="68">
        <v>10</v>
      </c>
      <c r="F26" s="9"/>
      <c r="G26" s="9">
        <f t="shared" si="0"/>
        <v>300</v>
      </c>
      <c r="H26" s="21"/>
      <c r="I26" s="22"/>
    </row>
    <row r="27" spans="1:26" x14ac:dyDescent="0.25">
      <c r="A27" s="84" t="s">
        <v>48</v>
      </c>
      <c r="B27" s="10" t="s">
        <v>39</v>
      </c>
      <c r="C27" s="81" t="s">
        <v>31</v>
      </c>
      <c r="D27" s="28">
        <v>160</v>
      </c>
      <c r="E27" s="67">
        <v>10</v>
      </c>
      <c r="F27" s="29"/>
      <c r="G27" s="9">
        <f t="shared" si="0"/>
        <v>1600</v>
      </c>
      <c r="H27" s="21"/>
      <c r="I27" s="22"/>
    </row>
    <row r="28" spans="1:26" ht="26.4" x14ac:dyDescent="0.25">
      <c r="A28" s="84" t="s">
        <v>49</v>
      </c>
      <c r="B28" s="38" t="s">
        <v>40</v>
      </c>
      <c r="C28" s="81" t="s">
        <v>31</v>
      </c>
      <c r="D28" s="28">
        <v>48</v>
      </c>
      <c r="E28" s="67">
        <v>10</v>
      </c>
      <c r="F28" s="29"/>
      <c r="G28" s="9">
        <f t="shared" si="0"/>
        <v>480</v>
      </c>
      <c r="H28" s="21"/>
      <c r="I28" s="22"/>
    </row>
    <row r="29" spans="1:26" x14ac:dyDescent="0.25">
      <c r="A29" s="84" t="s">
        <v>50</v>
      </c>
      <c r="B29" s="87" t="s">
        <v>41</v>
      </c>
      <c r="C29" s="81" t="s">
        <v>31</v>
      </c>
      <c r="D29" s="28">
        <v>60</v>
      </c>
      <c r="E29" s="67">
        <v>10</v>
      </c>
      <c r="F29" s="29"/>
      <c r="G29" s="9">
        <f t="shared" si="0"/>
        <v>600</v>
      </c>
      <c r="H29" s="21"/>
      <c r="I29" s="22"/>
    </row>
    <row r="30" spans="1:26" x14ac:dyDescent="0.25">
      <c r="A30" s="88" t="s">
        <v>51</v>
      </c>
      <c r="B30" s="84" t="s">
        <v>42</v>
      </c>
      <c r="C30" s="81" t="s">
        <v>31</v>
      </c>
      <c r="D30" s="28">
        <v>18</v>
      </c>
      <c r="E30" s="67">
        <v>40</v>
      </c>
      <c r="F30" s="29"/>
      <c r="G30" s="9">
        <f t="shared" si="0"/>
        <v>720</v>
      </c>
      <c r="H30" s="21"/>
      <c r="I30" s="22"/>
    </row>
    <row r="31" spans="1:26" x14ac:dyDescent="0.25">
      <c r="A31" s="84" t="s">
        <v>52</v>
      </c>
      <c r="B31" s="90" t="s">
        <v>44</v>
      </c>
      <c r="C31" s="81" t="s">
        <v>31</v>
      </c>
      <c r="D31" s="28">
        <v>30</v>
      </c>
      <c r="E31" s="67">
        <v>10</v>
      </c>
      <c r="F31" s="29"/>
      <c r="G31" s="9">
        <f t="shared" si="0"/>
        <v>300</v>
      </c>
      <c r="H31" s="21"/>
      <c r="I31" s="22"/>
    </row>
    <row r="32" spans="1:26" x14ac:dyDescent="0.25">
      <c r="A32" s="84" t="s">
        <v>53</v>
      </c>
      <c r="B32" s="10" t="s">
        <v>45</v>
      </c>
      <c r="C32" s="91" t="s">
        <v>8</v>
      </c>
      <c r="D32" s="92">
        <v>881</v>
      </c>
      <c r="E32" s="71">
        <v>1.5</v>
      </c>
      <c r="F32" s="11"/>
      <c r="G32" s="9">
        <f t="shared" si="0"/>
        <v>1321.5</v>
      </c>
      <c r="H32" s="21"/>
      <c r="I32" s="22"/>
    </row>
    <row r="33" spans="1:26" x14ac:dyDescent="0.25">
      <c r="A33" s="84" t="s">
        <v>55</v>
      </c>
      <c r="B33" s="93" t="s">
        <v>54</v>
      </c>
      <c r="C33" s="81" t="s">
        <v>31</v>
      </c>
      <c r="D33" s="28">
        <v>180</v>
      </c>
      <c r="E33" s="67">
        <v>28</v>
      </c>
      <c r="F33" s="29"/>
      <c r="G33" s="9">
        <f t="shared" si="0"/>
        <v>5040</v>
      </c>
      <c r="H33" s="21"/>
      <c r="I33" s="22"/>
    </row>
    <row r="34" spans="1:26" x14ac:dyDescent="0.25">
      <c r="A34" s="84" t="s">
        <v>56</v>
      </c>
      <c r="B34" s="84" t="s">
        <v>57</v>
      </c>
      <c r="C34" s="81" t="s">
        <v>60</v>
      </c>
      <c r="D34" s="28">
        <v>44</v>
      </c>
      <c r="E34" s="68">
        <v>30</v>
      </c>
      <c r="F34" s="9"/>
      <c r="G34" s="9">
        <f t="shared" si="0"/>
        <v>1320</v>
      </c>
      <c r="H34" s="21"/>
      <c r="I34" s="22"/>
    </row>
    <row r="35" spans="1:26" x14ac:dyDescent="0.25">
      <c r="A35" s="84" t="s">
        <v>58</v>
      </c>
      <c r="B35" s="10" t="s">
        <v>59</v>
      </c>
      <c r="C35" s="81" t="s">
        <v>31</v>
      </c>
      <c r="D35" s="28">
        <v>180</v>
      </c>
      <c r="E35" s="68">
        <v>10</v>
      </c>
      <c r="F35" s="9"/>
      <c r="G35" s="9">
        <f t="shared" si="0"/>
        <v>1800</v>
      </c>
      <c r="H35" s="21"/>
      <c r="I35" s="22"/>
    </row>
    <row r="36" spans="1:26" x14ac:dyDescent="0.25">
      <c r="A36" s="115"/>
      <c r="B36" s="108" t="s">
        <v>64</v>
      </c>
      <c r="C36" s="96"/>
      <c r="D36" s="96"/>
      <c r="E36" s="116"/>
      <c r="F36" s="117"/>
      <c r="G36" s="99">
        <f>SUM(G25:G35)</f>
        <v>14231.5</v>
      </c>
      <c r="H36" s="5"/>
      <c r="I36" s="33"/>
    </row>
    <row r="37" spans="1:26" x14ac:dyDescent="0.25">
      <c r="A37" s="26"/>
      <c r="B37" s="26"/>
      <c r="C37" s="28"/>
      <c r="D37" s="28"/>
      <c r="E37" s="67"/>
      <c r="F37" s="29"/>
      <c r="G37" s="29"/>
      <c r="H37" s="21"/>
      <c r="I37" s="22"/>
    </row>
    <row r="38" spans="1:26" x14ac:dyDescent="0.25">
      <c r="A38" s="110"/>
      <c r="B38" s="138" t="s">
        <v>66</v>
      </c>
      <c r="C38" s="102"/>
      <c r="D38" s="102"/>
      <c r="E38" s="103"/>
      <c r="F38" s="104"/>
      <c r="G38" s="104"/>
      <c r="H38" s="21"/>
      <c r="I38" s="22"/>
    </row>
    <row r="39" spans="1:26" x14ac:dyDescent="0.25">
      <c r="A39" s="84" t="s">
        <v>71</v>
      </c>
      <c r="B39" s="10" t="s">
        <v>68</v>
      </c>
      <c r="C39" s="81" t="s">
        <v>69</v>
      </c>
      <c r="D39" s="28">
        <v>520</v>
      </c>
      <c r="E39" s="68">
        <v>1.5</v>
      </c>
      <c r="F39" s="9"/>
      <c r="G39" s="9">
        <f t="shared" ref="G39:G56" si="1">D39*E39</f>
        <v>780</v>
      </c>
      <c r="H39" s="5"/>
      <c r="I39" s="3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6.4" x14ac:dyDescent="0.25">
      <c r="A40" s="84" t="s">
        <v>70</v>
      </c>
      <c r="B40" s="87" t="s">
        <v>67</v>
      </c>
      <c r="C40" s="81" t="s">
        <v>31</v>
      </c>
      <c r="D40" s="28">
        <v>5.2</v>
      </c>
      <c r="E40" s="68">
        <v>200</v>
      </c>
      <c r="F40" s="9"/>
      <c r="G40" s="9">
        <f t="shared" si="1"/>
        <v>1040</v>
      </c>
      <c r="H40" s="5"/>
      <c r="I40" s="3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84" t="s">
        <v>72</v>
      </c>
      <c r="B41" s="87" t="s">
        <v>73</v>
      </c>
      <c r="C41" s="81" t="s">
        <v>31</v>
      </c>
      <c r="D41" s="28">
        <v>15</v>
      </c>
      <c r="E41" s="67">
        <v>100</v>
      </c>
      <c r="F41" s="29"/>
      <c r="G41" s="9">
        <f t="shared" si="1"/>
        <v>1500</v>
      </c>
      <c r="H41" s="5"/>
      <c r="I41" s="3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88" t="s">
        <v>74</v>
      </c>
      <c r="B42" s="84" t="s">
        <v>78</v>
      </c>
      <c r="C42" s="81" t="s">
        <v>31</v>
      </c>
      <c r="D42" s="28">
        <v>42</v>
      </c>
      <c r="E42" s="67">
        <v>130</v>
      </c>
      <c r="F42" s="29"/>
      <c r="G42" s="9">
        <f t="shared" si="1"/>
        <v>5460</v>
      </c>
      <c r="H42" s="5"/>
      <c r="I42" s="3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88"/>
      <c r="B43" s="118" t="s">
        <v>79</v>
      </c>
      <c r="C43" s="81" t="s">
        <v>8</v>
      </c>
      <c r="D43" s="28">
        <v>220</v>
      </c>
      <c r="E43" s="67">
        <v>25</v>
      </c>
      <c r="F43" s="29"/>
      <c r="G43" s="9">
        <f t="shared" si="1"/>
        <v>5500</v>
      </c>
      <c r="H43" s="5"/>
      <c r="I43" s="3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88" t="s">
        <v>75</v>
      </c>
      <c r="B44" s="90" t="s">
        <v>76</v>
      </c>
      <c r="C44" s="81" t="s">
        <v>31</v>
      </c>
      <c r="D44" s="28">
        <v>40</v>
      </c>
      <c r="E44" s="67">
        <v>130</v>
      </c>
      <c r="F44" s="29"/>
      <c r="G44" s="9">
        <f t="shared" si="1"/>
        <v>5200</v>
      </c>
      <c r="H44" s="5"/>
      <c r="I44" s="3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10"/>
      <c r="B45" s="87" t="s">
        <v>77</v>
      </c>
      <c r="C45" s="81" t="s">
        <v>8</v>
      </c>
      <c r="D45" s="28">
        <v>210</v>
      </c>
      <c r="E45" s="67">
        <v>25</v>
      </c>
      <c r="F45" s="29"/>
      <c r="G45" s="9">
        <f t="shared" si="1"/>
        <v>5250</v>
      </c>
      <c r="H45" s="5"/>
      <c r="I45" s="3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88" t="s">
        <v>80</v>
      </c>
      <c r="B46" s="84" t="s">
        <v>81</v>
      </c>
      <c r="C46" s="81" t="s">
        <v>31</v>
      </c>
      <c r="D46" s="28">
        <v>7.2</v>
      </c>
      <c r="E46" s="67">
        <v>150</v>
      </c>
      <c r="F46" s="29"/>
      <c r="G46" s="9">
        <f t="shared" si="1"/>
        <v>1080</v>
      </c>
      <c r="H46" s="5"/>
      <c r="I46" s="3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10"/>
      <c r="B47" s="84" t="s">
        <v>82</v>
      </c>
      <c r="C47" s="81" t="s">
        <v>8</v>
      </c>
      <c r="D47" s="28">
        <v>32</v>
      </c>
      <c r="E47" s="68">
        <v>40</v>
      </c>
      <c r="F47" s="9"/>
      <c r="G47" s="9">
        <f t="shared" si="1"/>
        <v>1280</v>
      </c>
      <c r="H47" s="5"/>
      <c r="I47" s="3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84" t="s">
        <v>83</v>
      </c>
      <c r="B48" s="84" t="s">
        <v>84</v>
      </c>
      <c r="C48" s="81" t="s">
        <v>31</v>
      </c>
      <c r="D48" s="28">
        <v>10</v>
      </c>
      <c r="E48" s="68">
        <v>100</v>
      </c>
      <c r="F48" s="9"/>
      <c r="G48" s="9">
        <f t="shared" si="1"/>
        <v>1000</v>
      </c>
      <c r="H48" s="5"/>
      <c r="I48" s="3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10"/>
      <c r="B49" s="84" t="s">
        <v>85</v>
      </c>
      <c r="C49" s="81" t="s">
        <v>69</v>
      </c>
      <c r="D49" s="28">
        <v>1100</v>
      </c>
      <c r="E49" s="68">
        <v>1.5</v>
      </c>
      <c r="F49" s="9"/>
      <c r="G49" s="9">
        <f t="shared" si="1"/>
        <v>1650</v>
      </c>
      <c r="H49" s="5"/>
      <c r="I49" s="3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84" t="s">
        <v>86</v>
      </c>
      <c r="B50" s="39" t="s">
        <v>87</v>
      </c>
      <c r="C50" s="81" t="s">
        <v>31</v>
      </c>
      <c r="D50" s="28">
        <v>4</v>
      </c>
      <c r="E50" s="67">
        <v>120</v>
      </c>
      <c r="F50" s="29"/>
      <c r="G50" s="9">
        <f t="shared" si="1"/>
        <v>480</v>
      </c>
      <c r="H50" s="5"/>
      <c r="I50" s="3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6"/>
      <c r="B51" s="84" t="s">
        <v>88</v>
      </c>
      <c r="C51" s="81" t="s">
        <v>8</v>
      </c>
      <c r="D51" s="81">
        <v>18</v>
      </c>
      <c r="E51" s="72">
        <v>25</v>
      </c>
      <c r="F51" s="40"/>
      <c r="G51" s="9">
        <f t="shared" si="1"/>
        <v>450</v>
      </c>
      <c r="H51" s="21"/>
      <c r="I51" s="22"/>
    </row>
    <row r="52" spans="1:26" x14ac:dyDescent="0.25">
      <c r="A52" s="37"/>
      <c r="B52" s="85" t="s">
        <v>85</v>
      </c>
      <c r="C52" s="119" t="s">
        <v>69</v>
      </c>
      <c r="D52" s="41">
        <v>400</v>
      </c>
      <c r="E52" s="73">
        <v>1.5</v>
      </c>
      <c r="F52" s="42"/>
      <c r="G52" s="9">
        <f t="shared" si="1"/>
        <v>600</v>
      </c>
      <c r="H52" s="21"/>
      <c r="I52" s="22"/>
    </row>
    <row r="53" spans="1:26" x14ac:dyDescent="0.25">
      <c r="A53" s="37"/>
      <c r="B53" s="120" t="s">
        <v>89</v>
      </c>
      <c r="C53" s="119" t="s">
        <v>10</v>
      </c>
      <c r="D53" s="41">
        <v>1</v>
      </c>
      <c r="E53" s="73">
        <v>200</v>
      </c>
      <c r="F53" s="42"/>
      <c r="G53" s="9">
        <f t="shared" si="1"/>
        <v>200</v>
      </c>
      <c r="H53" s="21"/>
      <c r="I53" s="22"/>
    </row>
    <row r="54" spans="1:26" x14ac:dyDescent="0.25">
      <c r="A54" s="59" t="s">
        <v>90</v>
      </c>
      <c r="B54" s="59" t="s">
        <v>91</v>
      </c>
      <c r="C54" s="60" t="s">
        <v>10</v>
      </c>
      <c r="D54" s="60">
        <v>1</v>
      </c>
      <c r="E54" s="74">
        <v>1000</v>
      </c>
      <c r="F54" s="61"/>
      <c r="G54" s="9">
        <f t="shared" si="1"/>
        <v>1000</v>
      </c>
      <c r="H54" s="21"/>
      <c r="I54" s="22"/>
    </row>
    <row r="55" spans="1:26" x14ac:dyDescent="0.25">
      <c r="A55" s="59" t="s">
        <v>92</v>
      </c>
      <c r="B55" s="59" t="s">
        <v>93</v>
      </c>
      <c r="C55" s="60" t="s">
        <v>69</v>
      </c>
      <c r="D55" s="60">
        <v>5400</v>
      </c>
      <c r="E55" s="74">
        <v>1.2</v>
      </c>
      <c r="F55" s="61"/>
      <c r="G55" s="9">
        <f t="shared" si="1"/>
        <v>6480</v>
      </c>
      <c r="H55" s="21"/>
      <c r="I55" s="22"/>
    </row>
    <row r="56" spans="1:26" x14ac:dyDescent="0.25">
      <c r="A56" s="59"/>
      <c r="B56" s="64" t="s">
        <v>94</v>
      </c>
      <c r="C56" s="81" t="s">
        <v>69</v>
      </c>
      <c r="D56" s="81">
        <v>5400</v>
      </c>
      <c r="E56" s="72">
        <v>1.2</v>
      </c>
      <c r="F56" s="40"/>
      <c r="G56" s="9">
        <f t="shared" si="1"/>
        <v>6480</v>
      </c>
      <c r="H56" s="21"/>
      <c r="I56" s="22"/>
    </row>
    <row r="57" spans="1:26" x14ac:dyDescent="0.25">
      <c r="A57" s="10"/>
      <c r="B57" s="10"/>
      <c r="C57" s="10"/>
      <c r="D57" s="10"/>
      <c r="E57" s="71"/>
      <c r="F57" s="11"/>
      <c r="G57" s="11"/>
      <c r="H57" s="21"/>
      <c r="I57" s="22"/>
    </row>
    <row r="58" spans="1:26" x14ac:dyDescent="0.25">
      <c r="A58" s="122"/>
      <c r="B58" s="123" t="s">
        <v>95</v>
      </c>
      <c r="C58" s="122"/>
      <c r="D58" s="122"/>
      <c r="E58" s="124"/>
      <c r="F58" s="125"/>
      <c r="G58" s="125">
        <f>SUM(G39:G57)</f>
        <v>45430</v>
      </c>
      <c r="H58" s="21"/>
      <c r="I58" s="22"/>
    </row>
    <row r="59" spans="1:26" x14ac:dyDescent="0.25">
      <c r="A59" s="31"/>
      <c r="B59" s="31"/>
      <c r="C59" s="31"/>
      <c r="D59" s="31"/>
      <c r="E59" s="70"/>
      <c r="F59" s="14"/>
      <c r="G59" s="14"/>
      <c r="H59" s="21"/>
      <c r="I59" s="22"/>
    </row>
    <row r="60" spans="1:26" x14ac:dyDescent="0.25">
      <c r="A60" s="31"/>
      <c r="B60" s="43"/>
      <c r="C60" s="43"/>
      <c r="D60" s="43"/>
      <c r="E60" s="75"/>
      <c r="F60" s="44"/>
      <c r="G60" s="44"/>
      <c r="H60" s="21"/>
      <c r="I60" s="22"/>
    </row>
    <row r="61" spans="1:26" x14ac:dyDescent="0.25">
      <c r="A61" s="100"/>
      <c r="B61" s="139" t="s">
        <v>96</v>
      </c>
      <c r="C61" s="102"/>
      <c r="D61" s="102"/>
      <c r="E61" s="103"/>
      <c r="F61" s="104"/>
      <c r="G61" s="104"/>
      <c r="H61" s="21"/>
      <c r="I61" s="22"/>
    </row>
    <row r="62" spans="1:26" ht="26.4" x14ac:dyDescent="0.25">
      <c r="A62" s="84" t="s">
        <v>98</v>
      </c>
      <c r="B62" s="39" t="s">
        <v>97</v>
      </c>
      <c r="C62" s="81" t="s">
        <v>31</v>
      </c>
      <c r="D62" s="28">
        <v>178</v>
      </c>
      <c r="E62" s="68">
        <v>2</v>
      </c>
      <c r="F62" s="29"/>
      <c r="G62" s="9">
        <f t="shared" ref="G62:G69" si="2">D62*E62</f>
        <v>356</v>
      </c>
      <c r="H62" s="21"/>
      <c r="I62" s="22"/>
    </row>
    <row r="63" spans="1:26" x14ac:dyDescent="0.25">
      <c r="A63" s="84" t="s">
        <v>102</v>
      </c>
      <c r="B63" s="87" t="s">
        <v>99</v>
      </c>
      <c r="C63" s="81" t="s">
        <v>8</v>
      </c>
      <c r="D63" s="28">
        <v>881</v>
      </c>
      <c r="E63" s="68">
        <v>14</v>
      </c>
      <c r="F63" s="29"/>
      <c r="G63" s="9">
        <f t="shared" si="2"/>
        <v>12334</v>
      </c>
      <c r="H63" s="21"/>
      <c r="I63" s="22"/>
    </row>
    <row r="64" spans="1:26" x14ac:dyDescent="0.25">
      <c r="A64" s="84" t="s">
        <v>101</v>
      </c>
      <c r="B64" s="39" t="s">
        <v>100</v>
      </c>
      <c r="C64" s="81" t="s">
        <v>8</v>
      </c>
      <c r="D64" s="28">
        <v>881</v>
      </c>
      <c r="E64" s="68">
        <v>24</v>
      </c>
      <c r="F64" s="29"/>
      <c r="G64" s="9">
        <f t="shared" si="2"/>
        <v>21144</v>
      </c>
      <c r="H64" s="21"/>
      <c r="I64" s="22"/>
    </row>
    <row r="65" spans="1:9" x14ac:dyDescent="0.25">
      <c r="A65" s="84" t="s">
        <v>104</v>
      </c>
      <c r="B65" s="39" t="s">
        <v>103</v>
      </c>
      <c r="C65" s="81" t="s">
        <v>60</v>
      </c>
      <c r="D65" s="28">
        <v>10</v>
      </c>
      <c r="E65" s="68">
        <v>20</v>
      </c>
      <c r="F65" s="29"/>
      <c r="G65" s="9">
        <f t="shared" si="2"/>
        <v>200</v>
      </c>
      <c r="H65" s="21"/>
      <c r="I65" s="22"/>
    </row>
    <row r="66" spans="1:9" ht="26.4" x14ac:dyDescent="0.25">
      <c r="A66" s="84" t="s">
        <v>107</v>
      </c>
      <c r="B66" s="87" t="s">
        <v>105</v>
      </c>
      <c r="C66" s="81" t="s">
        <v>60</v>
      </c>
      <c r="D66" s="28">
        <v>23</v>
      </c>
      <c r="E66" s="68">
        <v>20</v>
      </c>
      <c r="F66" s="29"/>
      <c r="G66" s="9">
        <f t="shared" si="2"/>
        <v>460</v>
      </c>
      <c r="H66" s="21"/>
      <c r="I66" s="22"/>
    </row>
    <row r="67" spans="1:9" x14ac:dyDescent="0.25">
      <c r="A67" s="10"/>
      <c r="B67" s="87" t="s">
        <v>106</v>
      </c>
      <c r="C67" s="81" t="s">
        <v>60</v>
      </c>
      <c r="D67" s="28">
        <v>5</v>
      </c>
      <c r="E67" s="68">
        <v>100</v>
      </c>
      <c r="F67" s="29"/>
      <c r="G67" s="9">
        <f t="shared" si="2"/>
        <v>500</v>
      </c>
      <c r="H67" s="21"/>
      <c r="I67" s="22"/>
    </row>
    <row r="68" spans="1:9" ht="26.4" x14ac:dyDescent="0.25">
      <c r="A68" s="79" t="s">
        <v>108</v>
      </c>
      <c r="B68" s="39" t="s">
        <v>109</v>
      </c>
      <c r="C68" s="81" t="s">
        <v>8</v>
      </c>
      <c r="D68" s="28">
        <v>60</v>
      </c>
      <c r="E68" s="68">
        <v>50</v>
      </c>
      <c r="F68" s="29"/>
      <c r="G68" s="9">
        <f t="shared" si="2"/>
        <v>3000</v>
      </c>
      <c r="H68" s="21"/>
      <c r="I68" s="22"/>
    </row>
    <row r="69" spans="1:9" x14ac:dyDescent="0.25">
      <c r="A69" s="31"/>
      <c r="B69" s="87" t="s">
        <v>110</v>
      </c>
      <c r="C69" s="81" t="s">
        <v>60</v>
      </c>
      <c r="D69" s="28">
        <v>80</v>
      </c>
      <c r="E69" s="68">
        <v>10</v>
      </c>
      <c r="F69" s="29"/>
      <c r="G69" s="9">
        <f t="shared" si="2"/>
        <v>800</v>
      </c>
      <c r="H69" s="21"/>
      <c r="I69" s="22"/>
    </row>
    <row r="70" spans="1:9" x14ac:dyDescent="0.25">
      <c r="A70" s="31"/>
      <c r="B70" s="39"/>
      <c r="C70" s="28"/>
      <c r="D70" s="28"/>
      <c r="E70" s="68"/>
      <c r="F70" s="29"/>
      <c r="G70" s="9"/>
      <c r="H70" s="21"/>
      <c r="I70" s="22"/>
    </row>
    <row r="71" spans="1:9" x14ac:dyDescent="0.25">
      <c r="A71" s="115"/>
      <c r="B71" s="126" t="s">
        <v>111</v>
      </c>
      <c r="C71" s="96"/>
      <c r="D71" s="96"/>
      <c r="E71" s="97"/>
      <c r="F71" s="117"/>
      <c r="G71" s="99">
        <f>SUM(G62:G69)</f>
        <v>38794</v>
      </c>
      <c r="H71" s="21"/>
      <c r="I71" s="22"/>
    </row>
    <row r="72" spans="1:9" x14ac:dyDescent="0.25">
      <c r="A72" s="10"/>
      <c r="B72" s="39"/>
      <c r="C72" s="28"/>
      <c r="D72" s="28"/>
      <c r="E72" s="68"/>
      <c r="F72" s="29"/>
      <c r="G72" s="9"/>
      <c r="H72" s="21"/>
      <c r="I72" s="22"/>
    </row>
    <row r="73" spans="1:9" x14ac:dyDescent="0.25">
      <c r="A73" s="10"/>
      <c r="B73" s="39"/>
      <c r="C73" s="28"/>
      <c r="D73" s="28"/>
      <c r="E73" s="68"/>
      <c r="F73" s="29"/>
      <c r="G73" s="9"/>
      <c r="H73" s="21"/>
      <c r="I73" s="22"/>
    </row>
    <row r="74" spans="1:9" x14ac:dyDescent="0.25">
      <c r="A74" s="140"/>
      <c r="B74" s="141" t="s">
        <v>112</v>
      </c>
      <c r="C74" s="102"/>
      <c r="D74" s="102"/>
      <c r="E74" s="103"/>
      <c r="F74" s="104"/>
      <c r="G74" s="104"/>
      <c r="H74" s="21"/>
      <c r="I74" s="22"/>
    </row>
    <row r="75" spans="1:9" x14ac:dyDescent="0.25">
      <c r="A75" s="84"/>
      <c r="B75" s="27"/>
      <c r="C75" s="28"/>
      <c r="D75" s="28"/>
      <c r="E75" s="67"/>
      <c r="F75" s="29"/>
      <c r="G75" s="29"/>
      <c r="H75" s="21"/>
      <c r="I75" s="22"/>
    </row>
    <row r="76" spans="1:9" ht="39.6" x14ac:dyDescent="0.25">
      <c r="A76" s="79" t="s">
        <v>114</v>
      </c>
      <c r="B76" s="87" t="s">
        <v>113</v>
      </c>
      <c r="C76" s="81" t="s">
        <v>60</v>
      </c>
      <c r="D76" s="28">
        <v>24</v>
      </c>
      <c r="E76" s="68">
        <v>220</v>
      </c>
      <c r="F76" s="29"/>
      <c r="G76" s="9">
        <f t="shared" ref="G76:G81" si="3">D76*E76</f>
        <v>5280</v>
      </c>
      <c r="H76" s="21"/>
      <c r="I76" s="22"/>
    </row>
    <row r="77" spans="1:9" ht="26.4" x14ac:dyDescent="0.25">
      <c r="A77" s="79" t="s">
        <v>115</v>
      </c>
      <c r="B77" s="39" t="s">
        <v>116</v>
      </c>
      <c r="C77" s="81" t="s">
        <v>60</v>
      </c>
      <c r="D77" s="28">
        <v>38</v>
      </c>
      <c r="E77" s="68">
        <v>80</v>
      </c>
      <c r="F77" s="29"/>
      <c r="G77" s="9">
        <f t="shared" si="3"/>
        <v>3040</v>
      </c>
      <c r="H77" s="21"/>
      <c r="I77" s="22"/>
    </row>
    <row r="78" spans="1:9" x14ac:dyDescent="0.25">
      <c r="A78" s="31"/>
      <c r="B78" s="87" t="s">
        <v>117</v>
      </c>
      <c r="C78" s="81" t="s">
        <v>10</v>
      </c>
      <c r="D78" s="28">
        <v>1</v>
      </c>
      <c r="E78" s="68">
        <v>1000</v>
      </c>
      <c r="F78" s="29"/>
      <c r="G78" s="9">
        <f t="shared" si="3"/>
        <v>1000</v>
      </c>
      <c r="H78" s="21"/>
      <c r="I78" s="22"/>
    </row>
    <row r="79" spans="1:9" x14ac:dyDescent="0.25">
      <c r="A79" s="31"/>
      <c r="B79" s="39" t="s">
        <v>118</v>
      </c>
      <c r="C79" s="81" t="s">
        <v>10</v>
      </c>
      <c r="D79" s="28">
        <v>1</v>
      </c>
      <c r="E79" s="68">
        <v>1500</v>
      </c>
      <c r="F79" s="29"/>
      <c r="G79" s="9">
        <f t="shared" si="3"/>
        <v>1500</v>
      </c>
      <c r="H79" s="21"/>
      <c r="I79" s="22"/>
    </row>
    <row r="80" spans="1:9" ht="26.4" x14ac:dyDescent="0.25">
      <c r="A80" s="79" t="s">
        <v>119</v>
      </c>
      <c r="B80" s="87" t="s">
        <v>120</v>
      </c>
      <c r="C80" s="81"/>
      <c r="D80" s="28"/>
      <c r="E80" s="68"/>
      <c r="F80" s="29"/>
      <c r="G80" s="9">
        <f t="shared" si="3"/>
        <v>0</v>
      </c>
      <c r="H80" s="21"/>
      <c r="I80" s="22"/>
    </row>
    <row r="81" spans="1:9" x14ac:dyDescent="0.25">
      <c r="A81" s="31"/>
      <c r="B81" s="87" t="s">
        <v>121</v>
      </c>
      <c r="C81" s="81" t="s">
        <v>60</v>
      </c>
      <c r="D81" s="28">
        <v>60</v>
      </c>
      <c r="E81" s="68">
        <v>80</v>
      </c>
      <c r="F81" s="29"/>
      <c r="G81" s="9">
        <f t="shared" si="3"/>
        <v>4800</v>
      </c>
      <c r="H81" s="21"/>
      <c r="I81" s="22"/>
    </row>
    <row r="82" spans="1:9" x14ac:dyDescent="0.25">
      <c r="A82" s="31"/>
      <c r="B82" s="87" t="s">
        <v>122</v>
      </c>
      <c r="C82" s="81" t="s">
        <v>60</v>
      </c>
      <c r="D82" s="28">
        <v>20</v>
      </c>
      <c r="E82" s="68">
        <v>160</v>
      </c>
      <c r="F82" s="29"/>
      <c r="G82" s="9">
        <f t="shared" ref="G82:G83" si="4">D82*E82</f>
        <v>3200</v>
      </c>
      <c r="H82" s="21"/>
      <c r="I82" s="22"/>
    </row>
    <row r="83" spans="1:9" x14ac:dyDescent="0.25">
      <c r="A83" s="31"/>
      <c r="B83" s="39" t="s">
        <v>118</v>
      </c>
      <c r="C83" s="81" t="s">
        <v>10</v>
      </c>
      <c r="D83" s="28">
        <v>1</v>
      </c>
      <c r="E83" s="68">
        <v>1500</v>
      </c>
      <c r="F83" s="29"/>
      <c r="G83" s="9">
        <f t="shared" si="4"/>
        <v>1500</v>
      </c>
      <c r="H83" s="21"/>
      <c r="I83" s="22"/>
    </row>
    <row r="84" spans="1:9" x14ac:dyDescent="0.25">
      <c r="A84" s="31"/>
      <c r="B84" s="39"/>
      <c r="C84" s="28"/>
      <c r="D84" s="28"/>
      <c r="E84" s="68"/>
      <c r="F84" s="29"/>
      <c r="G84" s="9"/>
      <c r="H84" s="21"/>
      <c r="I84" s="22"/>
    </row>
    <row r="85" spans="1:9" x14ac:dyDescent="0.25">
      <c r="A85" s="94"/>
      <c r="B85" s="127" t="s">
        <v>123</v>
      </c>
      <c r="C85" s="96"/>
      <c r="D85" s="96"/>
      <c r="E85" s="97"/>
      <c r="F85" s="117"/>
      <c r="G85" s="99">
        <f>SUM(G76:G83)</f>
        <v>20320</v>
      </c>
      <c r="H85" s="21"/>
      <c r="I85" s="22"/>
    </row>
    <row r="86" spans="1:9" x14ac:dyDescent="0.25">
      <c r="A86" s="31"/>
      <c r="B86" s="39"/>
      <c r="C86" s="28"/>
      <c r="D86" s="28"/>
      <c r="E86" s="68"/>
      <c r="F86" s="29"/>
      <c r="G86" s="9"/>
      <c r="H86" s="21"/>
      <c r="I86" s="22"/>
    </row>
    <row r="87" spans="1:9" x14ac:dyDescent="0.25">
      <c r="A87" s="31"/>
      <c r="B87" s="39"/>
      <c r="C87" s="28"/>
      <c r="D87" s="28"/>
      <c r="E87" s="68"/>
      <c r="F87" s="29"/>
      <c r="G87" s="9"/>
      <c r="H87" s="21"/>
      <c r="I87" s="22"/>
    </row>
    <row r="88" spans="1:9" x14ac:dyDescent="0.25">
      <c r="A88" s="140"/>
      <c r="B88" s="141" t="s">
        <v>124</v>
      </c>
      <c r="C88" s="102"/>
      <c r="D88" s="102"/>
      <c r="E88" s="103"/>
      <c r="F88" s="104"/>
      <c r="G88" s="104"/>
      <c r="H88" s="21"/>
      <c r="I88" s="22"/>
    </row>
    <row r="89" spans="1:9" x14ac:dyDescent="0.25">
      <c r="A89" s="88"/>
      <c r="B89" s="26"/>
      <c r="C89" s="28"/>
      <c r="D89" s="28"/>
      <c r="E89" s="67"/>
      <c r="F89" s="29"/>
      <c r="G89" s="29"/>
      <c r="H89" s="21"/>
      <c r="I89" s="22"/>
    </row>
    <row r="90" spans="1:9" ht="26.4" x14ac:dyDescent="0.25">
      <c r="A90" s="79" t="s">
        <v>125</v>
      </c>
      <c r="B90" s="39" t="s">
        <v>126</v>
      </c>
      <c r="C90" s="81" t="s">
        <v>10</v>
      </c>
      <c r="D90" s="28">
        <v>2</v>
      </c>
      <c r="E90" s="68">
        <v>3000</v>
      </c>
      <c r="F90" s="29"/>
      <c r="G90" s="9">
        <f t="shared" ref="G90:G93" si="5">D90*E90</f>
        <v>6000</v>
      </c>
      <c r="H90" s="21"/>
      <c r="I90" s="22"/>
    </row>
    <row r="91" spans="1:9" ht="26.4" x14ac:dyDescent="0.25">
      <c r="A91" s="79" t="s">
        <v>127</v>
      </c>
      <c r="B91" s="39" t="s">
        <v>128</v>
      </c>
      <c r="C91" s="81" t="s">
        <v>10</v>
      </c>
      <c r="D91" s="28">
        <v>1</v>
      </c>
      <c r="E91" s="68">
        <v>2000</v>
      </c>
      <c r="F91" s="29"/>
      <c r="G91" s="9">
        <f t="shared" si="5"/>
        <v>2000</v>
      </c>
      <c r="H91" s="21"/>
      <c r="I91" s="22"/>
    </row>
    <row r="92" spans="1:9" ht="26.4" x14ac:dyDescent="0.25">
      <c r="A92" s="79" t="s">
        <v>129</v>
      </c>
      <c r="B92" s="39" t="s">
        <v>130</v>
      </c>
      <c r="C92" s="81" t="s">
        <v>10</v>
      </c>
      <c r="D92" s="28">
        <v>156</v>
      </c>
      <c r="E92" s="68">
        <v>20</v>
      </c>
      <c r="F92" s="29"/>
      <c r="G92" s="9">
        <f t="shared" si="5"/>
        <v>3120</v>
      </c>
      <c r="H92" s="21"/>
      <c r="I92" s="22"/>
    </row>
    <row r="93" spans="1:9" ht="26.4" x14ac:dyDescent="0.25">
      <c r="A93" s="79" t="s">
        <v>131</v>
      </c>
      <c r="B93" s="39" t="s">
        <v>132</v>
      </c>
      <c r="C93" s="81" t="s">
        <v>10</v>
      </c>
      <c r="D93" s="28">
        <v>2</v>
      </c>
      <c r="E93" s="68">
        <v>1500</v>
      </c>
      <c r="F93" s="29"/>
      <c r="G93" s="9">
        <f t="shared" si="5"/>
        <v>3000</v>
      </c>
      <c r="H93" s="21"/>
      <c r="I93" s="22"/>
    </row>
    <row r="94" spans="1:9" x14ac:dyDescent="0.25">
      <c r="A94" s="31"/>
      <c r="B94" s="39"/>
      <c r="C94" s="28"/>
      <c r="D94" s="28"/>
      <c r="E94" s="68"/>
      <c r="F94" s="29"/>
      <c r="G94" s="9"/>
      <c r="H94" s="21"/>
      <c r="I94" s="22"/>
    </row>
    <row r="95" spans="1:9" x14ac:dyDescent="0.25">
      <c r="A95" s="94"/>
      <c r="B95" s="126" t="s">
        <v>133</v>
      </c>
      <c r="C95" s="96"/>
      <c r="D95" s="96"/>
      <c r="E95" s="97"/>
      <c r="F95" s="117"/>
      <c r="G95" s="99">
        <f>SUM(G90:G93)</f>
        <v>14120</v>
      </c>
      <c r="H95" s="21"/>
      <c r="I95" s="22"/>
    </row>
    <row r="96" spans="1:9" x14ac:dyDescent="0.25">
      <c r="A96" s="31"/>
      <c r="B96" s="39"/>
      <c r="C96" s="28"/>
      <c r="D96" s="28"/>
      <c r="E96" s="68"/>
      <c r="F96" s="29"/>
      <c r="G96" s="9"/>
      <c r="H96" s="21"/>
      <c r="I96" s="22"/>
    </row>
    <row r="97" spans="1:9" x14ac:dyDescent="0.25">
      <c r="A97" s="31"/>
      <c r="B97" s="39"/>
      <c r="C97" s="28"/>
      <c r="D97" s="28"/>
      <c r="E97" s="67"/>
      <c r="F97" s="29"/>
      <c r="G97" s="29"/>
      <c r="H97" s="21"/>
      <c r="I97" s="22"/>
    </row>
    <row r="98" spans="1:9" x14ac:dyDescent="0.25">
      <c r="A98" s="110"/>
      <c r="B98" s="111" t="s">
        <v>134</v>
      </c>
      <c r="C98" s="112"/>
      <c r="D98" s="112"/>
      <c r="E98" s="146"/>
      <c r="F98" s="147"/>
      <c r="G98" s="147"/>
      <c r="H98" s="21"/>
      <c r="I98" s="22"/>
    </row>
    <row r="99" spans="1:9" ht="26.4" x14ac:dyDescent="0.25">
      <c r="A99" s="79" t="s">
        <v>135</v>
      </c>
      <c r="B99" s="39" t="s">
        <v>136</v>
      </c>
      <c r="C99" s="28"/>
      <c r="D99" s="28"/>
      <c r="E99" s="68"/>
      <c r="F99" s="29"/>
      <c r="G99" s="9">
        <f t="shared" ref="G99:G104" si="6">D99*E99</f>
        <v>0</v>
      </c>
      <c r="H99" s="21"/>
      <c r="I99" s="22"/>
    </row>
    <row r="100" spans="1:9" x14ac:dyDescent="0.25">
      <c r="A100" s="31"/>
      <c r="B100" s="87" t="s">
        <v>137</v>
      </c>
      <c r="C100" s="81" t="s">
        <v>60</v>
      </c>
      <c r="D100" s="28">
        <v>50</v>
      </c>
      <c r="E100" s="68">
        <v>10</v>
      </c>
      <c r="F100" s="29"/>
      <c r="G100" s="9">
        <f t="shared" si="6"/>
        <v>500</v>
      </c>
      <c r="H100" s="21"/>
      <c r="I100" s="22"/>
    </row>
    <row r="101" spans="1:9" x14ac:dyDescent="0.25">
      <c r="A101" s="31"/>
      <c r="B101" s="87" t="s">
        <v>138</v>
      </c>
      <c r="C101" s="81" t="s">
        <v>10</v>
      </c>
      <c r="D101" s="28">
        <v>6</v>
      </c>
      <c r="E101" s="68">
        <v>2</v>
      </c>
      <c r="F101" s="29"/>
      <c r="G101" s="9">
        <f t="shared" si="6"/>
        <v>12</v>
      </c>
      <c r="H101" s="21"/>
      <c r="I101" s="22"/>
    </row>
    <row r="102" spans="1:9" x14ac:dyDescent="0.25">
      <c r="A102" s="31"/>
      <c r="B102" s="87" t="s">
        <v>139</v>
      </c>
      <c r="C102" s="81" t="s">
        <v>60</v>
      </c>
      <c r="D102" s="28">
        <v>50</v>
      </c>
      <c r="E102" s="68">
        <v>2</v>
      </c>
      <c r="F102" s="29"/>
      <c r="G102" s="9">
        <f t="shared" si="6"/>
        <v>100</v>
      </c>
      <c r="H102" s="21"/>
      <c r="I102" s="22"/>
    </row>
    <row r="103" spans="1:9" x14ac:dyDescent="0.25">
      <c r="A103" s="31"/>
      <c r="B103" s="87" t="s">
        <v>140</v>
      </c>
      <c r="C103" s="81" t="s">
        <v>60</v>
      </c>
      <c r="D103" s="28">
        <v>50</v>
      </c>
      <c r="E103" s="68">
        <v>2</v>
      </c>
      <c r="F103" s="29"/>
      <c r="G103" s="9">
        <f t="shared" si="6"/>
        <v>100</v>
      </c>
      <c r="H103" s="21"/>
      <c r="I103" s="22"/>
    </row>
    <row r="104" spans="1:9" ht="39.6" x14ac:dyDescent="0.25">
      <c r="A104" s="79" t="s">
        <v>141</v>
      </c>
      <c r="B104" s="39" t="s">
        <v>142</v>
      </c>
      <c r="C104" s="28"/>
      <c r="D104" s="28"/>
      <c r="E104" s="68"/>
      <c r="F104" s="29"/>
      <c r="G104" s="9">
        <f t="shared" si="6"/>
        <v>0</v>
      </c>
      <c r="H104" s="21"/>
      <c r="I104" s="22"/>
    </row>
    <row r="105" spans="1:9" x14ac:dyDescent="0.25">
      <c r="A105" s="31"/>
      <c r="B105" s="87" t="s">
        <v>143</v>
      </c>
      <c r="C105" s="81" t="s">
        <v>60</v>
      </c>
      <c r="D105" s="28">
        <v>36</v>
      </c>
      <c r="E105" s="68">
        <v>25</v>
      </c>
      <c r="F105" s="29"/>
      <c r="G105" s="9">
        <f t="shared" ref="G105" si="7">D105*E105</f>
        <v>900</v>
      </c>
      <c r="H105" s="21"/>
      <c r="I105" s="22"/>
    </row>
    <row r="106" spans="1:9" x14ac:dyDescent="0.25">
      <c r="A106" s="31"/>
      <c r="B106" s="39"/>
      <c r="C106" s="28"/>
      <c r="D106" s="28"/>
      <c r="E106" s="68"/>
      <c r="F106" s="29"/>
      <c r="G106" s="9"/>
      <c r="H106" s="21"/>
      <c r="I106" s="22"/>
    </row>
    <row r="107" spans="1:9" x14ac:dyDescent="0.25">
      <c r="A107" s="94"/>
      <c r="B107" s="126" t="s">
        <v>144</v>
      </c>
      <c r="C107" s="96"/>
      <c r="D107" s="96"/>
      <c r="E107" s="97"/>
      <c r="F107" s="117"/>
      <c r="G107" s="99">
        <f>SUM(G99:G105)</f>
        <v>1612</v>
      </c>
      <c r="H107" s="21"/>
      <c r="I107" s="22"/>
    </row>
    <row r="108" spans="1:9" x14ac:dyDescent="0.25">
      <c r="A108" s="31"/>
      <c r="B108" s="39"/>
      <c r="C108" s="28"/>
      <c r="D108" s="28"/>
      <c r="E108" s="68"/>
      <c r="F108" s="29"/>
      <c r="G108" s="9"/>
      <c r="H108" s="21"/>
      <c r="I108" s="22"/>
    </row>
    <row r="109" spans="1:9" x14ac:dyDescent="0.25">
      <c r="A109" s="140"/>
      <c r="B109" s="141" t="s">
        <v>171</v>
      </c>
      <c r="C109" s="102"/>
      <c r="D109" s="102"/>
      <c r="E109" s="113"/>
      <c r="F109" s="104"/>
      <c r="G109" s="114"/>
      <c r="H109" s="21"/>
      <c r="I109" s="22"/>
    </row>
    <row r="110" spans="1:9" ht="26.4" x14ac:dyDescent="0.25">
      <c r="A110" s="79" t="s">
        <v>145</v>
      </c>
      <c r="B110" s="87" t="s">
        <v>146</v>
      </c>
      <c r="C110" s="81" t="s">
        <v>10</v>
      </c>
      <c r="D110" s="28">
        <v>2</v>
      </c>
      <c r="E110" s="68">
        <v>1500</v>
      </c>
      <c r="F110" s="29"/>
      <c r="G110" s="9">
        <f t="shared" ref="G110:G115" si="8">D110*E110</f>
        <v>3000</v>
      </c>
      <c r="H110" s="21"/>
      <c r="I110" s="22"/>
    </row>
    <row r="111" spans="1:9" ht="26.4" x14ac:dyDescent="0.25">
      <c r="A111" s="79" t="s">
        <v>147</v>
      </c>
      <c r="B111" s="87" t="s">
        <v>148</v>
      </c>
      <c r="C111" s="81" t="s">
        <v>10</v>
      </c>
      <c r="D111" s="28">
        <v>2</v>
      </c>
      <c r="E111" s="68">
        <v>500</v>
      </c>
      <c r="F111" s="29"/>
      <c r="G111" s="9">
        <f t="shared" si="8"/>
        <v>1000</v>
      </c>
      <c r="H111" s="21"/>
      <c r="I111" s="22"/>
    </row>
    <row r="112" spans="1:9" x14ac:dyDescent="0.25">
      <c r="A112" s="79" t="s">
        <v>149</v>
      </c>
      <c r="B112" s="39" t="s">
        <v>150</v>
      </c>
      <c r="C112" s="28"/>
      <c r="D112" s="28"/>
      <c r="E112" s="68"/>
      <c r="F112" s="29"/>
      <c r="G112" s="9">
        <f t="shared" si="8"/>
        <v>0</v>
      </c>
      <c r="H112" s="21"/>
      <c r="I112" s="22"/>
    </row>
    <row r="113" spans="1:10" ht="39.6" x14ac:dyDescent="0.25">
      <c r="A113" s="31"/>
      <c r="B113" s="39" t="s">
        <v>151</v>
      </c>
      <c r="C113" s="81" t="s">
        <v>10</v>
      </c>
      <c r="D113" s="28">
        <v>8</v>
      </c>
      <c r="E113" s="68">
        <v>450</v>
      </c>
      <c r="F113" s="29"/>
      <c r="G113" s="9">
        <f t="shared" si="8"/>
        <v>3600</v>
      </c>
      <c r="H113" s="21"/>
      <c r="I113" s="22"/>
    </row>
    <row r="114" spans="1:10" ht="39.6" x14ac:dyDescent="0.25">
      <c r="A114" s="79" t="s">
        <v>152</v>
      </c>
      <c r="B114" s="39" t="s">
        <v>153</v>
      </c>
      <c r="C114" s="81" t="s">
        <v>10</v>
      </c>
      <c r="D114" s="28">
        <v>2</v>
      </c>
      <c r="E114" s="68">
        <v>200</v>
      </c>
      <c r="F114" s="29"/>
      <c r="G114" s="9">
        <f t="shared" si="8"/>
        <v>400</v>
      </c>
      <c r="H114" s="21"/>
      <c r="I114" s="22"/>
    </row>
    <row r="115" spans="1:10" ht="26.4" x14ac:dyDescent="0.25">
      <c r="A115" s="79" t="s">
        <v>154</v>
      </c>
      <c r="B115" s="39" t="s">
        <v>155</v>
      </c>
      <c r="C115" s="81" t="s">
        <v>10</v>
      </c>
      <c r="D115" s="28">
        <v>2</v>
      </c>
      <c r="E115" s="68">
        <v>300</v>
      </c>
      <c r="F115" s="29"/>
      <c r="G115" s="9">
        <f t="shared" si="8"/>
        <v>600</v>
      </c>
      <c r="H115" s="21"/>
      <c r="I115" s="22"/>
    </row>
    <row r="116" spans="1:10" x14ac:dyDescent="0.25">
      <c r="A116" s="84" t="s">
        <v>156</v>
      </c>
      <c r="B116" s="87" t="s">
        <v>157</v>
      </c>
      <c r="C116" s="128" t="s">
        <v>11</v>
      </c>
      <c r="D116" s="46">
        <v>75</v>
      </c>
      <c r="E116" s="76">
        <v>25</v>
      </c>
      <c r="F116" s="51"/>
      <c r="G116" s="47">
        <f t="shared" ref="G116:G122" si="9">D116*E116</f>
        <v>1875</v>
      </c>
      <c r="H116" s="21"/>
      <c r="I116" s="22"/>
      <c r="J116" s="2"/>
    </row>
    <row r="117" spans="1:10" x14ac:dyDescent="0.25">
      <c r="A117" s="84" t="s">
        <v>158</v>
      </c>
      <c r="B117" s="87" t="s">
        <v>159</v>
      </c>
      <c r="C117" s="128" t="s">
        <v>11</v>
      </c>
      <c r="D117" s="46">
        <v>50</v>
      </c>
      <c r="E117" s="76">
        <v>20</v>
      </c>
      <c r="F117" s="51"/>
      <c r="G117" s="47">
        <f t="shared" si="9"/>
        <v>1000</v>
      </c>
      <c r="H117" s="21"/>
      <c r="I117" s="22"/>
      <c r="J117" s="2"/>
    </row>
    <row r="118" spans="1:10" ht="26.4" x14ac:dyDescent="0.25">
      <c r="A118" s="84" t="s">
        <v>160</v>
      </c>
      <c r="B118" s="87" t="s">
        <v>161</v>
      </c>
      <c r="C118" s="128" t="s">
        <v>10</v>
      </c>
      <c r="D118" s="46">
        <v>2</v>
      </c>
      <c r="E118" s="76">
        <v>600</v>
      </c>
      <c r="F118" s="51"/>
      <c r="G118" s="47">
        <f t="shared" si="9"/>
        <v>1200</v>
      </c>
      <c r="H118" s="21"/>
      <c r="I118" s="22"/>
      <c r="J118" s="2"/>
    </row>
    <row r="119" spans="1:10" x14ac:dyDescent="0.25">
      <c r="A119" s="84" t="s">
        <v>162</v>
      </c>
      <c r="B119" s="87" t="s">
        <v>163</v>
      </c>
      <c r="C119" s="128" t="s">
        <v>10</v>
      </c>
      <c r="D119" s="46">
        <v>2</v>
      </c>
      <c r="E119" s="76">
        <v>400</v>
      </c>
      <c r="F119" s="51"/>
      <c r="G119" s="47">
        <f t="shared" si="9"/>
        <v>800</v>
      </c>
      <c r="H119" s="21"/>
      <c r="I119" s="22"/>
      <c r="J119" s="2"/>
    </row>
    <row r="120" spans="1:10" x14ac:dyDescent="0.25">
      <c r="A120" s="84" t="s">
        <v>164</v>
      </c>
      <c r="B120" s="87" t="s">
        <v>165</v>
      </c>
      <c r="C120" s="128" t="s">
        <v>60</v>
      </c>
      <c r="D120" s="46">
        <v>50</v>
      </c>
      <c r="E120" s="76">
        <v>20</v>
      </c>
      <c r="F120" s="51"/>
      <c r="G120" s="47">
        <f t="shared" si="9"/>
        <v>1000</v>
      </c>
      <c r="H120" s="21"/>
      <c r="I120" s="22"/>
      <c r="J120" s="2"/>
    </row>
    <row r="121" spans="1:10" x14ac:dyDescent="0.25">
      <c r="A121" s="84" t="s">
        <v>166</v>
      </c>
      <c r="B121" s="87" t="s">
        <v>167</v>
      </c>
      <c r="C121" s="128" t="s">
        <v>60</v>
      </c>
      <c r="D121" s="46">
        <v>50</v>
      </c>
      <c r="E121" s="76">
        <v>5</v>
      </c>
      <c r="F121" s="51"/>
      <c r="G121" s="47">
        <f t="shared" si="9"/>
        <v>250</v>
      </c>
      <c r="H121" s="21"/>
      <c r="I121" s="22"/>
      <c r="J121" s="2"/>
    </row>
    <row r="122" spans="1:10" x14ac:dyDescent="0.25">
      <c r="A122" s="84" t="s">
        <v>168</v>
      </c>
      <c r="B122" s="87" t="s">
        <v>169</v>
      </c>
      <c r="C122" s="46" t="s">
        <v>10</v>
      </c>
      <c r="D122" s="46">
        <v>1</v>
      </c>
      <c r="E122" s="76">
        <v>800</v>
      </c>
      <c r="F122" s="51"/>
      <c r="G122" s="47">
        <f t="shared" si="9"/>
        <v>800</v>
      </c>
      <c r="H122" s="21"/>
      <c r="I122" s="22"/>
      <c r="J122" s="2"/>
    </row>
    <row r="123" spans="1:10" x14ac:dyDescent="0.25">
      <c r="A123" s="10"/>
      <c r="B123" s="45"/>
      <c r="C123" s="46"/>
      <c r="D123" s="46"/>
      <c r="E123" s="76"/>
      <c r="F123" s="51"/>
      <c r="G123" s="47"/>
      <c r="H123" s="21"/>
      <c r="I123" s="22"/>
      <c r="J123" s="2"/>
    </row>
    <row r="124" spans="1:10" x14ac:dyDescent="0.25">
      <c r="A124" s="115"/>
      <c r="B124" s="129" t="s">
        <v>170</v>
      </c>
      <c r="C124" s="130"/>
      <c r="D124" s="130"/>
      <c r="E124" s="131"/>
      <c r="F124" s="132"/>
      <c r="G124" s="137">
        <f>SUM(G110:G122)</f>
        <v>15525</v>
      </c>
      <c r="H124" s="21"/>
      <c r="I124" s="22"/>
    </row>
    <row r="125" spans="1:10" x14ac:dyDescent="0.25">
      <c r="A125" s="10"/>
      <c r="B125" s="45"/>
      <c r="C125" s="28"/>
      <c r="D125" s="28"/>
      <c r="E125" s="68"/>
      <c r="F125" s="51"/>
      <c r="G125" s="12"/>
      <c r="H125" s="21"/>
      <c r="I125" s="22"/>
    </row>
    <row r="126" spans="1:10" x14ac:dyDescent="0.25">
      <c r="A126" s="121"/>
      <c r="B126" s="142" t="s">
        <v>172</v>
      </c>
      <c r="C126" s="143"/>
      <c r="D126" s="143"/>
      <c r="E126" s="144"/>
      <c r="F126" s="145"/>
      <c r="G126" s="143"/>
      <c r="H126" s="21"/>
      <c r="I126" s="22"/>
    </row>
    <row r="127" spans="1:10" ht="66" x14ac:dyDescent="0.25">
      <c r="A127" s="133" t="s">
        <v>175</v>
      </c>
      <c r="B127" s="87" t="s">
        <v>173</v>
      </c>
      <c r="C127" s="128" t="s">
        <v>8</v>
      </c>
      <c r="D127" s="46">
        <v>300</v>
      </c>
      <c r="E127" s="76">
        <v>8</v>
      </c>
      <c r="F127" s="51"/>
      <c r="G127" s="47">
        <f>D127*E127</f>
        <v>2400</v>
      </c>
      <c r="H127" s="21"/>
      <c r="I127" s="22"/>
      <c r="J127" s="2"/>
    </row>
    <row r="128" spans="1:10" x14ac:dyDescent="0.25">
      <c r="A128" s="10"/>
      <c r="B128" s="48"/>
      <c r="C128" s="49"/>
      <c r="D128" s="49"/>
      <c r="E128" s="77"/>
      <c r="F128" s="51"/>
      <c r="G128" s="50"/>
      <c r="H128" s="21"/>
      <c r="I128" s="22"/>
    </row>
    <row r="129" spans="1:10" x14ac:dyDescent="0.25">
      <c r="A129" s="134"/>
      <c r="B129" s="126" t="s">
        <v>174</v>
      </c>
      <c r="C129" s="135"/>
      <c r="D129" s="135"/>
      <c r="E129" s="136"/>
      <c r="F129" s="132"/>
      <c r="G129" s="99">
        <f>SUM(G127:G128)</f>
        <v>2400</v>
      </c>
      <c r="H129" s="21"/>
      <c r="I129" s="22"/>
      <c r="J129" s="2"/>
    </row>
    <row r="130" spans="1:10" x14ac:dyDescent="0.25">
      <c r="A130" s="10"/>
      <c r="B130" s="48"/>
      <c r="C130" s="49"/>
      <c r="D130" s="49"/>
      <c r="E130" s="77"/>
      <c r="F130" s="51"/>
      <c r="G130" s="50"/>
      <c r="H130" s="21"/>
      <c r="I130" s="22"/>
    </row>
    <row r="131" spans="1:10" x14ac:dyDescent="0.25">
      <c r="A131" s="52"/>
      <c r="B131" s="53"/>
      <c r="C131" s="54"/>
      <c r="D131" s="54"/>
      <c r="E131" s="78"/>
      <c r="F131" s="55"/>
      <c r="G131" s="56"/>
      <c r="H131" s="21"/>
      <c r="I131" s="22"/>
    </row>
    <row r="132" spans="1:10" x14ac:dyDescent="0.25">
      <c r="A132" s="10"/>
      <c r="B132" s="10"/>
      <c r="C132" s="10"/>
      <c r="D132" s="10"/>
      <c r="E132" s="70"/>
      <c r="F132" s="11"/>
      <c r="G132" s="11"/>
      <c r="H132" s="21"/>
      <c r="I132" s="22"/>
    </row>
    <row r="133" spans="1:10" x14ac:dyDescent="0.25">
      <c r="A133" s="168" t="s">
        <v>13</v>
      </c>
      <c r="B133" s="169"/>
      <c r="C133" s="169"/>
      <c r="D133" s="169"/>
      <c r="E133" s="169"/>
      <c r="F133" s="169"/>
      <c r="G133" s="170"/>
      <c r="H133" s="21"/>
      <c r="I133" s="22"/>
    </row>
    <row r="134" spans="1:10" x14ac:dyDescent="0.25">
      <c r="A134" s="171"/>
      <c r="B134" s="172"/>
      <c r="C134" s="172"/>
      <c r="D134" s="172"/>
      <c r="E134" s="172"/>
      <c r="F134" s="172"/>
      <c r="G134" s="173"/>
      <c r="H134" s="21"/>
      <c r="I134" s="22"/>
    </row>
    <row r="135" spans="1:10" x14ac:dyDescent="0.25">
      <c r="A135" s="10"/>
      <c r="B135" s="10"/>
      <c r="C135" s="10"/>
      <c r="D135" s="10"/>
      <c r="E135" s="14"/>
      <c r="F135" s="11"/>
      <c r="G135" s="11"/>
      <c r="H135" s="21"/>
      <c r="I135" s="22"/>
    </row>
    <row r="136" spans="1:10" x14ac:dyDescent="0.25">
      <c r="A136" s="152" t="s">
        <v>176</v>
      </c>
      <c r="B136" s="174" t="s">
        <v>22</v>
      </c>
      <c r="C136" s="175"/>
      <c r="D136" s="175"/>
      <c r="E136" s="175"/>
      <c r="F136" s="176"/>
      <c r="G136" s="7" t="s">
        <v>0</v>
      </c>
      <c r="H136" s="21"/>
      <c r="I136" s="22"/>
    </row>
    <row r="137" spans="1:10" x14ac:dyDescent="0.25">
      <c r="A137" s="10"/>
      <c r="B137" s="10"/>
      <c r="C137" s="10"/>
      <c r="D137" s="10"/>
      <c r="E137" s="11"/>
      <c r="F137" s="11"/>
      <c r="G137" s="12"/>
      <c r="H137" s="21"/>
      <c r="I137" s="22"/>
    </row>
    <row r="138" spans="1:10" x14ac:dyDescent="0.25">
      <c r="A138" s="149"/>
      <c r="B138" s="177" t="s">
        <v>43</v>
      </c>
      <c r="C138" s="178"/>
      <c r="D138" s="178"/>
      <c r="E138" s="178"/>
      <c r="F138" s="179"/>
      <c r="G138" s="150">
        <f>G12</f>
        <v>2200</v>
      </c>
      <c r="H138" s="21"/>
      <c r="I138" s="22"/>
    </row>
    <row r="139" spans="1:10" x14ac:dyDescent="0.25">
      <c r="A139" s="10"/>
      <c r="B139" s="10"/>
      <c r="C139" s="10"/>
      <c r="D139" s="10"/>
      <c r="E139" s="14"/>
      <c r="F139" s="11"/>
      <c r="G139" s="11"/>
      <c r="H139" s="21"/>
      <c r="I139" s="22"/>
    </row>
    <row r="140" spans="1:10" x14ac:dyDescent="0.25">
      <c r="A140" s="152" t="s">
        <v>177</v>
      </c>
      <c r="B140" s="174" t="s">
        <v>27</v>
      </c>
      <c r="C140" s="175"/>
      <c r="D140" s="175"/>
      <c r="E140" s="175"/>
      <c r="F140" s="176"/>
      <c r="G140" s="7" t="s">
        <v>0</v>
      </c>
      <c r="H140" s="21"/>
      <c r="I140" s="22"/>
    </row>
    <row r="141" spans="1:10" x14ac:dyDescent="0.25">
      <c r="A141" s="8"/>
      <c r="B141" s="180"/>
      <c r="C141" s="175"/>
      <c r="D141" s="175"/>
      <c r="E141" s="175"/>
      <c r="F141" s="176"/>
      <c r="G141" s="9"/>
      <c r="H141" s="21"/>
      <c r="I141" s="22"/>
    </row>
    <row r="142" spans="1:10" x14ac:dyDescent="0.25">
      <c r="A142" s="151"/>
      <c r="B142" s="181" t="s">
        <v>63</v>
      </c>
      <c r="C142" s="178"/>
      <c r="D142" s="178"/>
      <c r="E142" s="178"/>
      <c r="F142" s="179"/>
      <c r="G142" s="99">
        <f>G21</f>
        <v>12252</v>
      </c>
      <c r="H142" s="21"/>
      <c r="I142" s="22"/>
    </row>
    <row r="143" spans="1:10" x14ac:dyDescent="0.25">
      <c r="A143" s="8"/>
      <c r="B143" s="180"/>
      <c r="C143" s="175"/>
      <c r="D143" s="175"/>
      <c r="E143" s="175"/>
      <c r="F143" s="176"/>
      <c r="G143" s="9"/>
      <c r="H143" s="21"/>
      <c r="I143" s="22"/>
    </row>
    <row r="144" spans="1:10" x14ac:dyDescent="0.25">
      <c r="A144" s="154" t="s">
        <v>178</v>
      </c>
      <c r="B144" s="182" t="s">
        <v>36</v>
      </c>
      <c r="C144" s="183"/>
      <c r="D144" s="183"/>
      <c r="E144" s="183"/>
      <c r="F144" s="184"/>
      <c r="G144" s="155" t="s">
        <v>0</v>
      </c>
      <c r="H144" s="21"/>
      <c r="I144" s="22"/>
    </row>
    <row r="145" spans="1:9" x14ac:dyDescent="0.25">
      <c r="A145" s="8"/>
      <c r="B145" s="180"/>
      <c r="C145" s="175"/>
      <c r="D145" s="175"/>
      <c r="E145" s="175"/>
      <c r="F145" s="176"/>
      <c r="G145" s="9"/>
      <c r="H145" s="21"/>
      <c r="I145" s="22"/>
    </row>
    <row r="146" spans="1:9" x14ac:dyDescent="0.25">
      <c r="A146" s="151"/>
      <c r="B146" s="181" t="s">
        <v>64</v>
      </c>
      <c r="C146" s="178"/>
      <c r="D146" s="178"/>
      <c r="E146" s="178"/>
      <c r="F146" s="179"/>
      <c r="G146" s="99">
        <f>G36</f>
        <v>14231.5</v>
      </c>
      <c r="H146" s="21"/>
      <c r="I146" s="22"/>
    </row>
    <row r="147" spans="1:9" x14ac:dyDescent="0.25">
      <c r="A147" s="10"/>
      <c r="B147" s="10"/>
      <c r="C147" s="10"/>
      <c r="D147" s="10"/>
      <c r="E147" s="11"/>
      <c r="F147" s="11"/>
      <c r="G147" s="12"/>
      <c r="H147" s="21"/>
      <c r="I147" s="22"/>
    </row>
    <row r="148" spans="1:9" x14ac:dyDescent="0.25">
      <c r="A148" s="153" t="s">
        <v>179</v>
      </c>
      <c r="B148" s="185" t="s">
        <v>66</v>
      </c>
      <c r="C148" s="175"/>
      <c r="D148" s="175"/>
      <c r="E148" s="175"/>
      <c r="F148" s="176"/>
      <c r="G148" s="164" t="s">
        <v>0</v>
      </c>
      <c r="H148" s="21"/>
      <c r="I148" s="22"/>
    </row>
    <row r="149" spans="1:9" x14ac:dyDescent="0.25">
      <c r="A149" s="10"/>
      <c r="B149" s="10"/>
      <c r="C149" s="10"/>
      <c r="D149" s="10"/>
      <c r="E149" s="14"/>
      <c r="F149" s="11"/>
      <c r="G149" s="11"/>
      <c r="H149" s="21"/>
      <c r="I149" s="22"/>
    </row>
    <row r="150" spans="1:9" x14ac:dyDescent="0.25">
      <c r="A150" s="115"/>
      <c r="B150" s="160"/>
      <c r="C150" s="161"/>
      <c r="D150" s="161"/>
      <c r="E150" s="162"/>
      <c r="F150" s="163"/>
      <c r="G150" s="165">
        <f>G58</f>
        <v>45430</v>
      </c>
      <c r="H150" s="21"/>
      <c r="I150" s="22"/>
    </row>
    <row r="151" spans="1:9" x14ac:dyDescent="0.25">
      <c r="A151" s="10"/>
      <c r="B151" s="156"/>
      <c r="C151" s="157"/>
      <c r="D151" s="157"/>
      <c r="E151" s="158"/>
      <c r="F151" s="159"/>
      <c r="G151" s="11"/>
      <c r="H151" s="21"/>
      <c r="I151" s="22"/>
    </row>
    <row r="152" spans="1:9" x14ac:dyDescent="0.25">
      <c r="A152" s="152" t="s">
        <v>180</v>
      </c>
      <c r="B152" s="174" t="s">
        <v>96</v>
      </c>
      <c r="C152" s="175"/>
      <c r="D152" s="175"/>
      <c r="E152" s="175"/>
      <c r="F152" s="176"/>
      <c r="G152" s="7" t="s">
        <v>0</v>
      </c>
      <c r="H152" s="21"/>
      <c r="I152" s="22"/>
    </row>
    <row r="153" spans="1:9" x14ac:dyDescent="0.25">
      <c r="A153" s="8"/>
      <c r="B153" s="180"/>
      <c r="C153" s="175"/>
      <c r="D153" s="175"/>
      <c r="E153" s="175"/>
      <c r="F153" s="176"/>
      <c r="G153" s="9"/>
      <c r="H153" s="21"/>
      <c r="I153" s="22"/>
    </row>
    <row r="154" spans="1:9" x14ac:dyDescent="0.25">
      <c r="A154" s="151"/>
      <c r="B154" s="189" t="s">
        <v>111</v>
      </c>
      <c r="C154" s="178"/>
      <c r="D154" s="178"/>
      <c r="E154" s="178"/>
      <c r="F154" s="179"/>
      <c r="G154" s="165">
        <f>G71</f>
        <v>38794</v>
      </c>
      <c r="H154" s="21"/>
      <c r="I154" s="22"/>
    </row>
    <row r="155" spans="1:9" x14ac:dyDescent="0.25">
      <c r="A155" s="8"/>
      <c r="B155" s="180"/>
      <c r="C155" s="175"/>
      <c r="D155" s="175"/>
      <c r="E155" s="175"/>
      <c r="F155" s="176"/>
      <c r="G155" s="9"/>
      <c r="H155" s="21"/>
      <c r="I155" s="22"/>
    </row>
    <row r="156" spans="1:9" x14ac:dyDescent="0.25">
      <c r="A156" s="152" t="s">
        <v>181</v>
      </c>
      <c r="B156" s="174" t="s">
        <v>112</v>
      </c>
      <c r="C156" s="175"/>
      <c r="D156" s="175"/>
      <c r="E156" s="175"/>
      <c r="F156" s="176"/>
      <c r="G156" s="7" t="s">
        <v>0</v>
      </c>
      <c r="H156" s="21"/>
      <c r="I156" s="22"/>
    </row>
    <row r="157" spans="1:9" x14ac:dyDescent="0.25">
      <c r="A157" s="8"/>
      <c r="B157" s="180"/>
      <c r="C157" s="175"/>
      <c r="D157" s="175"/>
      <c r="E157" s="175"/>
      <c r="F157" s="176"/>
      <c r="G157" s="9"/>
      <c r="H157" s="21"/>
      <c r="I157" s="22"/>
    </row>
    <row r="158" spans="1:9" x14ac:dyDescent="0.25">
      <c r="A158" s="151"/>
      <c r="B158" s="181" t="s">
        <v>112</v>
      </c>
      <c r="C158" s="178"/>
      <c r="D158" s="178"/>
      <c r="E158" s="178"/>
      <c r="F158" s="179"/>
      <c r="G158" s="99">
        <f>G85</f>
        <v>20320</v>
      </c>
      <c r="H158" s="21"/>
      <c r="I158" s="22"/>
    </row>
    <row r="159" spans="1:9" x14ac:dyDescent="0.25">
      <c r="A159" s="8"/>
      <c r="B159" s="180"/>
      <c r="C159" s="175"/>
      <c r="D159" s="175"/>
      <c r="E159" s="175"/>
      <c r="F159" s="176"/>
      <c r="G159" s="9"/>
      <c r="H159" s="21"/>
      <c r="I159" s="22"/>
    </row>
    <row r="160" spans="1:9" x14ac:dyDescent="0.25">
      <c r="A160" s="153" t="s">
        <v>182</v>
      </c>
      <c r="B160" s="185" t="s">
        <v>124</v>
      </c>
      <c r="C160" s="175"/>
      <c r="D160" s="175"/>
      <c r="E160" s="175"/>
      <c r="F160" s="176"/>
      <c r="G160" s="13"/>
      <c r="H160" s="21"/>
      <c r="I160" s="22"/>
    </row>
    <row r="161" spans="1:9" x14ac:dyDescent="0.25">
      <c r="A161" s="10"/>
      <c r="B161" s="10"/>
      <c r="C161" s="10"/>
      <c r="D161" s="10"/>
      <c r="E161" s="14"/>
      <c r="F161" s="11"/>
      <c r="G161" s="11"/>
      <c r="H161" s="21"/>
      <c r="I161" s="22"/>
    </row>
    <row r="162" spans="1:9" x14ac:dyDescent="0.25">
      <c r="A162" s="151"/>
      <c r="B162" s="181" t="s">
        <v>124</v>
      </c>
      <c r="C162" s="178"/>
      <c r="D162" s="178"/>
      <c r="E162" s="178"/>
      <c r="F162" s="179"/>
      <c r="G162" s="99">
        <f>G95</f>
        <v>14120</v>
      </c>
      <c r="H162" s="21"/>
      <c r="I162" s="22"/>
    </row>
    <row r="163" spans="1:9" x14ac:dyDescent="0.25">
      <c r="A163" s="10"/>
      <c r="B163" s="10"/>
      <c r="C163" s="10"/>
      <c r="D163" s="10"/>
      <c r="E163" s="14"/>
      <c r="F163" s="11"/>
      <c r="G163" s="11"/>
      <c r="H163" s="21"/>
      <c r="I163" s="22"/>
    </row>
    <row r="164" spans="1:9" x14ac:dyDescent="0.25">
      <c r="A164" s="152" t="s">
        <v>183</v>
      </c>
      <c r="B164" s="174" t="s">
        <v>134</v>
      </c>
      <c r="C164" s="175"/>
      <c r="D164" s="175"/>
      <c r="E164" s="175"/>
      <c r="F164" s="176"/>
      <c r="G164" s="7" t="s">
        <v>0</v>
      </c>
      <c r="H164" s="21"/>
      <c r="I164" s="22"/>
    </row>
    <row r="165" spans="1:9" x14ac:dyDescent="0.25">
      <c r="A165" s="8"/>
      <c r="B165" s="180"/>
      <c r="C165" s="175"/>
      <c r="D165" s="175"/>
      <c r="E165" s="175"/>
      <c r="F165" s="176"/>
      <c r="G165" s="9"/>
      <c r="H165" s="21"/>
      <c r="I165" s="22"/>
    </row>
    <row r="166" spans="1:9" x14ac:dyDescent="0.25">
      <c r="A166" s="151"/>
      <c r="B166" s="181" t="s">
        <v>134</v>
      </c>
      <c r="C166" s="178"/>
      <c r="D166" s="178"/>
      <c r="E166" s="178"/>
      <c r="F166" s="179"/>
      <c r="G166" s="99">
        <f>G107</f>
        <v>1612</v>
      </c>
      <c r="H166" s="21"/>
      <c r="I166" s="22"/>
    </row>
    <row r="167" spans="1:9" x14ac:dyDescent="0.25">
      <c r="A167" s="8"/>
      <c r="B167" s="180"/>
      <c r="C167" s="175"/>
      <c r="D167" s="175"/>
      <c r="E167" s="175"/>
      <c r="F167" s="176"/>
      <c r="G167" s="9"/>
      <c r="H167" s="21"/>
      <c r="I167" s="22"/>
    </row>
    <row r="168" spans="1:9" x14ac:dyDescent="0.25">
      <c r="A168" s="152" t="s">
        <v>185</v>
      </c>
      <c r="B168" s="174" t="s">
        <v>184</v>
      </c>
      <c r="C168" s="175"/>
      <c r="D168" s="175"/>
      <c r="E168" s="175"/>
      <c r="F168" s="176"/>
      <c r="G168" s="7" t="s">
        <v>0</v>
      </c>
      <c r="H168" s="21"/>
      <c r="I168" s="22"/>
    </row>
    <row r="169" spans="1:9" x14ac:dyDescent="0.25">
      <c r="A169" s="8"/>
      <c r="B169" s="180"/>
      <c r="C169" s="175"/>
      <c r="D169" s="175"/>
      <c r="E169" s="175"/>
      <c r="F169" s="176"/>
      <c r="G169" s="9"/>
      <c r="H169" s="21"/>
      <c r="I169" s="22"/>
    </row>
    <row r="170" spans="1:9" x14ac:dyDescent="0.25">
      <c r="A170" s="151"/>
      <c r="B170" s="181" t="s">
        <v>184</v>
      </c>
      <c r="C170" s="178"/>
      <c r="D170" s="178"/>
      <c r="E170" s="178"/>
      <c r="F170" s="179"/>
      <c r="G170" s="99">
        <f>G124</f>
        <v>15525</v>
      </c>
      <c r="H170" s="21"/>
      <c r="I170" s="22"/>
    </row>
    <row r="171" spans="1:9" x14ac:dyDescent="0.25">
      <c r="A171" s="10"/>
      <c r="B171" s="10"/>
      <c r="C171" s="10"/>
      <c r="D171" s="10"/>
      <c r="E171" s="11"/>
      <c r="F171" s="11"/>
      <c r="G171" s="11"/>
      <c r="H171" s="21"/>
      <c r="I171" s="22"/>
    </row>
    <row r="172" spans="1:9" x14ac:dyDescent="0.25">
      <c r="A172" s="153" t="s">
        <v>186</v>
      </c>
      <c r="B172" s="185" t="s">
        <v>172</v>
      </c>
      <c r="C172" s="175"/>
      <c r="D172" s="175"/>
      <c r="E172" s="175"/>
      <c r="F172" s="176"/>
      <c r="G172" s="13"/>
      <c r="H172" s="21"/>
      <c r="I172" s="22"/>
    </row>
    <row r="173" spans="1:9" x14ac:dyDescent="0.25">
      <c r="A173" s="10"/>
      <c r="B173" s="10"/>
      <c r="C173" s="10"/>
      <c r="D173" s="10"/>
      <c r="E173" s="11"/>
      <c r="F173" s="11"/>
      <c r="G173" s="11"/>
      <c r="H173" s="21"/>
      <c r="I173" s="22"/>
    </row>
    <row r="174" spans="1:9" x14ac:dyDescent="0.25">
      <c r="A174" s="151"/>
      <c r="B174" s="181" t="s">
        <v>172</v>
      </c>
      <c r="C174" s="178"/>
      <c r="D174" s="178"/>
      <c r="E174" s="178"/>
      <c r="F174" s="179"/>
      <c r="G174" s="99">
        <f>G129</f>
        <v>2400</v>
      </c>
      <c r="H174" s="21"/>
      <c r="I174" s="22"/>
    </row>
    <row r="175" spans="1:9" x14ac:dyDescent="0.25">
      <c r="A175" s="10"/>
      <c r="B175" s="10"/>
      <c r="C175" s="10"/>
      <c r="D175" s="10"/>
      <c r="E175" s="14"/>
      <c r="F175" s="11"/>
      <c r="G175" s="11"/>
      <c r="H175" s="21"/>
      <c r="I175" s="22"/>
    </row>
    <row r="176" spans="1:9" x14ac:dyDescent="0.25">
      <c r="A176" s="168" t="s">
        <v>1</v>
      </c>
      <c r="B176" s="169"/>
      <c r="C176" s="169"/>
      <c r="D176" s="169"/>
      <c r="E176" s="169"/>
      <c r="F176" s="169"/>
      <c r="G176" s="170"/>
      <c r="H176" s="21"/>
      <c r="I176" s="22"/>
    </row>
    <row r="177" spans="1:9" x14ac:dyDescent="0.25">
      <c r="A177" s="171"/>
      <c r="B177" s="172"/>
      <c r="C177" s="172"/>
      <c r="D177" s="172"/>
      <c r="E177" s="172"/>
      <c r="F177" s="172"/>
      <c r="G177" s="173"/>
      <c r="H177" s="21"/>
      <c r="I177" s="22"/>
    </row>
    <row r="178" spans="1:9" x14ac:dyDescent="0.25">
      <c r="A178" s="15"/>
      <c r="B178" s="186"/>
      <c r="C178" s="175"/>
      <c r="D178" s="175"/>
      <c r="E178" s="175"/>
      <c r="F178" s="176"/>
      <c r="G178" s="16"/>
      <c r="H178" s="21"/>
      <c r="I178" s="22"/>
    </row>
    <row r="179" spans="1:9" x14ac:dyDescent="0.25">
      <c r="A179" s="17"/>
      <c r="B179" s="187" t="s">
        <v>187</v>
      </c>
      <c r="C179" s="175"/>
      <c r="D179" s="175"/>
      <c r="E179" s="175"/>
      <c r="F179" s="176"/>
      <c r="G179" s="18">
        <f>SUM(G138:G174)</f>
        <v>166884.5</v>
      </c>
      <c r="H179" s="21"/>
      <c r="I179" s="22"/>
    </row>
    <row r="180" spans="1:9" x14ac:dyDescent="0.25">
      <c r="A180" s="15"/>
      <c r="B180" s="188" t="s">
        <v>2</v>
      </c>
      <c r="C180" s="175"/>
      <c r="D180" s="175"/>
      <c r="E180" s="176"/>
      <c r="F180" s="19">
        <v>0.25</v>
      </c>
      <c r="G180" s="20">
        <f>G179*F180</f>
        <v>41721.125</v>
      </c>
      <c r="H180" s="21"/>
      <c r="I180" s="22"/>
    </row>
    <row r="181" spans="1:9" x14ac:dyDescent="0.25">
      <c r="A181" s="17"/>
      <c r="B181" s="187" t="s">
        <v>188</v>
      </c>
      <c r="C181" s="175"/>
      <c r="D181" s="175"/>
      <c r="E181" s="175"/>
      <c r="F181" s="176"/>
      <c r="G181" s="18">
        <f>G179+G180</f>
        <v>208605.625</v>
      </c>
      <c r="H181" s="21"/>
      <c r="I181" s="22"/>
    </row>
    <row r="182" spans="1:9" x14ac:dyDescent="0.25">
      <c r="A182" s="2"/>
      <c r="B182" s="2"/>
      <c r="C182" s="2"/>
      <c r="D182" s="2"/>
      <c r="E182" s="21"/>
      <c r="F182" s="5"/>
      <c r="G182" s="5"/>
      <c r="H182" s="21"/>
      <c r="I182" s="22"/>
    </row>
    <row r="183" spans="1:9" ht="15.6" x14ac:dyDescent="0.4">
      <c r="A183" s="57"/>
      <c r="B183" s="191" t="s">
        <v>14</v>
      </c>
      <c r="C183" s="175"/>
      <c r="D183" s="175"/>
      <c r="E183" s="175"/>
      <c r="F183" s="175"/>
      <c r="G183" s="176"/>
      <c r="H183" s="21"/>
      <c r="I183" s="22"/>
    </row>
    <row r="184" spans="1:9" ht="15.6" x14ac:dyDescent="0.4">
      <c r="A184" s="57"/>
      <c r="B184" s="190" t="s">
        <v>15</v>
      </c>
      <c r="C184" s="175"/>
      <c r="D184" s="175"/>
      <c r="E184" s="175"/>
      <c r="F184" s="175"/>
      <c r="G184" s="176"/>
      <c r="H184" s="21"/>
      <c r="I184" s="22"/>
    </row>
    <row r="185" spans="1:9" ht="15.6" x14ac:dyDescent="0.4">
      <c r="A185" s="58"/>
      <c r="B185" s="190" t="s">
        <v>16</v>
      </c>
      <c r="C185" s="175"/>
      <c r="D185" s="175"/>
      <c r="E185" s="175"/>
      <c r="F185" s="175"/>
      <c r="G185" s="176"/>
    </row>
    <row r="186" spans="1:9" ht="15.6" x14ac:dyDescent="0.4">
      <c r="A186" s="58"/>
      <c r="B186" s="190" t="s">
        <v>17</v>
      </c>
      <c r="C186" s="175"/>
      <c r="D186" s="175"/>
      <c r="E186" s="175"/>
      <c r="F186" s="175"/>
      <c r="G186" s="176"/>
    </row>
    <row r="187" spans="1:9" ht="15.6" x14ac:dyDescent="0.4">
      <c r="A187" s="58"/>
      <c r="B187" s="190" t="s">
        <v>18</v>
      </c>
      <c r="C187" s="175"/>
      <c r="D187" s="175"/>
      <c r="E187" s="175"/>
      <c r="F187" s="175"/>
      <c r="G187" s="176"/>
    </row>
    <row r="188" spans="1:9" ht="15.6" x14ac:dyDescent="0.4">
      <c r="A188" s="58"/>
      <c r="B188" s="190" t="s">
        <v>19</v>
      </c>
      <c r="C188" s="175"/>
      <c r="D188" s="175"/>
      <c r="E188" s="175"/>
      <c r="F188" s="175"/>
      <c r="G188" s="176"/>
    </row>
    <row r="189" spans="1:9" ht="15.6" x14ac:dyDescent="0.4">
      <c r="A189" s="58"/>
      <c r="B189" s="190" t="s">
        <v>20</v>
      </c>
      <c r="C189" s="175"/>
      <c r="D189" s="175"/>
      <c r="E189" s="175"/>
      <c r="F189" s="175"/>
      <c r="G189" s="176"/>
    </row>
  </sheetData>
  <mergeCells count="45">
    <mergeCell ref="B160:F160"/>
    <mergeCell ref="B164:F164"/>
    <mergeCell ref="A1:G1"/>
    <mergeCell ref="B4:G4"/>
    <mergeCell ref="B5:G5"/>
    <mergeCell ref="B159:F159"/>
    <mergeCell ref="A133:G134"/>
    <mergeCell ref="B136:F136"/>
    <mergeCell ref="B157:F157"/>
    <mergeCell ref="B138:F138"/>
    <mergeCell ref="B140:F140"/>
    <mergeCell ref="B141:F141"/>
    <mergeCell ref="B142:F142"/>
    <mergeCell ref="B143:F143"/>
    <mergeCell ref="B158:F158"/>
    <mergeCell ref="B162:F162"/>
    <mergeCell ref="A176:G177"/>
    <mergeCell ref="B178:F178"/>
    <mergeCell ref="B165:F165"/>
    <mergeCell ref="B166:F166"/>
    <mergeCell ref="B172:F172"/>
    <mergeCell ref="B167:F167"/>
    <mergeCell ref="B168:F168"/>
    <mergeCell ref="B169:F169"/>
    <mergeCell ref="B170:F170"/>
    <mergeCell ref="B174:F174"/>
    <mergeCell ref="B185:G185"/>
    <mergeCell ref="B186:G186"/>
    <mergeCell ref="B187:G187"/>
    <mergeCell ref="B188:G188"/>
    <mergeCell ref="B189:G189"/>
    <mergeCell ref="B184:G184"/>
    <mergeCell ref="B179:F179"/>
    <mergeCell ref="B180:E180"/>
    <mergeCell ref="B181:F181"/>
    <mergeCell ref="B183:G183"/>
    <mergeCell ref="B153:F153"/>
    <mergeCell ref="B154:F154"/>
    <mergeCell ref="B155:F155"/>
    <mergeCell ref="B156:F156"/>
    <mergeCell ref="B144:F144"/>
    <mergeCell ref="B145:F145"/>
    <mergeCell ref="B146:F146"/>
    <mergeCell ref="B148:F148"/>
    <mergeCell ref="B152:F152"/>
  </mergeCells>
  <pageMargins left="0.25" right="0.25" top="0.75" bottom="0.75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1. naslov</vt:lpstr>
      <vt:lpstr>2. rekapitulacija</vt:lpstr>
      <vt:lpstr>3. troškovnik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2024-12-11T12:50:47Z</dcterms:created>
  <dcterms:modified xsi:type="dcterms:W3CDTF">2025-03-31T12:44:49Z</dcterms:modified>
  <cp:contentStatus/>
</cp:coreProperties>
</file>