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ure\Desktop\NOVI NATJEČAJI 2025\VRTIĆ JASTREBARSKO PROJEKTIRANJE I GRAĐENJE\"/>
    </mc:Choice>
  </mc:AlternateContent>
  <xr:revisionPtr revIDLastSave="0" documentId="8_{0DD0A7A1-C521-4734-9684-902FD9510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OŠKOVNIK" sheetId="2" r:id="rId1"/>
  </sheets>
  <definedNames>
    <definedName name="_xlnm.Print_Area" localSheetId="0">TROŠKOVNIK!$A$2:$G$17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B8u506TEtPDIPwOb0A0Pk2rITjA=="/>
    </ext>
  </extLst>
</workbook>
</file>

<file path=xl/calcChain.xml><?xml version="1.0" encoding="utf-8"?>
<calcChain xmlns="http://schemas.openxmlformats.org/spreadsheetml/2006/main">
  <c r="G11" i="2" l="1"/>
  <c r="G8" i="2"/>
  <c r="G12" i="2" l="1"/>
  <c r="G10" i="2"/>
  <c r="G9" i="2"/>
  <c r="G7" i="2"/>
  <c r="G6" i="2"/>
  <c r="G5" i="2"/>
  <c r="G15" i="2" l="1"/>
  <c r="G16" i="2" l="1"/>
  <c r="G17" i="2" s="1"/>
</calcChain>
</file>

<file path=xl/sharedStrings.xml><?xml version="1.0" encoding="utf-8"?>
<sst xmlns="http://schemas.openxmlformats.org/spreadsheetml/2006/main" count="33" uniqueCount="27">
  <si>
    <t>R.br.</t>
  </si>
  <si>
    <t>Stavka</t>
  </si>
  <si>
    <t>Detaljan opis stavke</t>
  </si>
  <si>
    <t>Jedinica mjere</t>
  </si>
  <si>
    <t>Količina</t>
  </si>
  <si>
    <t>Cijena stavke (bez PDV-a)</t>
  </si>
  <si>
    <t>Ukupna cijena stavke (bez PDV-a)</t>
  </si>
  <si>
    <t>1.</t>
  </si>
  <si>
    <t>Ukupna cijena (bez PDV):</t>
  </si>
  <si>
    <t>Iznos PDV-a:</t>
  </si>
  <si>
    <t>Ukupna cijena s PDV:</t>
  </si>
  <si>
    <t>KOM</t>
  </si>
  <si>
    <t>Projekt izvedenog stanja</t>
  </si>
  <si>
    <t>Projektantski nadzor</t>
  </si>
  <si>
    <t>Izvedbeni projekt i Plan izvođenja radova</t>
  </si>
  <si>
    <t>2.</t>
  </si>
  <si>
    <t>3.</t>
  </si>
  <si>
    <t>Izrada 3D modela i makete</t>
  </si>
  <si>
    <t>KOMPLET</t>
  </si>
  <si>
    <t>Projektiranje područnog vrtića "Radost 6" s kuhinjom u Jastrebarskom</t>
  </si>
  <si>
    <t>Izgradnja područnog vrtića "Radost 6" s kuhinjom u Jastrebarskom</t>
  </si>
  <si>
    <t>Troškovnik - Projektiranje i izgradnja područnog vrtića "Radost 6" s kuhinjom u Jastrebarskom</t>
  </si>
  <si>
    <t>Izvođenje radova</t>
  </si>
  <si>
    <t>Glavni projekt s pripadajućim elaboratima i troškovnicima i ishođenjem akta za gradnju</t>
  </si>
  <si>
    <t>Projekt opreme interijera s pripadajućim troškovnikom i tehničkim dijelom DoN-a</t>
  </si>
  <si>
    <t>Revizija Idejnog rješenja sa ishođenjem Posebnih uvjeta gradnje</t>
  </si>
  <si>
    <t>Usluga projektantskog nadzora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</si>
</sst>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kn&quot;"/>
    <numFmt numFmtId="165" formatCode="#,##0.00\ [$€-1]"/>
    <numFmt numFmtId="166" formatCode="#,##0.00\ &quot;€&quot;"/>
  </numFmts>
  <fonts count="11" x14ac:knownFonts="1">
    <font>
      <sz val="11"/>
      <color theme="1"/>
      <name val="Arial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b/>
      <sz val="12"/>
      <color theme="1"/>
      <name val="Calibri"/>
      <family val="2"/>
      <charset val="238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66"/>
      <name val="Calibri"/>
      <family val="2"/>
    </font>
    <font>
      <b/>
      <sz val="11"/>
      <color theme="1"/>
      <name val="Calibri"/>
      <family val="2"/>
      <charset val="238"/>
    </font>
    <font>
      <sz val="8"/>
      <name val="Arial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2"/>
  </cellStyleXfs>
  <cellXfs count="77">
    <xf numFmtId="0" fontId="0" fillId="0" borderId="0" xfId="0"/>
    <xf numFmtId="0" fontId="6" fillId="0" borderId="2" xfId="1" applyFont="1"/>
    <xf numFmtId="0" fontId="4" fillId="0" borderId="2" xfId="1"/>
    <xf numFmtId="0" fontId="6" fillId="0" borderId="2" xfId="1" applyFont="1" applyAlignment="1">
      <alignment vertical="center"/>
    </xf>
    <xf numFmtId="0" fontId="4" fillId="0" borderId="2" xfId="1" applyAlignment="1">
      <alignment vertical="center"/>
    </xf>
    <xf numFmtId="0" fontId="7" fillId="0" borderId="2" xfId="1" applyFont="1" applyAlignment="1">
      <alignment vertical="center" wrapText="1"/>
    </xf>
    <xf numFmtId="0" fontId="8" fillId="0" borderId="2" xfId="1" applyFont="1" applyAlignment="1">
      <alignment horizontal="right"/>
    </xf>
    <xf numFmtId="0" fontId="6" fillId="0" borderId="20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65" fontId="6" fillId="0" borderId="23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65" fontId="6" fillId="0" borderId="25" xfId="1" applyNumberFormat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165" fontId="3" fillId="0" borderId="14" xfId="1" applyNumberFormat="1" applyFont="1" applyBorder="1" applyAlignment="1">
      <alignment horizontal="center" vertical="center"/>
    </xf>
    <xf numFmtId="0" fontId="1" fillId="0" borderId="32" xfId="1" applyFont="1" applyBorder="1" applyAlignment="1">
      <alignment horizontal="center" vertical="center" wrapText="1"/>
    </xf>
    <xf numFmtId="0" fontId="1" fillId="0" borderId="32" xfId="1" applyFont="1" applyBorder="1" applyAlignment="1">
      <alignment horizontal="center" vertical="center"/>
    </xf>
    <xf numFmtId="0" fontId="1" fillId="0" borderId="33" xfId="1" applyFont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0" fontId="6" fillId="0" borderId="29" xfId="1" applyFont="1" applyBorder="1" applyAlignment="1">
      <alignment horizontal="right"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19" xfId="1" applyFont="1" applyBorder="1" applyAlignment="1">
      <alignment vertical="center"/>
    </xf>
    <xf numFmtId="164" fontId="6" fillId="0" borderId="2" xfId="1" applyNumberFormat="1" applyFont="1" applyAlignment="1">
      <alignment vertical="center"/>
    </xf>
    <xf numFmtId="0" fontId="6" fillId="0" borderId="16" xfId="1" applyFont="1" applyBorder="1" applyAlignment="1">
      <alignment vertical="center"/>
    </xf>
    <xf numFmtId="0" fontId="4" fillId="0" borderId="45" xfId="1" applyBorder="1" applyAlignment="1">
      <alignment vertical="center"/>
    </xf>
    <xf numFmtId="164" fontId="6" fillId="0" borderId="46" xfId="1" applyNumberFormat="1" applyFont="1" applyBorder="1" applyAlignment="1">
      <alignment vertical="center"/>
    </xf>
    <xf numFmtId="164" fontId="6" fillId="0" borderId="45" xfId="1" applyNumberFormat="1" applyFont="1" applyBorder="1" applyAlignment="1">
      <alignment horizontal="right" vertical="center"/>
    </xf>
    <xf numFmtId="0" fontId="7" fillId="0" borderId="2" xfId="1" applyFont="1" applyAlignment="1">
      <alignment vertical="center"/>
    </xf>
    <xf numFmtId="0" fontId="6" fillId="0" borderId="2" xfId="1" applyFont="1" applyAlignment="1">
      <alignment horizontal="right" vertical="center"/>
    </xf>
    <xf numFmtId="0" fontId="4" fillId="0" borderId="29" xfId="1" applyBorder="1" applyAlignment="1">
      <alignment vertical="center"/>
    </xf>
    <xf numFmtId="165" fontId="3" fillId="0" borderId="47" xfId="1" applyNumberFormat="1" applyFont="1" applyBorder="1" applyAlignment="1">
      <alignment horizontal="center" vertical="center"/>
    </xf>
    <xf numFmtId="165" fontId="3" fillId="0" borderId="48" xfId="1" applyNumberFormat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66" fontId="6" fillId="0" borderId="11" xfId="1" applyNumberFormat="1" applyFont="1" applyBorder="1" applyAlignment="1" applyProtection="1">
      <alignment horizontal="center" vertical="center"/>
      <protection locked="0"/>
    </xf>
    <xf numFmtId="166" fontId="6" fillId="0" borderId="13" xfId="1" applyNumberFormat="1" applyFont="1" applyBorder="1" applyAlignment="1" applyProtection="1">
      <alignment horizontal="center" vertical="center"/>
      <protection locked="0"/>
    </xf>
    <xf numFmtId="166" fontId="6" fillId="0" borderId="34" xfId="1" applyNumberFormat="1" applyFont="1" applyBorder="1" applyAlignment="1" applyProtection="1">
      <alignment horizontal="center" vertical="center"/>
      <protection locked="0"/>
    </xf>
    <xf numFmtId="0" fontId="10" fillId="0" borderId="32" xfId="1" applyFont="1" applyBorder="1" applyAlignment="1">
      <alignment horizontal="center" vertical="center" wrapText="1"/>
    </xf>
    <xf numFmtId="0" fontId="6" fillId="0" borderId="2" xfId="1" applyFont="1" applyAlignment="1">
      <alignment horizontal="left"/>
    </xf>
    <xf numFmtId="0" fontId="5" fillId="0" borderId="12" xfId="1" applyFont="1" applyBorder="1" applyAlignment="1">
      <alignment horizontal="center" vertical="top"/>
    </xf>
    <xf numFmtId="0" fontId="5" fillId="0" borderId="16" xfId="1" applyFont="1" applyBorder="1" applyAlignment="1">
      <alignment horizontal="center" vertical="top"/>
    </xf>
    <xf numFmtId="0" fontId="5" fillId="0" borderId="44" xfId="1" applyFont="1" applyBorder="1" applyAlignment="1">
      <alignment horizontal="center" vertical="top"/>
    </xf>
    <xf numFmtId="0" fontId="5" fillId="0" borderId="22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65" fontId="6" fillId="0" borderId="41" xfId="1" applyNumberFormat="1" applyFont="1" applyBorder="1" applyAlignment="1">
      <alignment horizontal="center" vertical="center"/>
    </xf>
    <xf numFmtId="165" fontId="6" fillId="0" borderId="42" xfId="1" applyNumberFormat="1" applyFont="1" applyBorder="1" applyAlignment="1">
      <alignment horizontal="center" vertical="center"/>
    </xf>
    <xf numFmtId="165" fontId="6" fillId="0" borderId="43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9" xfId="1" applyFont="1" applyBorder="1" applyAlignment="1">
      <alignment horizontal="center" vertical="center"/>
    </xf>
    <xf numFmtId="0" fontId="1" fillId="0" borderId="40" xfId="1" applyFont="1" applyBorder="1" applyAlignment="1">
      <alignment horizontal="center" vertical="center"/>
    </xf>
    <xf numFmtId="166" fontId="6" fillId="0" borderId="36" xfId="1" applyNumberFormat="1" applyFont="1" applyBorder="1" applyAlignment="1" applyProtection="1">
      <alignment horizontal="center" vertical="center"/>
      <protection locked="0"/>
    </xf>
    <xf numFmtId="166" fontId="6" fillId="0" borderId="30" xfId="1" applyNumberFormat="1" applyFont="1" applyBorder="1" applyAlignment="1" applyProtection="1">
      <alignment horizontal="center" vertical="center"/>
      <protection locked="0"/>
    </xf>
    <xf numFmtId="166" fontId="6" fillId="0" borderId="37" xfId="1" applyNumberFormat="1" applyFont="1" applyBorder="1" applyAlignment="1" applyProtection="1">
      <alignment horizontal="center" vertical="center"/>
      <protection locked="0"/>
    </xf>
  </cellXfs>
  <cellStyles count="2">
    <cellStyle name="Normal 2" xfId="1" xr:uid="{ED914E5A-6216-8B41-838C-F9652C2A788A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4F98-EA66-6E4C-A14B-472F5A4CBACE}">
  <sheetPr>
    <tabColor rgb="FFFFFF00"/>
    <pageSetUpPr fitToPage="1"/>
  </sheetPr>
  <dimension ref="A1:Z985"/>
  <sheetViews>
    <sheetView showGridLines="0" showZeros="0" tabSelected="1" zoomScale="80" zoomScaleNormal="80" workbookViewId="0">
      <selection activeCell="L11" sqref="L11"/>
    </sheetView>
  </sheetViews>
  <sheetFormatPr defaultColWidth="12.59765625" defaultRowHeight="15" customHeight="1" x14ac:dyDescent="0.25"/>
  <cols>
    <col min="1" max="1" width="4.5" style="2" customWidth="1"/>
    <col min="2" max="2" width="30.3984375" style="2" customWidth="1"/>
    <col min="3" max="3" width="31.09765625" style="2" customWidth="1"/>
    <col min="4" max="5" width="12.09765625" style="2" customWidth="1"/>
    <col min="6" max="6" width="12.5" style="2" customWidth="1"/>
    <col min="7" max="7" width="19.09765625" style="2" customWidth="1"/>
    <col min="8" max="26" width="7.59765625" style="2" customWidth="1"/>
    <col min="27" max="16384" width="12.59765625" style="2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6" ht="12" customHeight="1" thickBot="1" x14ac:dyDescent="0.35">
      <c r="A2" s="49"/>
      <c r="B2" s="50"/>
      <c r="C2" s="50"/>
      <c r="D2" s="50"/>
      <c r="E2" s="50"/>
      <c r="F2" s="50"/>
      <c r="G2" s="5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 x14ac:dyDescent="0.3">
      <c r="A3" s="30" t="s">
        <v>21</v>
      </c>
      <c r="B3" s="31"/>
      <c r="C3" s="31"/>
      <c r="D3" s="31"/>
      <c r="E3" s="31"/>
      <c r="F3" s="31"/>
      <c r="G3" s="3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4.5" customHeight="1" x14ac:dyDescent="0.3">
      <c r="A4" s="7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9" t="s">
        <v>5</v>
      </c>
      <c r="G4" s="10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1" customHeight="1" x14ac:dyDescent="0.3">
      <c r="A5" s="52" t="s">
        <v>7</v>
      </c>
      <c r="B5" s="55" t="s">
        <v>19</v>
      </c>
      <c r="C5" s="11" t="s">
        <v>25</v>
      </c>
      <c r="D5" s="12" t="s">
        <v>11</v>
      </c>
      <c r="E5" s="13">
        <v>1</v>
      </c>
      <c r="F5" s="44">
        <v>10000</v>
      </c>
      <c r="G5" s="14">
        <f t="shared" ref="G5" si="0">E5*F5</f>
        <v>10000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3.2" x14ac:dyDescent="0.3">
      <c r="A6" s="53"/>
      <c r="B6" s="56"/>
      <c r="C6" s="15" t="s">
        <v>23</v>
      </c>
      <c r="D6" s="16" t="s">
        <v>11</v>
      </c>
      <c r="E6" s="17">
        <v>1</v>
      </c>
      <c r="F6" s="44">
        <v>50000</v>
      </c>
      <c r="G6" s="18">
        <f>E6*F6</f>
        <v>50000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 x14ac:dyDescent="0.3">
      <c r="A7" s="53"/>
      <c r="B7" s="56"/>
      <c r="C7" s="15" t="s">
        <v>14</v>
      </c>
      <c r="D7" s="16" t="s">
        <v>11</v>
      </c>
      <c r="E7" s="17">
        <v>1</v>
      </c>
      <c r="F7" s="44">
        <v>25000</v>
      </c>
      <c r="G7" s="18">
        <f t="shared" ref="G7:G12" si="1">E7*F7</f>
        <v>25000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7.25" customHeight="1" x14ac:dyDescent="0.3">
      <c r="A8" s="53"/>
      <c r="B8" s="56"/>
      <c r="C8" s="15" t="s">
        <v>24</v>
      </c>
      <c r="D8" s="16" t="s">
        <v>11</v>
      </c>
      <c r="E8" s="17">
        <v>1</v>
      </c>
      <c r="F8" s="44">
        <v>8000</v>
      </c>
      <c r="G8" s="18">
        <f t="shared" si="1"/>
        <v>8000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customHeight="1" x14ac:dyDescent="0.3">
      <c r="A9" s="53"/>
      <c r="B9" s="56"/>
      <c r="C9" s="15" t="s">
        <v>12</v>
      </c>
      <c r="D9" s="16" t="s">
        <v>11</v>
      </c>
      <c r="E9" s="17">
        <v>1</v>
      </c>
      <c r="F9" s="44">
        <v>5000</v>
      </c>
      <c r="G9" s="18">
        <f t="shared" si="1"/>
        <v>5000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.75" customHeight="1" thickBot="1" x14ac:dyDescent="0.35">
      <c r="A10" s="54"/>
      <c r="B10" s="57"/>
      <c r="C10" s="19" t="s">
        <v>17</v>
      </c>
      <c r="D10" s="20" t="s">
        <v>18</v>
      </c>
      <c r="E10" s="21">
        <v>1</v>
      </c>
      <c r="F10" s="45">
        <v>4000</v>
      </c>
      <c r="G10" s="22">
        <f t="shared" si="1"/>
        <v>4000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thickBot="1" x14ac:dyDescent="0.35">
      <c r="A11" s="43" t="s">
        <v>15</v>
      </c>
      <c r="B11" s="47" t="s">
        <v>13</v>
      </c>
      <c r="C11" s="25" t="s">
        <v>26</v>
      </c>
      <c r="D11" s="26" t="s">
        <v>18</v>
      </c>
      <c r="E11" s="27">
        <v>1</v>
      </c>
      <c r="F11" s="46">
        <v>50000</v>
      </c>
      <c r="G11" s="28">
        <f t="shared" ref="G11" si="2">E11*F11</f>
        <v>50000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3">
      <c r="A12" s="61" t="s">
        <v>16</v>
      </c>
      <c r="B12" s="62" t="s">
        <v>20</v>
      </c>
      <c r="C12" s="65" t="s">
        <v>22</v>
      </c>
      <c r="D12" s="68" t="s">
        <v>11</v>
      </c>
      <c r="E12" s="71">
        <v>1</v>
      </c>
      <c r="F12" s="74">
        <v>3304789</v>
      </c>
      <c r="G12" s="58">
        <f t="shared" si="1"/>
        <v>3304789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3">
      <c r="A13" s="53"/>
      <c r="B13" s="63"/>
      <c r="C13" s="66"/>
      <c r="D13" s="69"/>
      <c r="E13" s="72"/>
      <c r="F13" s="75"/>
      <c r="G13" s="5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 thickBot="1" x14ac:dyDescent="0.35">
      <c r="A14" s="54"/>
      <c r="B14" s="64"/>
      <c r="C14" s="67"/>
      <c r="D14" s="70"/>
      <c r="E14" s="73"/>
      <c r="F14" s="76"/>
      <c r="G14" s="6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4" customFormat="1" ht="20.100000000000001" customHeight="1" x14ac:dyDescent="0.25">
      <c r="A15" s="35"/>
      <c r="B15" s="36"/>
      <c r="C15" s="36"/>
      <c r="D15" s="36"/>
      <c r="E15" s="36"/>
      <c r="F15" s="37" t="s">
        <v>8</v>
      </c>
      <c r="G15" s="41">
        <f>SUM(G5:G14)</f>
        <v>3456789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4" customFormat="1" ht="20.100000000000001" customHeight="1" thickBot="1" x14ac:dyDescent="0.3">
      <c r="A16" s="23"/>
      <c r="B16" s="38"/>
      <c r="C16" s="39"/>
      <c r="D16" s="33"/>
      <c r="E16" s="38"/>
      <c r="F16" s="39" t="s">
        <v>9</v>
      </c>
      <c r="G16" s="42">
        <f>G15*0.25</f>
        <v>864197.25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4" customFormat="1" ht="20.100000000000001" customHeight="1" thickBot="1" x14ac:dyDescent="0.3">
      <c r="A17" s="40"/>
      <c r="B17" s="34"/>
      <c r="C17" s="34"/>
      <c r="D17" s="34"/>
      <c r="E17" s="34"/>
      <c r="F17" s="29" t="s">
        <v>10</v>
      </c>
      <c r="G17" s="24">
        <f>SUM(G15:G16)</f>
        <v>4320986.25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6"/>
      <c r="C19" s="48"/>
      <c r="D19" s="48"/>
      <c r="E19" s="48"/>
      <c r="F19" s="48"/>
      <c r="G19" s="4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5"/>
      <c r="C21" s="5"/>
      <c r="D21" s="5"/>
      <c r="E21" s="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5"/>
      <c r="C22" s="5"/>
      <c r="D22" s="5"/>
      <c r="E22" s="5"/>
      <c r="F22" s="5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5"/>
      <c r="C23" s="5"/>
      <c r="D23" s="5"/>
      <c r="E23" s="5"/>
      <c r="F23" s="5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sheetProtection algorithmName="SHA-512" hashValue="Uv+wvsmJnsRSNDEB4+bPDLuTNTBOQDLEKft3vPNgqIpUjJGB+TP1Epl0/i0O+fsf1t7cKc6oQnnAXvA4VMp/1g==" saltValue="dQN/lXp6z7OwDoFEOrBLCA==" spinCount="100000" sheet="1" objects="1" scenarios="1"/>
  <mergeCells count="11">
    <mergeCell ref="C19:G19"/>
    <mergeCell ref="A2:G2"/>
    <mergeCell ref="A5:A10"/>
    <mergeCell ref="B5:B10"/>
    <mergeCell ref="G12:G14"/>
    <mergeCell ref="A12:A14"/>
    <mergeCell ref="B12:B14"/>
    <mergeCell ref="C12:C14"/>
    <mergeCell ref="D12:D14"/>
    <mergeCell ref="E12:E14"/>
    <mergeCell ref="F12:F14"/>
  </mergeCells>
  <phoneticPr fontId="9" type="noConversion"/>
  <pageMargins left="0.7" right="0.7" top="0.75" bottom="0.75" header="0" footer="0"/>
  <pageSetup paperSize="9" scale="99" orientation="landscape" r:id="rId1"/>
  <rowBreaks count="1" manualBreakCount="1">
    <brk id="1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1</vt:i4>
      </vt:variant>
    </vt:vector>
  </HeadingPairs>
  <TitlesOfParts>
    <vt:vector size="2" baseType="lpstr">
      <vt:lpstr>TROŠKOVNIK</vt:lpstr>
      <vt:lpstr>TROŠKOVNIK!Podrucje_ispisa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dunja.l</dc:creator>
  <cp:lastModifiedBy>office</cp:lastModifiedBy>
  <cp:lastPrinted>2025-02-06T11:54:23Z</cp:lastPrinted>
  <dcterms:created xsi:type="dcterms:W3CDTF">2019-08-08T05:51:04Z</dcterms:created>
  <dcterms:modified xsi:type="dcterms:W3CDTF">2025-02-06T12:13:48Z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0x01010070B08315DB4CA447AE2C685818CA02FC</vt:lpwstr>
  </property>
</Properties>
</file>