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danijel\Documents\PONUDE\2024\DOM SISAK\"/>
    </mc:Choice>
  </mc:AlternateContent>
  <xr:revisionPtr revIDLastSave="0" documentId="13_ncr:1_{1F618B57-3641-4B97-93AC-41908F12339A}" xr6:coauthVersionLast="47" xr6:coauthVersionMax="47" xr10:uidLastSave="{00000000-0000-0000-0000-000000000000}"/>
  <bookViews>
    <workbookView xWindow="-108" yWindow="-108" windowWidth="23256" windowHeight="12456" tabRatio="500" firstSheet="8" activeTab="11" xr2:uid="{00000000-000D-0000-FFFF-FFFF00000000}"/>
  </bookViews>
  <sheets>
    <sheet name="NASLOV" sheetId="1" r:id="rId1"/>
    <sheet name="OPĆE" sheetId="2" r:id="rId2"/>
    <sheet name="GRAĐEVINSKI RADOVI" sheetId="3" r:id="rId3"/>
    <sheet name="OBRTNIČKI RADOVI" sheetId="4" r:id="rId4"/>
    <sheet name="DIZALO" sheetId="5" r:id="rId5"/>
    <sheet name="HI - VODOVOD" sheetId="6" r:id="rId6"/>
    <sheet name="HI - KANALIZACIJA" sheetId="7" r:id="rId7"/>
    <sheet name="HI - HIDRANTSKA MREŽA" sheetId="8" r:id="rId8"/>
    <sheet name="STROJARSTVO" sheetId="9" r:id="rId9"/>
    <sheet name="ELEKTRO" sheetId="10" r:id="rId10"/>
    <sheet name="VANJSKO" sheetId="11" r:id="rId11"/>
    <sheet name="REKAPITULACIJA" sheetId="12" r:id="rId12"/>
  </sheets>
  <definedNames>
    <definedName name="_xlnm.Print_Area" localSheetId="9">ELEKTRO!$A$1:$G$982</definedName>
    <definedName name="_xlnm.Print_Area" localSheetId="1">OPĆE!$A$1:$J$318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E79" i="12" l="1"/>
  <c r="F75" i="4" l="1"/>
  <c r="F126" i="11" l="1"/>
  <c r="F123" i="11" l="1"/>
  <c r="F121" i="11"/>
  <c r="F119" i="11"/>
  <c r="F117" i="11"/>
  <c r="F115" i="11"/>
  <c r="F113" i="11"/>
  <c r="F111" i="11"/>
  <c r="F109" i="11"/>
  <c r="F107" i="11"/>
  <c r="F106" i="11"/>
  <c r="F104" i="11"/>
  <c r="F97" i="11"/>
  <c r="F96" i="11"/>
  <c r="F95" i="11"/>
  <c r="F94" i="11"/>
  <c r="F92" i="11"/>
  <c r="F91" i="11"/>
  <c r="F90" i="11"/>
  <c r="F78" i="11"/>
  <c r="F76" i="11"/>
  <c r="F81" i="11" s="1"/>
  <c r="F138" i="11" s="1"/>
  <c r="E103" i="12" s="1"/>
  <c r="F70" i="11"/>
  <c r="F68" i="11"/>
  <c r="F66" i="11"/>
  <c r="F54" i="11"/>
  <c r="F52" i="11"/>
  <c r="F46" i="11"/>
  <c r="F44" i="11"/>
  <c r="F42" i="11"/>
  <c r="F40" i="11"/>
  <c r="F38" i="11"/>
  <c r="F36" i="11"/>
  <c r="F34" i="11"/>
  <c r="F33" i="11"/>
  <c r="F26" i="11"/>
  <c r="F23" i="11"/>
  <c r="F20" i="11"/>
  <c r="F19" i="11"/>
  <c r="F18" i="11"/>
  <c r="F17" i="11"/>
  <c r="F15" i="11"/>
  <c r="F13" i="11"/>
  <c r="F11" i="11"/>
  <c r="F9" i="11"/>
  <c r="F7" i="11"/>
  <c r="B981" i="10"/>
  <c r="A981" i="10"/>
  <c r="B978" i="10"/>
  <c r="B977" i="10"/>
  <c r="B976" i="10"/>
  <c r="B975" i="10"/>
  <c r="B973" i="10"/>
  <c r="B972" i="10"/>
  <c r="A972" i="10"/>
  <c r="B971" i="10"/>
  <c r="A971" i="10"/>
  <c r="B970" i="10"/>
  <c r="A970" i="10"/>
  <c r="B968" i="10"/>
  <c r="A968" i="10"/>
  <c r="B967" i="10"/>
  <c r="B966" i="10"/>
  <c r="A966" i="10"/>
  <c r="B965" i="10"/>
  <c r="A965" i="10"/>
  <c r="B964" i="10"/>
  <c r="B963" i="10"/>
  <c r="A963" i="10"/>
  <c r="B962" i="10"/>
  <c r="B961" i="10"/>
  <c r="B960" i="10"/>
  <c r="B959" i="10"/>
  <c r="A959" i="10"/>
  <c r="B958" i="10"/>
  <c r="A958" i="10"/>
  <c r="B957" i="10"/>
  <c r="A957" i="10"/>
  <c r="B956" i="10"/>
  <c r="A956" i="10"/>
  <c r="B954" i="10"/>
  <c r="B953" i="10"/>
  <c r="B949" i="10"/>
  <c r="F947" i="10"/>
  <c r="F945" i="10"/>
  <c r="F943" i="10"/>
  <c r="F941" i="10"/>
  <c r="F939" i="10"/>
  <c r="F937" i="10"/>
  <c r="F935" i="10"/>
  <c r="F933" i="10"/>
  <c r="F931" i="10"/>
  <c r="F929" i="10"/>
  <c r="F927" i="10"/>
  <c r="F925" i="10"/>
  <c r="F922" i="10"/>
  <c r="F919" i="10"/>
  <c r="F916" i="10"/>
  <c r="B911" i="10"/>
  <c r="F909" i="10"/>
  <c r="F907" i="10"/>
  <c r="F905" i="10"/>
  <c r="F903" i="10"/>
  <c r="F901" i="10"/>
  <c r="F899" i="10"/>
  <c r="F897" i="10"/>
  <c r="F895" i="10"/>
  <c r="F893" i="10"/>
  <c r="F891" i="10"/>
  <c r="B887" i="10"/>
  <c r="F885" i="10"/>
  <c r="F883" i="10"/>
  <c r="F881" i="10"/>
  <c r="F879" i="10"/>
  <c r="F877" i="10"/>
  <c r="F875" i="10"/>
  <c r="F873" i="10"/>
  <c r="F871" i="10"/>
  <c r="F869" i="10"/>
  <c r="F867" i="10"/>
  <c r="F865" i="10"/>
  <c r="F863" i="10"/>
  <c r="F861" i="10"/>
  <c r="F859" i="10"/>
  <c r="F857" i="10"/>
  <c r="F855" i="10"/>
  <c r="F852" i="10"/>
  <c r="F850" i="10"/>
  <c r="F847" i="10"/>
  <c r="F844" i="10"/>
  <c r="F841" i="10"/>
  <c r="D841" i="10"/>
  <c r="F838" i="10"/>
  <c r="F835" i="10"/>
  <c r="F832" i="10"/>
  <c r="F829" i="10"/>
  <c r="F826" i="10"/>
  <c r="F823" i="10"/>
  <c r="D823" i="10"/>
  <c r="F820" i="10"/>
  <c r="F817" i="10"/>
  <c r="F814" i="10"/>
  <c r="F811" i="10"/>
  <c r="F808" i="10"/>
  <c r="F805" i="10"/>
  <c r="B797" i="10"/>
  <c r="F795" i="10"/>
  <c r="F792" i="10"/>
  <c r="F789" i="10"/>
  <c r="F786" i="10"/>
  <c r="F783" i="10"/>
  <c r="F780" i="10"/>
  <c r="F771" i="10"/>
  <c r="F765" i="10"/>
  <c r="B759" i="10"/>
  <c r="A759" i="10"/>
  <c r="F757" i="10"/>
  <c r="F755" i="10"/>
  <c r="F753" i="10"/>
  <c r="F751" i="10"/>
  <c r="F749" i="10"/>
  <c r="F747" i="10"/>
  <c r="F745" i="10"/>
  <c r="F733" i="10"/>
  <c r="B708" i="10"/>
  <c r="A708" i="10"/>
  <c r="F704" i="10"/>
  <c r="F700" i="10"/>
  <c r="F695" i="10"/>
  <c r="F690" i="10"/>
  <c r="F686" i="10"/>
  <c r="F681" i="10"/>
  <c r="F676" i="10"/>
  <c r="F672" i="10"/>
  <c r="F667" i="10"/>
  <c r="F662" i="10"/>
  <c r="F658" i="10"/>
  <c r="F653" i="10"/>
  <c r="F649" i="10"/>
  <c r="F645" i="10"/>
  <c r="F640" i="10"/>
  <c r="F636" i="10"/>
  <c r="F627" i="10"/>
  <c r="F622" i="10"/>
  <c r="F617" i="10"/>
  <c r="F613" i="10"/>
  <c r="F608" i="10"/>
  <c r="F604" i="10"/>
  <c r="F599" i="10"/>
  <c r="F594" i="10"/>
  <c r="F589" i="10"/>
  <c r="F583" i="10"/>
  <c r="F579" i="10"/>
  <c r="F572" i="10"/>
  <c r="F566" i="10"/>
  <c r="F561" i="10"/>
  <c r="F556" i="10"/>
  <c r="F501" i="10"/>
  <c r="B493" i="10"/>
  <c r="A493" i="10"/>
  <c r="F490" i="10"/>
  <c r="F488" i="10"/>
  <c r="F486" i="10"/>
  <c r="F484" i="10"/>
  <c r="F482" i="10"/>
  <c r="F480" i="10"/>
  <c r="F478" i="10"/>
  <c r="F476" i="10"/>
  <c r="F474" i="10"/>
  <c r="F472" i="10"/>
  <c r="B465" i="10"/>
  <c r="A465" i="10"/>
  <c r="F463" i="10"/>
  <c r="F461" i="10"/>
  <c r="F459" i="10"/>
  <c r="F457" i="10"/>
  <c r="F455" i="10"/>
  <c r="F453" i="10"/>
  <c r="F451" i="10"/>
  <c r="F449" i="10"/>
  <c r="B442" i="10"/>
  <c r="A442" i="10"/>
  <c r="F440" i="10"/>
  <c r="F438" i="10"/>
  <c r="F436" i="10"/>
  <c r="F433" i="10"/>
  <c r="F430" i="10"/>
  <c r="F428" i="10"/>
  <c r="F442" i="10" s="1"/>
  <c r="F966" i="10" s="1"/>
  <c r="E86" i="12" s="1"/>
  <c r="B421" i="10"/>
  <c r="A421" i="10"/>
  <c r="F419" i="10"/>
  <c r="F417" i="10"/>
  <c r="F415" i="10"/>
  <c r="F413" i="10"/>
  <c r="F411" i="10"/>
  <c r="F409" i="10"/>
  <c r="F407" i="10"/>
  <c r="F405" i="10"/>
  <c r="F403" i="10"/>
  <c r="F401" i="10"/>
  <c r="F399" i="10"/>
  <c r="F397" i="10"/>
  <c r="F395" i="10"/>
  <c r="F393" i="10"/>
  <c r="F391" i="10"/>
  <c r="F389" i="10"/>
  <c r="F387" i="10"/>
  <c r="F385" i="10"/>
  <c r="F383" i="10"/>
  <c r="F381" i="10"/>
  <c r="F379" i="10"/>
  <c r="F377" i="10"/>
  <c r="F375" i="10"/>
  <c r="F421" i="10" s="1"/>
  <c r="F965" i="10" s="1"/>
  <c r="E85" i="12" s="1"/>
  <c r="F373" i="10"/>
  <c r="F371" i="10"/>
  <c r="B364" i="10"/>
  <c r="A364" i="10"/>
  <c r="F362" i="10"/>
  <c r="F360" i="10"/>
  <c r="F358" i="10"/>
  <c r="F364" i="10" s="1"/>
  <c r="F964" i="10" s="1"/>
  <c r="E84" i="12" s="1"/>
  <c r="B353" i="10"/>
  <c r="A353" i="10"/>
  <c r="F351" i="10"/>
  <c r="F349" i="10"/>
  <c r="F348" i="10"/>
  <c r="F345" i="10"/>
  <c r="F343" i="10"/>
  <c r="F341" i="10"/>
  <c r="F339" i="10"/>
  <c r="F337" i="10"/>
  <c r="F335" i="10"/>
  <c r="F333" i="10"/>
  <c r="F331" i="10"/>
  <c r="B324" i="10"/>
  <c r="A324" i="10"/>
  <c r="F322" i="10"/>
  <c r="F320" i="10"/>
  <c r="F318" i="10"/>
  <c r="F317" i="10"/>
  <c r="F314" i="10"/>
  <c r="F313" i="10"/>
  <c r="B305" i="10"/>
  <c r="A305" i="10"/>
  <c r="F303" i="10"/>
  <c r="F301" i="10"/>
  <c r="F300" i="10"/>
  <c r="F299" i="10"/>
  <c r="F298" i="10"/>
  <c r="F297" i="10"/>
  <c r="F296" i="10"/>
  <c r="B287" i="10"/>
  <c r="F285" i="10"/>
  <c r="F283" i="10"/>
  <c r="F281" i="10"/>
  <c r="F287" i="10" s="1"/>
  <c r="F960" i="10" s="1"/>
  <c r="E80" i="12" s="1"/>
  <c r="B274" i="10"/>
  <c r="A274" i="10"/>
  <c r="F272" i="10"/>
  <c r="F271" i="10"/>
  <c r="F270" i="10"/>
  <c r="F269" i="10"/>
  <c r="B263" i="10"/>
  <c r="A263" i="10"/>
  <c r="F261" i="10"/>
  <c r="F260" i="10"/>
  <c r="F259" i="10"/>
  <c r="F258" i="10"/>
  <c r="F257" i="10"/>
  <c r="F256" i="10"/>
  <c r="F255" i="10"/>
  <c r="F254" i="10"/>
  <c r="F253" i="10"/>
  <c r="F252" i="10"/>
  <c r="F251" i="10"/>
  <c r="F250" i="10"/>
  <c r="F249" i="10"/>
  <c r="B243" i="10"/>
  <c r="A243" i="10"/>
  <c r="F241" i="10"/>
  <c r="F200" i="10"/>
  <c r="F159" i="10"/>
  <c r="F136" i="10"/>
  <c r="F108" i="10"/>
  <c r="B23" i="10"/>
  <c r="F20" i="10"/>
  <c r="F23" i="10" s="1"/>
  <c r="F954" i="10" s="1"/>
  <c r="E76" i="12" s="1"/>
  <c r="G1178" i="9"/>
  <c r="G1173" i="9"/>
  <c r="G1171" i="9"/>
  <c r="G1169" i="9"/>
  <c r="G1167" i="9"/>
  <c r="G1164" i="9"/>
  <c r="G1161" i="9"/>
  <c r="G1157" i="9"/>
  <c r="G1154" i="9"/>
  <c r="G1150" i="9"/>
  <c r="G1149" i="9"/>
  <c r="G1146" i="9"/>
  <c r="G1143" i="9"/>
  <c r="G1181" i="9" s="1"/>
  <c r="G1204" i="9" s="1"/>
  <c r="E70" i="12" s="1"/>
  <c r="G1133" i="9"/>
  <c r="G1129" i="9"/>
  <c r="G1128" i="9"/>
  <c r="G1125" i="9"/>
  <c r="G1123" i="9"/>
  <c r="G1120" i="9"/>
  <c r="G1117" i="9"/>
  <c r="G1114" i="9"/>
  <c r="G1111" i="9"/>
  <c r="G1108" i="9"/>
  <c r="G1105" i="9"/>
  <c r="G1102" i="9"/>
  <c r="G1099" i="9"/>
  <c r="G1096" i="9"/>
  <c r="G1087" i="9"/>
  <c r="G1084" i="9"/>
  <c r="G1081" i="9"/>
  <c r="G1080" i="9"/>
  <c r="G1079" i="9"/>
  <c r="G1076" i="9"/>
  <c r="G1138" i="9" s="1"/>
  <c r="G1202" i="9" s="1"/>
  <c r="E69" i="12" s="1"/>
  <c r="G1042" i="9"/>
  <c r="G1036" i="9"/>
  <c r="G1034" i="9"/>
  <c r="G1031" i="9"/>
  <c r="G1028" i="9"/>
  <c r="G1027" i="9"/>
  <c r="G1024" i="9"/>
  <c r="G1021" i="9"/>
  <c r="G1018" i="9"/>
  <c r="G1015" i="9"/>
  <c r="G1012" i="9"/>
  <c r="G1009" i="9"/>
  <c r="G1006" i="9"/>
  <c r="G1003" i="9"/>
  <c r="G999" i="9"/>
  <c r="G998" i="9"/>
  <c r="G995" i="9"/>
  <c r="G994" i="9"/>
  <c r="G991" i="9"/>
  <c r="G986" i="9"/>
  <c r="G985" i="9"/>
  <c r="G980" i="9"/>
  <c r="G979" i="9"/>
  <c r="G978" i="9"/>
  <c r="G977" i="9"/>
  <c r="G976" i="9"/>
  <c r="G975" i="9"/>
  <c r="G974" i="9"/>
  <c r="G973" i="9"/>
  <c r="G970" i="9"/>
  <c r="G955" i="9"/>
  <c r="G926" i="9"/>
  <c r="G918" i="9"/>
  <c r="G917" i="9"/>
  <c r="G916" i="9"/>
  <c r="G913" i="9"/>
  <c r="G907" i="9"/>
  <c r="G894" i="9"/>
  <c r="G1047" i="9" s="1"/>
  <c r="G1200" i="9" s="1"/>
  <c r="E68" i="12" s="1"/>
  <c r="G881" i="9"/>
  <c r="G868" i="9"/>
  <c r="G855" i="9"/>
  <c r="G842" i="9"/>
  <c r="G825" i="9"/>
  <c r="G806" i="9"/>
  <c r="G787" i="9"/>
  <c r="G753" i="9"/>
  <c r="G750" i="9"/>
  <c r="G748" i="9"/>
  <c r="G743" i="9"/>
  <c r="G741" i="9"/>
  <c r="G739" i="9"/>
  <c r="G737" i="9"/>
  <c r="G735" i="9"/>
  <c r="G733" i="9"/>
  <c r="G729" i="9"/>
  <c r="G727" i="9"/>
  <c r="G724" i="9"/>
  <c r="G722" i="9"/>
  <c r="G721" i="9"/>
  <c r="G718" i="9"/>
  <c r="G717" i="9"/>
  <c r="G714" i="9"/>
  <c r="G703" i="9"/>
  <c r="G701" i="9"/>
  <c r="G699" i="9"/>
  <c r="G697" i="9"/>
  <c r="G671" i="9"/>
  <c r="G669" i="9"/>
  <c r="G667" i="9"/>
  <c r="G665" i="9"/>
  <c r="G663" i="9"/>
  <c r="G661" i="9"/>
  <c r="G659" i="9"/>
  <c r="G657" i="9"/>
  <c r="G655" i="9"/>
  <c r="G653" i="9"/>
  <c r="G651" i="9"/>
  <c r="G649" i="9"/>
  <c r="G647" i="9"/>
  <c r="G645" i="9"/>
  <c r="G643" i="9"/>
  <c r="G625" i="9"/>
  <c r="G620" i="9"/>
  <c r="G617" i="9"/>
  <c r="G614" i="9"/>
  <c r="G613" i="9"/>
  <c r="G610" i="9"/>
  <c r="G607" i="9"/>
  <c r="G606" i="9"/>
  <c r="G603" i="9"/>
  <c r="G600" i="9"/>
  <c r="G597" i="9"/>
  <c r="G594" i="9"/>
  <c r="G590" i="9"/>
  <c r="G586" i="9"/>
  <c r="G627" i="9" s="1"/>
  <c r="G1196" i="9" s="1"/>
  <c r="E66" i="12" s="1"/>
  <c r="G583" i="9"/>
  <c r="G577" i="9"/>
  <c r="G574" i="9"/>
  <c r="G570" i="9"/>
  <c r="G567" i="9"/>
  <c r="G566" i="9"/>
  <c r="G565" i="9"/>
  <c r="G557" i="9"/>
  <c r="G555" i="9"/>
  <c r="G553" i="9"/>
  <c r="G551" i="9"/>
  <c r="G546" i="9"/>
  <c r="G543" i="9"/>
  <c r="G540" i="9"/>
  <c r="G538" i="9"/>
  <c r="G535" i="9"/>
  <c r="G534" i="9"/>
  <c r="G533" i="9"/>
  <c r="G532" i="9"/>
  <c r="G531" i="9"/>
  <c r="G530" i="9"/>
  <c r="G527" i="9"/>
  <c r="G526" i="9"/>
  <c r="G525" i="9"/>
  <c r="G522" i="9"/>
  <c r="G519" i="9"/>
  <c r="G518" i="9"/>
  <c r="G517" i="9"/>
  <c r="G516" i="9"/>
  <c r="G515" i="9"/>
  <c r="G514" i="9"/>
  <c r="G511" i="9"/>
  <c r="G508" i="9"/>
  <c r="G505" i="9"/>
  <c r="G502" i="9"/>
  <c r="G499" i="9"/>
  <c r="G497" i="9"/>
  <c r="G494" i="9"/>
  <c r="E492" i="9"/>
  <c r="G491" i="9"/>
  <c r="G490" i="9"/>
  <c r="G489" i="9"/>
  <c r="G488" i="9"/>
  <c r="G487" i="9"/>
  <c r="G486" i="9"/>
  <c r="G485" i="9"/>
  <c r="G484" i="9"/>
  <c r="G559" i="9" s="1"/>
  <c r="G1194" i="9" s="1"/>
  <c r="E65" i="12" s="1"/>
  <c r="G483" i="9"/>
  <c r="G482" i="9"/>
  <c r="G481" i="9"/>
  <c r="G480" i="9"/>
  <c r="G479" i="9"/>
  <c r="G478" i="9"/>
  <c r="G471" i="9"/>
  <c r="G464" i="9"/>
  <c r="G462" i="9"/>
  <c r="G460" i="9"/>
  <c r="G458" i="9"/>
  <c r="G456" i="9"/>
  <c r="G455" i="9"/>
  <c r="G452" i="9"/>
  <c r="G451" i="9"/>
  <c r="G448" i="9"/>
  <c r="G446" i="9"/>
  <c r="G443" i="9"/>
  <c r="G440" i="9"/>
  <c r="G438" i="9"/>
  <c r="G435" i="9"/>
  <c r="G433" i="9"/>
  <c r="G432" i="9"/>
  <c r="G431" i="9"/>
  <c r="G429" i="9"/>
  <c r="G427" i="9"/>
  <c r="G426" i="9"/>
  <c r="G425" i="9"/>
  <c r="G424" i="9"/>
  <c r="G421" i="9"/>
  <c r="G418" i="9"/>
  <c r="G417" i="9"/>
  <c r="G416" i="9"/>
  <c r="G415" i="9"/>
  <c r="G412" i="9"/>
  <c r="G411" i="9"/>
  <c r="G408" i="9"/>
  <c r="G405" i="9"/>
  <c r="G402" i="9"/>
  <c r="G399" i="9"/>
  <c r="G398" i="9"/>
  <c r="G397" i="9"/>
  <c r="G394" i="9"/>
  <c r="G393" i="9"/>
  <c r="G392" i="9"/>
  <c r="G389" i="9"/>
  <c r="G388" i="9"/>
  <c r="G387" i="9"/>
  <c r="G384" i="9"/>
  <c r="G383" i="9"/>
  <c r="G382" i="9"/>
  <c r="G381" i="9"/>
  <c r="G378" i="9"/>
  <c r="G377" i="9"/>
  <c r="G376" i="9"/>
  <c r="G373" i="9"/>
  <c r="G370" i="9"/>
  <c r="G364" i="9"/>
  <c r="G361" i="9"/>
  <c r="G358" i="9"/>
  <c r="G355" i="9"/>
  <c r="G353" i="9"/>
  <c r="G349" i="9"/>
  <c r="G343" i="9"/>
  <c r="G337" i="9"/>
  <c r="G336" i="9"/>
  <c r="G335" i="9"/>
  <c r="G332" i="9"/>
  <c r="G321" i="9"/>
  <c r="G310" i="9"/>
  <c r="G299" i="9"/>
  <c r="G288" i="9"/>
  <c r="G276" i="9"/>
  <c r="G268" i="9"/>
  <c r="G260" i="9"/>
  <c r="G239" i="9"/>
  <c r="G233" i="9"/>
  <c r="G223" i="9"/>
  <c r="G219" i="9"/>
  <c r="G216" i="9"/>
  <c r="G472" i="9" s="1"/>
  <c r="G1192" i="9" s="1"/>
  <c r="E64" i="12" s="1"/>
  <c r="G208" i="9"/>
  <c r="G206" i="9"/>
  <c r="G204" i="9"/>
  <c r="G202" i="9"/>
  <c r="G200" i="9"/>
  <c r="G198" i="9"/>
  <c r="G196" i="9"/>
  <c r="G194" i="9"/>
  <c r="G193" i="9"/>
  <c r="G190" i="9"/>
  <c r="G189" i="9"/>
  <c r="G188" i="9"/>
  <c r="G185" i="9"/>
  <c r="G183" i="9"/>
  <c r="G180" i="9"/>
  <c r="G178" i="9"/>
  <c r="G176" i="9"/>
  <c r="G172" i="9"/>
  <c r="G168" i="9"/>
  <c r="G165" i="9"/>
  <c r="G160" i="9"/>
  <c r="G132" i="9"/>
  <c r="G129" i="9"/>
  <c r="G126" i="9"/>
  <c r="G123" i="9"/>
  <c r="G120" i="9"/>
  <c r="G210" i="9" s="1"/>
  <c r="G1190" i="9" s="1"/>
  <c r="E63" i="12" s="1"/>
  <c r="G119" i="9"/>
  <c r="G118" i="9"/>
  <c r="G113" i="9"/>
  <c r="G110" i="9"/>
  <c r="G103" i="9"/>
  <c r="G101" i="9"/>
  <c r="G99" i="9"/>
  <c r="G97" i="9"/>
  <c r="G95" i="9"/>
  <c r="G93" i="9"/>
  <c r="G91" i="9"/>
  <c r="G89" i="9"/>
  <c r="G87" i="9"/>
  <c r="G85" i="9"/>
  <c r="G84" i="9"/>
  <c r="G83" i="9"/>
  <c r="G81" i="9"/>
  <c r="G79" i="9"/>
  <c r="G73" i="9"/>
  <c r="G71" i="9"/>
  <c r="G69" i="9"/>
  <c r="G66" i="9"/>
  <c r="G63" i="9"/>
  <c r="G60" i="9"/>
  <c r="G57" i="9"/>
  <c r="G54" i="9"/>
  <c r="G51" i="9"/>
  <c r="G48" i="9"/>
  <c r="G46" i="9"/>
  <c r="G44" i="9"/>
  <c r="G41" i="9"/>
  <c r="G38" i="9"/>
  <c r="G75" i="9" s="1"/>
  <c r="G1187" i="9" s="1"/>
  <c r="F40" i="8"/>
  <c r="F42" i="8" s="1"/>
  <c r="E55" i="12" s="1"/>
  <c r="F37" i="8"/>
  <c r="F33" i="8"/>
  <c r="F30" i="8"/>
  <c r="F28" i="8"/>
  <c r="F26" i="8"/>
  <c r="F23" i="8"/>
  <c r="F20" i="8"/>
  <c r="F13" i="8"/>
  <c r="F11" i="8"/>
  <c r="F9" i="8"/>
  <c r="F15" i="8" s="1"/>
  <c r="F7" i="8"/>
  <c r="F88" i="7"/>
  <c r="F86" i="7"/>
  <c r="F85" i="7"/>
  <c r="F82" i="7"/>
  <c r="F80" i="7"/>
  <c r="F78" i="7"/>
  <c r="F76" i="7"/>
  <c r="F90" i="7" s="1"/>
  <c r="E48" i="12" s="1"/>
  <c r="F70" i="7"/>
  <c r="F68" i="7"/>
  <c r="F66" i="7"/>
  <c r="F64" i="7"/>
  <c r="F62" i="7"/>
  <c r="F60" i="7"/>
  <c r="F59" i="7"/>
  <c r="F58" i="7"/>
  <c r="F57" i="7"/>
  <c r="F55" i="7"/>
  <c r="F54" i="7"/>
  <c r="F52" i="7"/>
  <c r="F51" i="7"/>
  <c r="F48" i="7"/>
  <c r="F72" i="7" s="1"/>
  <c r="E47" i="12" s="1"/>
  <c r="F47" i="7"/>
  <c r="F42" i="7"/>
  <c r="F41" i="7"/>
  <c r="F40" i="7"/>
  <c r="F37" i="7"/>
  <c r="F29" i="7"/>
  <c r="F27" i="7"/>
  <c r="F25" i="7"/>
  <c r="F31" i="7" s="1"/>
  <c r="E46" i="12" s="1"/>
  <c r="F19" i="7"/>
  <c r="F17" i="7"/>
  <c r="F21" i="7" s="1"/>
  <c r="E45" i="12" s="1"/>
  <c r="D17" i="7"/>
  <c r="F15" i="7"/>
  <c r="F13" i="7"/>
  <c r="F11" i="7"/>
  <c r="F9" i="7"/>
  <c r="F7" i="7"/>
  <c r="F62" i="6"/>
  <c r="F60" i="6"/>
  <c r="F58" i="6"/>
  <c r="F56" i="6"/>
  <c r="F53" i="6"/>
  <c r="F51" i="6"/>
  <c r="D49" i="6"/>
  <c r="F49" i="6" s="1"/>
  <c r="F47" i="6"/>
  <c r="F45" i="6"/>
  <c r="D45" i="6"/>
  <c r="F43" i="6"/>
  <c r="F40" i="6"/>
  <c r="F37" i="6"/>
  <c r="F36" i="6"/>
  <c r="F33" i="6"/>
  <c r="F32" i="6"/>
  <c r="F27" i="6"/>
  <c r="E38" i="12" s="1"/>
  <c r="F25" i="6"/>
  <c r="F23" i="6"/>
  <c r="F17" i="6"/>
  <c r="F15" i="6"/>
  <c r="F13" i="6"/>
  <c r="F11" i="6"/>
  <c r="F9" i="6"/>
  <c r="F7" i="6"/>
  <c r="F19" i="6" s="1"/>
  <c r="E37" i="12" s="1"/>
  <c r="F7" i="5"/>
  <c r="F10" i="5" s="1"/>
  <c r="E31" i="12" s="1"/>
  <c r="E33" i="12" s="1"/>
  <c r="F211" i="4"/>
  <c r="E25" i="12" s="1"/>
  <c r="F209" i="4"/>
  <c r="F207" i="4"/>
  <c r="F205" i="4"/>
  <c r="D205" i="4"/>
  <c r="F199" i="4"/>
  <c r="F197" i="4"/>
  <c r="F195" i="4"/>
  <c r="F193" i="4"/>
  <c r="F191" i="4"/>
  <c r="F190" i="4"/>
  <c r="F187" i="4"/>
  <c r="F186" i="4"/>
  <c r="F183" i="4"/>
  <c r="F182" i="4"/>
  <c r="F179" i="4"/>
  <c r="F178" i="4"/>
  <c r="F201" i="4" s="1"/>
  <c r="E24" i="12" s="1"/>
  <c r="F171" i="4"/>
  <c r="F169" i="4"/>
  <c r="F167" i="4"/>
  <c r="F165" i="4"/>
  <c r="F163" i="4"/>
  <c r="F161" i="4"/>
  <c r="F159" i="4"/>
  <c r="F157" i="4"/>
  <c r="F155" i="4"/>
  <c r="F153" i="4"/>
  <c r="F151" i="4"/>
  <c r="F149" i="4"/>
  <c r="F147" i="4"/>
  <c r="F145" i="4"/>
  <c r="F143" i="4"/>
  <c r="F141" i="4"/>
  <c r="F139" i="4"/>
  <c r="F137" i="4"/>
  <c r="F135" i="4"/>
  <c r="F133" i="4"/>
  <c r="F131" i="4"/>
  <c r="F129" i="4"/>
  <c r="F127" i="4"/>
  <c r="F125" i="4"/>
  <c r="F123" i="4"/>
  <c r="F121" i="4"/>
  <c r="F119" i="4"/>
  <c r="F117" i="4"/>
  <c r="F115" i="4"/>
  <c r="F113" i="4"/>
  <c r="F107" i="4"/>
  <c r="F105" i="4"/>
  <c r="F103" i="4"/>
  <c r="F101" i="4"/>
  <c r="F95" i="4"/>
  <c r="F91" i="4"/>
  <c r="F89" i="4"/>
  <c r="F83" i="4"/>
  <c r="D83" i="4"/>
  <c r="F81" i="4"/>
  <c r="D81" i="4"/>
  <c r="D93" i="4" s="1"/>
  <c r="F93" i="4" s="1"/>
  <c r="F79" i="4"/>
  <c r="D79" i="4"/>
  <c r="F73" i="4"/>
  <c r="F71" i="4"/>
  <c r="F69" i="4"/>
  <c r="F67" i="4"/>
  <c r="D67" i="4"/>
  <c r="F65" i="4"/>
  <c r="E19" i="12" s="1"/>
  <c r="F59" i="4"/>
  <c r="F57" i="4"/>
  <c r="D57" i="4"/>
  <c r="F55" i="4"/>
  <c r="F53" i="4"/>
  <c r="F51" i="4"/>
  <c r="D45" i="4"/>
  <c r="F45" i="4" s="1"/>
  <c r="F43" i="4"/>
  <c r="F41" i="4"/>
  <c r="F39" i="4"/>
  <c r="D39" i="4"/>
  <c r="F37" i="4"/>
  <c r="F35" i="4"/>
  <c r="F33" i="4"/>
  <c r="F31" i="4"/>
  <c r="F29" i="4"/>
  <c r="D29" i="4"/>
  <c r="F27" i="4"/>
  <c r="F25" i="4"/>
  <c r="F23" i="4"/>
  <c r="D23" i="4"/>
  <c r="F21" i="4"/>
  <c r="D21" i="4"/>
  <c r="F19" i="4"/>
  <c r="F17" i="4"/>
  <c r="F15" i="4"/>
  <c r="F13" i="4"/>
  <c r="F11" i="4"/>
  <c r="F9" i="4"/>
  <c r="F7" i="4"/>
  <c r="F169" i="3"/>
  <c r="F167" i="3"/>
  <c r="F166" i="3"/>
  <c r="F165" i="3"/>
  <c r="F162" i="3"/>
  <c r="F160" i="3"/>
  <c r="F158" i="3"/>
  <c r="F156" i="3"/>
  <c r="F154" i="3"/>
  <c r="F152" i="3"/>
  <c r="F150" i="3"/>
  <c r="F148" i="3"/>
  <c r="F146" i="3"/>
  <c r="F144" i="3"/>
  <c r="F142" i="3"/>
  <c r="F140" i="3"/>
  <c r="F138" i="3"/>
  <c r="F132" i="3"/>
  <c r="F131" i="3"/>
  <c r="F128" i="3"/>
  <c r="F127" i="3"/>
  <c r="F124" i="3"/>
  <c r="F123" i="3"/>
  <c r="F120" i="3"/>
  <c r="F119" i="3"/>
  <c r="F113" i="3"/>
  <c r="F112" i="3"/>
  <c r="F109" i="3"/>
  <c r="F108" i="3"/>
  <c r="F105" i="3"/>
  <c r="F104" i="3"/>
  <c r="F101" i="3"/>
  <c r="F100" i="3"/>
  <c r="F97" i="3"/>
  <c r="F96" i="3"/>
  <c r="F93" i="3"/>
  <c r="F92" i="3"/>
  <c r="F89" i="3"/>
  <c r="F88" i="3"/>
  <c r="F85" i="3"/>
  <c r="F84" i="3"/>
  <c r="F81" i="3"/>
  <c r="F80" i="3"/>
  <c r="F77" i="3"/>
  <c r="F76" i="3"/>
  <c r="F73" i="3"/>
  <c r="F72" i="3"/>
  <c r="F69" i="3"/>
  <c r="F68" i="3"/>
  <c r="F65" i="3"/>
  <c r="F64" i="3"/>
  <c r="F61" i="3"/>
  <c r="F60" i="3"/>
  <c r="F57" i="3"/>
  <c r="F134" i="3" s="1"/>
  <c r="E10" i="12" s="1"/>
  <c r="F56" i="3"/>
  <c r="F53" i="3"/>
  <c r="F52" i="3"/>
  <c r="F49" i="3"/>
  <c r="F47" i="3"/>
  <c r="F41" i="3"/>
  <c r="F39" i="3"/>
  <c r="F37" i="3"/>
  <c r="F35" i="3"/>
  <c r="F33" i="3"/>
  <c r="F31" i="3"/>
  <c r="F43" i="3" s="1"/>
  <c r="E9" i="12" s="1"/>
  <c r="F29" i="3"/>
  <c r="F27" i="3"/>
  <c r="F25" i="3"/>
  <c r="F23" i="3"/>
  <c r="F17" i="3"/>
  <c r="F15" i="3"/>
  <c r="F13" i="3"/>
  <c r="F11" i="3"/>
  <c r="F9" i="3"/>
  <c r="F19" i="3" s="1"/>
  <c r="E8" i="12" s="1"/>
  <c r="F7" i="3"/>
  <c r="F171" i="3" l="1"/>
  <c r="E11" i="12" s="1"/>
  <c r="F128" i="11"/>
  <c r="F142" i="11" s="1"/>
  <c r="E105" i="12" s="1"/>
  <c r="F173" i="4"/>
  <c r="E23" i="12" s="1"/>
  <c r="F243" i="10"/>
  <c r="F957" i="10" s="1"/>
  <c r="E77" i="12" s="1"/>
  <c r="F324" i="10"/>
  <c r="F962" i="10" s="1"/>
  <c r="E82" i="12" s="1"/>
  <c r="F274" i="10"/>
  <c r="F959" i="10" s="1"/>
  <c r="F305" i="10"/>
  <c r="F961" i="10" s="1"/>
  <c r="E81" i="12" s="1"/>
  <c r="F353" i="10"/>
  <c r="F963" i="10" s="1"/>
  <c r="E83" i="12" s="1"/>
  <c r="F493" i="10"/>
  <c r="F968" i="10" s="1"/>
  <c r="E88" i="12" s="1"/>
  <c r="F759" i="10"/>
  <c r="F972" i="10" s="1"/>
  <c r="E90" i="12" s="1"/>
  <c r="F797" i="10"/>
  <c r="F973" i="10" s="1"/>
  <c r="E91" i="12" s="1"/>
  <c r="F263" i="10"/>
  <c r="F958" i="10" s="1"/>
  <c r="F708" i="10"/>
  <c r="F971" i="10" s="1"/>
  <c r="E89" i="12" s="1"/>
  <c r="F465" i="10"/>
  <c r="F967" i="10" s="1"/>
  <c r="E87" i="12" s="1"/>
  <c r="F911" i="10"/>
  <c r="F977" i="10" s="1"/>
  <c r="E93" i="12" s="1"/>
  <c r="F949" i="10"/>
  <c r="F978" i="10" s="1"/>
  <c r="E94" i="12" s="1"/>
  <c r="F887" i="10"/>
  <c r="F976" i="10" s="1"/>
  <c r="E92" i="12" s="1"/>
  <c r="G757" i="9"/>
  <c r="G1198" i="9" s="1"/>
  <c r="E67" i="12" s="1"/>
  <c r="G105" i="9"/>
  <c r="G1188" i="9" s="1"/>
  <c r="E62" i="12" s="1"/>
  <c r="E54" i="12"/>
  <c r="F44" i="8"/>
  <c r="F64" i="6"/>
  <c r="E39" i="12" s="1"/>
  <c r="E41" i="12" s="1"/>
  <c r="F109" i="4"/>
  <c r="E22" i="12" s="1"/>
  <c r="F97" i="4"/>
  <c r="F85" i="4"/>
  <c r="E20" i="12" s="1"/>
  <c r="F61" i="4"/>
  <c r="E18" i="12" s="1"/>
  <c r="F174" i="3"/>
  <c r="F99" i="11"/>
  <c r="F140" i="11" s="1"/>
  <c r="E104" i="12" s="1"/>
  <c r="F48" i="11"/>
  <c r="F134" i="11" s="1"/>
  <c r="E101" i="12" s="1"/>
  <c r="F72" i="11"/>
  <c r="F136" i="11" s="1"/>
  <c r="E102" i="12" s="1"/>
  <c r="F29" i="11"/>
  <c r="F132" i="11" s="1"/>
  <c r="E100" i="12" s="1"/>
  <c r="E57" i="12"/>
  <c r="E21" i="12"/>
  <c r="E50" i="12"/>
  <c r="E61" i="12"/>
  <c r="F47" i="4"/>
  <c r="E17" i="12" s="1"/>
  <c r="E78" i="12"/>
  <c r="E13" i="12"/>
  <c r="F92" i="7"/>
  <c r="E96" i="12" l="1"/>
  <c r="F981" i="10"/>
  <c r="E72" i="12"/>
  <c r="G1207" i="9"/>
  <c r="G1209" i="9" s="1"/>
  <c r="G1211" i="9" s="1"/>
  <c r="F66" i="6"/>
  <c r="E27" i="12"/>
  <c r="F217" i="4"/>
  <c r="E107" i="12"/>
  <c r="F145" i="11"/>
  <c r="F149" i="11" s="1"/>
  <c r="E109" i="12" l="1"/>
  <c r="E110" i="12" s="1"/>
  <c r="E111" i="12" s="1"/>
  <c r="F147" i="11"/>
</calcChain>
</file>

<file path=xl/sharedStrings.xml><?xml version="1.0" encoding="utf-8"?>
<sst xmlns="http://schemas.openxmlformats.org/spreadsheetml/2006/main" count="3940" uniqueCount="2657">
  <si>
    <t>URED OVLAŠTENOG ARHITEKTA – JURICA HAJDAROVIĆ m.i.a.</t>
  </si>
  <si>
    <t>DALMATINSKA 5, 42000 VARAŽDIN, OIB:63185340802</t>
  </si>
  <si>
    <t>NARUČITELJ:</t>
  </si>
  <si>
    <t xml:space="preserve">MINISTARSTVO RADA, MIROVINSKOGA SUSTAVA, OBITELJI I SOCIJALNE POLITIKE, VUKOVARSKA 78, ZAGREB 
OIB: 53969486500
</t>
  </si>
  <si>
    <t>GRAĐEVINA:</t>
  </si>
  <si>
    <t>GRAĐEVINA SOCIJALNE NAMJENE - DJEČJI DOM</t>
  </si>
  <si>
    <t>MJESTO GRADNJE:</t>
  </si>
  <si>
    <t>NOVOFORMIRANA k.č. 1325/1, SASTAVLJENA OD k.č. 1325/1, 1325/2, 1344, k.o. SISAK STARI, ULICA LIPA 9, SISAK</t>
  </si>
  <si>
    <t>BROJ TEHN.DN:</t>
  </si>
  <si>
    <t>06/23</t>
  </si>
  <si>
    <t>ZAJ.OZN.PROJ:</t>
  </si>
  <si>
    <t>JH-06/23</t>
  </si>
  <si>
    <t>DATUM:</t>
  </si>
  <si>
    <t>07/2024</t>
  </si>
  <si>
    <t>VRSTA PROJEKTA:</t>
  </si>
  <si>
    <t>TROŠKOVNIK</t>
  </si>
  <si>
    <t>FAZA:</t>
  </si>
  <si>
    <t>-</t>
  </si>
  <si>
    <t>TVRTKA:</t>
  </si>
  <si>
    <t>URED OVLAŠTENOG ARHITEKTA,
JURICA HAJDAROVIĆ m.i.a., DALMATINSKA 5, VARAŽDIN</t>
  </si>
  <si>
    <t xml:space="preserve">GLAVNI PROJEKTANT:     </t>
  </si>
  <si>
    <t>POTPIS I PEČAT</t>
  </si>
  <si>
    <t>Jurica Hajdarović, mag.inž.arh.</t>
  </si>
  <si>
    <t>I</t>
  </si>
  <si>
    <t xml:space="preserve"> OPĆI UVJETI UZ TROŠKOVNIK GRAĐEVINSKO-OBRTNIČKIH RADOVA</t>
  </si>
  <si>
    <t xml:space="preserve">Sve radove potrebno je izvesti prema opisima pojedinih stavki troškovnika, općim smjernicama iz pojedinih grupa radova, detaljima, te važećim tehničkim propisima i standardima, kao i uputstvima proizvođača materijala, te pravilima struke i građevinskim normama. Izvođač je također obavezan izraditi elaborat o zaštiti na radu na gradilištu, a prema važećem pravilniku o zaštiti na radu, izraditi privremeno prometno rješenje ukoliko je potrebno, izvjesiti tablu s podacima o građevini, Naručitelju, Izvođaču, Projektantu i Nadzoru. Građevinski dnevnik i knjigu  vodi izvođač radova i svakodnevno upisuje potrebne podatke predviđene Zakonom i pravilnikom.                             </t>
  </si>
  <si>
    <t xml:space="preserve">Dopuštene tolerancije mjera izvedenih radova određene su pravilima struke, odnosno prema odluci nadzorne službe na gradilištu. Sva odstupanja od dogovorenih tolerantnih mjera dužan je izvođač otkloniti o svom trošku. Nekvalitetno izvedeni radovi neće se obračunati sve dok se ne uklone uočeni nedostaci.To vrijedi za sve vrste radova. </t>
  </si>
  <si>
    <t xml:space="preserve">Za izvođenje svih vrsta radova uvjetuje se rad sa stručno osposobljenom radnom snagom za pojedine vrste radova prema Zakonu o prostornom uređenju i Zakonu o gradnji, sa propisanom kvalitetom materijala koja mora odgovarati postojećim tehničkim propisima i važećim Hrvatskim standardima. Ako neke stavke imaju nejasan i nedovoljan opis, onda svaki "započeti" opis pojedine stavke znači cjelokupnu izradu te stavke, to jest nabavu, dopremu materijala, sve prijenose i prijevoze, izradu, skidanje oplate, zaštitu, njegovanje pojedinih elemenata po izradi i nakon ugradbe, odvoz viška materijala na gradski deponij, kao i ostalo.                     </t>
  </si>
  <si>
    <t>Prije započinjana i tijekom izvođenja radova, izvođač treba zaštiti sve susjedne plohe, dijelove konstrukcije i prethodno izvedene radove na prikladan način, a u skladu s pravilima, tako da ne dođe do njihovog oštećenja ili oštećenja susjednih objekata i imovine trećih lica.</t>
  </si>
  <si>
    <t>Troškove zaštite treba izvođač uračunati u jediničnu cijenu. Ukoliko ipak dođe do oštećenja prethodno izvedenih radova za koje je odgovoran izvođač ili njegov kooperant, dužan ih je o svom trošku dovesti u stanje prije oštećenja, ili naručiti iste radove kod drugog izvođača na svoj teret. Popravak treba izvesti u primarno određenom roku ili dogovorno.</t>
  </si>
  <si>
    <t xml:space="preserve">Sve elemente opreme, namještaja, konstrukcija, koje nisu tipizirane, ili nisu u standardnom programu proizvođača, tj. nemaju popratnu dokumentaciju i dokaze uporabljivosti, izvođač radova je dužan prije izrade navedenih elemenata izraditi radioničke nacrte, obavezno ih ovjeriti kod nadzornog inženjera i projektanta, a tek potom krenuti u izradu tih elemenata. </t>
  </si>
  <si>
    <t>Izvođač radova mora svaku promjenu u toku gradnje, kako u konstrukciji tako i u instalacijama, evidentirati putem građevinskog dnevnika, ucrtati u nacrtnu dokumenataciju i po završetku radova predati Naručitelju kao nacrt izvedenog stanja.</t>
  </si>
  <si>
    <t>Bez posebne nadoplate potrebno je obuhvatiti sve elemente navedene kako slijedi :</t>
  </si>
  <si>
    <t xml:space="preserve">a) izvođač radova dužan je prije početka radova provjeriti kote postojećeg stanja terena u odnosu na relativnu kotu (+/-0,00) kod svih ulaza i kod svih unutrašnjih podnih ploča kao i za ulazne instalacije,                                     </t>
  </si>
  <si>
    <t>b) utvrditi kotu 0,00 i obilježiti je na gradilištu kao referentnu točku,</t>
  </si>
  <si>
    <t xml:space="preserve">c)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sl.ukoliko se ukažu eventualne nejednakosti između projekta i stanja na gradilištu izvođač radova dužan je pravovremeno o tome izvjestiti nadzornog inženjera. Nadzorni inženjer je dužan o većim odstupanjima obavijestiti Naručitelja i projektanta.                                                                               </t>
  </si>
  <si>
    <t xml:space="preserve">d) sve mjere u projektima provjeriti na gradilištu prije narudžbe materijala ili gotovih proizvoda,                                        </t>
  </si>
  <si>
    <t xml:space="preserve">e) provjera količina troškovnika obaveza je Izvođača radova, kao i izrada dokaznice izvedenih radova unutar građevinske knjige       </t>
  </si>
  <si>
    <t>f)  Izvođač i njegovi kooperanti dužni su svaki dio investicijsko tehničke dokumentacije pregledati, te dati primjedbe na eventualne tehničke probleme koji bi mogli prouzročiti slabiji kvalitet, postojnost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</si>
  <si>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MATERIJAL</t>
  </si>
  <si>
    <t xml:space="preserve">Pod stavkom materijal podrazumijeva se dobavna cijena materijala, to jest cijena glavnih i pomoćnih materijala potrebnog za ugradnju do kompletne gotovosti. U tu cijenu potrebno je uključiti i cijenu prijevoza bez obzira na vrstu prijevoznog sredstva, udaljenost, te eventualne potrebne utovare, istovare i prijenose do skladišta i do mjesta ugradbe. U cijeni materijala je i cijena čuvanja, zaštite i skladištenja materijala do ugradnje. </t>
  </si>
  <si>
    <t xml:space="preserve">Sukladno važećoj zakonskoj regulativi za dobavljene materijale potrebno je priložiti odgovarajuće dokaze uporabljivosti, te izvješća o provedenim ispitivanjima kojima se dokazuje uporabljivost pojedinog materijala. (npr. uzimanje uzoraka - probnih kocki za beton). Dopuštena je samo ugradnja onih materijala koji imaju važeće dokaze uporabljivosti. U cijeni radova obuhvaćen je trošak svih potrebnih prethodnih ispitivanja, ispitivanja materijala pri i nakon ugradnje, te trošak izrade dokumentacije za dokaze uporabljivosti. Svu dokumentaciju o dokazu kvalitete materijala prikuplja izvođač radova i po završetku predaje Naručitelju. </t>
  </si>
  <si>
    <t>Zabranjena je upotreba materijala (osnovnog ili pomoćnog) koji nije predviđen opisom, nacrtima i detaljima, te odgovarajućim normama ili tehničkim uvjetima za izvođenje istih i ne odgovara projektom predviđenoj kvaliteti materijala. Ukoliko izvođač ipak izvede radove na neodgovarajući način ili od neodgovarajućih materijala, dužan je o tome upozoriti nadzornog inženjera i dogovorno riješiti, te zapisnički ustanoviti kvalitetu izvođenja radova, te ishoditi potrebne suglasnosti Naručitelja.</t>
  </si>
  <si>
    <t>Skladištenje materijal i opreme mora biti takvo da se materijal i oprema osigura od mogućeg vlaženja i mehaničkih oštećenja sve do ugradnje. To se odnosi na sve gotove prefabrikate, obrtničke proizvode i materijal za obrtničke radove. Vezna sredstva također moraju biti prvorazredna. Cement, opeka, kameni agregat, pijesak, bitumen i sl. treba ispitati prema važećim tehničkim propisima i dokaze uporabljivosti predočiti nadzornom inženjeru.</t>
  </si>
  <si>
    <t>RAD</t>
  </si>
  <si>
    <t>U kalkulaciji rada treba uključiti sav potreban rad, kako glavni tako i pomoćni, te kompletan unutarnji prijenos i prijevov na gradilištu, dizanje, utovar, istovar bilo ručni ili pomoću strojeva. Pripremanje materijala za ugradnju npr. mort, beton i sl. uključeno je u cijenu rada. Ujedno treba uključiti rad oko zaštite gotovih elemenata konstrukcije, zidova, podova i ostalih dijelova građevine od štetnih atmosferskih utjecaja i mogućih oštećenja, kao i pohranu sa čuvanjem elemenata skinutih sa građevine koji će se naknadno ugraditi na građevini. Pri radu treba primjenjivati sve potrebne mjere zaštite na radu, naročito zaštite od požara. Ukoliko nadzorni inženjer uoči da se izvođač ne pridržava ovih pravila, može mu zabraniti daljnji rad dok ga ne organizira u skladu s pravilima i važećim propisima.</t>
  </si>
  <si>
    <t>SKELA, PODUPORE, RAZUPORE I ZAŠTITNE OGRADE</t>
  </si>
  <si>
    <t>Sve vrste pomoćnih skela, fasadnih skela, podupora, razupora, mostovi i zaštitne ograde bez obzira na visinu, ulaze u jediničnu cijenu dotične stavke troškovnika dok se fasadna skela posebno obračunava. Sva potrebna skela mora biti postavljena na vrijeme kako ne bi nastao nepotrebni zastoj u radu na građevini. Pod pojmom skela podrazumijeva se i prilaz istoj te ograda do skidanja skele. Ujedno su tu uključeni prilazi i mostovi za betoniranje konstrukcija i slično. Fasadnu skelu potrebno je obavezno uzemljiti na temeljni uzemljivač građevine. Ukoliko na gradilištu u izvođenju sudjeluje više izvođača radova, fasadna skela mora biti jednako dostupna svim izvođačima uz uvjet osposobljenosti radnika.</t>
  </si>
  <si>
    <t>Obzirom da se radi o visokom objektu izloženom vjetru, posebnu pažnju treba posvetiti fasadnoj skeli. Za skelu treba izvođač naručiti statički proračun koji će točno definirati način pričvršćenja i ukrućenja. Skela mora odgovarati svim zahtjevima zaštite na radu, te mora i osigurati zaštitu od izolacije pri radovima na završnom dekorativnom sloju fasade.</t>
  </si>
  <si>
    <t>IZMJERA</t>
  </si>
  <si>
    <t>Ukoliko u pojedinoj stavci troškovnika nije definiran način obračuna radova, isti se obračunava prema važećim građevinskim normama u Republici Hrvatskoj ili jednakovrijednim. Kod paušalnog obračuna izvođač mora sam procijeniti vrijednost pojedinih stavaka koje se obračunavaju u stavci te isti izvesti bez prava na dodatne iznose.</t>
  </si>
  <si>
    <t>ZIMSKI / LJETNI RAD, RAD NA VISINI I SL.</t>
  </si>
  <si>
    <t xml:space="preserve">Ukoliko je ugovoreni termin izvršenja objekta uključen i zimski odnosno ljetni period, to se neće posebno izvođaču priznavati na ime naknade za rad pri niskoj temperaturi, zaštita konstrukcija od hladnoće i vrućine, te atmosferskih nepogoda. Sve navedeno mora biti uključeno u jediničnu cijenu. Za vrijeme zime objekat se mora zaštititi. Svi eventualni smrznuti dijelovi moraju se ukloniti i izvesti ponovo bez bilo kakve naplate. Ukoliko je temperatura niža od temperature pri kojoj je dozvoljen dotični rad, a Naručitelj ipak traži da se radi, izvođač si ima pravo zaračunati naknadu, ali u tom slučaju izvođač snosi punu odgovornost za ispravnost i kvalitetu rada. To isto vrijedi i za zaštitu radova tokom ljeta od prebrzog sušenja uslijed visoke temperature. </t>
  </si>
  <si>
    <t>OSIGURANJE OBJEKTA I GRADILIŠTA TIJEKOM IZVOĐENJA RADOVA</t>
  </si>
  <si>
    <t>Izvođač je dužan o svom trošku osigurati gradilište i objekt od štetnog utjecaja vremenskih nepogoda i svih mogućih drugih oštećenja za vrijeme trajanja izvođenja. Svaka šteta koja bi bila prouzročena na građevini, vozilima, susjednim građevinama, okolišu ili prolaznicima tijekom izvođenja radova, a nepažnjom Izvođača, pada na teret Izvođača radova koji ju je dužan otkloniti, tj. nadoknaditi štetu u roku kojeg će utvrditi sa Naručiteljem.</t>
  </si>
  <si>
    <t>ČUVANJE GRADILIŠTA</t>
  </si>
  <si>
    <t>Nadzor nad gradilištem, te svim alatima, strojevima i materijalom dužan je osigurati izvođač radova o svom trošku.</t>
  </si>
  <si>
    <t>JEDINIČNA CIJENA</t>
  </si>
  <si>
    <t xml:space="preserve">U jediničnu cijenu uključena je nadoknada za sav potreban rad i materijal potreban za izvođenje svake pojedine stavke (gotovost stavke je do njezine pune funkcije), ako u stavci troškovnika nije drugačije rečeno. Jedinična cijena uključuje i izvođenje svih pomoćnih i pripremnih radnji, kao i sve potrebne pomoćne utovare, pretovare i transporte, te odvoz materijala na javnu, registriranu deponiju ili deponiranje materijala na mjesto koje odredi Naručitelj. </t>
  </si>
  <si>
    <t>Cijene ponuđene troškovnikom uključuju sve građevinske strojeve, radnike, kontrolu kvalitete, materijala i rada (sve dokaze uporabljivosti), montažu, osiguranje, dobit, poreze i davanja, te potrebne radnje, troškove organizacije i mjere koje nalažu Zakon o prostornom uređenju i gradnji, Zakon o zaštiti na radu i Zakon o zaštiti od požara, zajedno sa svim rizicima, odgovornostima i obvezama navedenim ili nagovještenim ugovorom.</t>
  </si>
  <si>
    <t>U jediničnoj cijeni izvođač ima pravo zaračunati faktor na temelju zakonskih propisa, koji sadrži sve režijske troškove, kao i troškove prouzročene tehničkim uvjetima izvođenja radova.</t>
  </si>
  <si>
    <t>Izvođač treba ispuniti sve količine i cijene za sva poglavlja radova opisanih troškovnikom.</t>
  </si>
  <si>
    <t>Smatra se da je izvođač obišao i detaljno ispitao gradilište i okolinu, da se upoznao s položajem i stanjem prometnica na lokaciji, da je ispitao i provjerio postojeće izvore za opskrbu materijalom, kao i sve ostale okolnosti koje su od utjecaja na izvođenje radova i formiranje jedinične cijene.</t>
  </si>
  <si>
    <t>KVALITETA IZVEDENIH RADOVA</t>
  </si>
  <si>
    <t>Izvođač radova odgovara za kvalitetu izvedenih radova i ugrađenih materijala. Svi radovi moraju biti izvedeni u skladu s propisima, tehničkim uvjetima i pravilima struke. Kvaliteta ugrađenog materijala utvrđuje se ispitivanjem od za to ovlaštene institucije, kao i važećim dokazima uporabljivosti. Po primopredaji građevine svi dokaze uporabljivosti se predaju Naručitelju na korištenje, kao i projekti izvedenog stanja, koji čine arhivsku dokumentaciju zgrade, i ujedno su dokumenti za ishođenje uporabne dozvole.  Za izvedene radove, svoje i svojih kooperanata, Naručitelju odgovara isključivo izvođač, kao nositelj svih ugovorenih radova.</t>
  </si>
  <si>
    <t>Po završetku radova kvalitetu izvedenih radova treba ustanoviti zapisnički s nadležnim Nadzornim inženjerom. Ukoliko se ustanovi da su pojedini radovi izvedeni nekvalitetno, Izvođač je dužan iste ponovno izvesti u traženoj kvaliteti ili naručiti kod drugog Izvođača, a sve u roku i na svoj trošak.</t>
  </si>
  <si>
    <t>ČIŠĆENJE OBJEKTA</t>
  </si>
  <si>
    <t>Izvođač je dužan kontinuirano tijekom izvedbe radova čistiti gradilište i građevinu, te nakon izvedbe svih ugovorenih radova i prije primopredaje objekta Naručitelju sve fino očistiti, te otpadni materijal odvesti na gradski deponij.</t>
  </si>
  <si>
    <t>DOKAZI UPORABLJIVOSTI ZA IZVEDENE RADOVE</t>
  </si>
  <si>
    <t>Izvođač je dužan posjedovati ili ishodovati sve zakonom i troškovnikom predviđene dokaze uporabljivosti za sve ugrađene materijale i izvedene radove, a u svemu prema Zakonu o  gradnji,  Zakonu o zaštiti od požara,  Zakona o zaštiti na radu, te preostalim važećim zakonima i propisima u momentu izrade fasade. Izvođač je dužan sve dokaze uporabljivosti dostavljati Naručitelju tijekom izvođenja.</t>
  </si>
  <si>
    <t>OBRAČUN IZVEDENIH RADOVA</t>
  </si>
  <si>
    <t>Obračun izvedenih radova radi se preko ovjerene građevinske knjige, prema stvarno izvršenim količinama, ukoliko Ugovorom o izvođenju radova nije drukčije rečeno.</t>
  </si>
  <si>
    <t>U troškovniku je opisan način izvođenja pojedinih radova. Izvođenje onih radova koji nisu posebno opisani troškovnikom, treba biti u skladu s važećim normama i standardima, običajima, pravilima građenja i uzancama. Za sve tako izvedene radove izvođač nema prava na dodatnu odštetu ili promjenu jedinične cijene izražene u ponudi, osim ako to nije specificirano u posebnoj ponudi za predmetne radove, koja je ovjerena od Naručitelja i od nadzornog inženjera.</t>
  </si>
  <si>
    <t>U slučaju da izvođač neke radove izvede materijalom kvalitetnijim od predviđenog, a da za to nije prethodno ishodio odobrenje Naručitelja, nema pravo nadoknade za povećanje troškova izvedbe.</t>
  </si>
  <si>
    <t>U slučaju da izvođač radova izvede neke radove čija bi kvaliteta bila u suprotnosti s predviđenim kvalitetom i opisom, dužan je o svom trošku iste srušiti i ukloniti, te ponovno izvesti onako kako je to predviđeno projektnom dokumentacijom.</t>
  </si>
  <si>
    <t>Ako se pokaže potreba za izvedbom radova koji nisu predviđeni troškovnikom, izvođač radova mora prethodno za izvedbu istih dobiti odobrenje od predstavnika Naručitelja, odnosno Nadzornog inženjera, te s istim utvrditi cijenu izvedbe (dostaviti analizu cijene) i sve to unijeti u građevinski dnevnik.</t>
  </si>
  <si>
    <t>U slučaju nekih nejasnoća glede obračuna primijenit će se odredbe građevinskih normi i ostalih službenih tehničkih normativa i propisa.</t>
  </si>
  <si>
    <t>ZAVRŠNA PRIMOPREDAJA RADOVA - GRADILIŠTA</t>
  </si>
  <si>
    <t xml:space="preserve">Izvođač je dužan do primopredaje građevine ukloniti sve građevinskim dnevnikom evidentirane  nedostatke. Sanacija nedostataka pada na teret izvođača. Za nedostatke koji ne ugrožavaju stabilnost konstrukcije, a ne uklone se do konačnog obračuna, Naručitelj ima pravo angažirati drugog izvođača uz prethodno pismeno upozorenje Izvođaču radova putem nadzornog inženjera, Pri konačnom obračunu trošak angažiranja zamjneskog izvođača odbija se od iznosa ovjerenih radova izvođača. Po završetku radova kvalitetu izvedenih radova treba izvođač ustanoviti zapisnički s nadležnim nadzornim inženjerom. </t>
  </si>
  <si>
    <t>Osim gore navedenih općih uvjeta, za određene grupe radova vrijede posebne opće napomene, kojih se zajedno s ovim uvjetima treba obavezno pridržavati u cjelini. Posebne opće napomene dane su u sklopu s odgovarajućim grupama radova u nastavku.</t>
  </si>
  <si>
    <t>UREĐENJE GRADILIŠTA</t>
  </si>
  <si>
    <t>Uređenje gradilišta dužan je izvođač izvesti prema shemi organizacije gradilišta koju je obavezan dostaviti nadzoru prije početka izvođenja radova. U organizaciji gradilišta izvođač je dužan uz ostalo posebno predvidjeti :</t>
  </si>
  <si>
    <t>-prostorije za svoje kancelarije,</t>
  </si>
  <si>
    <t>-gradilište osigurati ogradom ili drugim posebnim elementima za sigurnost ljudi za zaštitu prometa i objektata,</t>
  </si>
  <si>
    <t>-postaviti natpisnu ploču,</t>
  </si>
  <si>
    <t>-postaviti potreban broj urednih skladišta, pomoćnih radnih prostorija, nadstrešnica, odrediti i urediti prometne i parkirne površine za radne i teretne automobile, opremu, građevinske strojeve  i sl., te opremu i objekte za rastresiti i habasti građevinski materijal,</t>
  </si>
  <si>
    <t>-Izvođač je dužan gradilište sa svim prostorijama i cijelim inventarom redovito održavati i čistiti,</t>
  </si>
  <si>
    <t>-Sve materijale izvođač mora redovito i pravovremeno dobaviti da ne dođe do bilo kakvog zastoja gradnje,</t>
  </si>
  <si>
    <t>-U kalkulacije izvođač mora prema ponuđenim radovima uračunati ili posebno ponuditi eventualne zaštite za zimski period građenja, kišu ili sl.</t>
  </si>
  <si>
    <t xml:space="preserve"> -Izvođač je dužan osigurati ispravnu površinsku odvodnju u granicama gradilišta.</t>
  </si>
  <si>
    <t xml:space="preserve"> -Na gradilištu ukoliko se za to pokaže potreba mora postojati permanentna čuvarska služba za cijelo vrijeme trajanja gradnje također uračunata u faktor,</t>
  </si>
  <si>
    <t>-Gradilište mora biti po noći dobro osvjetljeno,</t>
  </si>
  <si>
    <t>-Sve otpadne matreijele  (šuta, lomovi, mort, ambalaža i sl.) treba odmah odvesti. Troškove treba ukalkulirati u režiju i faktor. Ukoliko se isti neće izvršavati  Naručitelj ima pravo čišćenja i odvoz otpada povjeriti drugome, a na teret izvođača radova,</t>
  </si>
  <si>
    <t>-Izvođač je dužan uz shemu organizacije gradilišta dostaviti i spisak sve mehanizacije i opreme koja će biti na raspolaganju gradilišta, te satnice za rad i upotrebu svakog stroja,</t>
  </si>
  <si>
    <t>-Izvođač je dužan bez posebne naplate osigurati Naručitelju i projektantu potrebnu pomoć kod obilaska gradilišta i nadzora, uzimanju uzoraka i sl., potrebnim pomagalima i ljudima,</t>
  </si>
  <si>
    <t>-Na gradilištu moraju biti poduzete sve HTZ mjere prema postojećim propisima.</t>
  </si>
  <si>
    <t>ZEMLJANI RADOVI</t>
  </si>
  <si>
    <t xml:space="preserve">Iskop zemlje vrši se prema nacrtima ručno ili strojno na predviđenu dubinu sa poravnanjem dna i s vertikalnim stranama, s eventualnim podupiranjem i razupiranjem, kao i crpljenje vode gdje je to potrebno. </t>
  </si>
  <si>
    <t>Iskop izvesti sa stranicama u nagibu koji odgovara tom terenu i potrebnim proširenjem za izvedbu izolaterskih i drugih radova na vanjskoj strani podrumskih i ukopanih zidova, komplet sa svim potrebnim osiguranjima građevinske jame, podupiranjem i sl. kako ne bi došlo do urušavanja, što ulazi u jediničnu cijenu stavke.</t>
  </si>
  <si>
    <t xml:space="preserve">Podupiranja, razupiranje i crpljenje vode, kao i prokvašenje zemlje uslijed kiše, obuhvaćeno je jediničnim cijenama i ne naplaćuje se posebno. Ako se iskopane jame oštete, odrone ili zatrpaju nepažnjom ili uslijed nedovoljnog podupiranja izvođač ih dovodi u ispravno stanje. </t>
  </si>
  <si>
    <t>Nasutu zemlju oko vanjskih obodnih zidova objekta treba u slojevima nabijati na troškovnikom propisani modul stišljivosti</t>
  </si>
  <si>
    <t>Kod nasipavanja nakon izvedbe temelja, postave i zaštite vertikalne izolacije, horizontalne kanalizacije materijal je potrebno polijevati kako bi se dobila potrebna zbijenost. Nabijanje izvesti u slojevima do najviše 30 cm s vibro-nabijačima ili žabama. Po završetku gradnje izvršiti planiranje terena, te ukloniti nepotrebno sa gradilišta.</t>
  </si>
  <si>
    <t>Za nasipavanje ispod betonskih podloga podova na zemlji imaju se upotrijebiti troškovnikom propisani materijali  u predviđenim debljinama slojeva.</t>
  </si>
  <si>
    <t>Jedinične cijene za pojedine stavke trebaju sadržavati:</t>
  </si>
  <si>
    <t>1. Sav rad za iskop (ručni ili mehanički)</t>
  </si>
  <si>
    <t>2. Potrebne razupore, podupore (osiguranje od urušavanja)</t>
  </si>
  <si>
    <t>3. Postava potrebne ograde i mostova za prebacivanje</t>
  </si>
  <si>
    <t>4. Sva potrebna planiranja i niveliranje</t>
  </si>
  <si>
    <t>5. Sva potrebna nabijanja površina</t>
  </si>
  <si>
    <t xml:space="preserve">6. Crpljenje površinske ili procjedne vode </t>
  </si>
  <si>
    <t>Obračun radova kod čišćenja terena obračunava se po m2, odnosno komadima kada je riječ o stablima, dok se odstranjivanje ostalih prepreka obično uzima paušalno.</t>
  </si>
  <si>
    <t>Obračun iskopanog materijala kod iskopa ili otkopa uzima se po m3 u sraslom stanju, tj. prema volumenu u kojem se nalazilo prije kopanja i prema dimenzijama iz projekta.</t>
  </si>
  <si>
    <t>Obračun materijala u nasipu uzima se prema volumenu izrađenog nasipa.</t>
  </si>
  <si>
    <t>Ovi uvjeti se mijenjaju ili nadopunjuju pojedinim stavkama troškovnika.</t>
  </si>
  <si>
    <t>BETONSKI I ARMIRANO BETONSKI RADOVI</t>
  </si>
  <si>
    <t>Kod izrade betona na gradilištu pomoću mješalica (za nekonstruktivne elemente i sl.), voditi računa o zadanim markama betona, kao i dodacima aditiva za plastičnost i vodonepropusnost. Za navedene radove potrebno je izraditi recepturu i ishoditi prethodnu suglasnost.</t>
  </si>
  <si>
    <t xml:space="preserve">Kod izvedbe betonskih i armirano-betonskih radova treba se u svemu pridržavati postojećih propisa, standarda i "Pravilnika za beton i armirani beton", te statičkog proračuna. Prije početka izvedbe betonskih radova treba pregledati i zapisnički konstatirati podatke o agregatu, cementu i vodi, odnosno o faktorima koji će utjecati na kvalitetu radova i ugrađenog betona. </t>
  </si>
  <si>
    <t>Cement u pogledu kvalitete mora odgovarati hrvatskim normama:</t>
  </si>
  <si>
    <t xml:space="preserve">Prilikom isporuke cementa isporučilac je dužan dostaviti i dokaze uporabljivosti. </t>
  </si>
  <si>
    <t>Za izradu betona predviđa se prirodno granulirani šljunak ili drobljeni agregat. Kameni agregat mora biti dovoljno čvrst i postojan, ne smije sadržavati zemljanih i organskih sastojaka, niti drugih primjesa štetnih za beton i armaturu.</t>
  </si>
  <si>
    <t>Kameni agregat u pogledu kvalitete mora odgovarati hrvatskim normama:</t>
  </si>
  <si>
    <t xml:space="preserve">Uzimanje uzoraka obavlja se na mjestu iskopa ili drobljenja, a isporučilac je obavezan dostaviti dokaze uporabljivosti o ispitivanju agregata koji se uzimaju na gradilištu. </t>
  </si>
  <si>
    <t>Voda koja se koristi prilikom pripreme betona mora odgovarati HRN U.M1.O14., ili jednakovrijedno</t>
  </si>
  <si>
    <t xml:space="preserve">Kod izvođenja betonskih radova treba voditi računa o tome kakve su atmosferske prilike tj. ako je temperatura visoka prije betoniranja politi podlogu, odnosno tlo i eventualnu oplatu kako ne bi došlo do upijanja vode iz betona. S ugradnjom betona može se započeti tek kada je oplata i armatura definitivno postavljena i učvršćena što potvrđuje nadzorni inženjer upisom u dnevnik. Komprimiranje betona vrši se pervibratorima - pri tome paziti da ne dođe do stvaranja sagregacionih gnijezda. Zaštita betonske konstrukcije vrši se polijevanjem vodom ili prekrivanjem jutenim platnom, a zavisno od trenutne temperature. </t>
  </si>
  <si>
    <t>Naročitu pažnju posvetiti ugradbi betona koji se neće naknadno obrađivati, jer površina tih konstrukcija mora biti poptpuno glatka i ravna.</t>
  </si>
  <si>
    <t xml:space="preserve">Armatura mora ostati u projektom predviđenom položaju i za vrijeme betoniranja i mora biti obuhvaćena betonom u čitavoj dužini i opsegu. </t>
  </si>
  <si>
    <t xml:space="preserve">Skela i oplata moraju imati takvu sigurnost i krutost da bez štetnih deformacija mogu primati opterećenje i uticaje koji nastaju tijekom izvedbe radova, te moraju biti izvedene tako da se osigura puna sigurnost radnika i sredstava za rad kao i sigurnost prolaznika, prometa, susjednih objekata i okoline. </t>
  </si>
  <si>
    <t>Obračun se vrši po m2,  m',  m3,  ili po komadu  tj. prema stavkama troškovnika. Stropne ploče se računaju unutar zidova, stupovi i zidovi se obračunavaju do greda, nadvoja, serklaža ili u punoj visini tj. do gornjeg ruba ploče, ako kontinuirano prelazi zidove. Sve dijelove betonske konstrukcije obračunati prema GN 400 ili jednakovrijedno.</t>
  </si>
  <si>
    <t>OPLATA</t>
  </si>
  <si>
    <t>Ovim uvjetima propisuje se način izrade i osobine materijala, čega se treba pridržavati kod izrade oplate, razupiranja i sličnih radova.</t>
  </si>
  <si>
    <t>Pri izradi se treba pridržavati važećih propisa i  pravila o zaštiti na radu u građevinarstvu kao i projekta i statičkog računa. Oplata kao i razna razupiranja, moraju imati takvu sigurnost i krutost da bez slijegavanja i štetnih deformacija mogu primiti opterećenja i utjecaje koji nastaju za vrijeme izvedbe radova.</t>
  </si>
  <si>
    <t>Za izradu oplate dijelova konstrukcije čije površine neće ostati vidljive, koristiti daske, gredice i letve od jelove rezane građe prema HRN D.C1.041,ili jednakovrijedno. Korištenje građe dozvoljeno je više puta osim na onim dijelovima konstrukcije gdje se izričito traži glatka oplata. Za dijelove konstrukcije čije će površine ostati vidljive koristi se glatka oplata. Sav materijal potreban za izradu oplate treba pravovremeno dostaviti na gradilište u dovoljnoj količini.</t>
  </si>
  <si>
    <t>Prije betoniranja drvenu oplatu treba dobro očistiti, nakvasiti, a glatku namazati uljem. Isto tako treba provjeriti dimenzije i kvalitet izrade. Oplate moraju biti stabilne, otporne i dovoljno poduprte da se ne bi izvijale ili propustile u bilo kojem pravcu. Moraju biti izrađene točno po mjerama označenim u crtežima plana oplate za pojedine dijelove konstrukcije koji će se betonirati sa svim potrebnim podupiračima. Unutarnje površine oplate moraju biti ravne, bilo da su horizontalne, vertikalne ili napregnute, prema tome kako je to u nacrtima planova oplate predviđeno. Nastavci pojedinih dasaka ne smiju izlaziti iz ravnine, tako da nakon njihovog skidanja vidljive površine betona budu ravne i s oštrim rubovima, te da se osigura dobro brtvljenje i sprečavanje deformacije.</t>
  </si>
  <si>
    <t xml:space="preserve">Za oplatu se ne smiju koristiti takvi  premazi koji se ne bi mogli oprati s gotovog betona ili bi nakon pranja ostale mrlje na tim površinama. Oplatu za stropne betonske konstrukcije, čije će površine ostati vidljive, potrebno je izvesti u glatkoj "Blažuj"  oplati, a prema nacrtu. Za AB zidove čije će površine ostati vidljive,oplata se izvodi od glatkih šperploča s malom upotrebom, jer površina betona mora biti glatka i ravna. Nadvišenja oplate ovise o građevini, njenoj namjeni i estetskom izgledu. Za manje noseće elemente, čija je slobodna dužina veća od 6,0 m', oplata se obično postavlja tako da se nakon  njezina opterećenja ostane nadvišenje veličine L/1000,  gdje je L - raspon elemenata. </t>
  </si>
  <si>
    <t>Kad su u betonskim zidovima i drugim konstrukcijama predviđeni otvori i udubine za prolaz vodovodne i kanalizacione cijevi, cijevi centralnog loženja i slično, kao i dimovodne i ventilacione kanale i otvore, treba još prije betoniranja izvesti i postaviti cijevi većeg profila od prolazeće cijevi da se iste mogu provući kroz zid ili konstrukciju i propisno zabrtviti.</t>
  </si>
  <si>
    <t>Kod nastavljanja betoniranja po visini, prilikom postavljanja oplate za tu konstrukciju treba izvesti zaštitu površina betona već gotovih konstrukcija, od procjeđivanja cementnog mlijeka. Neposredno prije početka ugrađivanja betona oplata se mora očistiti.</t>
  </si>
  <si>
    <t>Oplate moraju biti tako izvedene da se mogu skidati lako i bez oštećenja konstrukcija, sa svim njenim elementima, kao i slaganje i sortiranje građe na određenim mjestima. Također je uključeno i čišćenje dasaka, gredica, potpora i drugog, vađenje čavala, siječenje vezne žice, vađenje klanfi i zavrtanja, kao i čišćenje tih elemenata od eventualnih ostataka stvrdnutog betona.</t>
  </si>
  <si>
    <t>Oplata se smije skinuti tek pošto ugrađeni beton dobije odgovarajuću čvrstoću, po nalogu nadzornog inžinjera. Skidanje oplata treba raditi pažljivo da ne bi došlo do oštećenja konstrukcije, a naročito tankih armirano-betonskih elemenata (nadvoja sa zubom, bangera, ograda isl.).</t>
  </si>
  <si>
    <t xml:space="preserve">Izrađena oplata s podupiranjem, prije betoniranja mora biti pregledana od strane nadzornog inženjera uz prisustvo inženjera gradilišta. Prije nego što se počne ugrađivati beton moraju se provjeriti dimenzije oplate i kakvoća njihove izvedbe, kao i čistoća i vlažnost oplate, te se isto mora evidentirati u građevinskom dnevniku - upis nadzornog inženjera. </t>
  </si>
  <si>
    <t>ARMIRAČKI  RADOVI</t>
  </si>
  <si>
    <t>Kod izvedbe armiračkih radova treba se u svemu pridržavati postojećih propisa i standarda. Betonski čelik u pogledu kvalitete mora odgovarati hrvatskim normama.</t>
  </si>
  <si>
    <t xml:space="preserve">Sve vrste čelika moraju imati kompaktnu homogenu strukturu. Ne smiju imati nikakvih nedostataka, mjehura, pukotina ili vanjskih oštećenja. Prilikom isporuke betonskog čelika isporučilac je dužan dostaviti atesdokaze uporabljivosti te koji garantiraju vlačnu čvrstoću i varivost čelika. Na gradilištu odgovorna osoba mora obratiti naročitu pažnju na evantualne pukotine, jača vanjska oštećenja, slojeve rđe, prljavštine i čvrstoću, te dati nalog da se takav betonski čelik odstrani ili očisti. </t>
  </si>
  <si>
    <t>Savijeni valjani čelik (Č) mora biti označen točno prema armaturnim nacrtima i u svemu mora zadovoljavati važeće propise.</t>
  </si>
  <si>
    <t>Svaka stavka armiračkih radova sadrži Pregled armature prije savijanja i siječenja sa čišćenjem i sortiranjem. Sječenje, ravnanje i savijanje armature na gradilištu sa horizontalnim transportom do mjesta savijanja, te horizontalnim i vertikalnim transportom do mjesta vezanja i ugradnje, ili savijanja u centralnom savijalištu, transport do radilišta, te horizontalni i vertikalni transport već gotovog savijenog čelika do mjesta vezanja i ugradnje. Postavljanje i vezanje armature točno prema armaturnim nacrtima, s podmetanjem podložaka, kako bi se osigurala potrebna udaljenost između armature i oplate. Pregled armature od strane izvođača i nadzornog inženjera prije početka betoniranja.</t>
  </si>
  <si>
    <t>Obračun ugrađene armature vrši se po grupama u kg. Ukoliko se izvrši preračunavanje na objektu se može uz suglasnost statičara izvršiti i zamjena vrsta čelika i profila ovisno o mogućnostima dobave. Jedinična cijena treba obuhvatiti dopremu betonskog željeza u armiračnicu, doprema na gradilište gotove armature iz armiračnice, sav materijal, alat i uskladištenje, uzimanje potrebnih izmjera na objektu, troškove radne snage za kompletan rad, opisan u troškovniku, sve horizontalne i vertikalne transporte do mjesta ugradnje i potrebnu radnu skelu (izuzima se fasadna skela).</t>
  </si>
  <si>
    <t>IZOLATERSKI RADOVI</t>
  </si>
  <si>
    <t>HIDROIZOLACIJE</t>
  </si>
  <si>
    <t>Sav materijal za izolaciju treba biti prvorazredne kvalitete, te odgovarati postojećim propisima i standardima.</t>
  </si>
  <si>
    <t>Ukoliko je opis koje stavke izvođaču nejasan, treba pravovremeno prije izvedbe radova tražiti objašnjenje od nadzora / projektanta. Eventualne izmjene materijala, te način izvedbe tokom gradnje moraju se izvršiti isključivo pismenim dogovorom sa projektantom i nadzornim inženjerom. Sve više radnje, koje neće biti na taj način utvrđene, neće se priznati u obračunu.</t>
  </si>
  <si>
    <t>Podloga za hidroizolaciju mora biti suha i čvrsta, ravna i bez šupljina na površini, te očišćena od prašine i raznih nečistoća. Svi spojevi moraju biti izvedeni sa potrebnim preklopima ovisno o vrsti materijala koji se koristi i načinu spajanja, pažljivo izvesti savijanje, jer će sve manjkavosti i štete nastale lošom izvedbom izolacije snositi izvođač.</t>
  </si>
  <si>
    <t>Ukoliko se naknadno ustanovi tj. pojavi vlaga zbog nesolidne izvedbe, ne dozvoljava se krpanje, već se mora ponovno izvesti izolacija cijele površine na trošak izvođača. Izvođač mora u tom slučaju o svom trošku izvesti i popravak pojedinih građevinskih i obrtničkih radova, koji se prilikom ponovne izvedbe oštete ili moraju demontirati.</t>
  </si>
  <si>
    <t>U cijenu radova uključena je manipulacija materijala po gradilištu, sve potrebne oplate, ukrućenja, skele, pomoćni alati potrebni za kompletno izvršenje stavki, te sav materijal i rad na ugradnji izolacije. Radove treba obavljati tako da se ne oštete izvedeni radovi. Izvođač je dužan voditi brigu o mjerama zaštite na radu. Izolacije podrazumijevaju izvođenje prema uputama proizvođača, sve elemente za kompletno izvođenje stavki (pomoćni materijal, brtvljenja, spojne elemente i sl.).</t>
  </si>
  <si>
    <t>TOPLINSKA IZOLACIJA</t>
  </si>
  <si>
    <t xml:space="preserve">Termoizolacija (toplinska izolacija) se izvodi od materijala koji imaju osobine da slabo provode toplinu (proračunom je određena vrijednost toplinske izolacije). Izvode se prema opisu troškovnika, kvalitetno i prema HRN-a ili jednakovrijednim, te tehničkim propisima  za toplinsku i zvučnu izolaciju. </t>
  </si>
  <si>
    <t>Obračun radova vrši se po m2 površine. Jedinična cijena treba sadržavati materijal, rad, transport materijala i alata, kompletnu ugradnju, zaštitu izvedenih radova od atmosferski nepovoljnih utjecaja.</t>
  </si>
  <si>
    <t>ZIDARSKI RADOVI</t>
  </si>
  <si>
    <t>Zidarske radove izvesti u svemu prema troškovniku. Ako koja stavka nije izvođaču jasna, mora prije izvođenja radova tražiti objašnjenje nadzora te po potrebi od projektanta. Eventualne izmjene materijala, te način izvedbe tokom gradnje mora se izvršiti isključivo pismenim dogovorom s nadzornim inženjerom i projektantom.</t>
  </si>
  <si>
    <t>Sav materijal upotrebljen za zidarske radove mora odgovarati postojećim propisima i standardima.</t>
  </si>
  <si>
    <t>ZIDANJE</t>
  </si>
  <si>
    <t>Zidati treba u pravilnom vezu, u potpuno horizontalnim redovima sa fugama debljine 1 cm ispunjenim mortom. Mort mora odgovarati točno omjerima po količinama materijala označenim u normama, a čvrstoća i kvaliteta mora odgovarati propisima HRN-i ili jednakovrijednim. Pijesak mora biti čist bez organskih primjesa. Cement za produžen i cementni mort mora odgovarati propisima HRN-i ili jednakovrijednim. Vapno treba biti dobro gašeno i odležano. Ukoliko se radi s hidratiziranim vapnom obavezno se držati upute proizvođača. Pri zidanju ostaviti sve otvore za kanale, instalacije i sl., a prema projektu.</t>
  </si>
  <si>
    <t>Kod pregradnih zidova debljine 8, 10 i 12 cm iznad vrata uključiti u jediničnu cijenu zida izradu i montažu armirano betonskih montažnih nadvoja. Pri obračunu količine svi otvori se odbijaju po zidarskim mjerama, uključujući armirano betonske nadvoje kod nosivog zida. Svježe zidove treba zaštititi od utjecaja visoke i niske temperature i atmosferskih nepogoda. Površine kod koji se samo naknadno obrađuju reške (fugiraju) treba pažljivo zidati sa čistim licem i oštrobridom opekom.</t>
  </si>
  <si>
    <t>ŽBUKANJE</t>
  </si>
  <si>
    <t>Žbukanje zidova potrebno je izvesti u pogodno vrijeme, kad su zidovi  i stropovi potpuno suhi. Po velikoj zimi i vrućini treba izbjegavati žbukanje, jer tada može doći do smrzavanja odnosno pucanja uslijed sušenja. Prije žbukanja treba plohe dobro očistiti i navlažiti. Spojnice moraju biti udubljene cca 2 cm od plohe zida. Površine žbuke moraju biti glatke i ravne bez pukotina i visova. Uglovi i završeci oštri, ravni, okomiti, vodoravni ili u pravcu označenim u nacrtima. Sudar žbuka sa svim elementima ugrađenim u zid mora biti potpuno zatvoren i fino obrađen. Ploha žbuke ne smije prekoračiti ravnine ugrađenih okvira, doprozornika i dovratnika. Svi uglovi  i sudari moraju biti oštro i ravno odrezani i pod ravnim kutem izvedeni.</t>
  </si>
  <si>
    <t>Sve ugradbe izvesti točno po propisima i na mjestu označenom po projektu, a u vezi opisa pojedine stavke. Kod ugradbe doprozornika uključena je ugradba prozorskih klupčica, kutija za eslinger rolete, kutija za opruge kod eslingera, kutija za flos roletu i sl., dakle sve što ide uz doprozornik. Ovo se analogno odnosi i na druge ugradbe. Kod stavaka, gdje je uz ugradbu označena i dobava, istu treba uključiti, a također i eventualnu izradu pojedinih elemenata, koji se izvode na gradilištu i ugrađuju montažno.</t>
  </si>
  <si>
    <t>U cijenu treba uračunati svu zidarsku pripomoć obrtnicima, instalaterima, nošenje izuzetno teških predmeta, pripomoć kod raznih ugradbi, te materijal za ugradbu. Obračun za zidarske radove vrši se prema GN 301 ili jednakovrijednim. Jedinična cijena zidarskih radova mora sadržavati sav rad, uključivo prijenos, alata i uređaja, sav materijal, uključivo vezni materijal, svu potrebnu skelu, bez obzira na visinu i vrstu sa prolazima, transport materijala, potrebnu oplatu za zidarske svodove, zaštita zidova od utjecaja vrućine, hladnoće, atmosferskih nepogoda, čišćenje prostorija i zidnih površina po završetku zidanja i odvozom građevnog otpada nastalog pri zidanju.</t>
  </si>
  <si>
    <t>Ovi opći uvjeti se mijenjaju ili dopunjuju opisom pojedine stavke troškovnika.</t>
  </si>
  <si>
    <t>BRAVARSKI RADOVI</t>
  </si>
  <si>
    <t>Svi radovi moraju se izvoditi prema podacima iz projektne dokumentacije, u skladu sa pravilima zanata i prema važećim propisima. Dimenzioniranje pojedinih elemenata potkrijepiti statičkim izračunima te ih dostaviti na uvid projektantu. Nije dozvoljena upotreba neadekvatno dimenzioniranih elemenata.</t>
  </si>
  <si>
    <t xml:space="preserve">Izvođač je dužan prije početka radova pregledati objekt, izvršiti potrebna mjerenja te dobiti odobrenje nadzornog inženjera ili odgovorne osobe postavljene sa strane naručitelja. Izvođač je dužan zaštititi radni prostor u kojem se izvode bravarski radovi. </t>
  </si>
  <si>
    <t xml:space="preserve">Prije početka izrade bravarije obavezno se moraju uskladiti mjere i količine na građevini. Elementi na gradilište dolaze spremni za montažu sa prethodno izvšenom  zaštitom. Oštećenja zaštite nastala naknadnim bušenjima te montažom popraviti će se na objektu sa predviđenim materijalima i sredstvima. Svi vijci i ostali dijelovi spajanja moraju biti izvedeni od visokokvalitetnog čelika potrebne čvrstoće. Vijčani spojevi moraju biti osigurani od odvrtanja za to predviđenim sredstvima. </t>
  </si>
  <si>
    <t>Radioničke nacrte i detalje izrađuje izvođač obavezno ih daje na suglasnost nadzoru i/ili projektantu. Svi tehnički i fizikalni zahtjevi trebaju biti ispunjeni prema propisima ili prema posebnim traženjima projektanta. Konstrukcija mora biti dimenzionirana tako da sigurno prihvaća opterećenje. Sve nosive dijelove treba statički provjeriti.</t>
  </si>
  <si>
    <t>Svi se bravarski elementi u pravilu trebaju ugrađivati suhim postupkom bez uporabe morta, tj. vijcima na predhodno ugrađene sljepe dovratnike ili sidra, turbovijcima ili drugim spojnim elementim koji brojem i čvrstoćom garantiraju statičku stabilnost konstrukcije. Sve sudarnice između metala i betona (zida) moraju biti brtvljene silikonom u boji prema naputku projektanta. Ukoliko nakon postavljanja bravarije slijede zidarski radovi izvođač je dužan adekvatno zaštititi ugrađenu bravariju pvc najlonom i samoljepljivim trakama od prskanja žbuke  ( vapno, cement .. ).</t>
  </si>
  <si>
    <t>Materijal i elementi koje izvođač isporučuje i ugrađuje na objektu moraju biti u skladu sa propisima HRN-i ili jednakovrijednim, a oni za koje ne postoje moraju posjedovati dokaze uporabljivosti od odgovarajućih ustanova da odgovaraju predviđenoj mjeri. Svi spojevi trebaju biti  vareni, obrađeni odnosno nitani prema propisu za te vrste radova. Upotrijebiti se mora točno odgovarajući profil i debljina lima.</t>
  </si>
  <si>
    <t xml:space="preserve">Jedinična cijena stavke ovog troškovnika pored opisanih radova svake stavke i ovih uvjeta treba obuhvatiti i sve prateće radove koji se neće posebno  naplačivati. U jediničnoj cijeni uključena je nabava materijala, izrada u radionici, sav unutarnji i vanjski transport do mjesta ugradbe, te ugradba i dotjerivanje do besprijekornog funkcioniranja svih pokretnih dijeloova. Također je u jediničnoj cijeni uključena izrada prototipa, ukoliko se radi o elementima koji treba da se izvedu u većem broju. Zatim izrada, upasivanje i provizorno pričvršćenje na mjestima uz zidove i stropove, obostrano pričvršćenje oko čeličnih elemenata, brtvljenje svih spojeva sa drugim elementima trajno elastičnim kitom i dr. Svi elementi moraju biti zaštičeni anikorozivnim premazom i to: priprema podloge, miniziranje, ličenje uljenom bojom, u tonu i po izboru projektanta. Cijena radova treba obuhvaćati kompletan rad. </t>
  </si>
  <si>
    <t>Izvođač radova prije izvedbe predlaže detalj konstrukcije (radioničke nacrte) i način ugradbe i daje na uvid i odobrenje projektantu - nadzornom organu, zatim mora dobiti i od projektanta pismeno odobrenje za izvedbu i ugradbu istog. Nakon izrade izvedbenih projekata, projektant zadržava pravo izmjene stavki zbog usklađenja sa projektom bez naknade u cijeni za izvođača radova. Mjere iz troškovnika i projekta obavezno kontrolirati u naravi prije izvedbe.</t>
  </si>
  <si>
    <t>LIMARSKI RADOVI</t>
  </si>
  <si>
    <t>U cijenu stavke uključiti dobavu i ugradnju svog potrebnog materijala kao i rad potreban za izvedbu svih fazonskih spojeva na krovu kao što su: limeni opšav sa svim potrebnim priključnim i zaštitnim elementima, vodolovna grla, odzrake, proboji instalacija kroz krov i sl.</t>
  </si>
  <si>
    <t>LIČILAČKI RADOVI</t>
  </si>
  <si>
    <t xml:space="preserve">Sve radove treba izvoditi po izvedbenim nacrtima, opisima radova u troškovniku, te uputama nadzornog inženjera i projektanta. Sav upotrebljeni materijal treba zadovoljavati postojeće uzance i propise, a posebno: </t>
  </si>
  <si>
    <t>Pravilnik o tehničkim mjerama i uvjetima za završne radove u građevinarstvu,</t>
  </si>
  <si>
    <t>Tehnički uvjeti za izvođenje soboslikarskih -ličilačkih radova HRN U.F.2.015,ili jednakovrijedno</t>
  </si>
  <si>
    <t>U jediničnu cijenu svake vrste radova treba uključiti: osnovni i pomoćni materijal, višak-otpad materijala, transport do gradilišta i na gradilištu, trošak za izradu skele i ostalih pomoćnih konstrukcija, trošak održavanja kvalitete izvedenog rada i zaštite dopremljenog materijala na gradilište, uklanjanja nečistoća ili šteta pruzrokovanih vlastitim radom, kao i trošak otpreme materijala. Jedinična cijena prema tome treba obuhvatiti sve troškove za izvedbu jedinice vrste rada prema opisu u troškovniku.</t>
  </si>
  <si>
    <t>Izvedeni rad i upotrebljeni materijal mora u svemu (vrsti, boji i kvaliteti) biti jednak uzorku, što ga odabere projektant, koje proizvođač izrađuje bez naplete. Materijal za izvedbu soboslikarskih-ličilačkih radova je naveden u stavkama troškovnika.</t>
  </si>
  <si>
    <t>Od primjenjenih  se materijala traži da imaju prionljivost za podlogu, po mogučnosti da penetriraju u podlogu, da se njima jednostavno radi, da dobro "pokrivaju", da su im boje stalne, da su otporni na utjecaj sredine kojima su izloženi, da se ne brišu sa ploha na koje su naneseni, da su bezopasni za okolinu, da se premazi njima mogu obnavljati bez posebnih radova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</si>
  <si>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neuredne podloge ne može se izvoditi rad dok se podloge ne urede. Predviđa se da se svi stropovi i zidovi koji budu bojeni prethodno obrade glet masom i potpuno zaglade, a zatim da ih se boji bojom za unutarnje radove.</t>
  </si>
  <si>
    <t>FASADERSKI RADOVI</t>
  </si>
  <si>
    <t>Napomena:</t>
  </si>
  <si>
    <t>Fasadni zidovi se radi poboljšanja energetske učinkovitosti izvana oblažu certificiranim vanjskim fasadnim sustavom, s termoizolacijom od tvrde kamene vune za fasadne sustave za ugradnju lijepljenjem i mehaničkim pričvršćenjem. Debljina termoizolacije od kamene vune iznosi 15,0 cm na svim vanjskim zidovima. Prilikom izvođenja radova može se izabrati bilo koji vanjski fasadni sustav jednakih ili boljih karakteristika od prikazanih u fizici zgrade. Sva vlakna ploče moraju biti paralelna sa fasadom sa osiguranom nosivošću u cjelokupnoj debljini ploče.</t>
  </si>
  <si>
    <t>Izolacijske ploče debljine 15,0 cm se lijepe na prethodno očišćenu i pripremljenu podlogu građevinskim ljepilom te se OBAVEZNO dodatno učvršćuju čeličnim pričvrsnicama (tiplama). Ljepljenje je potrebno izvesti po cijelom opsegu i minimalno u W uzorku) Dužina tiple prema preporuci proizvođača, dubina sidrenja u AB konstrukciju i u opeku je minimalno 5,0 cm . Tiple moraju imati podlošku min promjera 90 mm Potrebno je ugraditi minimalno 6 kom/m2 (dupli W uzorak). Sve rubove zgrade potrebno je izvesti sa pogušćenim tiplanjem</t>
  </si>
  <si>
    <t xml:space="preserve">Najkasnije 14 dana od postavljanja izolacije potrebno je izvesti armaturni sloj. Armaturni sloj se izvodi gletanjem u dva premaza (dvije ruke). Prvi sloj se nanosi na pripremljenu toplinsku izolaciju, te se u njega utiskuje armaturna mrežica od staklenog voala (ugradnja odozgo prema dolje laganim pritiskom gladilicom). Na mjestima spajanja armaturne mrežice potrebno je osigurati preklop od minimalno 10 cm. </t>
  </si>
  <si>
    <t xml:space="preserve">Drugi sloj nanosi se u roku od 24 sata od umetanja mrežice i isti je potrebno završno zagladiti. Minimalna debljina drugog sloja iznosi 1 mm. </t>
  </si>
  <si>
    <t>Na uglovima otvora prozora i vrata potrebno je izvesti dijagonalno armiranje  polaganjem staklene mrežice u svježi mort za armaturni sloj točno na uglovima otvora pod kutem od 45 stupnjeva i to prije nanošenja punog armaturnog sloja na toplinski izolirane površine. Minimalne dimenzije armaturnih traka iznose 20x40 cm.</t>
  </si>
  <si>
    <t>Sve vidljive površine toplinsko-izolacijskih materijala, uključujući špalete te donje i gornje završetke ETICS-a na kojima nisu ugrađeni prikladni profili, potrebno je obraditi armaturnim slojem i završnom žbukom.</t>
  </si>
  <si>
    <t xml:space="preserve">Sve spojeve kao što su spoj s prozorima i vratima, spoj s krovom, spoj s kutijom za rolete i sl. potrebno je izvesti odgovarajućim priključnim profilima ili brtvenim trakama kako bi se ETICS sustav zaštitio od prodora vlage. Na isti način potrebno je izvesti zaštitu i na svim prodorima kroz ETICS kao što su prodori za gromobransku instalaciju, odvodnju, elektroinstalacije i sl. </t>
  </si>
  <si>
    <t>Kod montaže klupčica na otvorima (ugradnja prije ili nakon izvedbe ETICS sustava) posebnu pažnju potrebno je posvetiti pravilnoj ugradnji klupčica i toplinskoj izolaciji – ispunjavanju svih šupljina. Ukoliko se ugradnja klupčica vrši nakon izvedbe ETICS-a potrebno je gornju stranu izolacijskog materijala zaštiti armaturnim slojem.</t>
  </si>
  <si>
    <t>Kod montaže klupčica na otvorima (ugradnja prije ili nakon izvedbe ETICS sustava) posebnu pažnju potrebno je posvetiti pravilnoj ugradnji klupčica i toplinskoj izolaciji – ispunjavanju svih šupljina. Ukoliko se ugradnja klupčica vrši nakon izvedbe ETICS-a potrebno je gornju stranu izolacijskog materijala zaštiti armaturnim slojem</t>
  </si>
  <si>
    <t xml:space="preserve">UVJETI UZ TROŠKOVNIK STROJARSKIH INSTALACIJA  OPĆI UVJETI </t>
  </si>
  <si>
    <t xml:space="preserve">U stavkama troškovnika potrebno je uračunati sav potrebni rad i materijal za izradu kompletne instalacije do potpune funkcionalnosti, svi potrebni prijevozi, uskladištenja, skele, unutarnje i vanjske komunikacije na gradilištu, troškove osiguranja od krađe i oštećenja, postave pomoćnih i drugih uređaja, troškove potrošnje električne i druge energije, te troškove pripreme i režijskog osoblja gradilišta. Sve eventualne promjene i odstupanja od projekta, potrebno je usuglasiti s projektantom i nadzornim inženjerom. Cijena za svaku točku ovog troškovnika mora obuhvatiti dobavu, spajanje, lukove, koljena, redukcije, potrošni materijal, izvršenje tlačne probe, punjenje sustava, ispitivanje strojeva i uređaja s povećanom opasnosti, ispitivanje buke, ateste te izradu elaborata o ispitivanjima prema važećim propisima, čišćenje i bojanje temeljnom bojom te završom lak bojom te dovođenje stavke u stanje potpune funkcionalnosti. Jedinična cijena pojedine stavke ventilacije treba sadržavati i potrebna mjerenja izlaznih/ulaznih brzina na rešetkama, zračnim ventilima te u kanalima uz fino podešavanje sustava ventilacije. Radove izvodi ovlaštena tvrtka koja izrađuje zapisnik o izvedenim mjerenjima za potrebe tehničkog pregleda. U cijenu pojedine stavke treba ukalkulirati izradu proboja koji nisu definirani troškovnikom, sav potreban spojni, montažni, pričvrsni i ostali materijal potreban za potpuno funkcioniranje pojedine stavke, predaju potvrđenih jamstva, puštanje uređaja u pogon, upoznavanje i obuka kvalificirane osobe odabrane od strane investitora za pogon i upotrebu projektiranog postrojenja te izrada zapisnika o izvršenoj edukaciji uz potpis osposobljene osobe, upute o načinu rukovanja ugrađenom opremom na hrvatskom jeziku. Prilikom izrade ponude treba imati u vidu najnovije važeće propise za pojedine vrste instalacije. Svu metalnu instalaciju potrebno je uzemljiti na uzemljivač objekta prema projektu elektoinstalacija. Prije narudžbe i ugradnje opreme i materijala sve uskladiti s nadzornim inženjerom i arhitektonskim projektom. Svi ponuđači dužni su kompletan opseg vlastite isporuke uskladiti s traženom kompletnom funkcijom, respektirajući pri tom sve predviđene i tražene parametre, uz čvrste, pismeno potvrđene garancije. Sva eventualna potrebna razrađivanja, usklađenja i slično, u opsegu su dotične isporuke, a sve pripadne troškove snosi ponuđač. Puštanje u pogon opreme izvršava izvođač radova s odabranim ovlaštenim serviserom za pojedinu vrstu opreme. Izvođač je dužan prijenos, ugradnju i svu građevinsku pripomoć izvesti o svom trošku, te sve te radove nuditi u jediničnim cijenama ovog troškovnika. Gradilište je nakon izvršenih radova potrebno očistiti te otpadni materijal odvesti na mjesni deponij. Obaveza izvođača je prikupljanje sve dokumentacije potrebne za tehnički pregled te izradu sheme spajanja opreme. Shemu ostakliti i ovjesiti na zid u toplinskoj podstanici. Cjevovode za spajanje opreme sa svom armaturom doprema, ugrađuje, ispituje i pušta u pogon izvođač. Za sve stavke opreme dozvoljeno je odstupanje navedenih tehničkih parametara u granicama ±5 % uz uvjet da se postigne jednakovrijedno učinkovit sustav. </t>
  </si>
  <si>
    <t>Sav materijal za izradu izolacionih radova mora zadovoljavati odgovarajuće propise:</t>
  </si>
  <si>
    <t>- plivajuće podne konstrukcije HRN.U.F2.019,020 ili jednakovrijedno</t>
  </si>
  <si>
    <t>- polistiren HRN.G.C7.201  ili jednakovrijedno</t>
  </si>
  <si>
    <t>- mineralna vuna HRN.U.M9.015  ili jednakovrijedno</t>
  </si>
  <si>
    <t>- porofen HRN.G.S2.659  ili jednakovrijedno</t>
  </si>
  <si>
    <t>- terikal kit DIN.1854/2  ili jednakovrijedno</t>
  </si>
  <si>
    <t>- polietilenska folija HRN.G.C1.290  ili jednakovrijedno</t>
  </si>
  <si>
    <t>- bet. ljepenka HRN.U.M3.232  ili jednakovrijedno</t>
  </si>
  <si>
    <t>- pluto HRN.U.F2.026  ili jednakovrijedno</t>
  </si>
  <si>
    <t>- bet. traka sa uloškom al. folije HRN.U.M3.230  ili jednakovrijedno</t>
  </si>
  <si>
    <t>- jednostrano bitumen iz. al. folija HRN.U.M3.229  ili jednakovrijedno</t>
  </si>
  <si>
    <t>- al. folija HRN.C.C4.025  ili jednakovrijedno</t>
  </si>
  <si>
    <t>- bitumen iz. performirani stakleni voal HRN.U.M3.248  ili jednakovrijedno</t>
  </si>
  <si>
    <t>- sirovi krovni karton HRN.U.M3.226  ili jednakovrijedno</t>
  </si>
  <si>
    <t>- hladni premaz HRN.U.M3.240  ili jednakovrijedno</t>
  </si>
  <si>
    <t>- vrući premaz HRN.U.M3.244  ili jednakovrijedno</t>
  </si>
  <si>
    <t>- ljepenka sa uloškom od staklene tkanine HRN.U.M3.234  ili jednakovrijedno</t>
  </si>
  <si>
    <t>- ljepenka sa uloškom od staklenog voala HRN.U.M3.231  ili jednakovrijedno</t>
  </si>
  <si>
    <t>- negorive mineralne ploče HRN.B.F2.100  ili jednakovrijedno</t>
  </si>
  <si>
    <t>I GRAĐEVINSKI RADOVI</t>
  </si>
  <si>
    <t>rbr</t>
  </si>
  <si>
    <t>Opis stavke</t>
  </si>
  <si>
    <t>jed. mjere</t>
  </si>
  <si>
    <t>količina</t>
  </si>
  <si>
    <t>jed. cijena</t>
  </si>
  <si>
    <t>ukupno:</t>
  </si>
  <si>
    <t>1.00 OSTALI RADOVI</t>
  </si>
  <si>
    <t>1.01.</t>
  </si>
  <si>
    <t>Završno energetsko certificiranje građevine prije tehničkog pregleda</t>
  </si>
  <si>
    <t>kpl</t>
  </si>
  <si>
    <t>1.02.</t>
  </si>
  <si>
    <t>Izrada projekta izvedenog stanja od strane ovlaštene osobe koji se sastoji od arhitektonskog, hidroinstalaterskog i elektrotehničkog dijela</t>
  </si>
  <si>
    <t>1.04.</t>
  </si>
  <si>
    <t>Organizacija i priprema gradilišta. Stavka obuhvaća:
- uređenje, održavanje, korištenje, uklanjanje, uređenje gradilišta, organizacija i postavljanje radnih prostora, skladišta, privremene infrastrukture, natpisi, ograde, osvjetljenje, natpisi, dobava, materijala i alata, upozorenja te odvozi smeća
- mobilizacija, održavanje i demobilizacija opreme, alata i strojeva
- osiguranje potrebnih građevinskih priključaka (voda, el.energija, i sl), pogonske energije i pomoćnih građevina
- čišćenje mjesta rada, održavanje čistoće, zaštita od prašine, redovita čišćenja i završno čišćenje gradilišta, površina i mjesta rada
- osiguranje privremenih puteva, zaštita puteva i površina od oštećenja, čišćenje manipulativnih površina i osiguranje mjesta za skladištenje i deponiranje materijala
- osiguranje vertikalnog i horizontalnog transporta, instalacija i korištenje naprava za vertikalni i horizontalni transport ljudi i materijala.
- postava ploče kojom se označava gradilište prema Zakonu o gradnji. Ploča mora biti postavljena na vidljivom mjestu na ulazu u gradilište. Postavljanje svih oznaka upozorenja, oznaka opasnosti i zabrane, te ostalih oznaka zaštite na radu
- osiguranje zaštite granica gradilišta prema okolini
- izvođač je dužan osigurati gradilište i postaviti podupirače kako ne bi došlo do urušavanja građevine ili njezinog dijela
- naknade za eventualno potrebno zauzimanje javne gradske površine za organizaciju gradilišta
Sve vrste skele bez obzira na visinu ulaze u jediničnu cijenu pojedinog rada. Skela mora biti na vrijeme postavljena kako ne bi nastao zastoj u radu. Skele moraju biti u skladu s propisima.</t>
  </si>
  <si>
    <t>1.05.</t>
  </si>
  <si>
    <t>Uklanjanje trošne građevina na parceli s propisnim zbrinjavanjem otpada, ukupne zapremnine 131,19 m3.</t>
  </si>
  <si>
    <t>1.06.</t>
  </si>
  <si>
    <t>Izrada projekta zaštite građevinske jame u koji je uključena i njegova kontrola od strane nadležnog revidenta.</t>
  </si>
  <si>
    <t>1.07.</t>
  </si>
  <si>
    <t>Geodetsko iskolčenje građevine</t>
  </si>
  <si>
    <t>PRIPREMNI RADOVI UKUPNO:</t>
  </si>
  <si>
    <t>2.00 ZEMLJANI RADOVI</t>
  </si>
  <si>
    <t>2.01.</t>
  </si>
  <si>
    <t>Crpljenje podzemnih voda iz građevinske jame</t>
  </si>
  <si>
    <t>m3</t>
  </si>
  <si>
    <t>2.02.</t>
  </si>
  <si>
    <t>Široki iskop postojećeg terena za potrebe gradnje trakastih temelja i zamjenu tla u dubini od 3,3 u odnosu na postojeći teren u zemljištu kategorije C te odlaganje zemljišta na lokaciji. U cijenu uračunati sav rad i strojeve poput pneumatskog čekića. Iskopani materijal je potrebno zbrinjavati sukladno pozitivnim propisima</t>
  </si>
  <si>
    <t>2.03.</t>
  </si>
  <si>
    <t>Izvođenje nasipa od krupnozrnatog materijala granulacije 0-64 mm, u pojasu od 1,50 m oko građevine. U cijenu uračunati sav rad i materijal</t>
  </si>
  <si>
    <t>2.04.</t>
  </si>
  <si>
    <t>Čišćenje temeljne jame od segregiranog materijala, a otpadni materijal zbrinuti sukladno pozitivnim propisima.</t>
  </si>
  <si>
    <t>2.05.</t>
  </si>
  <si>
    <t>Uski iskop u zemljištu kategorije C za potrebe rovova za odvodne cijevi. Sav materijal odložiti na gradilište sukladno pozitivnim propisima. U cijenu uračunati sav rad strojeva i zbrinjavanje materijala.</t>
  </si>
  <si>
    <t>2.06.</t>
  </si>
  <si>
    <t>Doprema i zasipavanje odvodnih kanala agregatom 0-16 mm. U cijenu uračunati sav rad i materijal</t>
  </si>
  <si>
    <t>2.07.</t>
  </si>
  <si>
    <t>Doprema i zasipavanje ravnog krova šljunkom granulacije 0-32 mm u sloju od 5 cm kao zaštita hidroizolacije. U cijenu uračunati sav rad i materijal.</t>
  </si>
  <si>
    <t>2.08.</t>
  </si>
  <si>
    <t>Nabijanje nasipanog krupnozrnatog materijala iz st. 2.03. do modula stišljivosti M=40 Mpa. U cijenu uračunati sav rad, materijal i strojeve.</t>
  </si>
  <si>
    <t>m2</t>
  </si>
  <si>
    <t>2.09.</t>
  </si>
  <si>
    <t>Nabijanje čeličnih talpi (čelik S240GP) poprečnog presjeka 75,6 m2 za potrebe zaštite građevinske jame. Talpe se nabijaju građevinskim strojevima. U cijenu je potrebno uračunati i vađenje talpi.Previđa se nabijanje talpi do 10 m dubine, postavljaju se u razmacima od 40 cm s dvostrukim stezanjem brava.</t>
  </si>
  <si>
    <t>2.10.</t>
  </si>
  <si>
    <t>Zatrpavanje zdenca zemljanim nasipom na jugozapadnom rubu parcele</t>
  </si>
  <si>
    <t>ZEMLJANI RADOVI UKUPNO:</t>
  </si>
  <si>
    <t>3.00 BETONSKI I ARMIRANOBETONSKI RADOVI:</t>
  </si>
  <si>
    <t>3.01.</t>
  </si>
  <si>
    <t>Izvedba podložnog betona debljine 10 cm razreda tlačne čvrstoće C12/16.</t>
  </si>
  <si>
    <t>3.02.</t>
  </si>
  <si>
    <t>Izrada podložnog betona debljine 10 cm od nearmiranog betona C16/20 za potrebe odvodnih cijevi fekalne i oborinske kanalizacije. U cijenu uračunati sav rad i materijal</t>
  </si>
  <si>
    <t>3.03.</t>
  </si>
  <si>
    <t>Izrada trakastih temelja dimenzija 120x60 cm od betona C30/37, granulacije agregata 0-16 mm, Za armiranje koristiti armaturu sukladno HRN.DIN.488-1 ili jednakovrijedno, a za stvaranje zaštitnog sloja sukladno projektu, plastične distancere. Oplatu je prije postavljanja potrebno premazati uljem za lako razdvajanje oplate od betona. U cijenu uračunati sav pomoćni materijal te vibriranje i njega betona</t>
  </si>
  <si>
    <t>a) beton</t>
  </si>
  <si>
    <t>b) oplata</t>
  </si>
  <si>
    <t>3.04.</t>
  </si>
  <si>
    <t>Izrada trakastih temelja dimenzija 320x60 cm od betona C30/37, granulacije agregata 0-16 mm, Za armiranje koristiti armaturu sukladno HRN.DIN.488-1 ili jednakovrijedno, a za stvaranje zaštitnog sloja sukladno projektu, plastične distancere. Oplatu je prije postavljanja potrebno premazati uljem za lako razdvajanje oplate od betona. U cijenu uračunati sav pomoćni materijal te vibriranje i njega betona</t>
  </si>
  <si>
    <t>3.05.</t>
  </si>
  <si>
    <t>Izrada nadtemeljnih zidova debljine 30  cm od betona C30/37, granulacije agregata 0-16 mm, Za armiranje koristiti armaturu sukladno HRN.DIN.488-1 ili jednakovrijedno, a za stvaranje zaštitnog sloja sukladno projektu, plastične distancere. Oplatu je prije postavljanja potrebno premazati uljem za lako razdvajanje oplate od betona. U cijenu uračunati sav pomoćni materijal te vibriranje i njega betona</t>
  </si>
  <si>
    <t>3.06.</t>
  </si>
  <si>
    <t>Izrada armiranobetonskih stupova dim, 65x35 cm od betona C25/30 granulacije agregata 0-16 mm u dvostranoj oplati. Za armiranje koristiti armaturu sukladno HRN.DIN.488-1  ili jednakovrijedno, a za stvaranje zaštitnog sloja sukladno projektu, plastične distancere. Oplatu je prije postavljanja potrebno premazati uljem za lako razdvajanje oplate od betona. U cijenu uračunati sav materijal te vibriranje i njega betona</t>
  </si>
  <si>
    <t>3.07.</t>
  </si>
  <si>
    <t>Izrada okruglih armiranobetonskih stupova promjera 25 cm od betona C25/30 granulacije agregata 0-16 mm u kartonskoj oplati. Za armiranje koristiti armaturu sukladno HRN.DIN.488-1  ili jednakovrijedno, a za stvaranje zaštitnog sloja sukladno projektu, plastične distancere. Oplatu je prije postavljanja potrebno premazati uljem za lako razdvajanje oplate od betona. U cijenu uračunati sav materijal te vibriranje i njega betona</t>
  </si>
  <si>
    <t>3.08.</t>
  </si>
  <si>
    <t>Izrada armiranobetonske ploče prizemlja debljine 20 cm od betona C25/30 u glatkoj oplati. Za armiranje koristiti armaturu sukladno HRN.DIN.488-1 ili jednakovrijedno, a za stvaranje zaštitnog sloja sukladno projektu, čelične jahače. Oplatu je prije postavljanja potrebno premazati uljem za lako razdvajanje oplate od betona. U cijenu uračuanti sav rad i materijal kao i njega betona.</t>
  </si>
  <si>
    <t>3.09.</t>
  </si>
  <si>
    <t>Izrada armiranobetonskih ploča iznad  katova debljine 20 cm od betona C25/30 u glatkoj oplati poduprijetoj podupiračima sukladno posebnom proračunu. Za armiranje koristiti armaturu sukladno HRN.DIN.488-1 ili jednakovrijedno, a za stvaranje zaštitnog sloja sukladno projektu, čelične jahače. Oplatu je prije postavljanja potrebno premazati uljem za lako razdvajanje oplate od betona. U cijenu uračuanti sav rad i materijal kao i njega betona.</t>
  </si>
  <si>
    <t>3.10.</t>
  </si>
  <si>
    <t>Izrada armiranobetonskih zidova prizemlja i katova debljine 25 cm od betona C25/30, agregata granulacije 0-16 mm, u dvostranoj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njega i vibriranje betona.</t>
  </si>
  <si>
    <t>3.11.</t>
  </si>
  <si>
    <t>Izrada armiranobetonskih zidova prizemlja i katova debljine 30 cm od betona C25/30, agregata granulacije 0-16 mm, u dvostranoj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njega i vibriranje betona.</t>
  </si>
  <si>
    <t>3.12.</t>
  </si>
  <si>
    <t>Izrada armiranobetonskih zidova dizala debljine 20 cm od betona C25/30, agregata granulacije 0-16 mm, u dvostranoj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njega i vibriranje betona.</t>
  </si>
  <si>
    <t>3.13.</t>
  </si>
  <si>
    <t>Izrada horizontalnih greda dim. 30X60 cm u prizemlju i katovima od betona C25/30, agregata granulacije 0-16 mm, u dvostranoj glatkoj oplati. Za armiranje koristiti armaturu sukladno HRN.DIN.488-1 ili jednakovrijedno, a za stvaranje zaštitnog sloja sukladno projektu, koristiti plastične jahače. Oplatu je prije postavljanja potrebno premazati uljem za lako razdvajanje oplate od betona.U cijenu uračunati sav materijal, njegu i vibriranje betona.</t>
  </si>
  <si>
    <t>3.14.</t>
  </si>
  <si>
    <t>Izrada armiranobetonskih stubišta u glatkoj oplati od betona C25/30, granulacije agregata 0-16 mm u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i vibriranje betona.</t>
  </si>
  <si>
    <t>3.15.</t>
  </si>
  <si>
    <t>Izrada vertikalnih serklaža 30x30 cm u glatkoj oplati od betona C25/30, granulacije agregata 0-16 mm u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i vibriranje betona.</t>
  </si>
  <si>
    <t>3.16.</t>
  </si>
  <si>
    <t>Izrada horizontalnih serklaža 30x20 cm u glatkoj oplati od betona C25/30, granulacije agregata 0-16 mm u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i vibriranje betona.</t>
  </si>
  <si>
    <t>3.17.</t>
  </si>
  <si>
    <t>Izrada AB nadvoja visine 20 cm u glatkoj oplati od betona C25/30, granulacije agregata 0-16 mm u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i vibriranje betona.</t>
  </si>
  <si>
    <t>3.18.</t>
  </si>
  <si>
    <t>Izrada monier zidova debljine 30 cm za  od betona C25/30, granulacije agregata 0-16 mm u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i vibriranje betona..</t>
  </si>
  <si>
    <t>3.19.</t>
  </si>
  <si>
    <t>Izrada armiranobetonskih pokrovnih kapa za vertikale instalacije od betona C25/30, granulacije 0-16 mm u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i vibriranje betona..</t>
  </si>
  <si>
    <t>3.20.</t>
  </si>
  <si>
    <t>Izrada armiranobetonskih balkonskih ploča debljine 20 cm od betona C25/30 u glatkoj oplati poduprijetoj podupiračima sukladno posebnom proračunu. Za armiranje koristiti armaturu sukladno HRN.DIN.488-1 ili jednakovrijedno, a za stvaranje zaštitnog sloja sukladno projektu, čelične jahače. Oplatu je prije postavljanja potrebno premazati uljem za lako razdvajanje oplate od betona. U cijenu uračunati sav rad i materijal kao i njega betona.</t>
  </si>
  <si>
    <t>3.21.</t>
  </si>
  <si>
    <t>Izrada armiranobetonskih zidova jama separatora debljine 20 cm od betona C25/30, agregata granulacije 0-16 mm, u dvostranoj glatkoj oplati. Za armiranje koristiti armaturu sukladno HRN.DIN.488-1  ili jednakovrijedno, a za stvaranje zaštitnog sloja sukladno projektu, koristiti plastične distancere. Oplatu je prije postavljanja potrebno premazati uljem za lako razdvajanje oplate od betona. U cijenu uračunati sav materijal, njega i vibriranje betona.</t>
  </si>
  <si>
    <t>Dobava, savijanje i sječa i transport armaturnog željeza razreda B500B sukladno statičkom proračunu. U cijenu uključiti i jahače mreža, kao i sav rad materijal.</t>
  </si>
  <si>
    <t>a) armaturne mreže</t>
  </si>
  <si>
    <t>kg</t>
  </si>
  <si>
    <t>b) rebraste šipke</t>
  </si>
  <si>
    <t>BETONSKI I ARMIRANOBETONSKI RADOVI UKUPNO:</t>
  </si>
  <si>
    <t>4.00 ZIDARSKI RADOVI</t>
  </si>
  <si>
    <t>4.01.</t>
  </si>
  <si>
    <t>Izrada zidarskih hidroizolacija ispod armiranobetonskih zidova prizemlja pomoću samobrtvene trake. U cijenu uračunati sav rad i materijal.</t>
  </si>
  <si>
    <t>m'</t>
  </si>
  <si>
    <t>4.02.</t>
  </si>
  <si>
    <t>Zidanje nosivih zidova debljine 30 cm od blok opeke 29x19x19 cm u vapneno-cementnom mortu. U cijenu uračunati sav rad, materijal i skelu na nogarima.</t>
  </si>
  <si>
    <t>4.03.</t>
  </si>
  <si>
    <t>Zidanje nosivih zidova debljine 25 cm od blok opeke 24x19x19 cm u vapneno-cementnom mortu. U cijenu uračunati sav rad, materijal i skelu na nogarima.</t>
  </si>
  <si>
    <t>4.04.</t>
  </si>
  <si>
    <t>Zidanje pregradnih zidova debljine 20 cm od pregradnih blokova u vapneno-cementnom mortu. U cijenu uračunati sav rad, materijal i skelu na nogarima.</t>
  </si>
  <si>
    <t>4.05.</t>
  </si>
  <si>
    <t>Zidanje pregradnih zidova debljine 12 cm od pregradnih opečnih blokova u vapneno-cementnom mortu. U cijenu uračunati sav rad, materijal i skelu na nogarima.</t>
  </si>
  <si>
    <t>4.06.</t>
  </si>
  <si>
    <t>Izrada cementnog estriha ukupne debljine 6 cm. Estrih se postavlja na zvučnu izolaciju od EPS-a debljine 2 cm, te eEPSa debljine 2 cm, a u dodiru sa zidovima potrebno je postaviti rubnu traku od EPS-a debljine 2 cm, a visine 10 cm. Estrih se od EPS-a odvaja polietilenskom folijom debljine 015 mm. U cijenu uračunati sav rad i materijal.</t>
  </si>
  <si>
    <t>4.07.</t>
  </si>
  <si>
    <t>Izrada armiranog cementnog estriha ukupne debljine 6 cm u mokrim prostorijama. Estrih se postavlja na zvučnu izolaciju od EPS-a debljine 2 cm, te eEPSa debljine 1 cm, a u dodiru sa zidovima potrebno je postaviti rubnu traku od EPS-a debljine 2 cm, a visine 10 cm. Estrih se od EPS-a odvaja polietilenskom folijom debljine 0,15 mm. U cijenu uračunati sav rad i materijal.</t>
  </si>
  <si>
    <t>4.08.</t>
  </si>
  <si>
    <t>Brušenje i gletanje svih stropnih površina betonskih stropova glet masom za beton. U cijenu uračunati sav rad i materijal.</t>
  </si>
  <si>
    <t>4.09.</t>
  </si>
  <si>
    <t>Brušenje i gletanje svih unutarnjih zidnih površina glet masom za beton. U cijenu uračunati sav rad i materijal.</t>
  </si>
  <si>
    <t>4.10.</t>
  </si>
  <si>
    <t>Žbukanje svih unutarnjih zidnih površina u tri sloja: cementni špric, gruba žbuka, fina žbuka za beton. Na rubovima koristiti aluminijsku lajsnu. U cijenu uračunati sav rad i materijal.</t>
  </si>
  <si>
    <t>4.11.</t>
  </si>
  <si>
    <t>Zidanje zidova zaštite instalacija na krovu od blok opeke debljine 20 cm u produženom mortu. Koristit blok opeku dimenzija 19x19x19 cm. U cijenu uračunati sav rad, materijal i pomoćna sredstva.</t>
  </si>
  <si>
    <t>4.12.</t>
  </si>
  <si>
    <t>Izrada cementnog estriha ukupne debljine 5 cm na terasama na drugom katu. Estrih se postavlja na toplinsku izolaciju od EPS-a debljine 2 cm. Estrih se od EPS-a odvaja polietilenskom folijom debljine 0,15 mm. U cijenu uračunati sav rad i materijal.</t>
  </si>
  <si>
    <t>4.13.</t>
  </si>
  <si>
    <t>Razne zidarske pripomoći</t>
  </si>
  <si>
    <t>h</t>
  </si>
  <si>
    <t>4.14.</t>
  </si>
  <si>
    <t xml:space="preserve">Protupožarno brtvljenje prodora instalacija odgovarajućim sredstvom koje omogućuje vatrootpornost od najmanje REI 60. </t>
  </si>
  <si>
    <t>a) prodori do 15x15 cm</t>
  </si>
  <si>
    <t>kom</t>
  </si>
  <si>
    <t>b) prodori od 15x15 do 15x25 cm</t>
  </si>
  <si>
    <t>c) prodori od 25x25 pa na više</t>
  </si>
  <si>
    <t>4.15.</t>
  </si>
  <si>
    <t>Bušenje otvora u betonskim zidovima promjera 15 cm dijamantnom bušilicom</t>
  </si>
  <si>
    <t>ZIDARSKI RADOVI UKUPNO:</t>
  </si>
  <si>
    <t>GRAĐEVINSKI RADOVI UKUPNO:</t>
  </si>
  <si>
    <t>projektant:</t>
  </si>
  <si>
    <t>Jurica Hajdarović, ovl.arh.</t>
  </si>
  <si>
    <t>II OBRTNIČKI RADOVI</t>
  </si>
  <si>
    <t>5.00 IZOLATERSKI RADOVI</t>
  </si>
  <si>
    <t>5.01.</t>
  </si>
  <si>
    <t>Postavljanje hidroizolacije podova u prizemlju od bitumenske ljepenke kao V4 ili jednakovrijedno u jednom sloju. Izvršiti preklope od 10 cm, a na spoju s armiranobetonskim zidovima izvesti holker visine 10 cm. U cijenu uračunati sav rad i materijal.</t>
  </si>
  <si>
    <t>5.02.</t>
  </si>
  <si>
    <t>Postavljanje parne brane ravnog krova i  bitumenske ljepenke u jednome sloju. Izvršiti preklope od 10 cm., a na spoju s zidovima atike, te krovne staklene stijene izvesti holker u visini od 80 cm. U cijenu uračunati sav rad i materijal.</t>
  </si>
  <si>
    <t>5.03.</t>
  </si>
  <si>
    <t>Postavljanje hidroizolacije ravnog krova od PE folije.. Izvesti preklope od 10 cm, a na spoju sa zidovima atike i krovne staklene stijene izvesti holker visine 20 cm. U cijenu uračunati sav rad i materijal.</t>
  </si>
  <si>
    <t>5.04.</t>
  </si>
  <si>
    <t>Postavljanje hidroizolacijske membrane od PVC sintetičke membrane debljine 2,0 mm kao završnog pokrova kosog krova za instalacije. Izvesti preklope od 10 cm, koji se zatvaraju pomoću toplog zraka. U cijenu uračunati sav rad, materijal i pomoćna sredstva</t>
  </si>
  <si>
    <t>5.05.</t>
  </si>
  <si>
    <t>Premazivanje zidova mokrih prostorija zaštitnom poliuretanskom membranom prije polaganja keramičkih pločica. Premaz se vrši do visine spuštenog stropa. U cijenu uračunati sav rad i materijal.</t>
  </si>
  <si>
    <t>5.06.</t>
  </si>
  <si>
    <t>Premazivanje podova mokrih prostorija zaštitnom poliuretanskom membranom prije polaganja keramičkih pločica. Premaz se vrši do visine spuštenog stropa. U cijenu uračunati sav rad i materijal.</t>
  </si>
  <si>
    <t>5.07.</t>
  </si>
  <si>
    <t>Premazivanje podova terasa drugog kata poliuretanskom zaštitnom membranom prije polaganja keramičkih pločica.  U cijenu uračunati sav rad i materijal.</t>
  </si>
  <si>
    <t>5.08.</t>
  </si>
  <si>
    <t>Postavljanje toplinske izolacije podova u prizemlju od XPS-a debljine 14 cm. U cijenu uračunati sav rad i materijal.</t>
  </si>
  <si>
    <t>5.09.</t>
  </si>
  <si>
    <t>Postavljanje toplinske izolacije podgleda balkona od EPS.-a debljine 5 cm. U cijenu uračunati sav rad i materijal</t>
  </si>
  <si>
    <t>5.10.</t>
  </si>
  <si>
    <t>Postavljanje toplinske izolacije nadtemeljnih zidova građevine od XPS-a debljine 15 cm. U cijenu uračunati sav rad i materijal.</t>
  </si>
  <si>
    <t>5.11.</t>
  </si>
  <si>
    <t>Postavljanje toplinske izolacije fasade građevine od mineralne vune debljine 15 cm. U stavku su uračunata sva pričvrsna sredstva, ljepilo, mrežica i impregnacijski sloj. Nakon postavljanja jednom pregletati. U cijenu u računati sav rad i materijal.</t>
  </si>
  <si>
    <t>5.12.</t>
  </si>
  <si>
    <t>Postavljanje toplinske izolacije ravnog krova od tvrde mineralne vune u padu debljine 20-30 cm. Padove izvesti prema vodolovnim grlima. U cijenu uračunati sav rad i materijal.</t>
  </si>
  <si>
    <t>5.13.</t>
  </si>
  <si>
    <t>Postavljanje toplinske izolacije od mineralne vune debljine 5 cm s unutarnje strane atike kao prekida toplinskog mosta. Površinu pripremiti za završni sloj od akrilne žbuke U cijenu uračunati sav rad i materijal.</t>
  </si>
  <si>
    <t>5.14.</t>
  </si>
  <si>
    <t>Postavljanje hidroizolacije od PE folije na spojevima betonske ploče i vodolovnog grla. U cijenu uračunati sav rad i materijal.</t>
  </si>
  <si>
    <t>5.15.</t>
  </si>
  <si>
    <t>Postavljanje zvučne izolacije od kamene vune debljine 5,00 cm koja se postavlja između zidova od gipskartonskih ploča te se pričvršćuje metalnim pričvrsnicama. U cijenu uračunati sav rad i materijal.</t>
  </si>
  <si>
    <t>5.16.</t>
  </si>
  <si>
    <t>Postavljanje zvučne izolacije od kamene vune debljine 15,00 cm koja se postavlja između zidova od gipskartonskih ploča i betonskih zidova kod kanala u kupaonama, te se pričvršćuje metalnim pričvrsnicama. U cijenu uračunati sav rad i materijal.</t>
  </si>
  <si>
    <t>5.17.</t>
  </si>
  <si>
    <t>Dobava i postavljanje hidroizolacije nadtemeljnih zidova od bitumenske ljepenke debljine 0,8 cm. Ljepenka se varenjem lijepi na nadtemeljne zidove, a u cijenu uračunati sav rad, materijal kao i holkere na spoju s temeljnom pločom.</t>
  </si>
  <si>
    <t>5.18.</t>
  </si>
  <si>
    <t>Postavljanje toplinske izolacije sokla od XPS-a debljine 10 cm. U cijenu uračunati sav rad i materijal.</t>
  </si>
  <si>
    <t>5.19.</t>
  </si>
  <si>
    <t>Dobava i postavljanje hidroizolacijske brtvene trake na spoju ankera armiranobetonskih zidova u prizemlju građevine uz poštivanje preklopa od 10 cm. Prilikom postavljanja poštivate upute proizvođača. U cijenu uračunati sav rad i materijal.</t>
  </si>
  <si>
    <t>5.20.</t>
  </si>
  <si>
    <t>Dobava i postavljanje mehaničke zaštite od čepaste folije kao zaštite izolacije nadtemeljnih zidova. U cijenu uračunati sav rad i materijal</t>
  </si>
  <si>
    <t>IZOLATERSKI RADOVI UKUPNO:</t>
  </si>
  <si>
    <t>6.00 FASADERSKI RADOVI</t>
  </si>
  <si>
    <t>6.01.</t>
  </si>
  <si>
    <t>Dobava i postavljanje impregnacijskog i završnog fasadnog sloja od slip opeke debljine 2,00 cm na vanjske fasadne zidove lijepljenjem odgovarajućim ljepilama, sukladno uputi proizvođača. Sva predviđena opeka je crvenkaste boje, hrapavog izgleda. Prilikom izbora, uzorke je potrebno pokazati porjektantu i investitoru na uvid. Špalete otvora se sa svih eksponiranih strana također oblažu istom vrstom opeke. Kod bridova izvesti spoj na gerung U cijenu uračunati sav rad i materijal</t>
  </si>
  <si>
    <t>6.02.</t>
  </si>
  <si>
    <t>Izrada fasadnog sloja od silikatne žbuke boje po izboru projektanta s unutarnje strane zidova atike. U cijenu uračunati sav rad i materijal.</t>
  </si>
  <si>
    <t>6.03.</t>
  </si>
  <si>
    <t>Dobava, postavljanje i kasnija demontaža cijevne fasadne skele za potrebe fasaderskih radova. U cijenu uračunati sav rad i materijal.</t>
  </si>
  <si>
    <t>6.04.</t>
  </si>
  <si>
    <t>Dobava i postavljanje sloja terapalasta na soklu građevine od uzorka po izboru projektanta. U cijenu uračunati sav rad i materijal.</t>
  </si>
  <si>
    <t>6.05.</t>
  </si>
  <si>
    <t>Dobava i postavljanje elemenata od korodirang bakra na pojedinim poizicijama pročelja. Bakreni se elementi postavljaju na podkonstrukciju od čeličnih profila 20x20x1,5mm . Dužnost izvođača je izrada radioničkih nacrta te njihov prikaz na odobrenje projektantu. U cijenu uračunati sav rad i materijal</t>
  </si>
  <si>
    <t>FASADERSKI RADOVI UKUPNO:</t>
  </si>
  <si>
    <t>7.00 GIPSKARTONSKI RADOVI</t>
  </si>
  <si>
    <t>7.01.</t>
  </si>
  <si>
    <t>Izrada i postavljanje zidova od dvostrukih gipskartonskih ploča na UW i CW profile, debljine 17,5 cm u kupaonama i nužnicima kod prodora instalacija. Zidovi se bandažiraju i gletaju u dva sloja. Jedan sloj su vlagootporne ploče, a dva su vatrootporne.Spojeve zidova s konstrukcijom građevine i s drugim zidovima obraditi posebnom spojnom mrežicom.U cijenu uračunati sve potrebne radnje za ličenje zidova</t>
  </si>
  <si>
    <t>7.02.</t>
  </si>
  <si>
    <t>Izrada i postavljanje zidova od dvostrukih standardnih gipskartonskih ploča na UW i CW profile, debljine 10 cm. Zidovi se bandažiraju i gletaju u dva sloja. Spojeve zidova s konstrukcijom građevine i s drugim zidovima obraditi posebnom spojnom mrežicom. U cijenu uračunati sve potrebne radnje za ličenje zidova</t>
  </si>
  <si>
    <t>7.03.</t>
  </si>
  <si>
    <t>Izrada i postavljanje kanala instalacija od dvostrukih gipskartonskih ploča od kojih je jedan sloj dijamant ploča, a drugi vatrootporna ploča, ispunjenih mineralnom vunom. Kanali se bandažiraju i gletaju u dva sloja. Spojeve zidova s konstrukcijom građevine i s drugim zidovima obraditi posebnom spojnom mrežicom. U cijenu uračunati sve potrebne radnje za ličenje zidova</t>
  </si>
  <si>
    <t>7.04.</t>
  </si>
  <si>
    <t>Dobava i postavljanje spuštenog stropa svih unutarnjih prostorija stropom od jednostrukih gipskartonskih ploča. Koristiti visilice do visine od 60 cm.</t>
  </si>
  <si>
    <t>7.05.</t>
  </si>
  <si>
    <t>Dobava i postaljanje spuštenog stropa vanjskih prostorija stropom od jednostrukih cementnih ploča. Koristiti visilice do visine od 60 cm.</t>
  </si>
  <si>
    <t>GIPSKARTONSKI RADOVI UKUPNO:</t>
  </si>
  <si>
    <t>8.00 SOBOSLIKARSKO-LIČILAČKI RADOVI</t>
  </si>
  <si>
    <t>8.01.</t>
  </si>
  <si>
    <t>Bojenje u dva sloja svih zidnih i stropnih površina disperzivnim toniranim bojama po izboru projektanta</t>
  </si>
  <si>
    <t xml:space="preserve">8.02. </t>
  </si>
  <si>
    <t>Gletanje gispkartonskih zidova u dva sloja glet masom za gips.   U cijenu uračunati sav rad i materijal i sve potrebne radnje za završnu obradu zidova.</t>
  </si>
  <si>
    <t>8.03.</t>
  </si>
  <si>
    <t>Gletanje betonskih zidova i stropova u dva sloja glet masom za beton. Kao priprema za ličenje nužno je pobrusiti zidove. U cijenu uračunati sav rad i materijal i sve potrebne radnje za završnu obradu zidova.</t>
  </si>
  <si>
    <t>SOBOSLIKARSKO-LIČILAČKI RADOVI UKUPNO:</t>
  </si>
  <si>
    <t>9.00 KERAMIČARSKI RADOVI</t>
  </si>
  <si>
    <t>9.01.</t>
  </si>
  <si>
    <t>Nabava i postavljanje protukliznih keramičkih pločica dim. 60X60 cm, prema izboru projektanta i naručitelja, klase protukliznosti R11. U cijenu uračunati sav rad i materijal.</t>
  </si>
  <si>
    <t>9.02.</t>
  </si>
  <si>
    <t>Nabava i postavljanje protukliznih keramičkih pločica dim. 60X60 cm, prema izboru projektanta i naručitelja, kao podne obloge vanjskih prstorija, klase protukliznosti R13. U cijenu uračunati sav rad i materijal.</t>
  </si>
  <si>
    <t>9.03.</t>
  </si>
  <si>
    <t>Nabava i postavljanje keramičkih pločica dim 30x60 cm, prema izboru projektanta i naručitelja. Sanitarije opločiti do stropa u kupaonama i nužnicima, a u kuhinji i praoni u prizemlju opločiti od 0,80 do 1,40 m mjereno od visine gotovog poda.  U cijenu uračunati sav rad i materijal.</t>
  </si>
  <si>
    <t>9.04.</t>
  </si>
  <si>
    <t>Nabava i postavljanje aluminijskih L profila na spojevima različitih vrsta podnih obloga i vertikalnim kutevima gdje je potrebno. U cijenu uračunati sav rad i materijal.</t>
  </si>
  <si>
    <t>KERAMIČARSKI RADOVI UKUPNO:</t>
  </si>
  <si>
    <t>10.00 LIMARSKI RADOVI</t>
  </si>
  <si>
    <t>10.01.</t>
  </si>
  <si>
    <t>Izrada i postavljanje limenih prozorskih klupčica od plastificiranog lima boje RAL7031 debljine 0,7 mm razvijene širine 22 cm. U cijenu uračunati sav rad i materijal.</t>
  </si>
  <si>
    <t>10.02.</t>
  </si>
  <si>
    <t>Izrada i postavljanje limenog opšava spoja dimnjaka i svih kanala od pocinčanog lima debljine 0,7 mm. Radionički nacrt i krojnu listu prikazati projektantu. U cijenu uračunati sav rad i materijal.</t>
  </si>
  <si>
    <t>10.03.</t>
  </si>
  <si>
    <t>Izrada i postavljanje limenih opšava atike od plastificiranog lima boje RAL 7031 debljine 0,7mm, razvijene širine 50 cm. U cijenu uračunati sav rad, materijal i pričvrsne elemente.</t>
  </si>
  <si>
    <t>10.05.</t>
  </si>
  <si>
    <t>Dobava i postavljanje standardne limene okapnice balkona. U cijenu uračunati sav rad i materijal.</t>
  </si>
  <si>
    <t>LIMARSKI RADOVI UKUPNO:</t>
  </si>
  <si>
    <t>11.00 BRAVARSKI RADOVI</t>
  </si>
  <si>
    <t>11.01.</t>
  </si>
  <si>
    <t>Izrada i postavljanje staklene stijene dim. 2849X807 cm, prema shemi 01. U cijenu uračunati sav rad i materijal</t>
  </si>
  <si>
    <t>11.02.</t>
  </si>
  <si>
    <t>Izrada i postavljanje staklene stijene dim. 1179X1172 cm, prema shemi 02. U cijenu uračunati sav rad i materijal</t>
  </si>
  <si>
    <t>11.03.</t>
  </si>
  <si>
    <t>Izrada i postavljanje staklene stijene dim. 1124X807 cm, prema shemi 03. U cijenu uračunati sav rad i materijal</t>
  </si>
  <si>
    <t>11.04.</t>
  </si>
  <si>
    <t>Izrada i postavljanje staklene stijene dim. 1200X807 cm, prema shemi 04. U cijenu uračunati sav rad i materijal</t>
  </si>
  <si>
    <t>11.05.</t>
  </si>
  <si>
    <t>Izrada i postavljanje staklene stijene dim. 271X284 cm, prema shemi 05. U cijenu uračunati sav rad i materijal</t>
  </si>
  <si>
    <t>11.06.</t>
  </si>
  <si>
    <t>Izrada i postavljanje aluminijskih rukohvata stubišta. Rukohvati se sidraju na zid, a sastoje se od profila 50mm izrađenog od eloksiranog aluminija. Sve prema shemi 06. A u stijenu uračunati sav rad i materijal.</t>
  </si>
  <si>
    <t>11.07.</t>
  </si>
  <si>
    <t>Izrada i postavljanje klizne staklene stijene dim. 373x278 cm, prema shemi 07. U cijenu uračunati sav rad i materijal</t>
  </si>
  <si>
    <t>11.08.</t>
  </si>
  <si>
    <t>Izrada i postavljanje klizne staklene stijene dim. 338X278 cm, prema shemi 08. U cijenu uračunati sav rad i materijal</t>
  </si>
  <si>
    <t>11.09.</t>
  </si>
  <si>
    <t>Izrada i postavljanje aluminijskog prozora dim. 138X88 cm prema shemi 09. U cijenu uračunati sav rad i materijal.</t>
  </si>
  <si>
    <t>11.10.</t>
  </si>
  <si>
    <t>Izrada i postavljanje aluminijskih vrata dim. 158X238 cm prema shemi 10. U cijenu uračunati sav rad i materijal.</t>
  </si>
  <si>
    <t>11.11.</t>
  </si>
  <si>
    <t>Izrada i postavljanje aluminijskog prozora dim. 238X88 cm prema shemi 11. U cijenu uračunati sav rad i materijal.</t>
  </si>
  <si>
    <t>11.12.</t>
  </si>
  <si>
    <t>Izrada i postavljanje aluminijskog prozora dim. 198X88 cm prema shemi 12. U cijenu uračunati sav rad i materijal.</t>
  </si>
  <si>
    <t>11.13.</t>
  </si>
  <si>
    <t>Izrada i postavljanje aluminijskih vrata dim. 98X238 cm prema shemi 13. U cijenu uračunati sav rad i materijal.</t>
  </si>
  <si>
    <t>11.14.</t>
  </si>
  <si>
    <t>Izrada i postavljanje aluminijskog prozora dim. 118x278 cm prema shemi 14. U cijenu uračunati sav rad i materijal.</t>
  </si>
  <si>
    <t>11.15.</t>
  </si>
  <si>
    <t>Izrada i postavljanje aluminijskog prozora dim. 238X278 cm prema shemi 15. U cijenu uračunati sav rad i materijal.</t>
  </si>
  <si>
    <t>11.16.</t>
  </si>
  <si>
    <t>Izrada i postavljanje aluminijskog prozora dim.245x278 cm prema shemi 16. U cijenu uračunati sav rad i materijal.</t>
  </si>
  <si>
    <t>11.17.</t>
  </si>
  <si>
    <t>Izrada i postavljanje aluminijskog prozora dim.478x278 cm prema shemi 17. U cijenu uračunati sav rad i materijal.</t>
  </si>
  <si>
    <t>11.18.</t>
  </si>
  <si>
    <t>Izrada i postavljanje staklene stijene dim.705x278 cm prema shemi 18. U cijenu uračunati sav rad i materijal.</t>
  </si>
  <si>
    <t>11.19.</t>
  </si>
  <si>
    <t>Izrada i postavljanje aluminijskog prozora dim.133x278 cm prema shemi 17. U cijenu uračunati sav rad i materijal.</t>
  </si>
  <si>
    <t>11.20.</t>
  </si>
  <si>
    <t>Izrada i postavljanje protupožarnih vrata dim. 101X215 cm s nadsvjetlom prema shemi 20. U cijenu uračunati sav rad i materijal</t>
  </si>
  <si>
    <t>11.21.</t>
  </si>
  <si>
    <t>Izrada i postavljanje protupožarnih vrata dim. 101X215 cm s nadsvjetlom prema shemi 21. U cijenu uračunati sav rad i materijal</t>
  </si>
  <si>
    <t>11.22.</t>
  </si>
  <si>
    <t>Izrada i postavljanje protupožarnih vrata dim. 81X215 cm prema shemi 22. U cijenu uračunati sav rad i materijal</t>
  </si>
  <si>
    <t>11.23.</t>
  </si>
  <si>
    <t>Izrada i postavljanje protupožarnih vrata dim. 81X215 cm prema shemi 23. U cijenu uračunati sav rad i materijal</t>
  </si>
  <si>
    <t>11.24.</t>
  </si>
  <si>
    <t>Izrada i postavljanje protupožarnih vrata dim. 123X215 cm prema shemi 24. U cijenu uračunati sav rad i materijal</t>
  </si>
  <si>
    <t>11.25.</t>
  </si>
  <si>
    <t>Izrada i postavljanje unutarnjih alu vrata dim. 248X278 cm prema shemi 25. U cijenu uračunati sav rad i materijal.</t>
  </si>
  <si>
    <t>11.26.</t>
  </si>
  <si>
    <t>Izrada i postavljanje ostakljenih balkonskih ograda prema shemi 26. U cijenu uračunati sav rad i materijal.</t>
  </si>
  <si>
    <t>11.27.</t>
  </si>
  <si>
    <t>Izrada i postavljanje aluminijskih vrata pomoćne zgrade dim. 158X218 cm prema shemi 27. U cijenu uračunati sav rad i materijal.</t>
  </si>
  <si>
    <t>11.28.</t>
  </si>
  <si>
    <t>Dobava i postavljanje čeličnih stupova od četvrtastih profila 220x120x0,4 mm. Stupovi služe kao graničnici staklenih stijena st. 07 i 08.</t>
  </si>
  <si>
    <t>11.29.</t>
  </si>
  <si>
    <t>Izrada i postavljanje fasadnih elemenata od kortena koja se sastoji od četvrtastih profila 80x80x0,4 mm  Izvođač je dužan izraditi radioničke nacrte fasade te iste dati na ovjeru glavnom projektantu.  U cijenu uračunati sav rad, materijal i pričvrsni elementi.</t>
  </si>
  <si>
    <t>11.30.</t>
  </si>
  <si>
    <t>Izrada, doprema i postavljanje ograde kompleksa od pocinčane rabic mreže visine 2,4 m. Kao podkonstrukciju koristiti pocinčane stupove od lima debljine stijenke 1,5 mm na međusobnom osnom razmaku od 250 cm. U cijenu uračunati i betonski temelj stupova kao i sav preostali rad i materijal.</t>
  </si>
  <si>
    <t>BRAVARSKI RADOVI UKUPNO:</t>
  </si>
  <si>
    <t>12.00 STOLARSKI RADOVI</t>
  </si>
  <si>
    <t>12.01.</t>
  </si>
  <si>
    <t>Izrada i postavljanje drvenih jednokrilnih vrata dimenzija 81x215 cm s dovratnicima sukladno shemi S1. U cijenu uračunati sav rad i materijal. Mjere provjeriti na gradilištu!</t>
  </si>
  <si>
    <t>L</t>
  </si>
  <si>
    <t>D</t>
  </si>
  <si>
    <t>12.02.</t>
  </si>
  <si>
    <t>Izrada i postavljanje drvenih jednokrilnih vrata dimenzija u kupanonama 81x215 cm s dovratnicima sukladno shemi S2. Vrata sadržavaju rešetku za ventilaciju dimenzija 425x75 mm. U cijenu uračunati sav rad i materijal. Mjere provjeriti na gradilištu!</t>
  </si>
  <si>
    <t>12.03.</t>
  </si>
  <si>
    <t>Izrada i postavljanje drvenih jednokrilnih vrata dimenzija u kupanonama 71x215 cm s dovratnicima sukladno shemi S3. Vrata sadržavaju rešetku za ventilaciju dimenzija 425x75 mm. U cijenu uračunati sav rad i materijal. Mjere provjeriti na gradilištu!</t>
  </si>
  <si>
    <t>12.04.</t>
  </si>
  <si>
    <t>Izrada i postavljanje drvenih jednokrilnih vrata dimenzija u kupanonama 71x215 cm s dovratnicima sukladno shemi S4. U cijenu uračunati sav rad i materijal. Mjere provjeriti na gradilištu!</t>
  </si>
  <si>
    <t>12.05.</t>
  </si>
  <si>
    <t>Izrada i postavljanje drvenih jednokrilnih vrata dimenzija u kupanonama 101x215 cm s dovratnicima sukladno shemi S5. Vrata sadržavaju rešetku za ventilaciju dimenzija 425x75 mm. U cijenu uračunati sav rad i materijal. Mjere provjeriti na gradilištu!</t>
  </si>
  <si>
    <t>12.06.</t>
  </si>
  <si>
    <t>Izrada i postavljanje drvenih jednokrilnih vrata dimenzija u kupanonama 101x215 cm s dovratnicima sukladno shemi S6. U cijenu uračunati sav rad i materijal. Mjere provjeriti na gradilištu!</t>
  </si>
  <si>
    <t>12.07.</t>
  </si>
  <si>
    <t>Izrada i postavljanje drvenih jednokrilnih vrata dimenzija u kupanonama 91x215 cm s dovratnicima sukladno shemi S6. U cijenu uračunati sav rad i materijal. Mjere provjeriti na gradilištu!</t>
  </si>
  <si>
    <t>12.08.</t>
  </si>
  <si>
    <t>Izrada i postavljanje pregradnih stijena visine 2,30 m u nužnicima od HPL ploča. Boja ili uzorak ploča prema izboru projektanta. Stijene su odignute od gotovog poda 10 cm pomoću podkonstrukcijskih elemenata. U cijenu uračunati sav rad i materijal. Detaljan prikaz je vidljiv iz glavnog i izvedbenog projekta</t>
  </si>
  <si>
    <t>STOLARSKI RADOVI UKUPNO:</t>
  </si>
  <si>
    <t>13.00 PODOPOLAGAČKI RADOVI</t>
  </si>
  <si>
    <t>13.01.</t>
  </si>
  <si>
    <t>Nabava i postavljanje antistatičkog i antialergijskog tapisonskog poda po izboru projektanta u suhim prostorijama. Predviđaju se poliamidni tapisoni, vatrootpornosti EN 13501-1 B2 ili jednakovrijedno, ukupne visine do 9,5 mm, visine flora 6mm +/-10%, gustoće tkanja između 100.000 i 110.000 , težine oko 1.300 g/m2 Uz zidove podignuti tapison u visinu od 10 cm. U cijenu uračunati sav rad i materijal.</t>
  </si>
  <si>
    <t>13.02.</t>
  </si>
  <si>
    <t>Nabava i postavljanje antistatičke gumene podloge prikladne za sportske aktivnosti. Predviđa se podloga debljine 10-15 mm, tvrdoće: 55-60+ Shore A, Tenzilne snage: 2.5-3 Mpa. U cijenu uračunati sav rad i materijal.</t>
  </si>
  <si>
    <t>13.03.</t>
  </si>
  <si>
    <t>Nabava i postavljanje drvenih lajsni visine 10 cm, koje se lakiraju vodenim lakom. U cijenu uračunati sav rad i materijal.</t>
  </si>
  <si>
    <t>PODOPOLAGAČKI RADOVI UKUPNO:</t>
  </si>
  <si>
    <t>OBRTNIČKI RADOVI UKUPNO:</t>
  </si>
  <si>
    <t>III DIZALO</t>
  </si>
  <si>
    <t>14.00 DIZALO</t>
  </si>
  <si>
    <t>14.01.</t>
  </si>
  <si>
    <t xml:space="preserve">Izrada i postavljanje dizala za suhi prostor sukladno priloženoj projektnoj dokumentaciji prema kojoj dizalo mora ispuniti tehničke uvjete, pogotovo u pogledu nosivosti i vatrootpornosti.
Dizalo se sastoji od tri stanice, od kojih su svi izlazi na istim stranama, visine dizanja 7,13 m.
- vozno okno dimenzija 1700x2190 mm
- vatrootpornost EI 60
- vrata voznog okna su od brušenog inoxa
- SF okvir
- dimenzije kabine: 1600x1400x2100
- inox strop
- priključak 3x400/230 V, 50 Hz
- LED osvjetljenje sa svjetlosnom zavjesom na ulazu
- pogon dizala je u vrhu voznog okna
- ventilator
- uređaj za stalnu kontrolu nosivih traka
- rasvjeta voznog okna
- ogledalo
- rukohvati 
- uređaj za automatsku evakuaciju u slučaju nestanka struje
Izvođač je dužan prikazati radioničku dokumentaciju nadzornom inženjeru za dizalo prije izvođenja, te je u potpunosti dužan poštivati upute proizvođača. U cijenu su uračunati sav rad i materijal
</t>
  </si>
  <si>
    <t>DIZALO UKUPNO:</t>
  </si>
  <si>
    <t>IV RADOVI VODOVODA</t>
  </si>
  <si>
    <t>15.00 ZEMLJANI RADOVI</t>
  </si>
  <si>
    <t>15.01.</t>
  </si>
  <si>
    <t>Iskop rova u tlu A ktg. za polaganje vodovodnih cijevi na dubinu do 2,0 m, širine 0,60m. Iskopani materijal odbacivati na udaljenost preko 1,0 m od bočne ivice rova, da se spriječi urušavanje iskopanog materijala u rov.</t>
  </si>
  <si>
    <t>15.02.</t>
  </si>
  <si>
    <t>Proširenje i produbljenje rova na mjestu izvedbe vodomjernog okna.</t>
  </si>
  <si>
    <t>15.03.</t>
  </si>
  <si>
    <t>Planiranje dna rova s odstupanjem ±2,0 cm.</t>
  </si>
  <si>
    <t>15.04.</t>
  </si>
  <si>
    <t>Dobava pijeska, ubacivanje u rov te izrada pješčane posteljice ispod vodovodnih cijevi u sloju debljine d=10 cm.</t>
  </si>
  <si>
    <t>15.05.</t>
  </si>
  <si>
    <t>Zatrpavanje rova prosijanim materijalom od iskopa (iz kojeg su uklonjeni veći komadi od iskopa) u slojevima od 30,0 cm, uz istovremeno obilno močenje i nabijanje materijala ručnim i strojnim nabijačima.</t>
  </si>
  <si>
    <t>15.06.</t>
  </si>
  <si>
    <t>Odvoz materijala preostalog od iskopa, nakon zatrpavanja rova, na depo, kamionom do 5 km. Uključiv utovar, istovar i razastiranje.</t>
  </si>
  <si>
    <t>16.00 BETONSKI RADOVI</t>
  </si>
  <si>
    <t>16.01.</t>
  </si>
  <si>
    <t>Izvedba vodomjernog okna tlocrtne veličine svjetlog otvora 2,00x1,50x1,40 m. Stjenke i dno okna izvesti će se armiranim vodonepropusnim betonom C25/30,  Iznad okna na dubini cca 8 cm od kote uređenog terena izvesti armirano-betonsku ploču debljine 15 cm u C25/30 s ovorom za silazak u okno vel.60x60 cm. Iznad otvora na ploči montirati ljevano-željezni poklopac za prometno opterećenje 50 KN ili adekvatan poklopac od rebrastog čeličnog lima 5/4 mm sa okvirom od čeličnog "L" profila te mogučnošću zaključavanja. Izvedba okna prema detaljnom nacrtu.</t>
  </si>
  <si>
    <t>.</t>
  </si>
  <si>
    <t>16.02.</t>
  </si>
  <si>
    <t>Izrada, dobava i ugradba penjalica, u stijenku vodomjernog okna, izrađenih iz betonskog željeza ø20 mm, razvijene dužine 125 cm. Prije ugradbe penjalice od korozije zaštiti dvostrukim premazom minija i jednostrukim premazom uljane boje. Penjalice postaviti na pločastu željeznu podlogu koja se postavlja u okno iz stavke 12.01.</t>
  </si>
  <si>
    <t>BETONSKI RADOVI UKUPNO:</t>
  </si>
  <si>
    <t>17.00 UNUTARNJI VODOVOD</t>
  </si>
  <si>
    <t>17.01.</t>
  </si>
  <si>
    <t>Dobava i montaža PP tip3 cijevi za vodovod (fuzioterm ili sl.) komplet s PP fitinzima te spojnim i brtvenim materijalom. Cijevi montirati u podu građevine, šlicevima izvedenim u zidu građevine u prizemlju te uz armaturu zidova u suterenu, zidnim usjecima i probojima i vidljivo u kotlovnici kod bojlera.</t>
  </si>
  <si>
    <t>a) cijevi ø32 mm</t>
  </si>
  <si>
    <t>c) cijevi ø25 mm</t>
  </si>
  <si>
    <t>17.02.</t>
  </si>
  <si>
    <t>Izvedba zaštitne izolacije cjevovoda hladne vode u podu građevine omotom "Plastizol" trakom debljine 2,8 mm, a cjevovoda tople i hladne vode montiranog u šlicevima zida, zidnim usjecima i probojima, omotom trakama filca.</t>
  </si>
  <si>
    <t>17.03.</t>
  </si>
  <si>
    <t>Dobava i montaža ravnih propusnih ventila za uzidanje s pripadajućom kromiranom kapom i rozetom HRN M.C5.262 Ili jednakovrijedno.</t>
  </si>
  <si>
    <t>ventil ø25 mm</t>
  </si>
  <si>
    <t>17.04.</t>
  </si>
  <si>
    <t>Dobava i montaža ravnih propusnih ventila HRN M.C5.260 Ili jednakovrijedno.</t>
  </si>
  <si>
    <t>17.05.</t>
  </si>
  <si>
    <t>Ispitivanje kompletne vodovodne mreže pod tlakom vode od 6 i 15 bara.</t>
  </si>
  <si>
    <t>17.06.</t>
  </si>
  <si>
    <t>Dobava i montaža nepovratnog ventila 5/4” za horizontalnu ugradnju.</t>
  </si>
  <si>
    <t>17.07.</t>
  </si>
  <si>
    <t>Ispiranje i dezinfekcija kompletne vodovodne mreže adekvatnim sredstvom za dezinfekciju.</t>
  </si>
  <si>
    <t>17.08.</t>
  </si>
  <si>
    <t>Bakteriološka analiza uzoraka vode iz cjevovoda nakon dezinfekcije i ponovnog ispiranja istog čistom vodom.</t>
  </si>
  <si>
    <t>17.09.</t>
  </si>
  <si>
    <t>Funkcionalno ispitivanje unutrašnje hidrantske mreže, od strane nadležne ustanove koja će o tome izdati nalaz.</t>
  </si>
  <si>
    <t>17.10.</t>
  </si>
  <si>
    <t>Izvedba priključka cjevovoda tople, hladne vode i cirkulacije na  centralnu pripremu tople vode.3</t>
  </si>
  <si>
    <t>THVf24;Cvf25mm</t>
  </si>
  <si>
    <t>17.11.</t>
  </si>
  <si>
    <t>Dobava i montaža vodomjera priključka 15mm/  max. Opterećenje 0,80 lit/sec</t>
  </si>
  <si>
    <t>17.12.</t>
  </si>
  <si>
    <t>Dobava i montaža kromiranih vratašca za reviziju vel. 30x30 cm, komplet s okvirom, bravicom i ključem za otvaranje.</t>
  </si>
  <si>
    <t>17.13.</t>
  </si>
  <si>
    <t>Dobava i montaža tipskog vodomjerniog ormarića za ugradnju u zid, za smještaj četiri vodomjerne garniture</t>
  </si>
  <si>
    <t>UNUTARNJI VODOVOD UKUPNO:</t>
  </si>
  <si>
    <t>RADOVI VODOVODA UKUPNO:</t>
  </si>
  <si>
    <t>V RADOVI KANALIZACIJE</t>
  </si>
  <si>
    <t>18.00 ZEMLJANI RADOVI</t>
  </si>
  <si>
    <t>18.01.</t>
  </si>
  <si>
    <t>Strojni i ručni iskop rova u tlu C ktg. za polaganje cijevi vanjske kanalizacije građevine i drenažne cijevi, širine 0,80 - 1,0m, na dubinu do 2,0m. Iskopani materijal odbacivati na udaljenost preko 1,0 m od bočne ivice rova, da se spriječi urušavanje iskopanog materijala u rov.</t>
  </si>
  <si>
    <t>18.02.</t>
  </si>
  <si>
    <t>Proširenje i produbljenje rova na mjestima izvedbe oborinskih i fekalnih revizijskih okana na dubini do 2,0 m.</t>
  </si>
  <si>
    <t>18.03.</t>
  </si>
  <si>
    <t>Ručno planiranje dna kanalizacijskog rova s odstupanjem ±2,0 cm.</t>
  </si>
  <si>
    <t>18.04.</t>
  </si>
  <si>
    <t>Dobava pijeska, ubacivanje u rov te izrada pješčane posteljice ispod kanalizacijskih cijevi u sloju debljine d=10 cm.</t>
  </si>
  <si>
    <t>18.05.</t>
  </si>
  <si>
    <t xml:space="preserve">Dobava pijeska, ubacivanje u rov, te zatrpavanje istim cijevi do visine 30 cm iznad tjemena cijevi. </t>
  </si>
  <si>
    <t>18.06.</t>
  </si>
  <si>
    <t>Zatrpavanje kanalizacijskog rova  materijalom od iskopa u slojevima od 30,0 cm, uz istovremeno obilno močenje i nabijanje svakog sloja nasutog materijala ručnim odnosno strojnim nabijačima.</t>
  </si>
  <si>
    <t>18.07.</t>
  </si>
  <si>
    <t>Razastiranje preostalog materijala na predmetnoj parceli prema posebnom projektu. U cijenu uračunati sav rad i materijal.</t>
  </si>
  <si>
    <t>19.00 BETONSKI RADOVI</t>
  </si>
  <si>
    <t>19.01.</t>
  </si>
  <si>
    <t>Izvedba revizijskog okna na vanjskoj kanalizaciji građevine, armiranim vodonepropusnim betonom C25/30 u dvostranoj oplati debljine bočnih stijenki i dna 15 cm. Na dnu okna izvesti kinete prema podacima o niveleti okna i obraditi ih cementnom glazurom 1:2 zaglađenom do crnog sjaja. Stijenke okna ožbukati cementnom žbukom 1:2 zaglađenom do crnog sjaja. Iznad okna na dubini cca 10 cm od kote uređenog terena izvesti armirano-betonsku ploču debljine 15 cm u C25/30 s otvorom za silazak u okno, vel. 60x60 cm. Iznad otvora na ploči montirati četvrtasti lijevano željezni poklopac s okvirom vel. 600x600 mm za prometno opterećenje od 400 KN ako se okna izvode ispod prometnih površina. Izvedba okna prema priloženom detaljnom nacrtu.</t>
  </si>
  <si>
    <t>19.02.</t>
  </si>
  <si>
    <t>Izrada tesarskih prodora za kanalizacijske cijevi dimenzija 20x20 od dasaka. U cijenu uračunati sav rad i materijal.</t>
  </si>
  <si>
    <t>19.03.</t>
  </si>
  <si>
    <t>Izrada prodora za vertikale ravnog krova od drvenih dasaka za potrebe vertikala ravnog krova. U cijenu uračunati sav rad i materijal.</t>
  </si>
  <si>
    <t>20.00 MONTAŽNI RADOVI KANALIZACIJSKOG CJEVOVODA</t>
  </si>
  <si>
    <t>20.01.</t>
  </si>
  <si>
    <t>Dobava i montaža tvrdih PVC cijevi za uličnu kanalizaciju tip UKC HRN G.C6.501-3 ili jednakovrijedno, razred čvrstoće SN8. Cijevi će se montirati za temeljne odvode krovnih vertikala u oborinsko reviziono okno, te odvoda fekalne kanalizacije u gradsku kanalizaciju. Spajanje cijevi izvoditi gumenim prstenima.</t>
  </si>
  <si>
    <t xml:space="preserve">PVC cijev UKC </t>
  </si>
  <si>
    <t>DN 160 mm</t>
  </si>
  <si>
    <t>20.02.</t>
  </si>
  <si>
    <t>Dobava i montaža tvrdih PVC cijevi za kućnu kanalizaciju HRN G.C6.501-3. Spajanje cijevi izvoditi pomoću natičnih naglavaka, a brtvljenje spojeva standardiziranim gumenim brtvama.</t>
  </si>
  <si>
    <t>DN 110 mm</t>
  </si>
  <si>
    <t>DN 70 mm</t>
  </si>
  <si>
    <t>DN 50 mm</t>
  </si>
  <si>
    <t>20.03.</t>
  </si>
  <si>
    <t>Dobava i montaža fazonskih (spojnih) komada iz tvrdog PVC-a za kućnu  kanalizaciju. Spajanje komada izvoditi prema opisu u stavci 3.03.</t>
  </si>
  <si>
    <t>a) koljeno 87º30’,</t>
  </si>
  <si>
    <t>RC 87º30’</t>
  </si>
  <si>
    <t>b) koljeno 45º,</t>
  </si>
  <si>
    <t xml:space="preserve">RC 45º </t>
  </si>
  <si>
    <t>c) jednostruki ogranak RT 87º30‘</t>
  </si>
  <si>
    <t>DN 70/50 mm</t>
  </si>
  <si>
    <t>DN 50/50 mm</t>
  </si>
  <si>
    <t>e) jednostruki ogranak RG 45º</t>
  </si>
  <si>
    <t>DN 110/110 mm</t>
  </si>
  <si>
    <t>DN 110/50 mm</t>
  </si>
  <si>
    <t>20.04.</t>
  </si>
  <si>
    <t>Nabava i postavljanje krovnih vertikala za ravne krovove od tvrdih PVC cijevi DN110. U cijenu uračunati sav rad i materijal.</t>
  </si>
  <si>
    <t>20.05.</t>
  </si>
  <si>
    <t>Dobava i montaža PVC podnih sifona s odvodom ø50 mm, kromiranim poklopcem vel. 15x15 cm i perforiranom rešetkom ø10 cm.</t>
  </si>
  <si>
    <t>20.06.</t>
  </si>
  <si>
    <t>Ispitivanje kanalizacije komplet s objektima na vodonepropusnost, prema EN 1610 ili jednakovrijedno</t>
  </si>
  <si>
    <t>20.07.</t>
  </si>
  <si>
    <t>Dobava i postavljanje odzračnika krovnih vertikala koji se podižu na krov nad svakom vertikalom kanalizacije. Izvođač je dužan poštivati dane slojeve krova</t>
  </si>
  <si>
    <t>20.08.</t>
  </si>
  <si>
    <t>Dobava i postavljanje vodolovnih grla za odvod oborinskih voda s ravnog krova</t>
  </si>
  <si>
    <t>MONTAŽNI RADOVI KANALIZACIJSKOG CJEVOVODA UKUPNO:</t>
  </si>
  <si>
    <t>21.00 SANITARNA OPREMA</t>
  </si>
  <si>
    <t>21.01.</t>
  </si>
  <si>
    <t>Dobava i montaža viseće WC školjke bijele boje iz keramike klase A,  te ugradbenog elementa za montažu ispred zida sa cijevima za ispiranje i odvod, priborom za brtvljenje i pričvršćenje</t>
  </si>
  <si>
    <t>21.02.</t>
  </si>
  <si>
    <t>Dobava i montaža ugradbenog bašumnog vodokotlića sa svim priključnim elementima, s čeonim aktiviranjem te ugradbenim elementom za montažu unutar gipskartonskog zida. Kompletu pripadaju I gumbi za ispiranje WC-a, kao I automatski odzračni ventil. U cijenu uračunati sav rad I materijal.</t>
  </si>
  <si>
    <t>21.03.</t>
  </si>
  <si>
    <t>Dobava i montaža umivaonika veličine 45 cm iz keramike klase A bijele boje koji sepričvršćuje na zid pomoću vijaka. Set isporučiti s  izljevnim ventilom i kromiranim sifonom ø25 mm, čepom i lančićem, priborom za brtvljenje i pričvršćenje, stojećom jednoručnom mješaćom baterijom, za TH vodu ø25 mm s tri izvoda te  odgovarajućim automatskim odzračnim ventilom</t>
  </si>
  <si>
    <t>21.04.</t>
  </si>
  <si>
    <t>Dobava i montaža umivaonika veličine 60 cm iz keramike klase A bijele boje koji sepričvršćuje na zid pomoću vijaka. Set isporučiti s  izljevnim ventilom i kromiranim sifonom ø25 mm, čepom i lančićem, priborom za brtvljenje i pričvršćenje, stojećom jednoručnom mješaćom baterijom, za TH vodu ø25 mm  te  odgovarajućim automatskim odzračnim ventilom</t>
  </si>
  <si>
    <t>21.05.</t>
  </si>
  <si>
    <t>Dobava i montaža sljedećeg sanitarnog pribora:</t>
  </si>
  <si>
    <t>a) toalet-kutija za rolo papir</t>
  </si>
  <si>
    <t>b) stalak za WC četku s četkom</t>
  </si>
  <si>
    <t>21.06.</t>
  </si>
  <si>
    <t>Dobava i montaža akrilnih  tuš kada s akrilnom stranicom dimenzija 70x170 cm bijele boje koji se pričvršćuje na pod pomoću vijaka. Set isporučiti s  izljevnim ventilom i kromiranim sifonom ø25 mm, čepom i lančićem, priborom za brtvljenje i pričvršćenje, stojećom jednoručnom mješaćom baterijom, za TH vodu ø25 mm s tri izvoda te  odgovarajućim automatskim odzračnim ventilom</t>
  </si>
  <si>
    <t>SANITARNA OPREMA UKUPNO:</t>
  </si>
  <si>
    <t>RADOVI KANALIZACIJE UKUPNO:</t>
  </si>
  <si>
    <t>VI RADOVI HIDRANTSKE MREŽE</t>
  </si>
  <si>
    <t>22.00 ZEMLJANI RADOVI</t>
  </si>
  <si>
    <t>22.01.</t>
  </si>
  <si>
    <t>Iskop rova u tlu C ktg. za polaganje vodovodnih cijevi na dubinu do 2,0 m, širine 0,60m. Iskopani materijal odbacivati na udaljenost preko 1,0 m od bočne ivice rova, da se spriječi urušavanje iskopanog materijala u rov.</t>
  </si>
  <si>
    <t>22.02.</t>
  </si>
  <si>
    <t>22.03.</t>
  </si>
  <si>
    <t>Dobava pijeska, ubacivanje u rov te izrada pješčane posteljice ispod hidrantskih cijevi u sloju debljine d=10 cm.</t>
  </si>
  <si>
    <t>22.04.</t>
  </si>
  <si>
    <t>23.00 CIJEVNI RAZVOD I OPREMA</t>
  </si>
  <si>
    <t>23.01.</t>
  </si>
  <si>
    <t>Dobava i montaža čeličnih cijevi za vodovod (fuzioterm ili sl.) komplet s čečičnim fitinzima te spojnim i brtvenim materijalom. Cijevi montirati u podu građevine, šlicevima izvedenim u zidu građevine u prizemlju te uz armaturu zidova u suterenu, zidnim usjecima i probojima i vidljivo u kotlovnici kod bojlera.</t>
  </si>
  <si>
    <t>a) cijevi ø50 mm</t>
  </si>
  <si>
    <t>23.02.</t>
  </si>
  <si>
    <t>Izvedba zaštitne izolacije (debljina izolacije 2,8 mm) cjevovoda hladne vode u podu građevine omotom "Plastizol" trakom, a cjevovoda tople i hladne vode montiranog u šlicevima zida, zidnim usjecima i probojima, omotom trakama filca.</t>
  </si>
  <si>
    <t>23.03.</t>
  </si>
  <si>
    <t>Dobava i montaža ravnih propusnih ventila za uzidanje s odgovarajućom  kapom i rozetom HRN M.C5.262 ili jednakovrijedno</t>
  </si>
  <si>
    <t>ventil ø50 mm</t>
  </si>
  <si>
    <t>23.04.</t>
  </si>
  <si>
    <t>23.05.</t>
  </si>
  <si>
    <t>Dobava i montaža ormarića s bubnjem za ugradbu u zid, veličine 500x500x120 mm sa limenim vratima i oznakom "H", komplet sa hidrantskim ventilom ø52 mm i  spojnicom.</t>
  </si>
  <si>
    <t>23.06.</t>
  </si>
  <si>
    <t>Dobava i postava vatrogasnog pribora u hidrantski ormarić</t>
  </si>
  <si>
    <t>-vatrogasno tlačno trevira crijevo tip "C" dužine 15m HRN Z.C6.011 ili jednakovrijedno</t>
  </si>
  <si>
    <t>-univerzalna mlaznica sa</t>
  </si>
  <si>
    <t xml:space="preserve"> slavinom i univerzal-</t>
  </si>
  <si>
    <t xml:space="preserve"> nom glavom tip "C",</t>
  </si>
  <si>
    <t xml:space="preserve"> HRN Z.C1.066 ili jednakovrijedno</t>
  </si>
  <si>
    <t>23.07.</t>
  </si>
  <si>
    <t>Dobava i montaža vatrogasnih aparata za gašenje požara prahom HRN Z.C2.035 ili jednakovrijedno</t>
  </si>
  <si>
    <t xml:space="preserve"> S-9</t>
  </si>
  <si>
    <t>CIJEVNI RAZVOD I OPREMA UKUPNO:</t>
  </si>
  <si>
    <t>HIDRANTSKA MREŽA UKUPNO:</t>
  </si>
  <si>
    <t>red.br.</t>
  </si>
  <si>
    <t>OPIS</t>
  </si>
  <si>
    <t>jed.mj.</t>
  </si>
  <si>
    <t>jed. cijena (€)</t>
  </si>
  <si>
    <t>ukupna cijena (€)</t>
  </si>
  <si>
    <t>TROŠKOVNIK RADOVA, MATERIJALA I USLUGA - STROJARSKI DIO</t>
  </si>
  <si>
    <t>NARUČITELJ</t>
  </si>
  <si>
    <t xml:space="preserve">MINISTARSTVO RADA, MIROVINSKOGA SUSTAVA, OBITELJI I SOCIJALNE POLITIKE </t>
  </si>
  <si>
    <t>VUKOVARSKA 78</t>
  </si>
  <si>
    <t>HR-10000 Zagreb</t>
  </si>
  <si>
    <t>OIB: 53969486500</t>
  </si>
  <si>
    <t>GRAĐEVINA SOCIJALNE NAMJENE                                                                          - DJEČJI DOM</t>
  </si>
  <si>
    <t>LOKACIJA:</t>
  </si>
  <si>
    <t>ULICA LIPA 9</t>
  </si>
  <si>
    <t>HR-44000 SISAK</t>
  </si>
  <si>
    <t>NOVOFORMIRANA k.č. 1325/1,                            k.o. SISAK STARI</t>
  </si>
  <si>
    <t>ZAHVAT:</t>
  </si>
  <si>
    <t>IZGRADNJA</t>
  </si>
  <si>
    <t>Z.O.P.:</t>
  </si>
  <si>
    <t>Mapa 3:</t>
  </si>
  <si>
    <t>PROJEKT STROJARSKIH INSTALACIJA</t>
  </si>
  <si>
    <t>INSTALACIJA ZEMNOG PLINA,  TOPLOVODNOG GRIJANJA,  INSTALACIJA HLAĐENJA I VENTILACIJE</t>
  </si>
  <si>
    <t>BROJ PROJEKTA:</t>
  </si>
  <si>
    <t>TD 1199/24</t>
  </si>
  <si>
    <t>OPĆA NAPOMENA:</t>
  </si>
  <si>
    <t xml:space="preserve">Materijal, oprema i proizvodi specificirani u stavkama, kao i kompletni sustavi mogu biti zamijenjeni jednakovrijednim materijalima, opremom, proizvodima i sistemima drugih proizvođača. </t>
  </si>
  <si>
    <t>U slučaju da ponuditelj nudi jednakovrijedne materijale, opremu i proizvode obavezno upisuje podatke o proizvođaču i tipu proizvoda u predviđeno mjesto troškovnika. Jednakovrijednost dokazuje dostavom dokumentacije, ispitivanja, proračuna i sl. za ponuđene jednakovrijedne proizvode ili opremu.</t>
  </si>
  <si>
    <t>U stavkama troškovnika potrebno je uračunati sav potrebni rad i materijal za izradu kompletne instalacije do potpune funkcionalnosti, spajanje, svi potrebni prijevozi, uskladištenja, skele te unutarnje i vanjske komunikacije na gradilištu. Sve eventualne promjene i odstupanja od projekta, potrebno je usuglasiti s projektantom i nadzornim inženjerom. Prilikom izrade ponude treba imati u vidu najnovije važeće propise za pojedine vrste instalacije.</t>
  </si>
  <si>
    <t>Potvrdu narudžbe prije definitivne isporuke specificirane opreme izvođač radova obavezno je dužan provjeriti kod projektanta. Izmjena pojedinih dijelova opreme “zamjenskim dijelovima” bez prethodne pismene suglasnosti projektanta isključuje odgovornost projektanta za predviđenu funkcionalnost postrojenja.</t>
  </si>
  <si>
    <t>Svi ponuđači dužni su kompletan opseg vlastite isporuke uskladiti s traženom kompletnom funkcijom, uvažavajući pritom sve predviđene i tražene parametre, uz čvrste, pismeno potvrđene garancije. Sva eventualna potrebna razrađivanja, usklađenja i slično, u opsegu su dotične isporuke, a sve pripadne troškove snosi ponuđač.</t>
  </si>
  <si>
    <t>Izvođač je dužan prijenos, ugradnju i svu građevinsku pripomoć izvesti o svom trošku, te sve te radove nuditi u jediničnim cijenama ovog troškovnika.</t>
  </si>
  <si>
    <t xml:space="preserve">                   PROJEKTANT:</t>
  </si>
  <si>
    <t>Nino Valinčić, dipl.ing.stroj.</t>
  </si>
  <si>
    <t>24. , 25. PLINSKA INSTALACIJA - plinski priključak</t>
  </si>
  <si>
    <t>24.00. STROJARSKI DIO</t>
  </si>
  <si>
    <t>24.01.</t>
  </si>
  <si>
    <t>Dobava i ugradnja - PE sedlo za navarivanje na plinovod i bušenje pod plinom. Sedlo je izrađeno iz polietilena PE 100 SDR 11 kvalitete prema DIN 8075 ili jednakovrijedno i dimenzija prema DIN 8074 ili jednakovrijedno ili ISO 4437 ili jednakovrijedno</t>
  </si>
  <si>
    <t>d 63/ d 32</t>
  </si>
  <si>
    <t>24.02.</t>
  </si>
  <si>
    <t xml:space="preserve">Dobava i ugradnja - Podzemna uvarna slavina s PE krajevima i s vretenom i lijevanoželjeznom kapom s natpisom PLIN </t>
  </si>
  <si>
    <t>NO 25</t>
  </si>
  <si>
    <t>24.03.</t>
  </si>
  <si>
    <t>Dobava i ugradnja - Polietilenska cijev iz koluta serije PE 100 SDR 11 kvalitete prema DIN 8075 ili jednakovrijedno i dimenzija prema DIN 8074 ili jednakovrijedno ili ISO 4437 ili jednakovrijedno. Cijev se spaja elektrospojnicom.</t>
  </si>
  <si>
    <t>d 32</t>
  </si>
  <si>
    <t>m</t>
  </si>
  <si>
    <t>24.04.</t>
  </si>
  <si>
    <t>Dobava i ugradnja - Plastična traka upozorenja širine 6 – 8 cm žute boje s natpisom PLIN ili POZOR PLIN. Traka mora biti položena tako da natpis bude okrenut prema gore. Polaže se na dubini 50 cm ispod nivelete terena.</t>
  </si>
  <si>
    <t>24.05.</t>
  </si>
  <si>
    <r>
      <rPr>
        <sz val="9"/>
        <rFont val="Arial"/>
        <family val="2"/>
        <charset val="1"/>
      </rPr>
      <t>Dobava i ugradnja - PE traka s dvije žice od nehrđajućeg čelika (valovito ugrađene) za otkrivanje PE plinovoda. Žicu na krajevima međusobno spajati tako da se ostvari trajna i kvalitetna električna veza. Žicu spojiti zajedno s žicom za detekciju uličnog ST plinovoda d110 PE 100, te jedan kraj izvući u nazidni ormarić. Krajevi žice moraju biti dostupni za priključenje detektora. Nakon ugradnje izvršiti kontrolu električne veze i o tome dati pismeni nalaz</t>
    </r>
    <r>
      <rPr>
        <sz val="12"/>
        <rFont val="Calibri"/>
        <family val="2"/>
        <charset val="238"/>
      </rPr>
      <t>.</t>
    </r>
  </si>
  <si>
    <t>24.06.</t>
  </si>
  <si>
    <t>Dobava i ugradnja - Elektrospojnica, PE 100, SDR 11 kvalitete prema DIN 8075 ili jednakovrijedno, dimenzija prema DIN 8074 ili jednakovrijedno ili ISO 4437 ili jednakovrijedno.</t>
  </si>
  <si>
    <t>24.07.</t>
  </si>
  <si>
    <t>Dobava i ugradnja prijelaznog komada polietilen / čelik s elektrozavojnicom, PE 100 SDR 11.</t>
  </si>
  <si>
    <t>PE/ČE - d 32/DN 25</t>
  </si>
  <si>
    <t>24.08.</t>
  </si>
  <si>
    <t>Dobava i ugradnja - Čelična cijev dimenzija prema DIN 2448 (C.B5.122) ili jednakovrijedno, izrađena od materijala Č.1212. Cijev se ugrađuje na podzemnom dijelu nemjerenog priključka  i antikorozivno zaštićuje primerom i plastizol trakom.</t>
  </si>
  <si>
    <t>ø 33,7 x 2,6 mm ( DN 25 )</t>
  </si>
  <si>
    <t>24.09.</t>
  </si>
  <si>
    <t xml:space="preserve">Dobava i ugradnja - Glavna zaporna kuglasta slavina NO 25 u kompletu sa standardnim inox ormarićem dimenzija 600x600x200 mm s ventilacijskim otvorima i natpisom GZO. U ormarić se smješta srednjetlačni regulator tlaka u skladu s EVN Croatia Plin specifikacijom, proizvod 133-6-66, DN25, RG5, SG1O sa DVGW certifikatom ili jednakovrijedno. </t>
  </si>
  <si>
    <t>RADOVE IZVODI ISKLJUČIVO DISTRIBUTER PLINA! NE NUDITI!</t>
  </si>
  <si>
    <t>24.10.</t>
  </si>
  <si>
    <r>
      <rPr>
        <sz val="9"/>
        <rFont val="Arial"/>
        <family val="2"/>
        <charset val="1"/>
      </rPr>
      <t xml:space="preserve">Montaža plinskog priključka d 32 / NO 25 koji se spaja na ulični plinovod PEHD </t>
    </r>
    <r>
      <rPr>
        <sz val="9"/>
        <rFont val="Symbol"/>
        <family val="1"/>
        <charset val="2"/>
      </rPr>
      <t>f</t>
    </r>
    <r>
      <rPr>
        <sz val="9"/>
        <rFont val="Arial CE"/>
        <family val="2"/>
        <charset val="238"/>
      </rPr>
      <t xml:space="preserve"> 63 tlaka 3 bara, a sastoji se od spoja na uličnom plinovodu do zaporne slavine na zgradi, a bez građevinskih radova.</t>
    </r>
  </si>
  <si>
    <t>komplet</t>
  </si>
  <si>
    <t>24.11.</t>
  </si>
  <si>
    <t>Ispitivanje priključnog plinovoda tlakom komprimiranog zraka u skladu sa posebnim tehničkim uvjetima i Tehničkim opisom.</t>
  </si>
  <si>
    <t>24.12.</t>
  </si>
  <si>
    <t>Sitni potrošni materijal, kao acetilen, kisik, žica za varenje, fitinzi, brtveni i spojni materijal, čepovi za blindiranje, temeljna boja i slično.</t>
  </si>
  <si>
    <t>24.13.</t>
  </si>
  <si>
    <t>Transportni troškovi.</t>
  </si>
  <si>
    <t>24.14.</t>
  </si>
  <si>
    <t>Troškovi vezani uz preuzimanje plinske instalacije od strane Distributera plina.</t>
  </si>
  <si>
    <t xml:space="preserve">U K U P N O   24.00: </t>
  </si>
  <si>
    <t>25.00. GRAĐEVINSKI DIO</t>
  </si>
  <si>
    <t>25.01.</t>
  </si>
  <si>
    <t>Pripremno - završni radovi s uređenjem radilišta, zauzimanjem javnih površina za smještaj prikolice i deponij materijala (zbog formiranja privremenog radilišta).</t>
  </si>
  <si>
    <t>Nakon završenih radova izvršiti sva potrebna čišćenja i dovođenje površine radilišta u prvobitno stanje.</t>
  </si>
  <si>
    <t>kompl</t>
  </si>
  <si>
    <t>25.02.</t>
  </si>
  <si>
    <t>Ručni iskop montažne jame 1,0 x 1,0 x 1,0 m s odbacivanjem materijala uz rov.</t>
  </si>
  <si>
    <r>
      <rPr>
        <sz val="9"/>
        <rFont val="Arial"/>
        <family val="2"/>
        <charset val="1"/>
      </rPr>
      <t>m</t>
    </r>
    <r>
      <rPr>
        <vertAlign val="superscript"/>
        <sz val="12"/>
        <rFont val="Arial"/>
        <family val="2"/>
        <charset val="238"/>
      </rPr>
      <t>3</t>
    </r>
  </si>
  <si>
    <t>25.03.</t>
  </si>
  <si>
    <t>Strojni iskop rova u tlu IV kategorije, prosječne širine rova 0,4 m dubine 1,0 m za plinski priključak do građevine s odbacivanjem zemlje uz rub rova.</t>
  </si>
  <si>
    <t>ručni 20%</t>
  </si>
  <si>
    <t>strojni 80%</t>
  </si>
  <si>
    <t>25.04.</t>
  </si>
  <si>
    <t>Strojno rezanje asfalta u širini iskopa rova cca 60 cm</t>
  </si>
  <si>
    <r>
      <rPr>
        <sz val="9"/>
        <rFont val="Arial"/>
        <family val="2"/>
        <charset val="1"/>
      </rPr>
      <t>m</t>
    </r>
    <r>
      <rPr>
        <vertAlign val="superscript"/>
        <sz val="12"/>
        <rFont val="Arial"/>
        <family val="2"/>
        <charset val="238"/>
      </rPr>
      <t>2</t>
    </r>
  </si>
  <si>
    <t>25.05.</t>
  </si>
  <si>
    <t>Dobava, transport i nasipavanje čistog, suhog pijeska u rov plinskog priključka, debljine 15 cm oko plinske cijevi i iznad cijevi 15 cm za posteljicu cijevi.</t>
  </si>
  <si>
    <t>25.06.</t>
  </si>
  <si>
    <t xml:space="preserve">Dobava, transport i nasipavanje montažne jame i dijela rova u kolniku nakon izvedbe obloge cijevi i to u slojevima od 30 cm  (sipinom) uz pažljivo nabijanje prvog sloja  a nakon toga vrši se zatrpavanje uz razastiranje materijala u sloju od po 30 cm uz nabijanje. </t>
  </si>
  <si>
    <t>25.07.</t>
  </si>
  <si>
    <t>Zatrpavanje rova materijalom iz iskopa. Nasipavanje izvoditi nakon izvedbe obloge cijevi i to u slojevima od 30 cm uz pažljivo nabijanje prvog sloja, a nakon toga vrši se zatrpavanje uz razastiranje materijala u sloju od 30 cm uz nabijanje s nadslojem.</t>
  </si>
  <si>
    <t>25.08.</t>
  </si>
  <si>
    <t>Betoniranje temelja šahte betonom MB 20(0-32 mm). Temelj armirati s mrežom 1xQ-131.</t>
  </si>
  <si>
    <t>25.09.</t>
  </si>
  <si>
    <t>Zidanje zida šahte debljine 12,5 cm punom opekom 6,5 x 12,5 x 25 cm sa cementnim mortom u omjeru 3:1.</t>
  </si>
  <si>
    <t>25.10.</t>
  </si>
  <si>
    <t>Uređenje prekopane asfaltne pješačke i kolničke površine sa svim potrebnim materijalom i radnjama uključivo i uređenje horizontalne signalizacije.</t>
  </si>
  <si>
    <t>25.11.</t>
  </si>
  <si>
    <t>Geodetsko snimanje priključka.</t>
  </si>
  <si>
    <t>25.12.</t>
  </si>
  <si>
    <t>Uređenje dvorišne površine na trasi kućnog priključka.</t>
  </si>
  <si>
    <t xml:space="preserve">U K U P N O    25.00.: </t>
  </si>
  <si>
    <t xml:space="preserve">26.00.  PLINSKA INSTALACIJA - nemjereni i mjereni dio plinske instalacije </t>
  </si>
  <si>
    <t>26.01.</t>
  </si>
  <si>
    <t>Dobava i ugradnja - Plinski  filter, PFN-Y, NP 10</t>
  </si>
  <si>
    <t>26.02.</t>
  </si>
  <si>
    <t>Dobava i ugradnja - Srednjetlačni regulator tlaka  3 bara &gt; 22 mbara, proizvod 133-6-66, RG5, SG10 DN 25, sa DVGW certifikatom ili jednakovrijedno</t>
  </si>
  <si>
    <r>
      <rPr>
        <sz val="9"/>
        <rFont val="Arial"/>
        <family val="2"/>
        <charset val="1"/>
      </rPr>
      <t>p</t>
    </r>
    <r>
      <rPr>
        <vertAlign val="subscript"/>
        <sz val="9"/>
        <rFont val="Arial"/>
        <family val="2"/>
        <charset val="238"/>
      </rPr>
      <t>u</t>
    </r>
    <r>
      <rPr>
        <sz val="9"/>
        <rFont val="Arial"/>
        <family val="2"/>
        <charset val="238"/>
      </rPr>
      <t>=4 bar, p</t>
    </r>
    <r>
      <rPr>
        <vertAlign val="subscript"/>
        <sz val="9"/>
        <rFont val="Arial"/>
        <family val="2"/>
        <charset val="238"/>
      </rPr>
      <t>i</t>
    </r>
    <r>
      <rPr>
        <sz val="9"/>
        <rFont val="Arial"/>
        <family val="2"/>
        <charset val="238"/>
      </rPr>
      <t>=22 mbar</t>
    </r>
  </si>
  <si>
    <r>
      <rPr>
        <sz val="9"/>
        <rFont val="Arial"/>
        <family val="2"/>
        <charset val="1"/>
      </rPr>
      <t>dozvoljeno opterećenje:   30   m</t>
    </r>
    <r>
      <rPr>
        <vertAlign val="superscript"/>
        <sz val="12"/>
        <rFont val="Arial CE"/>
        <family val="2"/>
        <charset val="238"/>
      </rPr>
      <t>3</t>
    </r>
    <r>
      <rPr>
        <sz val="12"/>
        <rFont val="Arial CE"/>
        <family val="2"/>
        <charset val="238"/>
      </rPr>
      <t>/h</t>
    </r>
  </si>
  <si>
    <t>RADOVE IZVODI ISKLJUČIVO DISTRIBUTER PLINA! - NE NUDITI</t>
  </si>
  <si>
    <t>26.03.</t>
  </si>
  <si>
    <r>
      <rPr>
        <sz val="9"/>
        <rFont val="Arial"/>
        <family val="2"/>
        <charset val="1"/>
      </rPr>
      <t xml:space="preserve">Dobava i ugradnja - Razvodni plinovod nemjerenog plina izveden od srednje teških bešavnih čeličnih cijevi </t>
    </r>
    <r>
      <rPr>
        <i/>
        <sz val="9"/>
        <rFont val="Arial CE"/>
        <family val="2"/>
        <charset val="238"/>
      </rPr>
      <t>uključivo bojenje temeljnom zaštitnom bojom u dva premaza, te jedanput žutom bojom</t>
    </r>
    <r>
      <rPr>
        <sz val="9"/>
        <rFont val="Arial CE"/>
        <family val="2"/>
        <charset val="238"/>
      </rPr>
      <t>:</t>
    </r>
  </si>
  <si>
    <t>NO   50</t>
  </si>
  <si>
    <t>NO   25</t>
  </si>
  <si>
    <t>NO   20</t>
  </si>
  <si>
    <t>26.04.</t>
  </si>
  <si>
    <t>Dobava i ugradnja - Membranski plinomjer G-25 s temperaturnim korektorom i radijskim i daljinskim očitanjem, DN 50</t>
  </si>
  <si>
    <t>Stavkom obuhvatiti baždarenje i montažu plinomjera sa svim brtvenim i spojnim elementima.</t>
  </si>
  <si>
    <t>26.05.</t>
  </si>
  <si>
    <t>Dobava i ugradnja - Inox kutija 60 x 60 x 25 cm s otvorima za ventilaciju i očitavanje  za membranski plinomjer G-25 iz prethodne stavke</t>
  </si>
  <si>
    <t>26.06.</t>
  </si>
  <si>
    <t>Dobava i ugradnja - Plinski termozaporni ventil</t>
  </si>
  <si>
    <t>R 3/4" (DN 20), NP 1</t>
  </si>
  <si>
    <t>26.07.</t>
  </si>
  <si>
    <t>Dobava i ugradnja - Plinski elektromagnetni ventil povezan s osiguračem strujanja kuhinjske nape</t>
  </si>
  <si>
    <t>R 1" (DN 25), NP 1</t>
  </si>
  <si>
    <t>26.08.</t>
  </si>
  <si>
    <r>
      <rPr>
        <sz val="9"/>
        <rFont val="Arial"/>
        <family val="2"/>
        <charset val="1"/>
      </rPr>
      <t xml:space="preserve">Dobava, ugradnja i spajanje - Instalacija s više kotlova s </t>
    </r>
    <r>
      <rPr>
        <b/>
        <sz val="9"/>
        <rFont val="Arial"/>
        <family val="2"/>
        <charset val="238"/>
      </rPr>
      <t>dva plinska kondenzacijska cirkouređaja</t>
    </r>
    <r>
      <rPr>
        <sz val="9"/>
        <rFont val="Arial"/>
        <family val="2"/>
        <charset val="238"/>
      </rPr>
      <t>.
Slobodna montaža s montažnim postoljem.
Plinski kondenzacijski kotao prema EN 677 ili jednakovrijedno kao zidni uređaj za pogon neovisan o zraku u prostoru prema TRGI 86/96, certificiran oznakom CE ili jednakovrijedno  i ispitan prema tipu izvedbe. Za zatvorene instalacije grijanja prema EN 12828 ili jednakovrijedno.</t>
    </r>
  </si>
  <si>
    <t xml:space="preserve">Kompletna toplinska ćelija koja se sastoji od zračne komore, izmjenjivača topline s grijaćom površinom Inox-Radial ili jednakovrijedno i integrirane komore za izgaranje od plemenitog čelika, s modulacijskim cilindričnim plinskim plamenikom kompletno s ventilatorom upravljanim brojem okretaja, od Lambda Pro Control ili jednakovrijdeno regulacije izgaranja, plinske armature, ionizacijskog nadziranja plamena i
električnog visokonaponskog paljenja. Ispitan i odobren za zemni plin prema EN 437 ili jednakovrijedno. </t>
  </si>
  <si>
    <t>S ugrađenom oblogom od čeličnog lima premazanog epoksidnom smolom, bijele boje. S hidrauličkom kaskadom i toplinskom izolacijom, priključnim priborom s visokoučinkovitom cirkulacijskom crpkom i toplinskom izolacijom.</t>
  </si>
  <si>
    <t>S digitalnom regulacijom kruga kotla  i digitalna
kaskadna regulacija za pogon voden vremenskim prilikama u instalacijama s vise kotlova (do 8 plinska cirko uređaja). Moguce su strategije grijanja i kondenzacijske strategije kao i zamjena redoslijeda kotlova.</t>
  </si>
  <si>
    <t xml:space="preserve">Automatika kruga kotla ostvaruje sposobnost komunikacije s s kaskadnom automatikom ugradnjom komunikacijskog modula kaskade (opseg isporuke). Automatika kruga kotla
regulira sve funkcije specificne za kotao kao i modulacijski pogon plinskog uređaja kao i preko 0-10 V signala crpku kruga kotla s promjenjivim brojem okretaja. </t>
  </si>
  <si>
    <t>Automatika kruga kotla sadrži:
pogonsku sklopku, temperaturni granicnik, temperaturni kontrolnik, elektronicki granicnik maksimalne temperature, zastitu od blokiranja crpke, prikaz pogona i smetnje plamenika, deblokiranje smetnje plamenika, prozorcic i Optolink sucelje za laptop ili jednakovriejdno, tipke za podesavanje temperature vode u kotlu i temperature pitke vode, provjeru temperature i pogonskog stanja te ispitnu funkciju za dimnjačara.</t>
  </si>
  <si>
    <t xml:space="preserve">Kaskadna automatika prema vremenskim prilikama regulira kaskadnu funkciju instalacije s više kotlova, zagrijavanje pitke vode, krug grijanja i/ili – u spoju s proširenjem za 2. i 3. krug grijanja (pribor) i proširenom opremom – maks. dva kruga grijanja s mješačem. Jednostavno puštanje u pogon, automatska funkcija za prilagođavanje vremenskih programa za
zagrijavanje pitke vode i cirkulacijsku crpku.
</t>
  </si>
  <si>
    <t xml:space="preserve">S automatskim podešavanjem ljetnog/zimskog vremena, integriranim sustavom dijagnoze, adaptivnom regulacijom temperature u spremniku (kao alternativa sustavu za punjenje spremnika s regulirajućim 3-putnim ventilom), kontroliranim zagrijavanjem estriha i dojavom skupne smetnje. Karakteristike grijanja i vremenski intervali za krugove grijanja, zagrijavanje pitke vode i cirkulacijsku crpku pitke vode mogu se podešavati odvojeno. 
</t>
  </si>
  <si>
    <t xml:space="preserve">Isključivanje crpke kruga grijanja ovisno o potrebi te ljetni štedni program i promjenjiva granica grijanja. S osjetnikom vanjske temperature, temperature polaznog voda i temperature spremnika.
Vanjski uređaji priključuju se preko sistemskog utikača Rast 5. 
</t>
  </si>
  <si>
    <t xml:space="preserve">Kaskadna automatika sadrži:
pogonsku sklopku, ispitnu sklopku za dimnjačara, uključivanje crpki kruga grijanja, elektronički graničnik maksimalne temperature, prikaz pogona i smetnje, Optolink sučelje za laptop ili jednakovrijedno za izravno priključivanje osobnog računala.
Jednostavno rukovanje preko grafičkog displeja s tekstualnim prikazom, velikim slovima i crno-bijelim prikazom jakog kontrasta te kontekstualnom pomoći.
</t>
  </si>
  <si>
    <t xml:space="preserve">Mogućnosti podešavanja pogonskih programa, party i štedne funkcije, zadanih vrijednosti i vremenskih programa te provjere temperatura. S mogućnošću priključivanja vanjskog uključivanja pogonskog programa s djelovanjem na jedan ili više krugova grijanja, vanjskog zahtjeva ili vanjske blokade.
</t>
  </si>
  <si>
    <t xml:space="preserve">Za zadavanje vrijednosti zadane temperature
polaznog voda instalacije, vanjsko prebacivanje pogonskog statusa za krugove grijanja, vanjsku blokadu s dojavom skupne smetnje, za dojave smetnje, kratkotrajni pogon cirkulacijske crpke pitke vode, za uključivanje transportne crpke do podstanice ili noćnog kontakta (za smanjenje broja okretaja) crpke kruga grijanja neophodno je proširenje funkcije regulacije s proširenjem EA1 (pribor). </t>
  </si>
  <si>
    <t xml:space="preserve">Sposoban za komunikaciju preko:
 - KM-BUS-a s automatikom kruga kotla
 - LON-BUS-a (ugradnjom komunikacijskog modula LON, (pribor). Preko LON-BUS-a je pomoću  (pribora) (pribor) moguće daljinsko nadziranje i upravljanje instalacijom grijanja. 
</t>
  </si>
  <si>
    <t xml:space="preserve">Razmjena podataka s maks. 32 regulacije kruga grijanja moguća je preko LOB-BUS-a.
</t>
  </si>
  <si>
    <r>
      <rPr>
        <b/>
        <sz val="9"/>
        <rFont val="Arial"/>
        <family val="2"/>
        <charset val="1"/>
      </rPr>
      <t xml:space="preserve">Opseg isporuke:
</t>
    </r>
    <r>
      <rPr>
        <sz val="9"/>
        <rFont val="Arial"/>
        <family val="2"/>
        <charset val="238"/>
      </rPr>
      <t>Kompletni plinski kondenzacijski cirko-uređaj s Inox-Radial ogrjevnim površinama, cilindričnim plamenikom za zemni plin sa primarnim cirkulacijskum pumpama u tvorničkom setu (</t>
    </r>
    <r>
      <rPr>
        <b/>
        <sz val="9"/>
        <rFont val="Arial"/>
        <family val="2"/>
        <charset val="238"/>
      </rPr>
      <t>kompl.2</t>
    </r>
    <r>
      <rPr>
        <sz val="9"/>
        <rFont val="Arial"/>
        <family val="2"/>
        <charset val="238"/>
      </rPr>
      <t xml:space="preserve">). Za postavljanje kaskade na montažno postolje (postavljanje u nizu). S izoliranom hidrauličkom kaskadom i priključnim priborom . Ugrađena regulacija kotlovskog kruga s uranjajućim osjetnikom temperature za hidrauličku skretnicu. Kaskadna regulacija odvojeno zapakirana.
</t>
    </r>
  </si>
  <si>
    <r>
      <rPr>
        <sz val="9"/>
        <rFont val="Arial"/>
        <family val="2"/>
        <charset val="1"/>
      </rPr>
      <t xml:space="preserve">Podaci za </t>
    </r>
    <r>
      <rPr>
        <b/>
        <sz val="9"/>
        <rFont val="Arial"/>
        <family val="2"/>
        <charset val="238"/>
      </rPr>
      <t xml:space="preserve">pojedinačni kotao
</t>
    </r>
    <r>
      <rPr>
        <sz val="9"/>
        <rFont val="Arial"/>
        <family val="2"/>
        <charset val="238"/>
      </rPr>
      <t>Područje nazivnog učina pri
50/30°C 20 - 99 kW
80/60°C 18,2 - 90 kW
Dimenzije
Duljina 530 mm
Širina 480 mm
Visina 850 mm
Težina 83 kg
Dozvoljeni pogonski tlak 4 bar
Priključak odvoda dimnih plinova 100 mm
Priključak odvoda dimnih plinova 150 mm
Normni stupanj iskoristivosti Hs do 98 %
Normni stupanj iskoristivosti Hi do 109 %</t>
    </r>
  </si>
  <si>
    <r>
      <rPr>
        <sz val="9"/>
        <rFont val="Arial"/>
        <family val="2"/>
        <charset val="1"/>
      </rPr>
      <t>Podaci za</t>
    </r>
    <r>
      <rPr>
        <b/>
        <sz val="9"/>
        <rFont val="Arial"/>
        <family val="2"/>
        <charset val="238"/>
      </rPr>
      <t xml:space="preserve"> kaskadu kotlova
</t>
    </r>
    <r>
      <rPr>
        <sz val="9"/>
        <rFont val="Arial"/>
        <family val="2"/>
        <charset val="238"/>
      </rPr>
      <t xml:space="preserve">Područje nazivnog učina pri
50/30°C 20 - 297 kW
80/60°C 18,2 - 270 kW
Priključnak sabirnika Ø DN 65
Priključak sabirnog voda
dimnih plinova Ø 200 mm
Maksimalna duljina dimnjače 30 mm
Tehnički podaci za određivanje razreda energetske učinkovitosti (ErP-oznaka)
Kotao za grijanje
Energetska učinkovitost grijanja prostora
uvjetovana godišnjim dobima A
Nazivni toplinski učin 91 kW
Energetska učinkovitost grijanja prostora
uvjetovana godišnjim dobima 92 %
</t>
    </r>
  </si>
  <si>
    <t xml:space="preserve">Godišnja potrošnja energije 44261 kWh
Razina zvučne snage 59 dB
Regulator temperature
Energetski razred regulatora temperature I
Doprinos učinkovitosti grijanja prostora 1 %
Energetska učinkovitost povezane instalacije (Grijanje)
</t>
  </si>
  <si>
    <t>Dodatna oprema:</t>
  </si>
  <si>
    <t xml:space="preserve">- Sabirni vod kondenzata
Za instalaciju s dva uređaja                                               kom 1
</t>
  </si>
  <si>
    <t xml:space="preserve">- PVC cijevi za razvod kondenzata, uključujući brtveni materijal, dim. d32 (12m)  </t>
  </si>
  <si>
    <t>- Armatura za punjenje s crijevom</t>
  </si>
  <si>
    <t>TIP:___________________________</t>
  </si>
  <si>
    <t>PROIZVOĐAČ:__________________</t>
  </si>
  <si>
    <t>26.09.</t>
  </si>
  <si>
    <t xml:space="preserve">Dobava, ugradnja i spajanje - Proširena automatika  prema vremenskim prilikama za reguliranje  krugova grijanja u spoju s proširenjem za tri kruga grijanja s mješačem i tri kruga bez mješaća. S potrebnim osjetnicima vanjske temperature, temperature polaznog voda i temperature spremnika. U sklopu isporuke:pogonska sklopka, elektronički graničnik maksimalne temperature, te prikaz pogona i smetnje, sučelje za laptop za izravno priključivanje osobnog računala i izvadivi opslužni dio. </t>
  </si>
  <si>
    <t xml:space="preserve">Preko LON BUS-a (komunikacijski modul LON, pribor, mora se ugraditi) je putem pribora moguće daljinsko nadziranje i upravljanje instalacijom grijanja.
</t>
  </si>
  <si>
    <r>
      <rPr>
        <sz val="9"/>
        <rFont val="Arial"/>
        <family val="2"/>
        <charset val="1"/>
      </rPr>
      <t xml:space="preserve">Dodatna oprema:
Proširena oprema za krug grijanja s mješačem.
Sastoji se od:
priključnim vodom (duljine 4 m) za mješače  kom 3
osjetnik temperature polaznog voda (nalijegajući osjetnik NTC 10 kOhm s priključnim vodom duljine 5,8 m i utikačem         kom 4
Uranjajući temeraturni osjetnik NTC 10kOhm                   kom 1
Utikač za crpku kruga grijanja                                       </t>
    </r>
    <r>
      <rPr>
        <sz val="9"/>
        <rFont val="Arial"/>
        <family val="2"/>
        <charset val="238"/>
      </rPr>
      <t xml:space="preserve">     kom 2
LON komunikacijski modul                                     </t>
    </r>
    <r>
      <rPr>
        <sz val="9"/>
        <rFont val="Arial"/>
        <family val="2"/>
        <charset val="1"/>
      </rPr>
      <t xml:space="preserve">  </t>
    </r>
    <r>
      <rPr>
        <sz val="9"/>
        <rFont val="Arial"/>
        <family val="2"/>
        <charset val="238"/>
      </rPr>
      <t xml:space="preserve">         kom 1
LON spojni vod (7m)                                           </t>
    </r>
    <r>
      <rPr>
        <sz val="9"/>
        <rFont val="Arial"/>
        <family val="2"/>
        <charset val="1"/>
      </rPr>
      <t xml:space="preserve">    </t>
    </r>
    <r>
      <rPr>
        <sz val="9"/>
        <rFont val="Arial"/>
        <family val="2"/>
        <charset val="238"/>
      </rPr>
      <t xml:space="preserve">           kom 2
LON spojka za produljenje spojnog voda                         kom 2
Sobni korektori                                                      </t>
    </r>
    <r>
      <rPr>
        <sz val="9"/>
        <rFont val="Arial"/>
        <family val="2"/>
        <charset val="1"/>
      </rPr>
      <t xml:space="preserve">   </t>
    </r>
    <r>
      <rPr>
        <sz val="9"/>
        <rFont val="Arial"/>
        <family val="2"/>
        <charset val="238"/>
      </rPr>
      <t xml:space="preserve">          kom 2</t>
    </r>
  </si>
  <si>
    <t>26.10.</t>
  </si>
  <si>
    <t>Dobava, ugradnja i spajanje - Uređaj za neutralizaciju za Qmax = 200 kW
Instalacija za neutralizaciju (pH-vrijednost preko 6,5) kondenzata kod plinskih proizvođača topline (kondenzacijski kotlovi) i/ili dimovodnih sistema od nehrđajućeg čelika, plastike, grafita, stakla i keramike prema ATV-DVWK A 251, DVGW-VP 114, DIN 4716-2. ili jednakovrijedno _________________</t>
  </si>
  <si>
    <t>Izvedba:
• 1 plastična posuda s poklopcem
• 8 kg granulata za neutralizaciju
• 5 m specijalnog crijeva za kondenzat DN 20
• 3 obujmice crijeva 20-32
• 1 paket pH-indikator traka
• Tehnička dokumentacija
Tehnički podaci:
• Učin neutralizacije 70 l/h
• Priključak dovoda DN 20
• Priključak odvoda DN 20
• Temperatura kondenzata 5 - 60 °C
• Dimenzije s priključcima za crijevo
 LxBxH 421x230x165 mm</t>
  </si>
  <si>
    <t>26.11.</t>
  </si>
  <si>
    <t>Dobava, ugradnja i spajanje - Dimovodna kaskada 2 kotla
Dimovodni sistem od PPs, za pretlačni pogon, za pogon ovisan o zraku u prostoru, sastoji se od:
Sabirne cijevi, dijelova dimovodne cijevi, krajnji komad s odvodom konenzata i sifonom.
Jednostavna montaža, jer se dimovodne cijevi mogu prilagoditi. Zajednički izlaz dimnih plinova lijevo ili desno.
Promjer dimovodne cijevi: 200 mm</t>
  </si>
  <si>
    <t>Spoj dimovodnih cijevi ima neprekidnu izolaciju (bez toplinskih mostova), omogućava termičke dilatacije, sadrži utor protiv kapilanog istjecanja (ili za silikonsko brtvilo) te obujmice za pričvršćivanje. Odvod kondenzata spojiti pri ugradnji na kanalizacijski sustav. Kompletno s ovjesom. Ovjes zaštiti od korozije.</t>
  </si>
  <si>
    <t xml:space="preserve">Napomena:
Prije narudžbe i nabave svih elemenata potrebno je napraviti detaljnu izmjeru na predmetnoj lokaciji.
</t>
  </si>
  <si>
    <t>26.12.</t>
  </si>
  <si>
    <t>Dobava, ugradnja i spajanje -  montažnog dimnjaka od elemenata s dimovodnim kanalom promjera 250 mm, vanjskih mjera 49x49 cm. Dimnjak je namijenjen za priključenje plinskih kondenzacijskih bojlera sa zatvorenom komorom za sagorijevanje i opskrbom zraka za izgaranje, neovisno o zraku u prostoriji. Slobodan prostor između dimnjaka i AB ploče zabrtviti ili ispuniti PUR ispunom.</t>
  </si>
  <si>
    <t>U cijenu uključeno priključni elementi za ložište, 1 vratašca za čišćenje, te ostali potrebni elementi prema uputama proizvođača.</t>
  </si>
  <si>
    <t>Ukupna visina vertikale je 12,50 m s 1 priključkom</t>
  </si>
  <si>
    <t>26.13.</t>
  </si>
  <si>
    <t>Zidanje dimnjaka iz prethodne stavke.</t>
  </si>
  <si>
    <t>26.14.</t>
  </si>
  <si>
    <r>
      <rPr>
        <sz val="9"/>
        <rFont val="Arial"/>
        <family val="2"/>
        <charset val="1"/>
      </rPr>
      <t>Spajanje plinskog kondenzacijskog aparata, vrste ''C'' nazivne snage 100,0 kW na plinski cjevovod, ispitivanje i odzračivanje. Stavkom obuhvatiti i sav brtveni i spojni materijal. Slavina DN 20 je sastavni dio aparata. Regulacija i puštanje u rad izvodi  ovlašteni serviser.</t>
    </r>
    <r>
      <rPr>
        <sz val="9"/>
        <color rgb="FF000000"/>
        <rFont val="Calibri"/>
        <family val="2"/>
        <charset val="238"/>
      </rPr>
      <t xml:space="preserve"> </t>
    </r>
    <r>
      <rPr>
        <sz val="9"/>
        <color rgb="FF000000"/>
        <rFont val="Arial"/>
        <family val="2"/>
        <charset val="238"/>
      </rPr>
      <t>OBAVEZAN ZAPISNIK SERVISERA O PUŠTANJU U RAD I FUNKCIONALNOM ISPITIVANJU.</t>
    </r>
  </si>
  <si>
    <t>26.15.</t>
  </si>
  <si>
    <t>Izrada prodora kroz zidove za prolaz plinske cijevi. Potrebno je izvesti:</t>
  </si>
  <si>
    <t xml:space="preserve">prodor za prolaz zaštitne cijevi DN 25 i DN 50 </t>
  </si>
  <si>
    <t>26.16.</t>
  </si>
  <si>
    <t>Sitni potrošni materijal, kao acetilen, kisik, žica za varenje, čepovi za čišćenje, zaštitne čelične cijevi za prolazak plinskih vertikala i prolaske kroz zidove tzv. "proturne" cijevi, koljena, holenderi, šelne, temeljna boja itd.</t>
  </si>
  <si>
    <t>26.17.</t>
  </si>
  <si>
    <t>Građevinski radovi na sanaciji prodora cijevi i dimovoda.</t>
  </si>
  <si>
    <t>a) prodori do fi 15 cm</t>
  </si>
  <si>
    <t>b) prodori od fi 15 do fi 30 cm</t>
  </si>
  <si>
    <t>c) prodori promjera većeg od 30 cm</t>
  </si>
  <si>
    <t>26.18.</t>
  </si>
  <si>
    <t>Dobava i ugradnja - Ventilacijska fiksna žaluzina u protukišnoj izvedbi i plastificirana u boji aluminija za ugradnju u vrata/zid kotlovnice.</t>
  </si>
  <si>
    <t>385 x 300 mm</t>
  </si>
  <si>
    <t>385 x 450 mm</t>
  </si>
  <si>
    <t>26.19.</t>
  </si>
  <si>
    <t>Ispitivanje kotlovnice od strane ovlaštene ustanove u smislu Zakona o zaštiti na radu i Zakona o zaštiti od požara. Ugradnja na vrata kotlovnice naljepnica sa sigurnosnim natpisima KOTLOVNICA!, ZABRANJEN ULAZ NEOVLAŠTENIM OSOBAMA!, OPASNOST OD POŽARA!</t>
  </si>
  <si>
    <t>26.20.</t>
  </si>
  <si>
    <t>Dobava vatrogasnih aparata s propisnim naljepnicama. Potrebno je postaviti jedan aparat S9, jedan S6 i jedan CO2-5.</t>
  </si>
  <si>
    <t>26.21.</t>
  </si>
  <si>
    <t>Ispitivanje cijele plinske instalacije na nepropusnost prema Općim i tehničkim  uvjetima. Tlačna proba  plinske instalacije  zrakom. Puštanje u rad i regulacija.</t>
  </si>
  <si>
    <t>26.22.</t>
  </si>
  <si>
    <t>Bojenje cjevovoda završnom bijelom lak bojom u dva premaza i prstena širine 20 mm žutom lak bojom.</t>
  </si>
  <si>
    <r>
      <rPr>
        <sz val="9"/>
        <rFont val="Arial"/>
        <family val="2"/>
        <charset val="1"/>
      </rPr>
      <t>m</t>
    </r>
    <r>
      <rPr>
        <vertAlign val="superscript"/>
        <sz val="12"/>
        <rFont val="Arial CE"/>
        <family val="2"/>
        <charset val="238"/>
      </rPr>
      <t>2</t>
    </r>
  </si>
  <si>
    <t>26.23.</t>
  </si>
  <si>
    <t>26.24.</t>
  </si>
  <si>
    <t>Izrada projekta izvedenog stanja plinske instalacije.</t>
  </si>
  <si>
    <t>26.25.</t>
  </si>
  <si>
    <t xml:space="preserve">U K U P N O   26.00.: </t>
  </si>
  <si>
    <t>27.00.   INSTALACIJA TOPLOVODNE KOTLOVNICE</t>
  </si>
  <si>
    <t>27.01.</t>
  </si>
  <si>
    <t>Dobava i ugradnja - Ekspanzijska membranska posuda-zatvorena, za krug plinskih aparata (sigurnosni ventil DN20/DN32, servisni ventil DN20,     Vn= 41.6l; Vp= 50 l, pr=~3,0bar,</t>
  </si>
  <si>
    <t>27.02.</t>
  </si>
  <si>
    <t xml:space="preserve">Dobava i ugradnja - Ventil s kapicom R 1" za membranske ekspanzijske posude, tip N 80 do N 500, nazivni tlak PN 10, maks. pogonska temperatura 120°C. </t>
  </si>
  <si>
    <t>27.03.</t>
  </si>
  <si>
    <t>Dobava i ugradnja - Sigurnosni ventil na ekspanzijskoj posudi kruga kotlova. Tlak otvaranja 10% veći od radnog. Isporučuje se komplet s odgovarajućim protuprirubnicama, spojnim i brtvenim materijalom i svom ostalom potrebnom opremom za montažu i nesmetan rad. Ventil je sljedećih karakteristika i  dimenzija:</t>
  </si>
  <si>
    <r>
      <rPr>
        <i/>
        <sz val="9"/>
        <rFont val="Arial"/>
        <family val="2"/>
        <charset val="1"/>
      </rPr>
      <t xml:space="preserve">tmax=120ºC
</t>
    </r>
    <r>
      <rPr>
        <i/>
        <sz val="9"/>
        <color rgb="FF000000"/>
        <rFont val="Arial"/>
        <family val="2"/>
        <charset val="238"/>
      </rPr>
      <t>`p</t>
    </r>
    <r>
      <rPr>
        <i/>
        <vertAlign val="subscript"/>
        <sz val="9"/>
        <color rgb="FF000000"/>
        <rFont val="Arial"/>
        <family val="2"/>
        <charset val="238"/>
      </rPr>
      <t xml:space="preserve">RAD </t>
    </r>
    <r>
      <rPr>
        <i/>
        <sz val="9"/>
        <color rgb="FF000000"/>
        <rFont val="Arial"/>
        <family val="2"/>
        <charset val="238"/>
      </rPr>
      <t xml:space="preserve"> =3 bar
`p</t>
    </r>
    <r>
      <rPr>
        <i/>
        <vertAlign val="subscript"/>
        <sz val="9"/>
        <color rgb="FF000000"/>
        <rFont val="Arial"/>
        <family val="2"/>
        <charset val="238"/>
      </rPr>
      <t xml:space="preserve">OTV </t>
    </r>
    <r>
      <rPr>
        <i/>
        <sz val="9"/>
        <color rgb="FF000000"/>
        <rFont val="Arial"/>
        <family val="2"/>
        <charset val="238"/>
      </rPr>
      <t xml:space="preserve"> =3,3 bar
</t>
    </r>
    <r>
      <rPr>
        <i/>
        <sz val="9"/>
        <rFont val="Arial"/>
        <family val="2"/>
        <charset val="238"/>
      </rPr>
      <t>DN 32/40, PN 16</t>
    </r>
  </si>
  <si>
    <t>27.04.</t>
  </si>
  <si>
    <t>Dobava, ugradnja i spajanje - Zatvoreni ekspanzijski uređaj za  precizno održavanje tlaka  ± 0,2 bar, otplinjavanje i nadopunjavanje, za sustave prema EN 12828 ili jednakovrijedno. Područje rada od 500-2300 kW ; 1.2 - 3.5 bar. Elastičan rad s regulacijom brzine vrtnje pumpi. Nadzor sustava za nadopunjavanje vode s mogućnošću regulacije nadopunjavanja.Kontinuirano otplinjavanje plina u sustavu. Motaža ispred ili pokraj primarne posude.</t>
  </si>
  <si>
    <t xml:space="preserve">Nel=1x0.75 kW </t>
  </si>
  <si>
    <t>Primarna posuda Vp=200 lit, podnožje za mjerenje sadržaja vode, posuda izrađena od čelika, nepropusni mjeh iz butila s mogućnošću izmjene, spremnik se odzračuje s vrha, a na dnu je odvod za kondenzat.</t>
  </si>
  <si>
    <t>Uz uređaj isporučiti vodomjer.</t>
  </si>
  <si>
    <t>Fleksibilni set 1 G3</t>
  </si>
  <si>
    <t>27.05.</t>
  </si>
  <si>
    <t>Dobava, ugradnja i spajanje - rastavljivog pločastog protustrujnog izmjenjivača topline, kapaciteta 200 kW primar: 90/70°C, sekundar: 80/60°C u kompletu s toplinskom izolacijom</t>
  </si>
  <si>
    <t>27.06.</t>
  </si>
  <si>
    <r>
      <rPr>
        <b/>
        <sz val="9"/>
        <rFont val="Arial CE"/>
        <charset val="238"/>
      </rPr>
      <t xml:space="preserve">Dobava i ugradnja - Sistem za pripremu vode </t>
    </r>
    <r>
      <rPr>
        <sz val="9"/>
        <rFont val="Arial CE"/>
        <charset val="238"/>
      </rPr>
      <t>(uključivo montaža, spajanje, puštanje u pogon i obuka korisnika),</t>
    </r>
    <r>
      <rPr>
        <sz val="9"/>
        <rFont val="Arial CE"/>
        <family val="2"/>
        <charset val="238"/>
      </rPr>
      <t xml:space="preserve"> koji se sastoji od:</t>
    </r>
  </si>
  <si>
    <t>- mehaničkog filtera DN 25</t>
  </si>
  <si>
    <t>- dozirnog sustava za kondicioniranje vode (inhibitora korozije) sa PE spremnikom volumena 80 litara, dozirnom pumpom kapaciteta 4,0 lit/h, usisne korpe, nivo sonde i impulsnog mjerača protoka</t>
  </si>
  <si>
    <t>- mjerača protoka WM-34 (Nominalni protok: 2,5 m3/h, Max.protok:5m3/h)</t>
  </si>
  <si>
    <t>- tabletirane soli 25 kg</t>
  </si>
  <si>
    <t>- testera tvrdoće vode</t>
  </si>
  <si>
    <t>- kemikalije za kondicioniranje vode (2 kom)</t>
  </si>
  <si>
    <t>- ionskog omekšivača vode s automatskim upravljanjem</t>
  </si>
  <si>
    <t xml:space="preserve">Karakteristike omekšivača: </t>
  </si>
  <si>
    <t>- Protok max. 2,0 -3,6 m3/h</t>
  </si>
  <si>
    <t>- Količina ionske mase (smole): 1 x 80 L</t>
  </si>
  <si>
    <t>- Kapacitet: 320 m3/°dH</t>
  </si>
  <si>
    <t>- Količina soli za regeneraciju: 8 -19,2 kg</t>
  </si>
  <si>
    <t>- Radni tlak: 2,5 – 6 bar</t>
  </si>
  <si>
    <t>- Radna temperatura: 4 – 35°C</t>
  </si>
  <si>
    <t>- Ugradbene mjere (dužina x širina x visina): 1610 x 900 x 550 (mm)</t>
  </si>
  <si>
    <t>27.07.</t>
  </si>
  <si>
    <t>Dobava i ugradnja - Polazni razdjelnik tople  vode 70 °C za radni tlak 3 bar, izrađen od bešavne čelične cijevi DN 150 (∅168.3x4.5) s plitkim dnom na obje strane, duljine L=2500 mm s priključcima.</t>
  </si>
  <si>
    <t>1 x DN  50</t>
  </si>
  <si>
    <t>2 x DN  40</t>
  </si>
  <si>
    <t>1 x DN  32</t>
  </si>
  <si>
    <t>1 x DN  25</t>
  </si>
  <si>
    <t>sve sa prirubnicama PN 16 za ugradnju ventila odnosno zasuna, te priključkom za ispust DN 15, te za manometar i termometar, a sve izrađeno prema priloženoj dokumentaciji. Razdjelnik se isporučuje komplet s nosačima, očišćen i zaštićen dvostrukim premazom temeljne boje, te izoliran s mineralnom vunom s= 80mm u oblozi od Al lima (s=0,7mm).</t>
  </si>
  <si>
    <t>27.08.</t>
  </si>
  <si>
    <t>Dobava i ugradnja - Povratni razdjelnik (sabirnik) tople  vode 50 °C za radni tlak 3 bar, izrađen od bešavne čelične cijevi DN 150 (Ø168.3x4.5) s plitkim dnom na obje strane, duljine L=2000 mm s priključcima.</t>
  </si>
  <si>
    <t>sve sa prirubnicama PN 16 za ugradnju ventila odnosno zasuna, te priključkom za ispust DN 15, te za manometar i termometar, a sve izrađeno prema priloženoj dokumentaciji. Razdjelnik se isporučuje komplet s nogama, očišćen i zaštićen dvostrukim premazom temeljne boje,te izoliran s mineralnom vunom s= 80mm u oblozi od Al lima (s=0,7mm).</t>
  </si>
  <si>
    <t>27.09.</t>
  </si>
  <si>
    <t>Dobava, ugradnja i spajanje - Cirkulacijska pumpa za radijatorsko grijanje grana A (55°C), opremljena za spajanje na CNUS, u kompletu s vijčanim spojem, brtvama, vijcima te ugrađenom termičkom zaštitom elektromotora, sljedećih namjena, tipova i tehničkih karakteristika:</t>
  </si>
  <si>
    <t xml:space="preserve">Gw = 4,5 m3/h  </t>
  </si>
  <si>
    <t xml:space="preserve">Hp  = 120 kPa </t>
  </si>
  <si>
    <t>Nelmax = 0.150 kW (220V/1/50 Hz)</t>
  </si>
  <si>
    <t>frekventna regulacija</t>
  </si>
  <si>
    <t>DN32 PN6/10</t>
  </si>
  <si>
    <t>radna i rezervna</t>
  </si>
  <si>
    <t>27.10.</t>
  </si>
  <si>
    <t>Dobava, ugradnja i spajanje - Cirkulacijska pumpa za radijatorsko grijanje  grana B (55°C), opremljena za spajanje na CNUS, u kompletu s vijčanim spojem, brtvama, vijcima te ugrađenom termičkom zaštitom elektromotora, sljedećih namjena, tipova i tehničkih karakteristika:</t>
  </si>
  <si>
    <t>27.11.</t>
  </si>
  <si>
    <t>Dobava, ugradnja i spajanje - Cirkulacijska pumpa za podno grijanje primar (40°C), opremljena za spajanje na CNUS, u kompletu s vijčanim spojem i brtvama, vijcima te ugrađenom termičkom zaštitom elektromotora, sljedećih namjena, tipova i tehničkih karakteristika:</t>
  </si>
  <si>
    <t xml:space="preserve">Gw = 2,0 m3/h  </t>
  </si>
  <si>
    <t xml:space="preserve">Hp  = 105 kPa </t>
  </si>
  <si>
    <t>Nelmax = 0.100 kW (220V/1/50 Hz)</t>
  </si>
  <si>
    <t>27.12.</t>
  </si>
  <si>
    <t>Dobava, ugradnja i spajanje - Cirkulacijska pumpa za krug PTV (70°C),opremljena za spajanje na CNUS, u kompletu s vijčanim spojem, brtvama, vijcima te ugrađenom termičkom zaštitom elektromotora, sljedećih namjena, tipova i tehničkih karakteristika:</t>
  </si>
  <si>
    <t>DN25 PN6/10</t>
  </si>
  <si>
    <t>27.13.</t>
  </si>
  <si>
    <t>Dobava, ugradnja i spajanje - Cirkulacijska pumpa za recirkulaciju PTV  (40°C) (nehrđajuća), opremljena za spajanje na CNUS, u kompletu s vijčanim spojem, brtvama, vijcima te ugrađenom termičkom zaštitom elektromotora, sljedećih namjena, tipova i tehničkih karakteristika:</t>
  </si>
  <si>
    <t xml:space="preserve">Gw = 0.5 m3/h  </t>
  </si>
  <si>
    <t xml:space="preserve">Hp  = 65 kPa </t>
  </si>
  <si>
    <t>Nelmax = 0.128 kW (220V/1/50 Hz)</t>
  </si>
  <si>
    <t>G 1 1/2” PN6/10</t>
  </si>
  <si>
    <t>27.14.</t>
  </si>
  <si>
    <t>Dobava i ugradnja - Antivibracijski priključci za spajanje cirkulacijskih pumpi na cjevovod:</t>
  </si>
  <si>
    <t>DN   40 NP16</t>
  </si>
  <si>
    <t>DN   32 NP16</t>
  </si>
  <si>
    <t>DN   25 NP16</t>
  </si>
  <si>
    <t>27.15.</t>
  </si>
  <si>
    <t>Dobava, ugradnja i spajanje - Troputni regulacijski ventil sa elektromotornim pogonom, u sustavu  radijatorskog grijanja 1, s odgovarajućim spojnim i brtvenim materijalom, potrebnim osjetnicima i ožičenjem. Ventil je slijedećih karakteristika:</t>
  </si>
  <si>
    <t xml:space="preserve">Gw = 4,5 m3/h </t>
  </si>
  <si>
    <t xml:space="preserve">t max=120°C         </t>
  </si>
  <si>
    <t xml:space="preserve">Kvs=12 m3/h     dp=15kPa   </t>
  </si>
  <si>
    <t xml:space="preserve">DN32, PN 16        </t>
  </si>
  <si>
    <t>27.16.</t>
  </si>
  <si>
    <t>Dobava, ugradnja i spajanje - Troputni regulacijski ventil sa elektromotornim pogonom, u sustavu  podnog grijanja, s odgovarajućim spojnim i brtvenim materijalom, potrebnim osjetnicima i ožičenjem. Ventil je sljedećih karakteristika:</t>
  </si>
  <si>
    <t xml:space="preserve">Gw = 1.5 m3/h </t>
  </si>
  <si>
    <t xml:space="preserve">Kvs=4 m3/h     dp=15kPa   </t>
  </si>
  <si>
    <t xml:space="preserve">DN25, PN 16        </t>
  </si>
  <si>
    <t>27.17.</t>
  </si>
  <si>
    <t>Dobava i ugradnja - Uložni dijelovi lemnog priključka (1 komplet). Prijelazni dijelovi s priključka mješača (R) na lemni priključak cjevovoda.</t>
  </si>
  <si>
    <t>- Priključak mješača R 5/4"</t>
  </si>
  <si>
    <t>- Cjevovod (unutarnji promjer) 30 mm</t>
  </si>
  <si>
    <t>- Priključak mješača R 1"</t>
  </si>
  <si>
    <t>- Cjevovod (unutarnji promjer) 25 mm</t>
  </si>
  <si>
    <t>27.18.</t>
  </si>
  <si>
    <t>Dobava, ugradnja i spajanje - Proširena oprema s motorom mješača</t>
  </si>
  <si>
    <t>montaža na mješač</t>
  </si>
  <si>
    <t>27.19.</t>
  </si>
  <si>
    <t>Dobava i ugradnja - Odzračni lonci V=2 l izrađeni od čelične bešavne</t>
  </si>
  <si>
    <t>cijevi DN 125 (Ø139,7x4,0) sa zatvorenim krajevima duljine L=200 mm, komplet sa odvodnom cijevi DN 15 (1/2”) duljine oko 6 m i zapornim ventilom DN 15 (1/2”) te automatskim odzračnim ventilom DN 15 (1/2”) na vrhu, sve čiščeno i zaštičeno dvostrikim premazom temeljne boje.</t>
  </si>
  <si>
    <t>27.20.</t>
  </si>
  <si>
    <t>Dobava i ugradnja - Sabirni ljevci izrađeni su od crnog čeličnog lima obodnog promjera Ø200 mm s priključkom za navarivanje prema dimenziji odvodne cijevi (masa oko 6 kg).</t>
  </si>
  <si>
    <t>27.21.</t>
  </si>
  <si>
    <t>Dobava i ugradnja - Odvajač mulja za kontinuirano uklanjanje onečišćenja iz optoka grijanja i hlađenja DN 100, PN 16 s cijevnim umetkom i ispusnom slavinom. Dozv. radni pretlak: 10 bar, Maks. temperatura polaza: 110 °C Protok: 47 m3/h, Volumen: 17 Lit., Masa: 30 kg</t>
  </si>
  <si>
    <t>- Ugradni položaj: Horizontal</t>
  </si>
  <si>
    <t>- Priključak: DN 100  s protuprirubnicom i uloškom G-Force s magnetom ZGM</t>
  </si>
  <si>
    <t>27.22.</t>
  </si>
  <si>
    <t>Dobava i ugradnja - Odvajač zraka za kontinuirano uklanjanje mjehurića zraka i mikroskopski velikih mjehurića iz optoka grijanja i hlađenja. Sa cijevnim umetkom i stalnim odzračnim ventilom koji se ne može blokirati.</t>
  </si>
  <si>
    <t>27.23.</t>
  </si>
  <si>
    <t xml:space="preserve">Dobava i ugradnja - Leptirasta zaklopka s pužnim pogonom  (tmax=130 °C) nazivnog tlaka PN6 komplet s vijčanim spojem te spojnim i brtvenim materijalom, vicima i maticama. </t>
  </si>
  <si>
    <t>DN  40</t>
  </si>
  <si>
    <t>DN  32</t>
  </si>
  <si>
    <t>DN  25</t>
  </si>
  <si>
    <t>27.24.</t>
  </si>
  <si>
    <t xml:space="preserve">Dobava i ugradnja - Zaporni ventil  (tmax=130 °C) nazivnog tlaka PN6 navojni s vijčanim spojem i brtvenim materijalom. </t>
  </si>
  <si>
    <t>DN  50</t>
  </si>
  <si>
    <t xml:space="preserve">DN  40  </t>
  </si>
  <si>
    <t xml:space="preserve">DN  32  </t>
  </si>
  <si>
    <t>27.25.</t>
  </si>
  <si>
    <t>Dobava i ugradnja - Hvatač nečistoča  za hladnu i toplu vodu (tmax=150 °C), nazivnog tlaka PN6, komplet s vijčanim spojem te spojnim i brtvenim materijalom</t>
  </si>
  <si>
    <t>27.26.</t>
  </si>
  <si>
    <t>Dobava i ugradnja - Nepovratni ventili NP 6,  za toplu vodu do max. temperature od 120°C komplet s vijčanim spojem te spojnim i brtvenim materijalom</t>
  </si>
  <si>
    <t>27.27.</t>
  </si>
  <si>
    <t>Dobava i ugradnja - Navojni balansirajući ventil bez ispusta</t>
  </si>
  <si>
    <t>TA STAD DN 40, PN 25</t>
  </si>
  <si>
    <t>TA STAD DN 32, PN 25</t>
  </si>
  <si>
    <t>TA STAD DN 20, PN 25</t>
  </si>
  <si>
    <t>27.28.</t>
  </si>
  <si>
    <t>Dobava i ugradnja - Manometar komplet s cijevi, ili dvokrakom manometarskom slavinom DN 15 (R 1/2") Ø100, komplet s kolčakom te spojnim i brtvenim materijalom, atestiran za sljedeće mjerno područje:</t>
  </si>
  <si>
    <t>0 – 6 bar</t>
  </si>
  <si>
    <t>27.29.</t>
  </si>
  <si>
    <t>Dobava i ugradnja - Kutni termometar Ø 100 s navojem 1/2", komplet s kolčakom za ugradnju u cjevovod te spojnim i brtvenim materijalom, atestiran za sljedeće mjerno područje i količina:</t>
  </si>
  <si>
    <t>0 – 120°C</t>
  </si>
  <si>
    <t>27.30.</t>
  </si>
  <si>
    <t>Dobava i ugradnja - Ispusne slavine, komplet sa čepom i lančićem.</t>
  </si>
  <si>
    <t>DN 15 (R 3/4")  PN 16</t>
  </si>
  <si>
    <t>27.31.</t>
  </si>
  <si>
    <t>Dobava i ugradnja - Prestrujni ventili s oprugom za podešavanje tlaka otvaranja</t>
  </si>
  <si>
    <t>NO 20</t>
  </si>
  <si>
    <t>27.32.</t>
  </si>
  <si>
    <r>
      <rPr>
        <sz val="9"/>
        <rFont val="Arial"/>
        <family val="2"/>
        <charset val="1"/>
      </rPr>
      <t>Dobava i ugradnja - Cijevi iz tvrdog bakra  za toplovodnu instalaciju kotlovnice sa svim spojnim i brtvenim materijalom, uključivo fazonski komadi iz tvrdog bakra kao što su: koljeno jednostrano 90</t>
    </r>
    <r>
      <rPr>
        <vertAlign val="superscript"/>
        <sz val="9"/>
        <rFont val="Arial CE"/>
        <charset val="238"/>
      </rPr>
      <t>o</t>
    </r>
    <r>
      <rPr>
        <sz val="9"/>
        <rFont val="Arial CE"/>
        <family val="2"/>
        <charset val="238"/>
      </rPr>
      <t>, koljeno dvostrano 90</t>
    </r>
    <r>
      <rPr>
        <vertAlign val="superscript"/>
        <sz val="9"/>
        <rFont val="Arial CE"/>
        <charset val="238"/>
      </rPr>
      <t>o</t>
    </r>
    <r>
      <rPr>
        <sz val="9"/>
        <rFont val="Arial CE"/>
        <family val="2"/>
        <charset val="238"/>
      </rPr>
      <t>, koljeno 45</t>
    </r>
    <r>
      <rPr>
        <vertAlign val="superscript"/>
        <sz val="9"/>
        <rFont val="Arial CE"/>
        <charset val="238"/>
      </rPr>
      <t>o</t>
    </r>
    <r>
      <rPr>
        <sz val="9"/>
        <rFont val="Arial CE"/>
        <family val="2"/>
        <charset val="238"/>
      </rPr>
      <t>, spojnica cijevi, "T" komadi sa i bez redukcije, zaobilazni luk "A", zaobilazni luk "B", redukcije sljedećih dimenzija:</t>
    </r>
  </si>
  <si>
    <r>
      <rPr>
        <sz val="9"/>
        <rFont val="Arial"/>
        <family val="2"/>
        <charset val="1"/>
      </rPr>
      <t>f</t>
    </r>
    <r>
      <rPr>
        <sz val="9"/>
        <rFont val="Arial CE"/>
        <family val="2"/>
        <charset val="238"/>
      </rPr>
      <t xml:space="preserve"> 28 x 1,0 mm                                           </t>
    </r>
  </si>
  <si>
    <r>
      <rPr>
        <sz val="9"/>
        <rFont val="Arial"/>
        <family val="2"/>
        <charset val="1"/>
      </rPr>
      <t>f</t>
    </r>
    <r>
      <rPr>
        <sz val="9"/>
        <rFont val="Arial CE"/>
        <family val="2"/>
        <charset val="238"/>
      </rPr>
      <t xml:space="preserve"> 35 x 1,0 mm                                           </t>
    </r>
  </si>
  <si>
    <r>
      <rPr>
        <sz val="9"/>
        <rFont val="Arial"/>
        <family val="2"/>
        <charset val="1"/>
      </rPr>
      <t>f</t>
    </r>
    <r>
      <rPr>
        <sz val="9"/>
        <rFont val="Arial CE"/>
        <family val="2"/>
        <charset val="238"/>
      </rPr>
      <t xml:space="preserve"> 42 x 1,0 mm                                           </t>
    </r>
  </si>
  <si>
    <r>
      <rPr>
        <sz val="9"/>
        <rFont val="Arial"/>
        <family val="2"/>
        <charset val="1"/>
      </rPr>
      <t>f</t>
    </r>
    <r>
      <rPr>
        <sz val="9"/>
        <rFont val="Arial CE"/>
        <family val="2"/>
        <charset val="238"/>
      </rPr>
      <t xml:space="preserve"> 54 x 1,5 mm                                           </t>
    </r>
  </si>
  <si>
    <t>27.33.</t>
  </si>
  <si>
    <t>Dobava i ugradnja - Cijevi  iz čelika za toplovodnu instalaciju kotlovnice dimenzija:</t>
  </si>
  <si>
    <t>NO  10 (odzračni lončići)</t>
  </si>
  <si>
    <t>27.34.</t>
  </si>
  <si>
    <t>Dobava i ugradnja - Toplinska izolacija toplovodnog cjevovoda profesionalnom fleksibilnom izolacijom za pouzdanu kontinuiranu kontrolu kondenzacije min debljine 19 mm:</t>
  </si>
  <si>
    <t>27.35.</t>
  </si>
  <si>
    <t>Dobava i ugradnja - uloška za demineralizaciju (potpuno odsoljavanje) vode za punjenje i nadopunu instalacija grijanja/hlađenja sukladno smjernicama VDI 2035 ili jednakovrijedno
• Kapacitet: 7000 l po °dH 
Definirani veći udio anionske smole uklanja karbonatnu kiselinu već tijekom demineralizacije i postiže trenutno regulaciju pH vrijednosti.</t>
  </si>
  <si>
    <t>Bešavne čelične cijevi, srednje teške, vodovodne, pocinčane, prema DIN 2440, ili jednakovrijedno kvalitete St 33, stavka uključuje sve potrebne cijevne pocinčane fitinge za međusobno spajanje cijevi, armature i opreme,  dimenzije:</t>
  </si>
  <si>
    <t>DN   32 (Ø   42,4 x 2,6) – pocinčana</t>
  </si>
  <si>
    <t>DN   25 (Ø  33,7 x 3,25) – pocinčana</t>
  </si>
  <si>
    <t>DN   20 (Ø  26,9 x 2,3) – pocinčana</t>
  </si>
  <si>
    <t>27.36.</t>
  </si>
  <si>
    <t>Bojenje čeličnih cijevi, uz predhodno čišćenje opreme i nosača od korozije, dva puta osnovnom bojom.</t>
  </si>
  <si>
    <t>m²</t>
  </si>
  <si>
    <t>27.37.</t>
  </si>
  <si>
    <t>Dobava i ugradnja -  sanitarnog uređaja vindabone u kotlovnici s pripadnom zidnom slavinom. Na element izvršiti priključak hladne I tople vode i odvoda sa sifonskim elementom. Uključeno vodvodne cijevi  f1/2'', PVC cijevi za odvod f50 mm.</t>
  </si>
  <si>
    <t>Sve komplet</t>
  </si>
  <si>
    <t>27.38.</t>
  </si>
  <si>
    <t>Nabava, doprema i ugradnja podnog slivnika  sa vertikalnim izlazom DN100, umetkom sifona primus za blokadu neugodnih mirisa i ljevano-željeznom rešetkom nosivosti A15 za ugradnju u toplinskoj stanici. Na element izvršiti priključak  odvoda koji se  sastoji od, PVC cijevi za odvod f110 mm.</t>
  </si>
  <si>
    <t>27.39.</t>
  </si>
  <si>
    <t>Spojni brtveni materijal u potrebnoj količini i kvaliteti kao brtve, teflonske trake, kudelja, firnis, materijal za protupožarno brtvljenje pri prolazu kroz PP zone, sve u potrebnoj količini i kvaliteti.</t>
  </si>
  <si>
    <t>27.40.</t>
  </si>
  <si>
    <t>27.41.</t>
  </si>
  <si>
    <t>Dobava i ugradnja - Držači za cjevovode, obujmice komplet sa podložnom pločicom dim. DN25-DN50, oslonci i konzola za vođenje cjevovoda. Materijal za izradu čvrste i klizne točke na razmaku samonosive dužine cijevi pojedinih dimenzija cijevi,  te ostala pomoćna učvršćenja za montažu, sve izrađeno iz  profiliranog željeza, lima i plosnatog čelika uz potrebne matice, vijke i dobava tipskih elemenata, prema prethodnoj razradi i detaljnoj specifikaciji od strane izvođača što je uključeno u stavku. Sve u potrebnoj količini i kvaliteti. Kompletan materijal iz ove stavke isporučuje se na gradilište zaštićen od korozije.</t>
  </si>
  <si>
    <t>27.42.</t>
  </si>
  <si>
    <t>Dodatni radovi i kao pripomoć prilikom izvedbe instalacije:</t>
  </si>
  <si>
    <t>- PKV radnik</t>
  </si>
  <si>
    <t>sati</t>
  </si>
  <si>
    <t>- KV radnik</t>
  </si>
  <si>
    <t>27.43.</t>
  </si>
  <si>
    <r>
      <rPr>
        <sz val="9"/>
        <rFont val="Arial"/>
        <family val="2"/>
        <charset val="1"/>
      </rPr>
      <t>Punjenje instalacije vodom prema smjernici  postupkom demineralizacije.  Priprema vode (demineralizacija vode) prema normi VDI2035/2 ili jednakovrijedno mobilnim uređajem na objektu putem by-pass metode uporabom granulata. Pripremljena voda mora imati sljedeće parametre :
 - sadržaj kisika (O</t>
    </r>
    <r>
      <rPr>
        <vertAlign val="subscript"/>
        <sz val="9"/>
        <rFont val="Arial"/>
        <family val="2"/>
        <charset val="238"/>
      </rPr>
      <t>2</t>
    </r>
    <r>
      <rPr>
        <sz val="9"/>
        <rFont val="Arial"/>
        <family val="2"/>
        <charset val="238"/>
      </rPr>
      <t>) ≤ 0,1 mg/l
 - električna provodljivost ≤ 100 μS/cm
 - vrijednost Ph  8,2-8,5 
 - tvrdoća  vode 0,11° d
Kompletno odzračivanje cijevne mreže po sustavima, nakon obavljene tlačne probe.</t>
    </r>
  </si>
  <si>
    <t xml:space="preserve">Priprema i procesiranje vode u instalaciji 3000 lit vode </t>
  </si>
  <si>
    <t>granulat za demineralizaciju kotlovske vode prema normi VDI2035 ili jednakovrijedno (pakrianje granulata 23 lit)</t>
  </si>
  <si>
    <t>27.44.</t>
  </si>
  <si>
    <t>Punjenje i tlačna proba instalacije u skladu s Tehničkim opisom, propisana ispitivanja, izdavanje atesta i dr. isprava. Ožičenje automatike (sobnog termostata), puštanje u rad od strane ovlaštenog servisera, podešavanje i balansiranje instalacije, te probni rad u trajanju 48 sati.</t>
  </si>
  <si>
    <t>27.45.</t>
  </si>
  <si>
    <t>27.46.</t>
  </si>
  <si>
    <t>27.47.</t>
  </si>
  <si>
    <t>Izrada projekta izvedenog stanja. Izrada uputa za rukovanje kotlovnicom i uokvirena i ostakljena shema kotlovnice</t>
  </si>
  <si>
    <t>27.48.</t>
  </si>
  <si>
    <t>Obuka osoblja, izrada uputstva za rad i održavanje cjelokupne opreme te kompletne atestne dokumentacije. Potrebni elektro radovi na spajanju opreme od strane ovlaštenog servisera.</t>
  </si>
  <si>
    <t>Puštanje u pogon automatike u rad s ovjerom jamstvenih listova.</t>
  </si>
  <si>
    <t>Probni pogon u trajanju 120 sati s dovođenjem postrojenja u radno stanje uključivo balansiranje sustava grijanja. Puštanje u pogon automatike od ovlaštenog servisera</t>
  </si>
  <si>
    <t xml:space="preserve">Reguliranje i balansiranje nazivnog protoka kroz regulacijske ventile od strane ovlaštenog servisera. </t>
  </si>
  <si>
    <t xml:space="preserve">Označavanje cjevovoda strelicama i naljepnicama s natpisom pojedinih krugova </t>
  </si>
  <si>
    <t>Transport kompletne naprijed specificirane opreme  do mjesta ugradnje, uključivo i raznošenje opreme,  materijala i alata po gradilištu.</t>
  </si>
  <si>
    <t xml:space="preserve">U K U P N O     27.00.: </t>
  </si>
  <si>
    <t>28.00.   INSTALACIJA TOPLOVODNOG RADIJATORSKOG GRIJANJA</t>
  </si>
  <si>
    <t>28.01.</t>
  </si>
  <si>
    <r>
      <rPr>
        <sz val="9"/>
        <rFont val="Arial"/>
        <family val="2"/>
        <charset val="1"/>
      </rPr>
      <t>Dobava i ugradnja - Čelični, pločasti radijatori obojani bijelom bojom i zaštićeni antikorozivno s unutarnje strane, tip VK profil, u kompletu s radijatorskim čepovima, odzračnim pipcima, sljedećih toplinskih karakteristika pri režimu 55</t>
    </r>
    <r>
      <rPr>
        <vertAlign val="superscript"/>
        <sz val="11"/>
        <rFont val="Arial CE"/>
        <family val="2"/>
        <charset val="238"/>
      </rPr>
      <t>o</t>
    </r>
    <r>
      <rPr>
        <sz val="11"/>
        <rFont val="Arial CE"/>
        <family val="2"/>
        <charset val="238"/>
      </rPr>
      <t>/45</t>
    </r>
    <r>
      <rPr>
        <vertAlign val="superscript"/>
        <sz val="11"/>
        <rFont val="Arial CE"/>
        <family val="2"/>
        <charset val="238"/>
      </rPr>
      <t>o</t>
    </r>
    <r>
      <rPr>
        <sz val="11"/>
        <rFont val="Arial CE"/>
        <family val="2"/>
        <charset val="238"/>
      </rPr>
      <t xml:space="preserve"> C: </t>
    </r>
  </si>
  <si>
    <t>tip 11</t>
  </si>
  <si>
    <t xml:space="preserve">    900  x   600                         kapacitet   401 W</t>
  </si>
  <si>
    <t xml:space="preserve">    900  x   700                         kapacitet   468 W</t>
  </si>
  <si>
    <t xml:space="preserve">    900  x   900                         kapacitet   601 W</t>
  </si>
  <si>
    <t>tip 22</t>
  </si>
  <si>
    <t xml:space="preserve">    900  x   500                         kapacitet   599 W</t>
  </si>
  <si>
    <t xml:space="preserve">    900  x 1200                         kapacitet 1438 W</t>
  </si>
  <si>
    <t>tip 33</t>
  </si>
  <si>
    <t xml:space="preserve">    900  x   600                         kapacitet 1007 W</t>
  </si>
  <si>
    <t xml:space="preserve">    900  x   700                         kapacitet 1175 W</t>
  </si>
  <si>
    <t xml:space="preserve">    900  x   800                         kapacitet 1343 W</t>
  </si>
  <si>
    <t xml:space="preserve">    900  x   900                         kapacitet 1511 W</t>
  </si>
  <si>
    <t xml:space="preserve">    900  x 1000                         kapacitet 1678 W</t>
  </si>
  <si>
    <t xml:space="preserve">    900  x 1200                         kapacitet 2014 W</t>
  </si>
  <si>
    <t xml:space="preserve">    900  x 1600                         kapacitet 2685 W</t>
  </si>
  <si>
    <t>Ukupno:</t>
  </si>
  <si>
    <t>28.02.</t>
  </si>
  <si>
    <t>Dobava i ugradnja - Ovjesni pribor za radijator iz stavke br. 1 istog proizvođača (ukupno 82 baterije), koji se postavljaju na zid, uključivo komplet vijaka i tipli.</t>
  </si>
  <si>
    <t>28.03.</t>
  </si>
  <si>
    <r>
      <rPr>
        <sz val="9"/>
        <rFont val="Arial"/>
        <family val="2"/>
        <charset val="1"/>
      </rPr>
      <t>Dobava i ugradnja - Kupaonski radijator po izboru investitora opremljen radijatorskim čepovima, odzračnim pipcima, sljedećih toplinskih karakteristika pri režimu 55</t>
    </r>
    <r>
      <rPr>
        <vertAlign val="superscript"/>
        <sz val="12"/>
        <rFont val="Arial CE"/>
        <family val="2"/>
        <charset val="238"/>
      </rPr>
      <t>o</t>
    </r>
    <r>
      <rPr>
        <sz val="12"/>
        <rFont val="Arial CE"/>
        <family val="2"/>
        <charset val="238"/>
      </rPr>
      <t>/45</t>
    </r>
    <r>
      <rPr>
        <vertAlign val="superscript"/>
        <sz val="12"/>
        <rFont val="Arial CE"/>
        <family val="2"/>
        <charset val="238"/>
      </rPr>
      <t>o</t>
    </r>
    <r>
      <rPr>
        <sz val="12"/>
        <rFont val="Arial CE"/>
        <family val="2"/>
        <charset val="238"/>
      </rPr>
      <t xml:space="preserve"> C:</t>
    </r>
  </si>
  <si>
    <t>500 W</t>
  </si>
  <si>
    <t>28.04.</t>
  </si>
  <si>
    <t>Dobava i ugradnja - Ovjesni pribor za radijatore iz stavke br. 3 istog proizvođača (ukupno 7 baterija), koji se postavljaju na zid, uključivo komplet vijaka i tipli.</t>
  </si>
  <si>
    <t>28.05.</t>
  </si>
  <si>
    <t>Dobava i ugradnja - Ravni ili kutni ventil s mogućnošću balansiranja, za ugradnju u polazni vod grijanja:</t>
  </si>
  <si>
    <t>NO 1/2"</t>
  </si>
  <si>
    <t>28.06.</t>
  </si>
  <si>
    <t>Dobava i ugradnja - Termostatska glava, NO 15 za radijatorske ventile:</t>
  </si>
  <si>
    <t xml:space="preserve">NO 1/2" </t>
  </si>
  <si>
    <t>28.07.</t>
  </si>
  <si>
    <t>Dobava i ugradnja - Prigušnice za ugradnju u povratne vodove radijatora.</t>
  </si>
  <si>
    <t>28.08.</t>
  </si>
  <si>
    <t>Dobava i ugradnja - Slavina za punjenje i pražnjenje toplovodne instalacije, sa holenderom i kapom.</t>
  </si>
  <si>
    <t>R 3/4"</t>
  </si>
  <si>
    <t>28.09.</t>
  </si>
  <si>
    <t>Dobava i ugradnja - Cijevi iz tvrdog bDobava i ugradnja - kra  za vidljivi dio cjevovoda sa svim spojnim i brtvenim materijalom, sljedećih dimenzija:</t>
  </si>
  <si>
    <r>
      <rPr>
        <sz val="9"/>
        <rFont val="Arial"/>
        <family val="2"/>
        <charset val="1"/>
      </rPr>
      <t>f</t>
    </r>
    <r>
      <rPr>
        <sz val="9"/>
        <rFont val="Arial CE"/>
        <family val="2"/>
        <charset val="238"/>
      </rPr>
      <t xml:space="preserve"> 15 x 1,0 mm                                           </t>
    </r>
  </si>
  <si>
    <r>
      <rPr>
        <sz val="9"/>
        <rFont val="Arial"/>
        <family val="2"/>
        <charset val="1"/>
      </rPr>
      <t>f</t>
    </r>
    <r>
      <rPr>
        <sz val="9"/>
        <rFont val="Arial CE"/>
        <family val="2"/>
        <charset val="238"/>
      </rPr>
      <t xml:space="preserve"> 18 x 1,0 mm                                           </t>
    </r>
  </si>
  <si>
    <r>
      <rPr>
        <sz val="9"/>
        <rFont val="Arial"/>
        <family val="2"/>
        <charset val="1"/>
      </rPr>
      <t>f</t>
    </r>
    <r>
      <rPr>
        <sz val="9"/>
        <rFont val="Arial CE"/>
        <family val="2"/>
        <charset val="238"/>
      </rPr>
      <t xml:space="preserve"> 22 x 1,0 mm                                           </t>
    </r>
  </si>
  <si>
    <t>28.10.</t>
  </si>
  <si>
    <r>
      <rPr>
        <sz val="9"/>
        <rFont val="Arial"/>
        <family val="2"/>
        <charset val="1"/>
      </rPr>
      <t>Dobava i ugradnja - Fazonski komadi iz tvrdog bakra kao što su: koljeno jednostrano 90</t>
    </r>
    <r>
      <rPr>
        <vertAlign val="superscript"/>
        <sz val="9"/>
        <rFont val="Arial CE"/>
        <family val="2"/>
        <charset val="238"/>
      </rPr>
      <t>o</t>
    </r>
    <r>
      <rPr>
        <sz val="9"/>
        <rFont val="Arial CE"/>
        <family val="2"/>
        <charset val="238"/>
      </rPr>
      <t>, koljeno dvostrano 90</t>
    </r>
    <r>
      <rPr>
        <vertAlign val="superscript"/>
        <sz val="9"/>
        <rFont val="Arial CE"/>
        <family val="2"/>
        <charset val="238"/>
      </rPr>
      <t>o</t>
    </r>
    <r>
      <rPr>
        <sz val="9"/>
        <rFont val="Arial CE"/>
        <family val="2"/>
        <charset val="238"/>
      </rPr>
      <t>, koljeno 45</t>
    </r>
    <r>
      <rPr>
        <vertAlign val="superscript"/>
        <sz val="9"/>
        <rFont val="Arial CE"/>
        <family val="2"/>
        <charset val="238"/>
      </rPr>
      <t>o</t>
    </r>
    <r>
      <rPr>
        <sz val="9"/>
        <rFont val="Arial CE"/>
        <family val="2"/>
        <charset val="238"/>
      </rPr>
      <t>, spojnica cijevi, "T" komadi sa i bez redukcije, zaobilazni luk "A", zaobilazni luk "B", redukcije.</t>
    </r>
  </si>
  <si>
    <t xml:space="preserve"> uzeti 30% vrijednosti stavke cijevi (stavka 9)</t>
  </si>
  <si>
    <t>28.11.</t>
  </si>
  <si>
    <t xml:space="preserve">Dobava i ugradnja - Ukrasne rozete za cjevovode  </t>
  </si>
  <si>
    <r>
      <rPr>
        <sz val="9"/>
        <rFont val="Arial"/>
        <family val="2"/>
        <charset val="1"/>
      </rPr>
      <t>f</t>
    </r>
    <r>
      <rPr>
        <sz val="9"/>
        <rFont val="Arial CE"/>
        <family val="2"/>
        <charset val="238"/>
      </rPr>
      <t xml:space="preserve"> 15                                           </t>
    </r>
  </si>
  <si>
    <r>
      <rPr>
        <sz val="9"/>
        <rFont val="Arial"/>
        <family val="2"/>
        <charset val="1"/>
      </rPr>
      <t>f</t>
    </r>
    <r>
      <rPr>
        <sz val="9"/>
        <rFont val="Arial CE"/>
        <family val="2"/>
        <charset val="238"/>
      </rPr>
      <t xml:space="preserve"> 18                                           </t>
    </r>
  </si>
  <si>
    <r>
      <rPr>
        <sz val="10"/>
        <rFont val="Arial"/>
        <family val="2"/>
        <charset val="1"/>
      </rPr>
      <t>f</t>
    </r>
    <r>
      <rPr>
        <sz val="10"/>
        <rFont val="Arial CE"/>
        <family val="2"/>
        <charset val="238"/>
      </rPr>
      <t xml:space="preserve"> 22                                           </t>
    </r>
  </si>
  <si>
    <t>28.12.</t>
  </si>
  <si>
    <t xml:space="preserve">Dobava i ugradnja - Izolacija cjevovoda profesionalnom fleksibilnom izolacijom za pouzdanu kontinuiranu kontrolu kondenzacije na instalaciji ogrjevne vode koja se postavlja u spuštenom stropu iz kotlovnice, izolacijom debljine 13 mm,  prema dimenziji cijevi </t>
  </si>
  <si>
    <t>28.13.</t>
  </si>
  <si>
    <t>Bojenje vidljivog dijela razvodnog bakrenog cjevovoda lak bojom u dva premaza u tonu po želji Naručitelja.</t>
  </si>
  <si>
    <t>28.14.</t>
  </si>
  <si>
    <t>Sitni potrošni materijal, kao što su žice, plinovi za spajanje, ovjesni i spojni materijal, vijci i matice, zaštitne (“proturne”) cijevi, brtve i sl.</t>
  </si>
  <si>
    <t>28.15.</t>
  </si>
  <si>
    <t>Spojni brtveni materijal u potrebnoj količini i kvaliteti kao brtve, teflonske trake, kudelja, firnis, materijal za protupožarno brtvljenje pri prolazu kroz PP zone (cca 50 kom), sve u potrebnoj količini i kvaliteti.</t>
  </si>
  <si>
    <t>28.16.</t>
  </si>
  <si>
    <t>Dobava i ugradnja - Držači za cjevovode, obujmice komplet sa podložnom pločicom dim. DN15-DN40, oslonci i konzola za vođenje cjevovoda. Materijal za izradu čvrste i klizne točke na razmaku samonosive dužine cijevi pojedinih dimenzija cijevi, te ostala pomoćna učvršćenja za montažu, sve izrađeno iz  profiliranog željeza, lima i plosnatog čelika uz potrebne matice, vijke i dobava tipskih elemenata, prema prethodnoj razradi i detaljnoj specifikaciji od strane izvođača što je uključeno u stavku. Sve u potrebnoj količini i kvaliteti. Kompletan materijal iz ove stavke isporučuje se na gradilište zaštićen od korozije.</t>
  </si>
  <si>
    <t>28.17.</t>
  </si>
  <si>
    <t>Građevinski radovi neophodni za postavljanje toplovodne instalacije:</t>
  </si>
  <si>
    <t>- Izrada prolaza u AB ploči, odnosno zidu od opeke</t>
  </si>
  <si>
    <t>- Sanacija prodora u zidovima i stropovima, odnosno podovima</t>
  </si>
  <si>
    <t>28.18.</t>
  </si>
  <si>
    <t>Izrada revizijskih otvora u spuštenom stropu dimenzija 30x30cm s vratašcima i bravom.</t>
  </si>
  <si>
    <t>kompleta</t>
  </si>
  <si>
    <t>28.19.</t>
  </si>
  <si>
    <t>28.20.</t>
  </si>
  <si>
    <t>Izrada projekta izvedenog stanja.</t>
  </si>
  <si>
    <t xml:space="preserve">U K U P N O       28.00.: </t>
  </si>
  <si>
    <t>29.00.   INSTALACIJA PODNOG GRIJANJA</t>
  </si>
  <si>
    <t>29.01.</t>
  </si>
  <si>
    <t>Dobava, ugradnja i spajanje -  modularnog razdjelnika i sabirnika za sustav podnog grijanja, izrađenog iz plastike ojačane staklenim vlaknima i otporne na koroziju i visoke temperature (-20 ÷ +90°C). Brtveni O-prstenovi između modula za visoku nepropusnost. U svaki krug grijanja integrirani ventili u polaznom vodu i regulacijski ventil s očitavanjem protoka.Ventil u polaznom vodu opremljen ručnom regulacijskom kapicom. Sastavljanje do 12 krugova grijanja. Priključak moguć s lijeve ili desne strane. Zaštitne kapice pokazivača protoka. Komplet sa:
-priključna kuglasta slavina od mesinga 6/4"-1" x2 kom.
-priključni modul s mjestom za termometar x2 kom.
-termometar x2 kom.
-moduli polaznog voda sa dva O-prstena
-moduli povratnog voda sa O-prstena, prikazom protoka i zaštitnom kapicom
-adapter za plastičnu cijev
-zaštita od okretanja
-zidni koljeničasti držač
-krajnji modul sa odzračnim ventilom x1 kom.
-krajnji modul sa slavinom za punjenje i pražnjenje i odzračnim ventilom x1 kom.</t>
  </si>
  <si>
    <t>Pri tome ogrjevni medij po krugu podnog
grijanja, struji pokretan elektronički reguliranom crpkom. Kako bi se, npr. u slučaju kvara temperaturnog regulatora, sustav površinskog grijanja zaštitio od prekoračenja temperature, u regulacijsku stanicu dodatno je ugrađen modul za isključivanje crpke.</t>
  </si>
  <si>
    <t>Broj krugova: 7 (RP1)</t>
  </si>
  <si>
    <t>kompl.</t>
  </si>
  <si>
    <t>Broj krugova: 4 (RP3)</t>
  </si>
  <si>
    <t>Broj krugova: 3 (RP2), (RP4), (RP5)</t>
  </si>
  <si>
    <t>29.02.</t>
  </si>
  <si>
    <t>Dobava, ugradnja i spajanje - razdjelnog limenog ormarića, izrađenog iz toplocinčanog čeličnog lima, komplet s okvirom i usadnim vratima lakiranim u boji prema odabiru projektanta interijera. Nožice visinski podesive. Vrata s cilindričnom bravom i dva ključa.</t>
  </si>
  <si>
    <t>750 (podžbukni)</t>
  </si>
  <si>
    <t>29.03.</t>
  </si>
  <si>
    <t>Dobava, ugradnja i spajanje - Priključni sustav za ugradnju u razdjelni ormarić višekanalni za priključak sobnih termostata i termoelektričnih pogona izvršnog uređaja. Paralelno se može spojiti više sustava. Sustav je usklađen s kompletom za regulaciju temperature polaznog voda.</t>
  </si>
  <si>
    <t>230V</t>
  </si>
  <si>
    <t>29.04.</t>
  </si>
  <si>
    <t>Dobava, ugradnja i spajanje - el. motornih pogona ventila podnog grijanja, za ugradbu na razdjelnik, s vizualnim indikatorom položaja i krajnjim kontaktom, komplet sa priključnim kabelom l=120 cm. "ON-OFF" regulacija.</t>
  </si>
  <si>
    <t xml:space="preserve">M30x1,5  230V, 50Hz (NC izvedba) </t>
  </si>
  <si>
    <t>PROIZVOĐAČ___________________</t>
  </si>
  <si>
    <t>29.05.</t>
  </si>
  <si>
    <t>Dobava, ugradnja i spajanje - Sobni termostat (središnja jedinica) s uklopnim satom i tjednom pločom, nadžbukni ili podžbukni u kombinaciji sa elektrotermičkim pogonima služi za regulaciju temperature u pojedinim prostorima.</t>
  </si>
  <si>
    <t>29.06.</t>
  </si>
  <si>
    <t>Dobava, ugradnja i spajanje - PE-Xa cijev s EVOH (etilen vinil alkohol) slojem za difuziju kisika, s dodatnim vanjskim zaštitnim slojem bijele boje s dvije plave crte. Sukladno EN ISO 15875 ili jednakovrijedno “Sustavi plastičnih cijevi za instalaciju tople i hladne vode - umreženi polietilen” te ispunjava potrebu zaštite od difuzije kisika prema DIN 4726 ili jednakovrijedno. Ove cijevi za podno grijanje i hlađenje odgovaraju kompresijskim fitinzima. Klasa primjene 4+5/ 6 bar Maksimalna predviđena temperatura 90°C Temperatura zastoja: 100°C
Predviđeni tlak 6/10 bar pri 90°C/70°C</t>
  </si>
  <si>
    <t>PROIZVOĐAČ______________________________________________</t>
  </si>
  <si>
    <t>TIP:______________________________________________________</t>
  </si>
  <si>
    <t>29.07.</t>
  </si>
  <si>
    <t>Dobava i ugradnja - sistemske ploče za prihvat cijevi 14-17 mm, služi i kao toplinska izolacija. Proizvedena od ekspandiranog polistirena, pokrivena crnom polistirenskom folijom prema DIN EN 13163 ili jednakovrijedno. Klasa materijala B2 prema DIN 4102 ili jednakovrijedno. Ne sadrži CFC. Odobrena za pokretno opterećenje do 30kN/m2. Otpor prolazu topline 0,275 m2K/W. Razmak cijevi u cm: 10, 15, 20, 25, 30.
Dimenzije: 1,45 m x 0,85 m
Ukupna visina sistemske ploče: 33 mm</t>
  </si>
  <si>
    <t>29.08.</t>
  </si>
  <si>
    <t>Dobava i ugradnja -  dvostruke folijske trake. Traka folije s dva reda čepova za povezivanje elemenata ND 11 ili ND 30-2 (rubni dijelovi). Materijal: crna polistirenska folija. Klasa materijala B2 prema Din 4102 ili jednakovrijedno.  Boja folije: crna (blizu RAL 9017)</t>
  </si>
  <si>
    <t>29.09.</t>
  </si>
  <si>
    <t>Dobava i ugradnja - rubne dilatacijske trake za ugradnju između estriha i ostalih dijelova  podne konstrukcije sukladno DIN 18560 ili jednakovrijedno i DIN EN 1264 ili jednakovrijedno; s višestrukim perforacijama, lameliranom PE folijom, samoljepljivom trakom za brtvljenje, posebno pogodno za samonivelirajući estrih; samoljepiva pozadina za postavljanje na zid i precizno postavljanje u kutove zidova. Materijal polietilen PE-LD Klasa materijala: B2</t>
  </si>
  <si>
    <t>29.10.</t>
  </si>
  <si>
    <t>Dobava i ugradnja - elementa samoljepljivog profila izrađenog od PP s trakom dilatacijske polietilenske pjene, debljine 10 mm, služi za pouzdano odvajanje dijelova estriha (npr. kod vrata) i za apsorpciju ekspanzije estriha. Za dilatacijske zglobove sukladno DIN 18560-2 ili jednakovrijedno.
Visina: 100 mm
Debljina materijala: 10 mm
Dužina 1.8 m</t>
  </si>
  <si>
    <t>29.11.</t>
  </si>
  <si>
    <t>Dobava i ugradnja -  aditiva za estrih na cementnoj osnovi, homogenizira
i poboljšava kvalitetu materijala i time povećava toplinsku provodljivost poda. Potrošnja aditiva pri debljini od 70mm je
otprilike 0,2 l/m². Vrijeme  sazrijevanja estriha je 21 dan.</t>
  </si>
  <si>
    <t>lit</t>
  </si>
  <si>
    <t>29.12.</t>
  </si>
  <si>
    <t>Dobava i ugradnja - Cijevi iz tvrdog bakra  za vidljivi dio cjevovoda sa svim spojnim i brtvenim materijalom, sljedećih dimenzija:</t>
  </si>
  <si>
    <r>
      <rPr>
        <sz val="8"/>
        <rFont val="Arial"/>
        <family val="2"/>
        <charset val="1"/>
      </rPr>
      <t>f</t>
    </r>
    <r>
      <rPr>
        <sz val="8"/>
        <rFont val="Arial CE"/>
        <family val="2"/>
        <charset val="238"/>
      </rPr>
      <t xml:space="preserve"> 28 x 1,0 mm                                           </t>
    </r>
  </si>
  <si>
    <t>29.13.</t>
  </si>
  <si>
    <t>29.14.</t>
  </si>
  <si>
    <t>Dobava i ugradnja - Izolacijski materijal za izolaciju armature i cjevovoda od negorivog materijala kojim se u zimskom periodu sprječava gubitak topline na  površini cijevi, a u ljetnom periodu dobitak topline na površini cijevi i rošenje (parna brana). Elastomerna pjena na bazi sintetičke gume (FEF) u skladu sa EN14304 ili jednakovrijedno, samogasiv, nekapajuć i ne širi plamen, klasifikacija na požar EN 13501-1 ili jednakovrijedno. Izrađen u obliku  cijevi.  Stavka uključuje potrebnu količinu ljepila, te završne originalne trake  za spojeve,  sljedećih količina  debljina i dimenzija:</t>
  </si>
  <si>
    <r>
      <rPr>
        <sz val="9"/>
        <rFont val="Arial"/>
        <family val="2"/>
        <charset val="1"/>
      </rPr>
      <t>f</t>
    </r>
    <r>
      <rPr>
        <sz val="9"/>
        <rFont val="Arial CE"/>
        <family val="2"/>
        <charset val="238"/>
      </rPr>
      <t xml:space="preserve"> 22 x 1,0 mm     (s= 13 mm)                                      </t>
    </r>
  </si>
  <si>
    <r>
      <rPr>
        <sz val="9"/>
        <rFont val="Arial"/>
        <family val="2"/>
        <charset val="1"/>
      </rPr>
      <t>f</t>
    </r>
    <r>
      <rPr>
        <sz val="9"/>
        <rFont val="Arial CE"/>
        <family val="2"/>
        <charset val="238"/>
      </rPr>
      <t xml:space="preserve"> 28 x 1,0 mm     (s= 13 mm)                                      </t>
    </r>
  </si>
  <si>
    <t>29.15.</t>
  </si>
  <si>
    <t xml:space="preserve">Dobava i ugradnja - Toplinska izolacija cjevovoda iznad evakuacijskih puteva, izolacijom od negorivog materijala (mineralna vuna, klasa zapaljivosti A1 prema EN 13501-1 ili jednakovrijedno) na armiranoj aluminijskoj foliji. Izolacija se isporučuje u obliku cijevi od mineralne vune, uzdužno prorezane s jedne strane i kaširane na aluminijsku foliju (oblogu). Stavka uključuje predobrađene elemente za izoliranje fazonskih komada, ogranaka, armature, spojnih elemenata i sl., te originalnu samoljepljivu alu-foliju u obliku trake, za prekrivanje i brtvljenje proreza izolacije. </t>
  </si>
  <si>
    <t>mineralna vuna na Al foliji (debljine s = 30 mm) – evakuacijski putevi</t>
  </si>
  <si>
    <t>29.16.</t>
  </si>
  <si>
    <t>Isporuka  cijevnih tuljaka na prolazu kroz zidove, ukrasne rozete iz plastičnih materijala na svim prolazima cijevi kroz podove i zidove, materijala za brtvljenje između cijevi i proturne cijevi iz elastičnog materijala, te sav ostali potrebni sitni potrošni materijal, fitinzi, ermeto spojnice i ostalo.</t>
  </si>
  <si>
    <t>29.17.</t>
  </si>
  <si>
    <t>Obuka osoblja, izrada uputstva za rad i održavanje cjelokupne opreme te kompletne atestne dokumentacije.Puštanje u pogon sustava podnog grijanja, programiranje automatskih regulacija na krugovima grijanja, obuka osoblja za rukovanje uređajima, izrada primopredajne dokumentacije i izvještaja od strane ovlaštenog servisa</t>
  </si>
  <si>
    <t>Potrebni elektro radovi na spajanju opreme od strane ovlaštenog servisera.</t>
  </si>
  <si>
    <t xml:space="preserve">U K U P N O       29.00.: </t>
  </si>
  <si>
    <t>30.00.   INSTALACIJA SOLARNOG ZAGRIJAVANJA PTV-a</t>
  </si>
  <si>
    <t>30.01.</t>
  </si>
  <si>
    <t>Dobava i ugradnja - Pločasti kolektor s automatskim temperaturnim isključivanjem ThermProtect ili jednakovrijedno. Okvir u aluminijskom dizajnu. Pločasti kolektori (okomiti) za zagrijavanje potrošne vode i bazenske vode putem izmjenjivača topline. Za montažu na ravne i kose krovove i za slobodnu montažu. Konstrukcijske značajke i izvedba: Visokoučinkoviti pločasti kolektor okomite izvedbe, sadrži meandarski apsorber sa selektivnim, promjenjivim modulirajućim premazom. Kućište od po obodu razvijenog aluminijskoj profila i toplinska izolacija od mineralne vune sa stražnje strane. Pokrov od vrlo prozirnog solarnog sigurnosnog stakla otpornog na tuču. Integrirani cjevovod za modularnu konstrukciju kolektorskih polja sa do 12 kolektora.</t>
  </si>
  <si>
    <t>Tehnički podaci</t>
  </si>
  <si>
    <t>Brutto površina kolektora 2,51 m²</t>
  </si>
  <si>
    <r>
      <rPr>
        <sz val="9"/>
        <rFont val="Arial"/>
        <family val="2"/>
        <charset val="1"/>
      </rPr>
      <t>Površina apsorbera 2,32 m</t>
    </r>
    <r>
      <rPr>
        <sz val="12"/>
        <rFont val="ArialUnicodeMS"/>
        <charset val="1"/>
      </rPr>
      <t>²</t>
    </r>
  </si>
  <si>
    <r>
      <rPr>
        <sz val="9"/>
        <rFont val="Arial"/>
        <family val="2"/>
        <charset val="1"/>
      </rPr>
      <t>Aperturna površina 2,33 m</t>
    </r>
    <r>
      <rPr>
        <sz val="12"/>
        <rFont val="ArialUnicodeMS"/>
        <charset val="1"/>
      </rPr>
      <t>²</t>
    </r>
  </si>
  <si>
    <t>Težina 42 kg</t>
  </si>
  <si>
    <t>Sadržaj tekućina 1,83 l</t>
  </si>
  <si>
    <t>Optički stupanj iskoristivosti 80 %</t>
  </si>
  <si>
    <r>
      <rPr>
        <sz val="9"/>
        <rFont val="Arial"/>
        <family val="2"/>
        <charset val="1"/>
      </rPr>
      <t>Koeficijent gubitka topline k1 3,66 W/m</t>
    </r>
    <r>
      <rPr>
        <sz val="9"/>
        <rFont val="ArialUnicodeMS"/>
        <charset val="1"/>
      </rPr>
      <t>²</t>
    </r>
    <r>
      <rPr>
        <sz val="9"/>
        <rFont val="Arial"/>
        <family val="2"/>
        <charset val="238"/>
      </rPr>
      <t>K</t>
    </r>
  </si>
  <si>
    <r>
      <rPr>
        <sz val="9"/>
        <rFont val="Arial"/>
        <family val="2"/>
        <charset val="1"/>
      </rPr>
      <t>Koeficijent gubitka topline k2 0,037 W/m</t>
    </r>
    <r>
      <rPr>
        <sz val="9"/>
        <rFont val="ArialUnicodeMS"/>
        <charset val="1"/>
      </rPr>
      <t>²</t>
    </r>
    <r>
      <rPr>
        <sz val="9"/>
        <rFont val="Arial"/>
        <family val="2"/>
        <charset val="238"/>
      </rPr>
      <t>K</t>
    </r>
    <r>
      <rPr>
        <sz val="9"/>
        <rFont val="ArialUnicodeMS"/>
        <charset val="1"/>
      </rPr>
      <t>²</t>
    </r>
  </si>
  <si>
    <t>Dozv. pogonski tlak u kolektoru 6 bar</t>
  </si>
  <si>
    <r>
      <rPr>
        <sz val="9"/>
        <rFont val="Arial"/>
        <family val="2"/>
        <charset val="1"/>
      </rPr>
      <t xml:space="preserve">Maks. temperatura staganacije 145 </t>
    </r>
    <r>
      <rPr>
        <sz val="12"/>
        <rFont val="ArialUnicodeMS"/>
        <charset val="1"/>
      </rPr>
      <t>°</t>
    </r>
    <r>
      <rPr>
        <sz val="12"/>
        <rFont val="Arial"/>
        <family val="2"/>
        <charset val="238"/>
      </rPr>
      <t>C</t>
    </r>
  </si>
  <si>
    <t>Korekcijski faktor kuta 0,91</t>
  </si>
  <si>
    <t>30.02.</t>
  </si>
  <si>
    <t>Dobava i ugradnja - Spojne cijevi (1 par). Od fleksibilne valovite cijevi od plemenitog čelika s mesinganim priključnim krajevima i O-prstenovima.</t>
  </si>
  <si>
    <t>30.03.</t>
  </si>
  <si>
    <t>Dobava i ugradnja - Priključni set za jedno kolektorsko polje.</t>
  </si>
  <si>
    <t>30.04.</t>
  </si>
  <si>
    <t>Dobava i ugradnja -Set uranjajuće čahure s uranjajućom čahurom i vijčanim dijelovima.</t>
  </si>
  <si>
    <t>30.05.</t>
  </si>
  <si>
    <r>
      <rPr>
        <sz val="9"/>
        <rFont val="Arial"/>
        <family val="2"/>
        <charset val="1"/>
      </rPr>
      <t>Dobava i ugradnja -Pričvrsni set za montažu na ravnom krovu. Za potporu na krovovima za slobodnu montažu na podkonstrukciji od strane graditelja, npr. čelični nosač, od aluminija otpornog na koroziju, sadrži: Potporni dijelovi s pričvrsnicama šesterokutni vijci, matice, U-pločice od plemenitog čelika. Kut postavljanja 45</t>
    </r>
    <r>
      <rPr>
        <sz val="9"/>
        <rFont val="ArialUnicodeMS"/>
        <charset val="1"/>
      </rPr>
      <t xml:space="preserve">°. </t>
    </r>
    <r>
      <rPr>
        <sz val="9"/>
        <rFont val="Arial"/>
        <family val="2"/>
        <charset val="238"/>
      </rPr>
      <t>Prikladno za 5 kolektora. Za opterećenje snijegom 1,5 kN/m</t>
    </r>
    <r>
      <rPr>
        <sz val="9"/>
        <rFont val="ArialUnicodeMS"/>
        <charset val="1"/>
      </rPr>
      <t>²</t>
    </r>
    <r>
      <rPr>
        <sz val="9"/>
        <rFont val="Arial"/>
        <family val="2"/>
        <charset val="238"/>
      </rPr>
      <t>. Za brzine vjetra do 150 km/h.</t>
    </r>
  </si>
  <si>
    <t>30.06.</t>
  </si>
  <si>
    <t>Dobava i ugradnja - Priključni vodovi (3 komada). Valovita cijev od plemenitog čelika s toplinskom izolacijom postojanom na UV zračenje i vijčanim spojkama sa steznim prstenom, promjer priključka 22 mm, duljine 1000 mm.</t>
  </si>
  <si>
    <t>30.07.</t>
  </si>
  <si>
    <t>Dobava i ugradnja - Brzi odzračnik - sa slavinom, T-komadom od mesinga i vijčanim spojkama sa steznim prstenom (22 mm).</t>
  </si>
  <si>
    <t>30.08.</t>
  </si>
  <si>
    <t>Dobava i ugradnja - Dvocijevna crpna stanica za krug kolektora. Kompaktna jedinica koja se sastoji od ogranka crpke i solarnog ogranka s 2 termometra, 2 kuglaste slavine s nepovratnim zaklopkama, pokazivačem protoka, manometrom, sigurnosnim ventilom (6 bara), ventilom za punjenje, odvajačem zraka, vijčanom spojkom sa steznim prstenom / dvostrukim O-prstenom od 22 mm, toplinskom izolacijom i visokoučinkovitom crpkom za izmjeničnu struju, upravljanom brojem okretaja. Visina dobave: 6,0 m kod volumnog protoka 1500 l/h.</t>
  </si>
  <si>
    <t>30.09.</t>
  </si>
  <si>
    <t>Dobava i ugradnja - Solarna ručna crpka za nadopunjavanje i podizanje tlaka toplinskog medija u solarnom krugu. S dva kuglasta ventila DN15. Priključak G1/2"</t>
  </si>
  <si>
    <t>30.10.</t>
  </si>
  <si>
    <t>Dobava i ugradnja - Toplinski medij prema preporuci proizvođača 25 litara</t>
  </si>
  <si>
    <t>30.11.</t>
  </si>
  <si>
    <t>Dobava i ugradnja - Ekspanzijska posuda za solarni sustav V=100 l , za rad do 50%  sadržaja glikola i dozvoljenog pritiska do 10 bar. Radna temperatura do 120/70°C. Stojeća izvedba s nogicama i nosačima za montažu.</t>
  </si>
  <si>
    <t>30.12.</t>
  </si>
  <si>
    <t>Dobava i ugradnja - Odvajač zraka. S automatskim brzim odzračnikom, slavinom, vijčanom spojkom sa steznim prstenom (22 mm) R 1''.</t>
  </si>
  <si>
    <t>30.13.</t>
  </si>
  <si>
    <t>Dobava i ugradnja - Pokazivač temperature</t>
  </si>
  <si>
    <t>30.14.</t>
  </si>
  <si>
    <t>Dobava i ugradnja - Sigurnosna grupa prema DIN 1988 ili jednakovrijedno DN20 10 bar</t>
  </si>
  <si>
    <t>30.15.</t>
  </si>
  <si>
    <t>Dobava i ugradnja - Termostatski mješački automat G1" DN20</t>
  </si>
  <si>
    <t>30.16.</t>
  </si>
  <si>
    <t>Dobava i ugradnja - Okomito stojeći spremnik PTV-a s dvije ogrjevne spirale. Za zagrijavanje pitke vode u spoju s kotlovima za grijanje i solarnim instalacijama. Donja ogrjevna spirala za priključivanje sunčanih kolektora, a gornja ogrjevna spirala za priključivanje kotla za grijanje. Izgrađen prema EN 12897 ili jednakovrijedno i DIN 4753 ili jednakovrijedno. Ispunjava zahtjeve radnog lista DVGW W 551 ili jednakovrijedno. Za instalacije grijanja prema EN 12828 ili jednakovrijedno.</t>
  </si>
  <si>
    <t>Dozvoljene temperature polaznog voda:</t>
  </si>
  <si>
    <r>
      <rPr>
        <sz val="9"/>
        <rFont val="Arial"/>
        <family val="2"/>
        <charset val="1"/>
      </rPr>
      <t>•</t>
    </r>
    <r>
      <rPr>
        <sz val="9"/>
        <rFont val="Arial"/>
        <family val="2"/>
        <charset val="238"/>
      </rPr>
      <t xml:space="preserve"> sa strane ogrjevne vode do 160</t>
    </r>
    <r>
      <rPr>
        <sz val="9"/>
        <rFont val="ArialUnicodeMS"/>
        <charset val="1"/>
      </rPr>
      <t>°</t>
    </r>
    <r>
      <rPr>
        <sz val="9"/>
        <rFont val="Arial"/>
        <family val="2"/>
        <charset val="238"/>
      </rPr>
      <t>C</t>
    </r>
  </si>
  <si>
    <r>
      <rPr>
        <sz val="9"/>
        <rFont val="Arial"/>
        <family val="2"/>
        <charset val="1"/>
      </rPr>
      <t>•</t>
    </r>
    <r>
      <rPr>
        <sz val="9"/>
        <rFont val="Arial"/>
        <family val="2"/>
        <charset val="238"/>
      </rPr>
      <t xml:space="preserve"> sa solarne strane do 160</t>
    </r>
    <r>
      <rPr>
        <sz val="9"/>
        <rFont val="ArialUnicodeMS"/>
        <charset val="1"/>
      </rPr>
      <t>°</t>
    </r>
    <r>
      <rPr>
        <sz val="9"/>
        <rFont val="Arial"/>
        <family val="2"/>
        <charset val="238"/>
      </rPr>
      <t>C.</t>
    </r>
  </si>
  <si>
    <r>
      <rPr>
        <sz val="9"/>
        <rFont val="Arial"/>
        <family val="2"/>
        <charset val="1"/>
      </rPr>
      <t>Za temperature pitke vode do 95</t>
    </r>
    <r>
      <rPr>
        <sz val="11"/>
        <rFont val="ArialUnicodeMS"/>
        <charset val="1"/>
      </rPr>
      <t>°</t>
    </r>
    <r>
      <rPr>
        <sz val="11"/>
        <rFont val="Arial"/>
        <family val="2"/>
        <charset val="238"/>
      </rPr>
      <t>C.</t>
    </r>
  </si>
  <si>
    <t>Dozvoljen pogonski tlak:</t>
  </si>
  <si>
    <r>
      <rPr>
        <sz val="9"/>
        <rFont val="Arial"/>
        <family val="2"/>
        <charset val="1"/>
      </rPr>
      <t>•</t>
    </r>
    <r>
      <rPr>
        <sz val="9"/>
        <rFont val="Arial"/>
        <family val="2"/>
        <charset val="238"/>
      </rPr>
      <t xml:space="preserve"> sa strane ogrjevne vode do 10 bara</t>
    </r>
  </si>
  <si>
    <r>
      <rPr>
        <sz val="9"/>
        <rFont val="Arial"/>
        <family val="2"/>
        <charset val="1"/>
      </rPr>
      <t>•</t>
    </r>
    <r>
      <rPr>
        <sz val="9"/>
        <rFont val="Arial"/>
        <family val="2"/>
        <charset val="238"/>
      </rPr>
      <t xml:space="preserve"> sa solarne strane do 10 bara</t>
    </r>
  </si>
  <si>
    <r>
      <rPr>
        <sz val="9"/>
        <rFont val="Arial"/>
        <family val="2"/>
        <charset val="1"/>
      </rPr>
      <t>•</t>
    </r>
    <r>
      <rPr>
        <sz val="9"/>
        <rFont val="Arial"/>
        <family val="2"/>
        <charset val="238"/>
      </rPr>
      <t xml:space="preserve"> sa strane pitke vode do 10 bara.</t>
    </r>
  </si>
  <si>
    <t>Spremnik i ogrjevna spirala od čelika (materijal S355) zaštićeni od korozije zahvaljujući pocakljenju  i magnezijskoj zaštitnoj anodi. Spremnik PTV-a s dva prednja prirubnička otvora (DN 180) , toplinski izoliran obložen plastikom, vitosrebrne boje Opseg isporuke:</t>
  </si>
  <si>
    <r>
      <rPr>
        <sz val="9"/>
        <rFont val="Arial"/>
        <family val="2"/>
        <charset val="1"/>
      </rPr>
      <t>•</t>
    </r>
    <r>
      <rPr>
        <sz val="9"/>
        <rFont val="Arial"/>
        <family val="2"/>
        <charset val="238"/>
      </rPr>
      <t xml:space="preserve"> spremnik PTV-a sa zasebno zapakiranom toplinskom izolacijom</t>
    </r>
  </si>
  <si>
    <r>
      <rPr>
        <sz val="9"/>
        <rFont val="Arial"/>
        <family val="2"/>
        <charset val="1"/>
      </rPr>
      <t>•</t>
    </r>
    <r>
      <rPr>
        <sz val="9"/>
        <rFont val="Arial"/>
        <family val="2"/>
        <charset val="238"/>
      </rPr>
      <t xml:space="preserve"> sistem s hvataljkama za uranjajuće osjetnike / regulatore temperature / termometre na vanjskom plaštu spremnika</t>
    </r>
  </si>
  <si>
    <r>
      <rPr>
        <sz val="9"/>
        <rFont val="Arial"/>
        <family val="2"/>
        <charset val="1"/>
      </rPr>
      <t>•</t>
    </r>
    <r>
      <rPr>
        <sz val="9"/>
        <rFont val="Arial"/>
        <family val="2"/>
        <charset val="238"/>
      </rPr>
      <t xml:space="preserve"> uvojno koljeno s uranjajućom čahurom za solarni pogon</t>
    </r>
  </si>
  <si>
    <r>
      <rPr>
        <sz val="9"/>
        <rFont val="Arial"/>
        <family val="2"/>
        <charset val="1"/>
      </rPr>
      <t>•</t>
    </r>
    <r>
      <rPr>
        <sz val="9"/>
        <rFont val="Arial"/>
        <family val="2"/>
        <charset val="238"/>
      </rPr>
      <t xml:space="preserve"> magnezijska zaštitna anoda</t>
    </r>
  </si>
  <si>
    <r>
      <rPr>
        <sz val="9"/>
        <rFont val="Arial"/>
        <family val="2"/>
        <charset val="1"/>
      </rPr>
      <t>•</t>
    </r>
    <r>
      <rPr>
        <sz val="9"/>
        <rFont val="Arial"/>
        <family val="2"/>
        <charset val="238"/>
      </rPr>
      <t xml:space="preserve"> noge za postavljanje</t>
    </r>
  </si>
  <si>
    <t>Volumen spremnika 500 l</t>
  </si>
  <si>
    <t>Ukupne dimenzije s toplinskom izolacijom</t>
  </si>
  <si>
    <t>Duljina 850 mm</t>
  </si>
  <si>
    <t>Širina 918 mm</t>
  </si>
  <si>
    <t>Visina 1.955 mm</t>
  </si>
  <si>
    <t>Težina 205 kg</t>
  </si>
  <si>
    <t>Tehnički podaci za određivanje razreda energetske učinkovitosti (ErP-oznaka)</t>
  </si>
  <si>
    <t>Spremnik tople vode</t>
  </si>
  <si>
    <t>Volumen spremnika bez solara 231 l</t>
  </si>
  <si>
    <t>30.17.</t>
  </si>
  <si>
    <t>Dobava, ugradnja i spajanje - Elektronička regulacija temperaturne razlike za instalacije s do četiri trošila. Za bivalentne instalacije sa solarnim kolektorima ili uljnim/plinskim kotlovima za grijanje i kotlovima za grijanje na kruto gorivo: za bivalentno zagrijavanje pitke vode, za bivalentno zagrijavanje pitke vode i vode bazena, za bivalentno zagrijavanje pitke vode i za potporu kod grijanja prostora. S digitalnim prikazom temperature, bilanciranjem učina i sustavom dijagnoze. Moguća je komunikacija s regulacijama kruga kotla za potiskivanje dodatnog grijanja spremnika PTV-a i/ili za zagrijavanje stupnja predgrijavanja kao i za aktiviranje crpki upravljanih brojem okretaja za sustav za punjenje po slojevima. Mogućnosti priključivanja toplinskog brojila i/ili solarne ćelije. Za zidnu montažu, u opsegu isporuke sadržan je osjetnik temperature spremnika i kolektora te daljnji osjetnik temperature.</t>
  </si>
  <si>
    <t>30.18.</t>
  </si>
  <si>
    <t>Dobava i ugradnja - Osjetnik temperature. Uranjajući osjetnik za ugradnju u spremnik PTV-a, odnosno međuspremnik ogrjevne vode/kombinirani spremnik. S priključnim vodom duljine 3,7 m.</t>
  </si>
  <si>
    <t>30.19.</t>
  </si>
  <si>
    <t>Dobava i ugradnja - Armatura za punjenje. Za ispiranje, punjenje i pražnjenje instalacije. S vijčanim spojkama sa steznim prstenom (22 mm).</t>
  </si>
  <si>
    <t>30.20.</t>
  </si>
  <si>
    <t>Dobava, ugradnja i spajanje - Ecocirc s elektronički komutiranim kuglastim motorom bez vratila s tehnologijom permanentnih magneta Izvedba B recirkulacijska crpka</t>
  </si>
  <si>
    <r>
      <rPr>
        <sz val="9"/>
        <rFont val="Arial"/>
        <family val="2"/>
        <charset val="1"/>
      </rPr>
      <t>•</t>
    </r>
    <r>
      <rPr>
        <sz val="9"/>
        <rFont val="Arial"/>
        <family val="2"/>
        <charset val="238"/>
      </rPr>
      <t xml:space="preserve"> medij: voda</t>
    </r>
  </si>
  <si>
    <r>
      <rPr>
        <sz val="9"/>
        <rFont val="Arial"/>
        <family val="2"/>
        <charset val="1"/>
      </rPr>
      <t>•</t>
    </r>
    <r>
      <rPr>
        <sz val="9"/>
        <rFont val="Arial"/>
        <family val="2"/>
        <charset val="238"/>
      </rPr>
      <t xml:space="preserve"> maks. tlak sustava 10 bar</t>
    </r>
  </si>
  <si>
    <r>
      <rPr>
        <sz val="9"/>
        <rFont val="Arial"/>
        <family val="2"/>
        <charset val="1"/>
      </rPr>
      <t>•</t>
    </r>
    <r>
      <rPr>
        <sz val="9"/>
        <rFont val="Arial"/>
        <family val="2"/>
        <charset val="238"/>
      </rPr>
      <t xml:space="preserve"> Temperatura sustava od -10 </t>
    </r>
    <r>
      <rPr>
        <sz val="9"/>
        <rFont val="ArialUnicodeMS"/>
        <charset val="1"/>
      </rPr>
      <t>°</t>
    </r>
    <r>
      <rPr>
        <sz val="9"/>
        <rFont val="Arial"/>
        <family val="2"/>
        <charset val="238"/>
      </rPr>
      <t xml:space="preserve">C do +95 </t>
    </r>
    <r>
      <rPr>
        <sz val="9"/>
        <rFont val="ArialUnicodeMS"/>
        <charset val="1"/>
      </rPr>
      <t>°</t>
    </r>
    <r>
      <rPr>
        <sz val="9"/>
        <rFont val="Arial"/>
        <family val="2"/>
        <charset val="238"/>
      </rPr>
      <t>C (bez smrzavanja)</t>
    </r>
  </si>
  <si>
    <r>
      <rPr>
        <sz val="9"/>
        <rFont val="Arial"/>
        <family val="2"/>
        <charset val="1"/>
      </rPr>
      <t>•</t>
    </r>
    <r>
      <rPr>
        <sz val="9"/>
        <rFont val="Arial"/>
        <family val="2"/>
        <charset val="238"/>
      </rPr>
      <t xml:space="preserve"> 230 V, 50 Hz</t>
    </r>
  </si>
  <si>
    <r>
      <rPr>
        <sz val="9"/>
        <rFont val="Arial"/>
        <family val="2"/>
        <charset val="1"/>
      </rPr>
      <t>•</t>
    </r>
    <r>
      <rPr>
        <sz val="9"/>
        <rFont val="Arial"/>
        <family val="2"/>
        <charset val="238"/>
      </rPr>
      <t xml:space="preserve"> Klasa zaštite IP 44</t>
    </r>
  </si>
  <si>
    <r>
      <rPr>
        <sz val="9"/>
        <rFont val="Arial"/>
        <family val="2"/>
        <charset val="1"/>
      </rPr>
      <t>•</t>
    </r>
    <r>
      <rPr>
        <sz val="9"/>
        <rFont val="Arial"/>
        <family val="2"/>
        <charset val="238"/>
      </rPr>
      <t xml:space="preserve"> Klasa izolacijskog materijala F</t>
    </r>
  </si>
  <si>
    <r>
      <rPr>
        <sz val="9"/>
        <rFont val="Arial"/>
        <family val="2"/>
        <charset val="1"/>
      </rPr>
      <t>•</t>
    </r>
    <r>
      <rPr>
        <sz val="9"/>
        <rFont val="Arial"/>
        <family val="2"/>
        <charset val="238"/>
      </rPr>
      <t xml:space="preserve"> maks. primljena snaga 3-9 W</t>
    </r>
  </si>
  <si>
    <r>
      <rPr>
        <sz val="9"/>
        <rFont val="Arial"/>
        <family val="2"/>
        <charset val="1"/>
      </rPr>
      <t>•</t>
    </r>
    <r>
      <rPr>
        <sz val="9"/>
        <rFont val="Arial"/>
        <family val="2"/>
        <charset val="238"/>
      </rPr>
      <t xml:space="preserve"> sa prekidačem za klizno podesivi učin</t>
    </r>
  </si>
  <si>
    <r>
      <rPr>
        <sz val="9"/>
        <rFont val="Arial"/>
        <family val="2"/>
        <charset val="1"/>
      </rPr>
      <t>•</t>
    </r>
    <r>
      <rPr>
        <sz val="9"/>
        <rFont val="Arial"/>
        <family val="2"/>
        <charset val="238"/>
      </rPr>
      <t xml:space="preserve"> s toplinski izoliranim kućištem Tip 13/100</t>
    </r>
  </si>
  <si>
    <t>30.21.</t>
  </si>
  <si>
    <t>Dobava i ugradnja - PP-R cijevi instalacija sanitarne vode i recirkulacije  za spajanje  spremnika PTV-a na instalacije sanitarne vode i pripreme PTV-a zajedno sa fazonskim komadima (koljena, redukcije itd.), te svim potrebnim spojnim i brtvenim materijalom i sigurnosnom grupom na strani hladne vode.</t>
  </si>
  <si>
    <t>30.22.</t>
  </si>
  <si>
    <t>Dobava i ugradnja - toplinske izolacije debljine min. 19 mm za cijevi sanitarne vode, pripreme PTV-a i recirkulacije PTV-a, dimenzija prema postojećim cijevnim instalacijama</t>
  </si>
  <si>
    <t>30.23.</t>
  </si>
  <si>
    <t xml:space="preserve">Dobava i ugradnja -   ekspanzijske, membranske posude volumena 25 litara zajedno sa spojnim i brtvenim materijalom na instalaciji PTV-a.                                  </t>
  </si>
  <si>
    <t>30.24.</t>
  </si>
  <si>
    <t>Dobava i ugradnja - Bakrene cijevi prema HRN EN 1057 ili jednakovrijedno, za razvod solarnog sistema, ravne, tvrde (R 290), uključivo svi potrebni fazonski elementi za kapilarno spajanje (koljena, redukcije, spojnice, itd.) sljedećih dimenzija:</t>
  </si>
  <si>
    <r>
      <rPr>
        <sz val="9"/>
        <rFont val="Symbol"/>
        <family val="1"/>
        <charset val="2"/>
      </rPr>
      <t>Æ</t>
    </r>
    <r>
      <rPr>
        <sz val="9"/>
        <rFont val="Arial CE"/>
        <family val="2"/>
        <charset val="238"/>
      </rPr>
      <t xml:space="preserve"> 22x1,0 mm</t>
    </r>
  </si>
  <si>
    <t>30.25.</t>
  </si>
  <si>
    <t xml:space="preserve">Dobava i ugradnja - Prijelazni komad s bakrene cijevi na čeličnu, komplet sa protuprirubnicama te spojnim i brtvenim materijalom ili navojni. </t>
  </si>
  <si>
    <t>Ø 22-Cu / DN32-Če</t>
  </si>
  <si>
    <t>30.26.</t>
  </si>
  <si>
    <t>Dobava i ugradnja - Izolacijski materijal za izolaciju armature i cjevovoda od negorivog materijala, te kojim se u zimskom periodu sprječava gubitak topline na  površini cijevi, a u ljetnom periodu dobitak topline na površini cijevi i rošenje (parna brana). Elastomerna pjena na bazi sintetičke gume (FEF) u skladu sa EN14304 ili jednakovrijedno, samogasiv, nekapajuć i ne širi plamen, klasifikacija na požar EN 13501-1 ili jednakovrijedno. Izrađen u obliku  cijevi.  Stavka uključuje potrebnu količinu ljepila u kavaliteti profesionalne fleksibilne izolacije za pouzdanu kontinuiranu kontrolu te završne originalne trake  za spojeve,  sljedećih količina  debljina i dimenzija:</t>
  </si>
  <si>
    <t>Ø 22x1,0 mm (s = 13 mm)</t>
  </si>
  <si>
    <t>30.27.</t>
  </si>
  <si>
    <t>Dobava i ugradnja - plašta  od Al-lima  0,5 mm za oblaganje vanjskog dijela solarnih krugova sa svim spojnim i brtvenim  materijalom.</t>
  </si>
  <si>
    <r>
      <rPr>
        <sz val="9"/>
        <rFont val="Arial"/>
        <family val="2"/>
        <charset val="1"/>
      </rPr>
      <t>m</t>
    </r>
    <r>
      <rPr>
        <vertAlign val="superscript"/>
        <sz val="12"/>
        <rFont val="Arial"/>
        <family val="2"/>
        <charset val="1"/>
      </rPr>
      <t>2</t>
    </r>
  </si>
  <si>
    <t>30.28.</t>
  </si>
  <si>
    <t xml:space="preserve">Bušenje provrta kroz stropove i zidove prilikom spajanja cjevovoda. </t>
  </si>
  <si>
    <t>30.29.</t>
  </si>
  <si>
    <t>Isporuka zavjesnog materijala čeličnih profila, perforirane trake za ovjes cijevi, učvršćenja cjevovoda čvrstih i kliznih točaka, cijevnih tuljaka na prolazu kroz zidove, protupožarnim brtvljenjem pri prolazu kroz PP zone, te sav ostali potrebni sitni potrošni materijal, fitinzi, i oprema za spajanje cijevi, cjevne pričvrsnice sa vijcima i tiplima.</t>
  </si>
  <si>
    <t>30.30.</t>
  </si>
  <si>
    <t>Spojni brtveni materijal u potrebnoj količini i kvaliteti kao brtve, kudelja, firnis, protupožarno brtvljenje pri prolazu kroz PP zone, žica za autogeno zavarivanje, kisik, disuplin, te  sve u potrebnoj količini i kvaliteti.</t>
  </si>
  <si>
    <t>30.31.</t>
  </si>
  <si>
    <t>Potrebni sekundarni oslonci i držači  kolektorskih potpora na krovu. Izrađeni od raznih čeličnih profila(izvoditelj je obvezan izraditi radioničku dokumenaciju).  Nakon ugradnje zaštititi dvostrukim antikorozivnim premazom. Uključen sav spojni materijal za montažu.</t>
  </si>
  <si>
    <t>30.32.</t>
  </si>
  <si>
    <t>Betonski blokovi na gumiranim podmetačima s=30mm ispod strojarske opreme na krovu.</t>
  </si>
  <si>
    <t>Uključiti sav potreban montažni pribor zaštićen od atmosferilija (vijci, matice, podlošci).</t>
  </si>
  <si>
    <t>Obračun po kompletu</t>
  </si>
  <si>
    <t>25/25/15cm</t>
  </si>
  <si>
    <t>30.33.</t>
  </si>
  <si>
    <t xml:space="preserve">Dobava i montaža zaštitnih cijevi za prolaz  cjevovoda kroz zidove i grede. </t>
  </si>
  <si>
    <t>30.34.</t>
  </si>
  <si>
    <t>Obuka osoblja, izrada uputstva za rad i održavanje cjelokupne opreme te kompletne atestne dokumentacije.Uključivo korištenje skele i  opreme za rad na visini do 15m, za postavljanje i montažu i kao pomagala za montažu opreme na visini sa svim potrebnim dodatnim troškovima.</t>
  </si>
  <si>
    <t>Puštanje u pogon solarnog sustava uz dopunjavanje toplinskog  medija od strane ovlaštenog servisa uz izdavanje potrebnih uputa za korištenje, atesta i garancija.</t>
  </si>
  <si>
    <t>Puštanje u pogon automatske regulacije od strane ovlaštenog servisera. Probni pogon u trajanju 120 sati s dovođenjem postrojenja u radno stanje uključivo balansiranje sustava.</t>
  </si>
  <si>
    <t>Stalno čišćenje gradilišta od preostalog materijala i različite ambalaže, kao i zaštita ugrađene i instalirane opreme od utjecaja radova na objektu (zaštita od prašine, oštećivanja i slično).</t>
  </si>
  <si>
    <t xml:space="preserve">U K U P N O   30.00.: </t>
  </si>
  <si>
    <t>31.00.   INSTALACIJA HLAĐENJA/GRIJANJA KLIMA JEDINICAMA (DIZALICAMA TOPLINE)</t>
  </si>
  <si>
    <t>31.01.</t>
  </si>
  <si>
    <r>
      <rPr>
        <sz val="9"/>
        <color rgb="FF000000"/>
        <rFont val="Arial"/>
        <family val="2"/>
        <charset val="1"/>
      </rPr>
      <t>Dobava, ugradnja i spajanje - Zrakom hlađena vanjska jedinica</t>
    </r>
    <r>
      <rPr>
        <sz val="9"/>
        <color rgb="FFFF0000"/>
        <rFont val="Arial"/>
        <family val="2"/>
        <charset val="238"/>
      </rPr>
      <t xml:space="preserve"> </t>
    </r>
    <r>
      <rPr>
        <sz val="9"/>
        <rFont val="Arial"/>
        <family val="2"/>
        <charset val="238"/>
      </rPr>
      <t xml:space="preserve">VRF </t>
    </r>
    <r>
      <rPr>
        <sz val="9"/>
        <color rgb="FF000000"/>
        <rFont val="Arial"/>
        <family val="2"/>
        <charset val="238"/>
      </rPr>
      <t>sustava u izvedbi dizalice topline za grijanje i hlađenje s promijenjivim protokom radne tvari. Kućište je izrađeno od galvaniziranog i plastificiranog čeličnog lima te je zaštićeno od korozije. Jedinice mogu postići kapacitet do</t>
    </r>
    <r>
      <rPr>
        <b/>
        <sz val="9"/>
        <color rgb="FF000000"/>
        <rFont val="Arial"/>
        <family val="2"/>
        <charset val="238"/>
      </rPr>
      <t xml:space="preserve"> 294 kW</t>
    </r>
    <r>
      <rPr>
        <sz val="9"/>
        <color rgb="FF000000"/>
        <rFont val="Arial"/>
        <family val="2"/>
        <charset val="238"/>
      </rPr>
      <t xml:space="preserve"> povezivanjem više modula u zajednički sustav, dok s jednim modulom postižu kapacitet do </t>
    </r>
    <r>
      <rPr>
        <b/>
        <sz val="9"/>
        <color rgb="FF000000"/>
        <rFont val="Arial"/>
        <family val="2"/>
        <charset val="238"/>
      </rPr>
      <t>73,5 kW</t>
    </r>
    <r>
      <rPr>
        <sz val="9"/>
        <color rgb="FF000000"/>
        <rFont val="Arial"/>
        <family val="2"/>
        <charset val="238"/>
      </rPr>
      <t>. Uređaji imaju sustav automatskog balansiranja ulja pa prilikom spajajnja više modula u jedan sustav nisu potrebne cijevi za balansiranje ulja.</t>
    </r>
  </si>
  <si>
    <r>
      <rPr>
        <sz val="9"/>
        <color rgb="FF000000"/>
        <rFont val="Arial"/>
        <family val="2"/>
        <charset val="1"/>
      </rPr>
      <t xml:space="preserve">Jedinica sadrži izmjenjivač topline podijeljen na dva dijela, od kojih se protok radne tvari u svakom dijelu regulira zasebnim, elektronski upravljanim, ventilom kako bi se osigurala </t>
    </r>
    <r>
      <rPr>
        <sz val="9"/>
        <rFont val="Arial"/>
        <family val="2"/>
        <charset val="238"/>
      </rPr>
      <t xml:space="preserve">optimalna površina izmjene topline sukladna trenutnom zahtjevu za toplinskim učinom te osigurala maksimalna učinkovitost cijelog sustava. Četverosmjerni dizajn izmjenjivača omogućuje povećanje učinkovitosti izmjene topline. </t>
    </r>
    <r>
      <rPr>
        <sz val="9"/>
        <color rgb="FF000000"/>
        <rFont val="Arial"/>
        <family val="2"/>
        <charset val="238"/>
      </rPr>
      <t>Maksimalna ukupna duljina cjevovoda radne tvari je 1000 metara, maksimalna duljina cjevovoda između vanjske jedinice i pojedine unutarnje jedince iznosi 220 metara, a maksimalna visinska razlika između vanjske i pojedine unutarnje jedinice iznosi 110 metara, sve uz pridržavanje uputa i ograničenja u specifikacijama proizvođača.</t>
    </r>
  </si>
  <si>
    <t>Ovisno o kapacitetu, u jedinicama se nalaze jedan, odnosno dva visokoučinkovita scroll inverterska EVI ili jednakovrijedna komperesora s bezstupanjskom regulacijom kapaciteta. Uređaji s dva kompresora te sustavi sastavljeni od više modula imaju mogućnost automatskog ''back up'' načina rada. Kod uređaja s dva kompresora u slučaju kvara na jednom kompresoru, rad automatski preuzima drugi kompresor, dok kod sustava sastavljenih iz više modula, u slučaju kvara jednog modula, rad preuzimaju ostali moduli.</t>
  </si>
  <si>
    <t xml:space="preserve">Uređaj je opremljen s pločastim izmjenjivačem topline na freonskom krugu koji omogućuje dodatno pothlađivanje radne tvari, te EVI ili jednakovrijedan kompresor s ubrizgavanjem radne tvari na međutlaku kompresije. </t>
  </si>
  <si>
    <r>
      <rPr>
        <sz val="9"/>
        <color rgb="FF000000"/>
        <rFont val="Arial"/>
        <family val="2"/>
        <charset val="1"/>
      </rPr>
      <t xml:space="preserve">Ovisno o uvjetima rada uređaj ima mogućnost </t>
    </r>
    <r>
      <rPr>
        <b/>
        <sz val="9"/>
        <color rgb="FF000000"/>
        <rFont val="Arial"/>
        <family val="2"/>
        <charset val="238"/>
      </rPr>
      <t>kontinuiranog grijanja za vrijeme defrosta.</t>
    </r>
  </si>
  <si>
    <r>
      <rPr>
        <sz val="9"/>
        <color rgb="FF000000"/>
        <rFont val="Arial"/>
        <family val="2"/>
        <charset val="1"/>
      </rPr>
      <t xml:space="preserve">Ventilatori su pogonjeni DC motorima s bezstupanjskom regulacijom brzine vrtnje, a raspoloživi eksterni statički tlak iznosi do </t>
    </r>
    <r>
      <rPr>
        <b/>
        <sz val="9"/>
        <color rgb="FF000000"/>
        <rFont val="Arial"/>
        <family val="2"/>
        <charset val="238"/>
      </rPr>
      <t>110 Pa</t>
    </r>
    <r>
      <rPr>
        <sz val="9"/>
        <color rgb="FF000000"/>
        <rFont val="Arial"/>
        <family val="2"/>
        <charset val="238"/>
      </rPr>
      <t>. Promjenom smjera vrtnje ventilatora omogućuje se otpuhivanje nakupljenog snijega ili prašine na uređaju.</t>
    </r>
  </si>
  <si>
    <r>
      <rPr>
        <sz val="9"/>
        <color rgb="FF000000"/>
        <rFont val="Arial"/>
        <family val="2"/>
        <charset val="1"/>
      </rPr>
      <t xml:space="preserve">Opcija odabira </t>
    </r>
    <r>
      <rPr>
        <b/>
        <sz val="9"/>
        <color rgb="FF000000"/>
        <rFont val="Arial"/>
        <family val="2"/>
        <charset val="238"/>
      </rPr>
      <t>šest razina tihog rada</t>
    </r>
    <r>
      <rPr>
        <sz val="9"/>
        <color rgb="FF000000"/>
        <rFont val="Arial"/>
        <family val="2"/>
        <charset val="238"/>
      </rPr>
      <t xml:space="preserve"> čini uređaj pogodnim za   ugradnju u područja osjetljiva na razinu buke.</t>
    </r>
  </si>
  <si>
    <r>
      <rPr>
        <sz val="9"/>
        <color rgb="FF000000"/>
        <rFont val="Arial"/>
        <family val="2"/>
        <charset val="1"/>
      </rPr>
      <t xml:space="preserve">Uređaj ima integrirano mikroprocesorsko upravljanje koje nadzire rad cijelog sustava, ima mogućnost prikaza radnih parametara vanjskih i unutarnjih jedinica, prikaz alarma, automatskog adresiranja unutarnjih jedinica. Standardno je opremljen priključkom za povezivanje na </t>
    </r>
    <r>
      <rPr>
        <b/>
        <sz val="9"/>
        <color rgb="FF000000"/>
        <rFont val="Arial"/>
        <family val="2"/>
        <charset val="238"/>
      </rPr>
      <t xml:space="preserve">CNUS ili jednakovrijeno </t>
    </r>
    <r>
      <rPr>
        <sz val="9"/>
        <color rgb="FF000000"/>
        <rFont val="Arial"/>
        <family val="2"/>
        <charset val="238"/>
      </rPr>
      <t>putem</t>
    </r>
    <r>
      <rPr>
        <b/>
        <sz val="9"/>
        <color rgb="FF000000"/>
        <rFont val="Arial"/>
        <family val="2"/>
        <charset val="238"/>
      </rPr>
      <t xml:space="preserve"> ModBus</t>
    </r>
    <r>
      <rPr>
        <sz val="9"/>
        <color rgb="FF000000"/>
        <rFont val="Arial"/>
        <family val="2"/>
        <charset val="238"/>
      </rPr>
      <t xml:space="preserve"> komunikacijskog protokola i izlazom za direktno povezivanje na centralni upravljač bez potrebe za ugradnjom dodatnih modula. Unutarnjim jedinicama u sustavu moguće je upravljati putem putem centralnog upravljača, mobilne aplikacije za centralno WiFi upravljanje, odnosno individualnim IC daljinskim i zidnim žičanim upravljačima za lokalno upravljanje. </t>
    </r>
  </si>
  <si>
    <t>Tehničke karakteristike:</t>
  </si>
  <si>
    <t>Qh = 33,5 kW (to = 35°C ST, 24°C DT; ti = 27°C ST, 19°C VT)</t>
  </si>
  <si>
    <t>Nel = 10,15 kW</t>
  </si>
  <si>
    <t>SEER = 6,69</t>
  </si>
  <si>
    <t>Qg = 33,5 kW (to = 7°C ST, 6°C VT; ti = 20 °C)</t>
  </si>
  <si>
    <t>Qg(max) = 37,5 kW (to = 7°C ST, 6°C VT; ti = 20 °C)</t>
  </si>
  <si>
    <t>Nel = 8,59 kW</t>
  </si>
  <si>
    <t>SCOP = 4,31</t>
  </si>
  <si>
    <t>Napajanje: 380-415V/ 3Ph / 50-60Hz</t>
  </si>
  <si>
    <t>Zvučni tlak: 59 dB(A)</t>
  </si>
  <si>
    <t>Protok zraka: 12.000 m3/h</t>
  </si>
  <si>
    <t>Radna tvar: R410A</t>
  </si>
  <si>
    <t>Dimenzije priključaka freonskih cijevi: 12,7 / 25,4 mm</t>
  </si>
  <si>
    <t>Radno područje u grijanju: -27 do 21 °C</t>
  </si>
  <si>
    <t>Radno područje u hlađenju: -5 do 52 °C</t>
  </si>
  <si>
    <t>Dimenzije (VxŠxD): 1690 x 750 x 980 mm</t>
  </si>
  <si>
    <t>Masa: 255 kg</t>
  </si>
  <si>
    <t>1.2.</t>
  </si>
  <si>
    <t>Qh = 45 kW (to = 35°C ST, 24°C DT; ti = 27°C ST, 19°C VT)</t>
  </si>
  <si>
    <t>Nel = 13,24 kW</t>
  </si>
  <si>
    <t>SEER = 6,36</t>
  </si>
  <si>
    <t>Qg = 45 kW (to = 7°C ST, 6°C VT; ti = 20 °C)</t>
  </si>
  <si>
    <t>Qg(max) = 50 kW (to = 7°C ST, 6°C VT; ti = 20 °C)</t>
  </si>
  <si>
    <t>Nel = 10,47 kW</t>
  </si>
  <si>
    <t>SCOP = 4,05</t>
  </si>
  <si>
    <t>Zvučni tlak: 60 dB(A)</t>
  </si>
  <si>
    <t>Protok zraka: 13.500 m3/h</t>
  </si>
  <si>
    <t>Dimenzije priključaka freonskih cijevi: 12,7 / 28,58 mm</t>
  </si>
  <si>
    <t>1.3.</t>
  </si>
  <si>
    <t>Qh = 61,5 kW (to = 35°C ST, 24°C DT; ti = 27°C ST, 19°C VT)</t>
  </si>
  <si>
    <t>Nel = 20,16 kW</t>
  </si>
  <si>
    <t>SEER = 6,54</t>
  </si>
  <si>
    <t>Qg = 61,5 kW (to = 7°C ST, 6°C VT; ti = 20 °C)</t>
  </si>
  <si>
    <t>Qg(max) = 69 kW (to = 7°C ST, 6°C VT; ti = 20 °C)</t>
  </si>
  <si>
    <t>Nel = 18,64 kW</t>
  </si>
  <si>
    <t>SCOP = 4,21</t>
  </si>
  <si>
    <t>Zvučni tlak: 61 dB(A)</t>
  </si>
  <si>
    <t>Protok zraka: 18.000 m3/h</t>
  </si>
  <si>
    <t>Dimenzije priključaka freonskih cijevi: 15,88 / 28,58 mm</t>
  </si>
  <si>
    <t>Dimenzije (VxŠxD): 1690 x 750 x 1410 mm</t>
  </si>
  <si>
    <t>Masa: 385 kg</t>
  </si>
  <si>
    <t>31.02.</t>
  </si>
  <si>
    <r>
      <rPr>
        <sz val="9"/>
        <color rgb="FF000000"/>
        <rFont val="Arial"/>
        <family val="2"/>
        <charset val="1"/>
      </rPr>
      <t xml:space="preserve">Dobava, ugradnja i spajanje - Unutarnja jedinica kazetna inverterskog </t>
    </r>
    <r>
      <rPr>
        <b/>
        <sz val="9"/>
        <color rgb="FF000000"/>
        <rFont val="Arial"/>
        <family val="2"/>
        <charset val="238"/>
      </rPr>
      <t>VMV</t>
    </r>
    <r>
      <rPr>
        <sz val="9"/>
        <color rgb="FF000000"/>
        <rFont val="Arial"/>
        <family val="2"/>
        <charset val="238"/>
      </rPr>
      <t xml:space="preserve"> sustava za grijanje i hlađenje s promjenjivom količinom radne tvari. Jedinica je predviđena za ugradnju u strop, a sadrži elektronski ekspanzijski ventil, izmjenjivač topline za direktnu ekspanziju radne tvari, filter zraka, ventilator pogonjen DC inverterskim motorom, integriranu elektroniku za zaštitu i upravljanje uređajem. U uređaju je standardno ugrađena pumpa za odvod kondenzata s visinom dizanja od </t>
    </r>
    <r>
      <rPr>
        <sz val="9"/>
        <rFont val="Arial"/>
        <family val="2"/>
        <charset val="238"/>
      </rPr>
      <t>600 mm</t>
    </r>
    <r>
      <rPr>
        <sz val="9"/>
        <color rgb="FF000000"/>
        <rFont val="Arial"/>
        <family val="2"/>
        <charset val="238"/>
      </rPr>
      <t>. Uz jedinicu se isporučuje usisno - istrujni panel dimenzija 950x950 mm s četiri istrujne lamele za ispuh zraka u 360°. Svaku od četiri lamele moguće je neovisno podešavati u 6 različitih položaja ispuha za potpuno prilagođavanje potrebama korisnika. Jedinicom je moguće upravljati pomoću IC daljinskog, žičanog zidnog, odnosno centralnog upravljača, a također se može integrirati u CNUS ili jednakovrijedno te upravljati pomoću mobilne aplikacije putem centralnog WiFi upravljanja. Jedinica ima priključak za spajanje na kanal za dobavu svježeg zraka.</t>
    </r>
  </si>
  <si>
    <t>Jedinica ima opciju senzora za detekciju prisutnosti ljudi u prostoru u svrhu povećanja ugodnosti i uštede energije.</t>
  </si>
  <si>
    <r>
      <rPr>
        <sz val="9"/>
        <color rgb="FF000000"/>
        <rFont val="Arial"/>
        <family val="2"/>
        <charset val="1"/>
      </rPr>
      <t>Zbog iznimno niske visine od</t>
    </r>
    <r>
      <rPr>
        <b/>
        <sz val="9"/>
        <color rgb="FF000000"/>
        <rFont val="Arial"/>
        <family val="2"/>
        <charset val="238"/>
      </rPr>
      <t xml:space="preserve"> 183 mm</t>
    </r>
    <r>
      <rPr>
        <sz val="9"/>
        <color rgb="FF000000"/>
        <rFont val="Arial"/>
        <family val="2"/>
        <charset val="238"/>
      </rPr>
      <t xml:space="preserve"> uređaj je pogodan za ugradnju u prostore s ograničenom visinom unutar spuštenog stropa. </t>
    </r>
  </si>
  <si>
    <t>2.1</t>
  </si>
  <si>
    <t xml:space="preserve">Tehničke karakteristike: </t>
  </si>
  <si>
    <t>Qh  = 2,2 kW (to=35°C ST / 24°C VT; ti=27°C )</t>
  </si>
  <si>
    <t>Qg  = 2,5 kW (to=7°C ST / 6°C VT; ti=20°C ST)</t>
  </si>
  <si>
    <t>V = 620 / 810 / 1000 m3/h</t>
  </si>
  <si>
    <t>Zvučni tlak (1m) = 25 / 27 /30 dB(A)</t>
  </si>
  <si>
    <t>Rashladno sredstvo R-410A</t>
  </si>
  <si>
    <t>Napajanje = 220 - 230V / 1 Ph / 50 - 60 Hz</t>
  </si>
  <si>
    <t>Dimenzije (v/š/d) =  183/840/840 mm</t>
  </si>
  <si>
    <t>Dimenzije panela (v/š/d) =  50 / 950 / 950 mm</t>
  </si>
  <si>
    <t>Masa (panel): 25 (6,5) kg</t>
  </si>
  <si>
    <t>Priključci za freonsku instalaciju: 6,35 / 9,52 mm</t>
  </si>
  <si>
    <t>2.2</t>
  </si>
  <si>
    <t>Qh  = 2,8 kW (to=35°C ST / 24°C VT; ti=27°C )</t>
  </si>
  <si>
    <t>Qg  = 3,2 kW (to=7°C ST / 6°C VT; ti=20°C ST)</t>
  </si>
  <si>
    <t>2.3.</t>
  </si>
  <si>
    <t>Qh  = 3,6 kW (to=35°C ST / 24°C VT; ti=27°C )</t>
  </si>
  <si>
    <t>Qg  = 4 kW (to=7°C ST / 6°C VT; ti=20°C ST)</t>
  </si>
  <si>
    <t>Priključci za freonsku instalaciju: 6,35 / 12,7 mm</t>
  </si>
  <si>
    <t>2.4.</t>
  </si>
  <si>
    <t>Qh  = 4,5 kW (to=35°C ST / 24°C VT; ti=27°C )</t>
  </si>
  <si>
    <t>Qg  = 5 kW (to=7°C ST / 6°C VT; ti=20°C ST)</t>
  </si>
  <si>
    <t>Zvučni tlak (1m) = 27 / 29 /32 dB(A)</t>
  </si>
  <si>
    <t>2.5.</t>
  </si>
  <si>
    <t>Qh  = 5,6 kW (to=35°C ST / 24°C VT; ti=27°C )</t>
  </si>
  <si>
    <t>Qg  = 6,3 kW (to=7°C ST / 6°C VT; ti=20°C ST)</t>
  </si>
  <si>
    <t>Zvučni tlak (1m) = 29 / 30 /33 dB(A)</t>
  </si>
  <si>
    <t>2.6.</t>
  </si>
  <si>
    <t>Qh  = 9 kW (to=35°C ST / 24°C VT; ti=27°C )</t>
  </si>
  <si>
    <t>Qg  = 10 kW (to=7°C ST / 6°C VT; ti=20°C ST)</t>
  </si>
  <si>
    <t>V = 1670 / 1860 / 2050 m3/h</t>
  </si>
  <si>
    <t>Zvučni tlak (1m) = 31 / 35 /37 dB(A)</t>
  </si>
  <si>
    <t>Dimenzije (v/š/d) =  246/840/840 mm</t>
  </si>
  <si>
    <t>Priključci za freonsku instalaciju: 9,52 / 15,88 mm</t>
  </si>
  <si>
    <t>31.03.</t>
  </si>
  <si>
    <r>
      <rPr>
        <sz val="9"/>
        <color rgb="FF000000"/>
        <rFont val="Arial"/>
        <family val="2"/>
        <charset val="1"/>
      </rPr>
      <t>Dobava, ugradnja i spajanje - Zidni žičani upravljač sa zaslonom osjetljivim na dodir za upravljanje unutarnjim jedinicama</t>
    </r>
    <r>
      <rPr>
        <sz val="9"/>
        <rFont val="Arial"/>
        <family val="2"/>
        <charset val="238"/>
      </rPr>
      <t xml:space="preserve"> VMV</t>
    </r>
    <r>
      <rPr>
        <sz val="9"/>
        <color rgb="FF000000"/>
        <rFont val="Arial"/>
        <family val="2"/>
        <charset val="238"/>
      </rPr>
      <t xml:space="preserve"> sustava. Upravljač upravlja funkcijama: uključivanja / isključivanja, odabira režima rada, podešavanja brzine ventilatora, preciznog podešavanja temperature s korakom od 0,5 °C, podešavanja položaja istrujnih lamela te podešavanja programskog sata. Upravljačje također opremljen funkcijama za  prikaz greške te dojavom o zaprljanosti filtra.</t>
    </r>
  </si>
  <si>
    <t>Upravljač se standardno isporučuje s ugrađenim osjetnikom vlažnosti zraka.</t>
  </si>
  <si>
    <t>Upravljač ima ugrađen prijamnik za signal IC daljinskog upravljača što omogućuje lakše upravljanje kanalnim jeidnicama.</t>
  </si>
  <si>
    <t>Upravljanje je moguće samo jednom unutarnjom jedinicom, odnosno grupom do 16 jedinica u master - slave načinu rada</t>
  </si>
  <si>
    <t>31.04.</t>
  </si>
  <si>
    <t>Dobava i ugradnja - Bakrene Y-račve za spajanje cjevovoda za distribuciju radne tvari. Komplet se sastoji od 2 izolirana komada za parnu i za tekuću fazu te pripadajućih redukcija.</t>
  </si>
  <si>
    <t>31.05.</t>
  </si>
  <si>
    <t xml:space="preserve">Dobava, ugradnja i spajanje - Centralni zidni žičani upravljač  s LCD zaslonom osjetljivim na dodir u boji, s pozadinskim osvjetljenjem. Upravljač ima funkcije upravljanja i nadzora do 64 unutarnje jedinice uključujući odabir režima rada, promjenu brzine istrujavanja zraka, podešavanje temperature, uključivanje / isključivanje, povijesni prikaz grešaka.  Upravljač ima mogućnost podešavanja tjednog programabilnog sata. Može upravljati svakom jedinicom individualno, povezivati više jedinica u grupe te centralno upravljati svim unutarnjim jedinicama. </t>
  </si>
  <si>
    <t>Na upravljaču je moguće podesiti ograničenje rada sustava samo u hlađenju ili samo u grijanju, a moguće je i podesiti automatsko pomicanje sata prema ljetnom, odnosno zimskom vremenu.</t>
  </si>
  <si>
    <t>Upravljač ima mogućnost ograničavanja set ponit temperature u grijanju i hlađenju kako bi se postigla ušteda energije</t>
  </si>
  <si>
    <t>Na upravljaču je moguće djelomično ili potpuno ograničiti uporabu lokalnih žičanih, odnosno infracrvenih upravljača.</t>
  </si>
  <si>
    <t>Upravljač ima mogućnost priključka WIFI modula za centralno upravljanje jedinicama u sustavu</t>
  </si>
  <si>
    <t>Upravljač ima priključke za:
- ulazni signal protupožarnog alarma 
- povezivanje na centralni nadzorno- upravljački sustav putem Modbus (RTU) protokola</t>
  </si>
  <si>
    <t>31.06.</t>
  </si>
  <si>
    <t>Dobava, ugradnja i spajanje - Vanjska jedinica split sustava (reverzibilna dizalica topline), serija M, zaštićena od vremenskih utjecaja, s ugrađenim kompresorom s inverterskom regulacijom snage i potrošnje, te svim potrebnim elementima za zaštitu, kontrolu i regulaciju uređaja i funkcionalan rad, sljedećih tehničkih značajki:</t>
  </si>
  <si>
    <r>
      <rPr>
        <sz val="9"/>
        <rFont val="Arial"/>
        <family val="2"/>
        <charset val="1"/>
      </rPr>
      <t>- nominalni učinak hlađenja: Q</t>
    </r>
    <r>
      <rPr>
        <vertAlign val="subscript"/>
        <sz val="12"/>
        <rFont val="Arial"/>
        <family val="2"/>
        <charset val="238"/>
      </rPr>
      <t>hl</t>
    </r>
    <r>
      <rPr>
        <sz val="12"/>
        <rFont val="Arial"/>
        <family val="2"/>
        <charset val="238"/>
      </rPr>
      <t xml:space="preserve"> =  3,5 (1,1 - 3,8) kW </t>
    </r>
  </si>
  <si>
    <t>- apsorbirana snaga: 0,990 kW / 230 V / 1 faza / 50 Hz</t>
  </si>
  <si>
    <t>- godišnja potrošnja: 142 kWh/g</t>
  </si>
  <si>
    <t>- sezonska energetska učinkovitost:  SEER = A+++ (8,6)</t>
  </si>
  <si>
    <r>
      <rPr>
        <sz val="9"/>
        <rFont val="Arial"/>
        <family val="2"/>
        <charset val="1"/>
      </rPr>
      <t>- nominalni učinak grijanja:   Q</t>
    </r>
    <r>
      <rPr>
        <vertAlign val="subscript"/>
        <sz val="9"/>
        <rFont val="Arial"/>
        <family val="2"/>
        <charset val="238"/>
      </rPr>
      <t>gr</t>
    </r>
    <r>
      <rPr>
        <sz val="9"/>
        <rFont val="Arial"/>
        <family val="2"/>
        <charset val="238"/>
      </rPr>
      <t xml:space="preserve"> =  4,0 (1,3 - 4,6) kW </t>
    </r>
  </si>
  <si>
    <t>- apsorbirana snaga: 1,030 kW / 230 V / 1 faza / 50 Hz</t>
  </si>
  <si>
    <t>- učinak grijanja: - pri referentnoj temperaturi(-10 °C): 2,9 kW</t>
  </si>
  <si>
    <t xml:space="preserve">                           - pri bivalentnoj temperaturi (-10 °C): 2,9 kW</t>
  </si>
  <si>
    <t xml:space="preserve">          - pri min. temperaturi radnog područja (-15 °C): 2,6 kW</t>
  </si>
  <si>
    <t xml:space="preserve">- snaga pomoćnog elektrogrijača: 0,0 kW </t>
  </si>
  <si>
    <t>- godišnja potrošnja: 862  kWh/g</t>
  </si>
  <si>
    <t>- sezonska energetska učinkovitost:  SCOP = A++ (4,7)</t>
  </si>
  <si>
    <r>
      <rPr>
        <sz val="9"/>
        <rFont val="Arial"/>
        <family val="2"/>
        <charset val="1"/>
      </rPr>
      <t>- protok zraka - hlađenje:  32,2 m</t>
    </r>
    <r>
      <rPr>
        <vertAlign val="superscript"/>
        <sz val="12"/>
        <rFont val="Arial"/>
        <family val="2"/>
        <charset val="238"/>
      </rPr>
      <t>3</t>
    </r>
    <r>
      <rPr>
        <sz val="12"/>
        <rFont val="Arial"/>
        <family val="2"/>
        <charset val="238"/>
      </rPr>
      <t>/min</t>
    </r>
  </si>
  <si>
    <r>
      <rPr>
        <sz val="9"/>
        <rFont val="Arial"/>
        <family val="2"/>
        <charset val="1"/>
      </rPr>
      <t>- protok zraka - grijanje:  33,8 m</t>
    </r>
    <r>
      <rPr>
        <vertAlign val="superscript"/>
        <sz val="12"/>
        <rFont val="Arial"/>
        <family val="2"/>
        <charset val="238"/>
      </rPr>
      <t>3</t>
    </r>
    <r>
      <rPr>
        <sz val="12"/>
        <rFont val="Arial"/>
        <family val="2"/>
        <charset val="238"/>
      </rPr>
      <t>/min</t>
    </r>
  </si>
  <si>
    <t xml:space="preserve">- područje hlađenja: -10 °C do +46°C </t>
  </si>
  <si>
    <t xml:space="preserve">- područje grijanja:   -15 °C do +24 °C </t>
  </si>
  <si>
    <t>- nivo zvučnog tlaka - hlađenje (SPL): 49 dB (A)</t>
  </si>
  <si>
    <t>- nivo zvučne snage - hlađenje(PWL): 61 dB (A)</t>
  </si>
  <si>
    <t>- nivo zvučnog tlaka - grijanje(SPL): 50 dB (A)</t>
  </si>
  <si>
    <t xml:space="preserve">- dimenzije: V × Š × D: 550 × 800 × 285 mm    </t>
  </si>
  <si>
    <t>- masa: 31 kg</t>
  </si>
  <si>
    <t>- maksimalna dozvoljena duljina cijevnog razvoda: 20 m</t>
  </si>
  <si>
    <t>- maksimalna dozvoljena visina cijevnog razvoda: 12 m</t>
  </si>
  <si>
    <t>- priključak R32 - tekuća faza: 6,35 mm</t>
  </si>
  <si>
    <t>- priključak R32 - plinovita faza: 9,52 mm</t>
  </si>
  <si>
    <t>31.07.</t>
  </si>
  <si>
    <t>Dobava, ugradnja i spajanje - Unutarnja jedinica inverter sustava s maskom, opremljena ventilatorom s 5-brzinskim elektromotorom, izmjenjivačem topline s direktnom ekspanzijom freona, te svim potrebnim elementima za zaštitu, kontrolu i regulaciju uređaja i temperature, sljedećih tehničkih značajki:</t>
  </si>
  <si>
    <r>
      <rPr>
        <sz val="9"/>
        <rFont val="Arial"/>
        <family val="2"/>
        <charset val="1"/>
      </rPr>
      <t>- učinak hlađenja: Q</t>
    </r>
    <r>
      <rPr>
        <vertAlign val="subscript"/>
        <sz val="9"/>
        <rFont val="Arial"/>
        <family val="2"/>
        <charset val="238"/>
      </rPr>
      <t xml:space="preserve">h </t>
    </r>
    <r>
      <rPr>
        <sz val="9"/>
        <rFont val="Arial"/>
        <family val="2"/>
        <charset val="238"/>
      </rPr>
      <t>= 3,5 (1,1 - 3,8) kW</t>
    </r>
  </si>
  <si>
    <r>
      <rPr>
        <sz val="9"/>
        <rFont val="Arial"/>
        <family val="2"/>
        <charset val="1"/>
      </rPr>
      <t>- učinak grijanja:   Q</t>
    </r>
    <r>
      <rPr>
        <vertAlign val="subscript"/>
        <sz val="9"/>
        <rFont val="Arial"/>
        <family val="2"/>
        <charset val="238"/>
      </rPr>
      <t xml:space="preserve">g </t>
    </r>
    <r>
      <rPr>
        <sz val="9"/>
        <rFont val="Arial"/>
        <family val="2"/>
        <charset val="238"/>
      </rPr>
      <t>= 4,0 (1,3 - 4,6) kW</t>
    </r>
  </si>
  <si>
    <t>- medij: R32</t>
  </si>
  <si>
    <t>- razina zvučnog tlaka (SPL) - hlađenje: 19 - 24 - 30 - 36 - 42 dB (A)</t>
  </si>
  <si>
    <t>- razina zvučne snage (PWL) - hlađenje: 57 dB (A)</t>
  </si>
  <si>
    <t>- razina zvučnog tlaka (SPL) - grijanje: 19 - 24 - 31 - 38 - 45 dB (A)</t>
  </si>
  <si>
    <t>- količina zraka - hlađenje: V=  4,9 - 5,9 - 7,1 - 8,7 - 11,4 m3/min</t>
  </si>
  <si>
    <t>- količina zraka - grijanje: V=  4,9 - 5,9 - 7,3 - 8,9 - 12,9 m3/min</t>
  </si>
  <si>
    <t>- dimenzije: V × Š × D = 299 x 798 x 219 mm</t>
  </si>
  <si>
    <t>- masa: 10,5 kg</t>
  </si>
  <si>
    <t>uključivo:</t>
  </si>
  <si>
    <t>- infracrveni daljinski upravljač sa 7-dnevnim timerom i satom</t>
  </si>
  <si>
    <t>31.08.</t>
  </si>
  <si>
    <t>Dobava i ugradnja - Bakreni odmašćeni cjevovodi za radni tlak do 50 bar, izolirani profesionalnom fleksibilnom izolacijom za pouzdanu kontinuiranu kontrolu kondenzacije izolacijom 13mm s parnom branom, uključivo potrebni fazonski komadi (koljena, spojnice) i ovjesni pribor, dimenzije:</t>
  </si>
  <si>
    <t>ø 6,40 mm</t>
  </si>
  <si>
    <t xml:space="preserve">ø 9,52 mm </t>
  </si>
  <si>
    <t>ø 12,7 mm</t>
  </si>
  <si>
    <t xml:space="preserve">ø 15,9 mm </t>
  </si>
  <si>
    <t xml:space="preserve">ø 19,05 mm </t>
  </si>
  <si>
    <t xml:space="preserve">ø 22,22 mm </t>
  </si>
  <si>
    <t xml:space="preserve">ø 25,4 mm </t>
  </si>
  <si>
    <t xml:space="preserve">ø 28,6 mm </t>
  </si>
  <si>
    <t>31.09.</t>
  </si>
  <si>
    <t>Dobava i ugradnja - PVC cijevi za odvod kondezata sa unutarnjih i vanjskih rashladnih jedinica i spajanje na odvode.</t>
  </si>
  <si>
    <t>Polaganje cijevi  u/po zidu u zaštitnim kanalicama.</t>
  </si>
  <si>
    <t>Stavka uključuje fitinge i sav ovjesni pribor, standardne PVC kanalice te zaštitne cijevi većeg promjera za prolaz kroz zidove i ploče.</t>
  </si>
  <si>
    <t>d 50</t>
  </si>
  <si>
    <t>31.10.</t>
  </si>
  <si>
    <t>Izrada priključka za spoj PVC cijevi za odvod kondezata sa sifonskim nastavkom umivaonika ili sudopera, kompletno sa brtvljenjem.</t>
  </si>
  <si>
    <t>Stavka uključuje potrebne fitinge.</t>
  </si>
  <si>
    <t>Priključak izvesti za dimenzije cijevi d32 i d50</t>
  </si>
  <si>
    <t>Obračun prema stvarno izvedenom broju priključaka uz kontrolu od strane nadzorne službe.</t>
  </si>
  <si>
    <t>31.11.</t>
  </si>
  <si>
    <t>Dobava i ugradnja - Toplinska izolacija cijevi rashladnog medija s parnom branom za izolaciju armatura i cjevovoda od negorivog materijala, parozaporna izrađen u obliku cijevi, isporučen sa materijalom potrebnim za montažu, slijedećih količina i dimenzija debljina i dimenzija:</t>
  </si>
  <si>
    <t xml:space="preserve">Ø 32 (d = 9 mm) </t>
  </si>
  <si>
    <t xml:space="preserve">Ø 50 (d = 9 mm) </t>
  </si>
  <si>
    <t>31.12.</t>
  </si>
  <si>
    <t>Dobava i ugradnja - PVC kanalice za razvod freonskih cijevi i odvoda kondezata sa unutarnjih rashladnih jedinica. Stavka uključuje sav ovjesni i pričvrsni pribor.</t>
  </si>
  <si>
    <t>dimenzije 60 x 60 mm</t>
  </si>
  <si>
    <t>dimenzije 40 x 40 mm</t>
  </si>
  <si>
    <t>31.13.</t>
  </si>
  <si>
    <t>Dobava i ugradnja - Podžbukni/nadžbukni ugradbeni sifona za klima -uređaje za sprečavanje neugodnih mirisa iz odvodnih sustava. 
Priključak za cijevi od 20 - 32 mm. Skraćivanjem podesiva građevinska zaštita. Minimalna ugradna dubina je 60 mm.</t>
  </si>
  <si>
    <t>Obračun prema stvarno izvedenom broju elemenata uz kontrolu od strane nadzorne službe.</t>
  </si>
  <si>
    <t>31.14.</t>
  </si>
  <si>
    <t>Izrada betonskih temelja za smještaj vanjske jedinice, uključivo sav građevinski materijal i armaturna mreža. Temeljni blokovi na donjem dijelu moraju biti obloženi gumom.</t>
  </si>
  <si>
    <t>a x b = 1650 x 1000 mm, h = 150 mm</t>
  </si>
  <si>
    <t>31.15.</t>
  </si>
  <si>
    <t>Dobava ovjesnog materijal za učvršćenje komplet unutarnjih jedinica (vijci, navojne šipke, obujmice, tiple i drugo).</t>
  </si>
  <si>
    <t>31.16.</t>
  </si>
  <si>
    <t>Dobava ovjesnog materijal za učvršćenje kompleta bakrenih i PVC cijevi. (vijci, navojne šipke, obujmice, tiple i drugo).</t>
  </si>
  <si>
    <t>31.17.</t>
  </si>
  <si>
    <t xml:space="preserve">Sitni potrošni materijal za tvrdo lemljenje u stavku uključen, inertni plin (dušik) za ostvarivanje zaštitne atmosfere prilikom tvrdog lemljenja  cijevi (tvrdi lem sa dodatkom 30% srebra  prema DIN EN 1045 ili jednakovrijedno  kao dodatni materijal za spajanje cijevi,  plin i kisik i dr.) </t>
  </si>
  <si>
    <t>31.18.</t>
  </si>
  <si>
    <t>mineralna vuna na Al foliji ( debljine s = 30 mm) – evakuacijski putevi</t>
  </si>
  <si>
    <t>31.19.</t>
  </si>
  <si>
    <t>Dobava i ugradnja - Izolacija cijevnog razvoda u vanjskom prostoru mineralnom vunom debljine s=30mm u oblozi od Al lima debljine 0,7 mm.</t>
  </si>
  <si>
    <t>31.20.</t>
  </si>
  <si>
    <t>Dobava i ugradnja - Sredstvo za hlađenje R410A za nadopunjavanje sustava</t>
  </si>
  <si>
    <t>31.21.</t>
  </si>
  <si>
    <t>Dodatni radovi na instalaciji prilikom izvedbe instalacije:</t>
  </si>
  <si>
    <t>31.22.</t>
  </si>
  <si>
    <t>Puštanje u pogon centralnog upravljanja od strane ovlaštenog servisa.</t>
  </si>
  <si>
    <t>31.23.</t>
  </si>
  <si>
    <t>Izrada građevinskih prodora za prolaz cijevi. Stavaka se odnosi na sve potrebne horizontalne i vertikalne prodore prema grafičkom prikazu.</t>
  </si>
  <si>
    <t>31.24.</t>
  </si>
  <si>
    <t>Izrada revizijskih otvora 45 x 45cm sa vratašcima i bravom.</t>
  </si>
  <si>
    <t>31.25.</t>
  </si>
  <si>
    <t>Obuka osoblja, izrada uputstva za rad i održavanje cjelokupne opreme te kompletne atestne dokumentacije. Puštanje u pogon MRV rashladnih sustava uključivo montaža sa ispuhivanjem cijevnog razvoda te tlačna proba sa N2 (dušik) na 33 bara u trajanju 24 sati, vakumiranje cijevnog razvoda, sa nadopunjavanjem ekološkog plina R 410 A prema uputama proizvođaća,  od strane ovlaštenog servisa uz izdavanje potrebnih uputa za korištenje, atesta i garancija.</t>
  </si>
  <si>
    <t>Ispitivanje propusnosti odvoda kondenzata u trajanju od 24 sata.</t>
  </si>
  <si>
    <t>Probni pogon u trajanju 120 sati s dovođenjem postrojenja u radno stanje.</t>
  </si>
  <si>
    <t>Ponuditelj se prije izrade ponude treba upoznati sa lokacijom smještaja opreme i načinom pristupa prilikom montaže.</t>
  </si>
  <si>
    <t>Transport kompletne naprijed specificirane opreme  do mjesta ugradnje, uključivo vertikalni transport  i raznošenje opreme,  materijala i alata po gradilištu, te odvoz preostalog sa gradilišta.</t>
  </si>
  <si>
    <t xml:space="preserve">U K U P N O   31.00.: </t>
  </si>
  <si>
    <t xml:space="preserve">32.00.   INSTALACIJA VENTILACIJE REKUPERATOROM I VENTILACIJE SANITARIJA </t>
  </si>
  <si>
    <t>32.01.</t>
  </si>
  <si>
    <t>Dobava, ugradnja i spajanje - Podstropna klima komora za unutarnju ugradnju i priključenje na kanalni razvod. Uređaj ima funkcije filtriranja zraka i rekuperacije topline iz otpadnog zraka, koja se predaje na svježi zrak koji se ubacuje u prostor. Uređaj zadovoljava smjernice ErP Ecodesign 2018.</t>
  </si>
  <si>
    <t>Uređaj je izrađen od poliuretanskih sendvič panela debljine 24 mm, s kružnim priključcima za dovod i odvod zraka, te se sastoji od tlačnog i odsisnog frekventno reguliranog ventilatora s EC motorima, filtera klase F7 na svježem zraku i klase M6 na povratnom zraku, presostatima za kontrolu zaprljanosti filtera, pločastog izmjenjivača topline od aluminija s by-pass zaklopkom za slobodno hlađenje i okapnice kondenzata.</t>
  </si>
  <si>
    <t xml:space="preserve">Uz rekuperator se isporučuje elektro-upravljački ormarić s mogućnošću priključenja na ModBus i zidni upravljač s LCD prikazom radnih parametara za regulaciju brzine ventilatora i temperature, s mogućnošću vođenja putem indikacije CO2, te tjednim programskim satom. Uz rekuperator se također isporučuje i električni predgrijač. </t>
  </si>
  <si>
    <t>izolacijski materijal panela: poliuretan</t>
  </si>
  <si>
    <r>
      <rPr>
        <sz val="9"/>
        <rFont val="Arial"/>
        <family val="2"/>
        <charset val="1"/>
      </rPr>
      <t>gustoća izolacijskog materijala: 45 kg/m</t>
    </r>
    <r>
      <rPr>
        <vertAlign val="superscript"/>
        <sz val="12"/>
        <color rgb="FF000000"/>
        <rFont val="Calibri"/>
        <family val="2"/>
        <charset val="238"/>
      </rPr>
      <t>3</t>
    </r>
  </si>
  <si>
    <t>zvučna snaga na kučištu uređaja: 56 dB(A)</t>
  </si>
  <si>
    <r>
      <rPr>
        <sz val="9"/>
        <rFont val="Arial"/>
        <family val="2"/>
        <charset val="1"/>
      </rPr>
      <t>Maksimalni protok zraka: 1150 m</t>
    </r>
    <r>
      <rPr>
        <vertAlign val="superscript"/>
        <sz val="12"/>
        <color rgb="FF000000"/>
        <rFont val="Calibri"/>
        <family val="2"/>
        <charset val="238"/>
      </rPr>
      <t>3</t>
    </r>
    <r>
      <rPr>
        <sz val="12"/>
        <rFont val="Arial"/>
        <family val="2"/>
        <charset val="238"/>
      </rPr>
      <t xml:space="preserve">/h </t>
    </r>
  </si>
  <si>
    <t xml:space="preserve">Kriterij za ocjenu jednakovrijednosti: </t>
  </si>
  <si>
    <r>
      <rPr>
        <sz val="9"/>
        <rFont val="Arial"/>
        <family val="2"/>
        <charset val="1"/>
      </rPr>
      <t>Δ</t>
    </r>
    <r>
      <rPr>
        <sz val="12"/>
        <color rgb="FF000000"/>
        <rFont val="Calibri"/>
        <family val="2"/>
        <charset val="238"/>
      </rPr>
      <t>p</t>
    </r>
    <r>
      <rPr>
        <vertAlign val="subscript"/>
        <sz val="12"/>
        <color rgb="FF000000"/>
        <rFont val="Calibri"/>
        <family val="2"/>
        <charset val="238"/>
      </rPr>
      <t xml:space="preserve">EXT TLAK </t>
    </r>
    <r>
      <rPr>
        <sz val="12"/>
        <color rgb="FF000000"/>
        <rFont val="Calibri"/>
        <family val="2"/>
        <charset val="238"/>
      </rPr>
      <t>nazivno: 220 Pa</t>
    </r>
  </si>
  <si>
    <r>
      <rPr>
        <sz val="9"/>
        <rFont val="Arial"/>
        <family val="2"/>
        <charset val="1"/>
      </rPr>
      <t>Δ</t>
    </r>
    <r>
      <rPr>
        <sz val="12"/>
        <color rgb="FF000000"/>
        <rFont val="Calibri"/>
        <family val="2"/>
        <charset val="238"/>
      </rPr>
      <t>p</t>
    </r>
    <r>
      <rPr>
        <vertAlign val="subscript"/>
        <sz val="12"/>
        <color rgb="FF000000"/>
        <rFont val="Calibri"/>
        <family val="2"/>
        <charset val="238"/>
      </rPr>
      <t xml:space="preserve">EXT ODSIS </t>
    </r>
    <r>
      <rPr>
        <sz val="12"/>
        <color rgb="FF000000"/>
        <rFont val="Calibri"/>
        <family val="2"/>
        <charset val="238"/>
      </rPr>
      <t>nazivno: 220 Pa</t>
    </r>
  </si>
  <si>
    <r>
      <rPr>
        <sz val="9"/>
        <rFont val="Arial"/>
        <family val="2"/>
        <charset val="1"/>
      </rPr>
      <t>SFP</t>
    </r>
    <r>
      <rPr>
        <vertAlign val="subscript"/>
        <sz val="9"/>
        <color rgb="FF000000"/>
        <rFont val="Calibri"/>
        <family val="2"/>
        <charset val="238"/>
      </rPr>
      <t>int</t>
    </r>
    <r>
      <rPr>
        <sz val="9"/>
        <rFont val="Arial"/>
        <family val="2"/>
        <charset val="238"/>
      </rPr>
      <t>/SFP</t>
    </r>
    <r>
      <rPr>
        <vertAlign val="subscript"/>
        <sz val="9"/>
        <color rgb="FF000000"/>
        <rFont val="Calibri"/>
        <family val="2"/>
        <charset val="238"/>
      </rPr>
      <t>int lim 2018</t>
    </r>
    <r>
      <rPr>
        <sz val="9"/>
        <rFont val="Arial"/>
        <family val="2"/>
        <charset val="238"/>
      </rPr>
      <t xml:space="preserve"> : 1165/1262 W/m</t>
    </r>
    <r>
      <rPr>
        <vertAlign val="superscript"/>
        <sz val="9"/>
        <color rgb="FF000000"/>
        <rFont val="Calibri"/>
        <family val="2"/>
        <charset val="238"/>
      </rPr>
      <t>3</t>
    </r>
    <r>
      <rPr>
        <sz val="9"/>
        <rFont val="Arial"/>
        <family val="2"/>
        <charset val="238"/>
      </rPr>
      <t>/s - za nominalni protok zraka</t>
    </r>
  </si>
  <si>
    <t>Zima</t>
  </si>
  <si>
    <r>
      <rPr>
        <sz val="9"/>
        <color rgb="FF000000"/>
        <rFont val="Arial"/>
        <family val="2"/>
        <charset val="1"/>
      </rPr>
      <t>t</t>
    </r>
    <r>
      <rPr>
        <vertAlign val="subscript"/>
        <sz val="9"/>
        <color rgb="FF000000"/>
        <rFont val="Calibri"/>
        <family val="2"/>
        <charset val="238"/>
      </rPr>
      <t>unut</t>
    </r>
    <r>
      <rPr>
        <sz val="9"/>
        <color rgb="FF000000"/>
        <rFont val="Calibri"/>
        <family val="2"/>
        <charset val="238"/>
      </rPr>
      <t xml:space="preserve"> = 20°C/50% r.v.</t>
    </r>
  </si>
  <si>
    <r>
      <rPr>
        <sz val="9"/>
        <color rgb="FF000000"/>
        <rFont val="Arial"/>
        <family val="2"/>
        <charset val="1"/>
      </rPr>
      <t>t</t>
    </r>
    <r>
      <rPr>
        <vertAlign val="subscript"/>
        <sz val="9"/>
        <color rgb="FF000000"/>
        <rFont val="Calibri"/>
        <family val="2"/>
        <charset val="238"/>
      </rPr>
      <t>v</t>
    </r>
    <r>
      <rPr>
        <sz val="9"/>
        <color rgb="FF000000"/>
        <rFont val="Calibri"/>
        <family val="2"/>
        <charset val="238"/>
      </rPr>
      <t xml:space="preserve"> = -10°C/80% r.v.</t>
    </r>
  </si>
  <si>
    <r>
      <rPr>
        <sz val="9"/>
        <color rgb="FF000000"/>
        <rFont val="Arial"/>
        <family val="2"/>
        <charset val="1"/>
      </rPr>
      <t>η</t>
    </r>
    <r>
      <rPr>
        <vertAlign val="subscript"/>
        <sz val="9"/>
        <color rgb="FF000000"/>
        <rFont val="Calibri"/>
        <family val="2"/>
        <charset val="238"/>
      </rPr>
      <t>REKmaxgr</t>
    </r>
    <r>
      <rPr>
        <sz val="9"/>
        <color rgb="FF000000"/>
        <rFont val="Calibri"/>
        <family val="2"/>
        <charset val="238"/>
      </rPr>
      <t xml:space="preserve"> = 90%</t>
    </r>
  </si>
  <si>
    <r>
      <rPr>
        <sz val="9"/>
        <color rgb="FF000000"/>
        <rFont val="Arial"/>
        <family val="2"/>
        <charset val="1"/>
      </rPr>
      <t>P</t>
    </r>
    <r>
      <rPr>
        <vertAlign val="subscript"/>
        <sz val="9"/>
        <color rgb="FF000000"/>
        <rFont val="Calibri"/>
        <family val="2"/>
        <charset val="238"/>
      </rPr>
      <t>el</t>
    </r>
    <r>
      <rPr>
        <sz val="9"/>
        <color rgb="FF000000"/>
        <rFont val="Calibri"/>
        <family val="2"/>
        <charset val="238"/>
      </rPr>
      <t xml:space="preserve"> = 770 W</t>
    </r>
  </si>
  <si>
    <r>
      <rPr>
        <sz val="9"/>
        <color rgb="FF000000"/>
        <rFont val="Arial"/>
        <family val="2"/>
        <charset val="1"/>
      </rPr>
      <t>I</t>
    </r>
    <r>
      <rPr>
        <vertAlign val="subscript"/>
        <sz val="9"/>
        <color rgb="FF000000"/>
        <rFont val="Calibri"/>
        <family val="2"/>
        <charset val="238"/>
      </rPr>
      <t>max</t>
    </r>
    <r>
      <rPr>
        <sz val="9"/>
        <color rgb="FF000000"/>
        <rFont val="Calibri"/>
        <family val="2"/>
        <charset val="238"/>
      </rPr>
      <t xml:space="preserve"> = 3,4 A</t>
    </r>
  </si>
  <si>
    <t>el. napajanje: 230/1ph+N/50 Hz</t>
  </si>
  <si>
    <t>Dimenzije uređaja (V/Š/D): 385/1150/1750 mm</t>
  </si>
  <si>
    <t>Masa: 140 kg</t>
  </si>
  <si>
    <t>Elektrogrijač:</t>
  </si>
  <si>
    <t>Električna snaga: 3 kW</t>
  </si>
  <si>
    <r>
      <rPr>
        <sz val="9"/>
        <color rgb="FF000000"/>
        <rFont val="Arial"/>
        <family val="2"/>
        <charset val="1"/>
      </rPr>
      <t>I</t>
    </r>
    <r>
      <rPr>
        <vertAlign val="subscript"/>
        <sz val="12"/>
        <color rgb="FF000000"/>
        <rFont val="Calibri"/>
        <family val="2"/>
        <charset val="238"/>
      </rPr>
      <t>max</t>
    </r>
    <r>
      <rPr>
        <sz val="12"/>
        <color rgb="FF000000"/>
        <rFont val="Calibri"/>
        <family val="2"/>
        <charset val="238"/>
      </rPr>
      <t xml:space="preserve"> = 13,0 A</t>
    </r>
  </si>
  <si>
    <t>Napajanje: 230/1ph+N/50 Hz</t>
  </si>
  <si>
    <t>Promjer priključka na kanal: 250 mm</t>
  </si>
  <si>
    <t>kpl.</t>
  </si>
  <si>
    <t>32.02.</t>
  </si>
  <si>
    <t>Dobava i ugradnja - Fleksibilne aluminijske spiro cijevi za instalaciju ventilacije konferencijske dvorane.
S obostranim obujmicama  cca 1 metar dužine sljedećih dimenzija i količina:</t>
  </si>
  <si>
    <t>ø 200 mm</t>
  </si>
  <si>
    <t>ø 250 mm</t>
  </si>
  <si>
    <t>ø 315 mm</t>
  </si>
  <si>
    <t>32.03.</t>
  </si>
  <si>
    <t>Dobava, ugradnja i spajanje - Ventilacijske rešetke za ventilaciju konferencijske dvorane koje se ugrađuju na ventilacijske kanale.  Lamele  su vertikalne i pomične, izrađene od Al-profila eloksiranih u prirodnoj boji. Ugradnja u otvor s ugradbenim okvirom, sljedećih dimenzija i količina:</t>
  </si>
  <si>
    <t>CCH 2 - 525 x 75 mm</t>
  </si>
  <si>
    <t>32.04.</t>
  </si>
  <si>
    <t>Dobava i ugradnja - Fiksne žaluzine izrađene  iz  profiliranog  Al lima eloksiranog u prirodnoj boji aluminija. Profilirane lamele žaluzine sprječavaju ulazak  padalina  a  pocinčana  mrežica  sprječava  ulazak ptica,  miševa,  lišća  i  većih  insekta  izvana   u  sustav klimatizacije-ventilacije.  Uključivo s ugradbenim okvirima, sljedećih dimenzija i količina:</t>
  </si>
  <si>
    <t>AFZM 397 x 397 mm</t>
  </si>
  <si>
    <t>32.05.</t>
  </si>
  <si>
    <t xml:space="preserve">Dobava, ugradnja i spajanje - Odsisni ventilator sanitarija kao  Ø 125      </t>
  </si>
  <si>
    <t xml:space="preserve">- s ugrađenom nepovratnom zaklopkom </t>
  </si>
  <si>
    <t>- upravljanje preko prekidača rasvjete</t>
  </si>
  <si>
    <t xml:space="preserve">- s vremenskim relejem          </t>
  </si>
  <si>
    <t xml:space="preserve">Kapacitet:  q = 60 / 120 m³/h    </t>
  </si>
  <si>
    <t>Pad tlaka:  Δp = 100 / 150 Pa</t>
  </si>
  <si>
    <t xml:space="preserve">Napajanje: 230 V / 50 Hz            </t>
  </si>
  <si>
    <t>Snaga:       18 W</t>
  </si>
  <si>
    <t>32.06.</t>
  </si>
  <si>
    <t>Dobava i ugradnja - Ventilacijske rešetke za prirodnu ventilaciju konferencijske prostorije. Lamele  su vertikalne i izrađene od Al-profila eloksiranih u prirodnoj boji. Ugradnja u otvor s ugradbenim okvirom, sljedećih dimenzija i količina:</t>
  </si>
  <si>
    <t>200 x 200 mm</t>
  </si>
  <si>
    <t>32.07.</t>
  </si>
  <si>
    <t>Dobava i ugradnja - Fleksibilne aluminijske spiro cijevi za instalaciju ventilacije sanitarija.
S obostranim obujmicama  cca 1 metar dužine sljedećih dimenzija i količina:</t>
  </si>
  <si>
    <t>ø 125 mm</t>
  </si>
  <si>
    <t>32.08.</t>
  </si>
  <si>
    <t xml:space="preserve">Dobava i ugradnja - Samopodizna pretlačna rešetka </t>
  </si>
  <si>
    <t>VK 125</t>
  </si>
  <si>
    <t>32.09.</t>
  </si>
  <si>
    <t>Dobava i ugradnja - Odsisni zračni ventil s mogućnošću podešavanja presjeka otvora</t>
  </si>
  <si>
    <t>ZOV 100</t>
  </si>
  <si>
    <t>32.10.</t>
  </si>
  <si>
    <t>Dobava i ugradnja - Neprovidna  rešetka  namijenjena  je  za  ugradnju  u  vrata za  prestrujavanje  zraka  između  prostorija.  Lamele  su horizontalne i nepomične, izrađene od Al-profila eloksiranih u prirodnoj boji aluminija. Ugradnja isključivo s vidljivim vijcima, najčešće u otvor bez ugradbenog okvira, sljedećih dimenzija i količina:</t>
  </si>
  <si>
    <t>425x75 mm</t>
  </si>
  <si>
    <t>32.11.</t>
  </si>
  <si>
    <t>Dobava i ugradnja - Prigušivači zvuka za ugradnju u ventilacijske kanale između klima jedinice i ventiliranih prostorija. Proizvod kao Klimaoprema sljedećih dimenzija i količina:</t>
  </si>
  <si>
    <t>PZC-J 355 mm, L = 1500 mm</t>
  </si>
  <si>
    <t>32.12.</t>
  </si>
  <si>
    <t>Brtveni  materijal za spajanje i montažu kanala. Brtvljenje segmenata isključivo pomoću negorivih materijala prema HRN EN 1350-1 ili jednakovrijedno.</t>
  </si>
  <si>
    <t>32.13.</t>
  </si>
  <si>
    <t>Ovjesni materijal za spajanje i montažu kanala, te ostala pomoćna učvršćenja za montažu, sve izrađeno od pocinčanih profila i konzola, te sav ostali potrebni sitni potrošni materijal, matice, vijci,  sve u potrebnoj količini i kvaliteti.</t>
  </si>
  <si>
    <t>32.14.</t>
  </si>
  <si>
    <t>Izrada građevinskih prodora za prolaz cijevi. Stavka se odnosi na sve potrebne horizontalne i vertikalne prodore prema grafičkom prikazu.</t>
  </si>
  <si>
    <t>32.15.</t>
  </si>
  <si>
    <t>32.16.</t>
  </si>
  <si>
    <t>Strojarski radovi kao pomoć izrade instalacije</t>
  </si>
  <si>
    <t>32.17.</t>
  </si>
  <si>
    <t>Obuka osoblja, izrada uputstva za rad i održavanje cjelokupne opreme te kompletne atestne dokumentacije.Probni pogon u trajanju 48 sati s dovođenjem postrojenja u radno stanje.</t>
  </si>
  <si>
    <t>Ponuditelj se prije izrade ponude treba upoznati s lokacijom smještaja opreme i načinom pristupa prilikom montaže.</t>
  </si>
  <si>
    <t xml:space="preserve">U K U P N O   32.00. </t>
  </si>
  <si>
    <t>33.00.   INSTALACIJA ODSISNO DOBAVNE VENTILACIJE KUHINJE</t>
  </si>
  <si>
    <t>33.01.</t>
  </si>
  <si>
    <t>Dobava, ugradnja i spajanje - Stropna kuhinjska napa u inox izvedbi s mastolovima, rešetkama dimenzija 240 x 210 cm. Stavkom obuhvatiti sav potreban materijal za učvršćenje u strop.</t>
  </si>
  <si>
    <t>SN 240 x 210</t>
  </si>
  <si>
    <t>33.02.</t>
  </si>
  <si>
    <t>Dobava, ugradnja i spajanje - Zidna kuhinjska napa u inox izvedbi iznad perilice, rešetkama dimenzija 140 x 100 cm. Stavkom obuhvatiti sav potreban materijal za učvršćenje u strop.</t>
  </si>
  <si>
    <t>ZN 140 x 100</t>
  </si>
  <si>
    <t>33.03.</t>
  </si>
  <si>
    <t>Dobava i ugradnja - Fleksibilne aluminijske spiro cijevi za instalaciju odsisne ventilacije iz kuhinjske nape. Cijev se vodi ispod stropa kuhinje. S obostranim obujmicama  cca 1 metar dužine sljedećih dimenzija i količina:</t>
  </si>
  <si>
    <t>ø 450 mm</t>
  </si>
  <si>
    <t>NAPOMENA: Stavkom obuhvatiti koljena i spojne elemente cijevi i kuhinjske nape, te regulacijske klapne na odsisnim kanalima od nape do zajedničkog kanala.</t>
  </si>
  <si>
    <t>33.04.</t>
  </si>
  <si>
    <t>Dobava, ugradnja i spajanje - Krovni odsisni ventilator kapaciteta do 6500 m3/h, napajanje 400 V/ 50 Hz, snaga 1200 W. Upravljanje potenciometrom kojeg je potrebno isporučiti u kompletu s ventilatorom.</t>
  </si>
  <si>
    <t>NAPOMENA: Stavkom uključiti ožičenje ventilatora i regulatora, kao i sav potreban pribor za njegovo učvršćenje na krovnom odsisnom kanalu (spojni element, obujmica, fleksibilni spoj, nepovratna klapna).</t>
  </si>
  <si>
    <t>33.05.</t>
  </si>
  <si>
    <t>Dobava, ugradnja i spajanje - Dobavni centrifugalni ventilator kapaciteta do 5200 m3/h, napajanje 400 V/ 50 Hz, snaga 550 W. Upravljanje potenciometrom kojeg je potrebno isporučiti u kompletu s ventilatorom.</t>
  </si>
  <si>
    <t>NAPOMENA: Stavkom uključiti ožičenje ventilatora i regulatora, kao i sav potreban pribor za njegovo učvršćenje na ventilacijski kanal (spojni element, obujmica, fleksibilni spoj, nepovratna klapna).</t>
  </si>
  <si>
    <t>33.06.</t>
  </si>
  <si>
    <t>Dobava, ugradnja i spajanje - Odsisni centrifugalni ventilator kapaciteta do 1900 m3/h, napajanje 400 V/ 50 Hz, snaga 680 W. Upravljanje potenciometrom kojeg je potrebno isporučiti u kompletu s ventilatorom.</t>
  </si>
  <si>
    <t>33.07.</t>
  </si>
  <si>
    <t>Dobava i ugradnja - Fiksna žaluzina izrađena  iz  profiliranog  Al lima eloksiranog u prirodnoj boji aluminija. Profilirane lamele žaluzine sprječavaju ulazak  padalina  a  pocinčana  mrežica  sprječava  ulazak ptica,  miševa,  lišća  i  većih  insekta  izvana   u  sustav klimatizacije-ventilacije.  Uključivo s ugradbenim okvirima, sljedećih dimenzija i količina:</t>
  </si>
  <si>
    <t>785 x 600 mm</t>
  </si>
  <si>
    <t>33.08.</t>
  </si>
  <si>
    <t>397 x 397 mm</t>
  </si>
  <si>
    <t>33.09.</t>
  </si>
  <si>
    <t>33.10.</t>
  </si>
  <si>
    <t>33.11.</t>
  </si>
  <si>
    <t>33.12.</t>
  </si>
  <si>
    <t>Obuka osoblja, izrada uputstva za rad i održavanje cjelokupne opreme te kompletne atestne dokumentacije.</t>
  </si>
  <si>
    <t>Probni pogon u trajanju 48 sati s dovođenjem postrojenja u radno stanje.</t>
  </si>
  <si>
    <t>U K U P N O  33.00.:</t>
  </si>
  <si>
    <t>REKAPITULACIJA:</t>
  </si>
  <si>
    <t xml:space="preserve"> PLINSKA INSTALACIJA - plinski priključak </t>
  </si>
  <si>
    <t>24.00.</t>
  </si>
  <si>
    <t>1.a.) STROJARSKI DIO plinskog priključka</t>
  </si>
  <si>
    <t>25.00.</t>
  </si>
  <si>
    <t>1.b.) GRAĐEVINSKI DIO plinskog priključka</t>
  </si>
  <si>
    <t>26.00.</t>
  </si>
  <si>
    <t xml:space="preserve"> PLINSKA INSTALACIJA - nemjereni i mjereni dio plinske instalacije</t>
  </si>
  <si>
    <t>27.00.</t>
  </si>
  <si>
    <t>INSTALACIJA TOPLOVODNE KOTLOVNICE</t>
  </si>
  <si>
    <t>28.00.</t>
  </si>
  <si>
    <t>INSTALACIJA TOPLOVODNOG RADIJATORSKOG GRIJANJA</t>
  </si>
  <si>
    <t>29.00.</t>
  </si>
  <si>
    <t>INSTALACIJA TOPLOVODNOG PODNOG GRIJANJA</t>
  </si>
  <si>
    <t>30.00.</t>
  </si>
  <si>
    <t>INSTALACIJA SOLARNOG ZAGRIJAVANJA PTV-a</t>
  </si>
  <si>
    <t>31.00.</t>
  </si>
  <si>
    <t>INSTALACIJA HLAĐENJA KLIMA JEDINICAMA (DIZALICAMA TOPLINE)</t>
  </si>
  <si>
    <t>32.00.</t>
  </si>
  <si>
    <t xml:space="preserve">INSTALACIJA VENTILACIJE REKUPERATOROM I VENTILACIJE SANITARIJA </t>
  </si>
  <si>
    <t>33.00.</t>
  </si>
  <si>
    <t>INSTALACIJA ODSISNO DOBAVNE VENTILACIJE KUHINJE</t>
  </si>
  <si>
    <t xml:space="preserve">U K U P N O    1.) + 2.)  + 3.) + 4.)  + 5.) + 6.)  + 7.) + 8.) + 9.):     </t>
  </si>
  <si>
    <t>PDV (25%):</t>
  </si>
  <si>
    <t xml:space="preserve">S V E U K U P N O :        </t>
  </si>
  <si>
    <t>BR. PROJEKTA</t>
  </si>
  <si>
    <t>113-23</t>
  </si>
  <si>
    <t>GRAĐEVINA</t>
  </si>
  <si>
    <t xml:space="preserve">MINISTARSTVO RADA, MIROVINSKOGA SUSTAVA, </t>
  </si>
  <si>
    <t>OBITELJI I SOCIJALNE POLITIKE</t>
  </si>
  <si>
    <t>FAZA PROJEKTA</t>
  </si>
  <si>
    <t>GLAVNI PROJEKT</t>
  </si>
  <si>
    <t>DATUM</t>
  </si>
  <si>
    <t>srpanj 2024.</t>
  </si>
  <si>
    <t>Rbr.</t>
  </si>
  <si>
    <t>Jed. mjera</t>
  </si>
  <si>
    <t>Količina</t>
  </si>
  <si>
    <t>Jed. cijena</t>
  </si>
  <si>
    <t>Ukupno cijena</t>
  </si>
  <si>
    <t>Napomena</t>
  </si>
  <si>
    <t>A</t>
  </si>
  <si>
    <t>ELEKTRO RADOVI</t>
  </si>
  <si>
    <t>Cijena za svaku stavku ovog troškovnika mora obuhvatiti dobavu, montažu, spajanje, te po potrebi uzemljenje.
U cijenu je potrebno ukalkulirati sav potreban spojni, montažni, ovjesni i pridržni materijal potreban za potpuno funkcioniranje pojedine stavke. U jedinstvenoj cijeni svih stavki sadržani su svi troškovi i materijali potrebni za besprijekornu izvedbu i kompletnu izvedbu.
Prije davanja konačne ponude obvezno izvršiti upoznavanje sa predmetnom projektnom dokumentacijom (tehnički opis, nacrti) te tražiti eventualna pojašnjenja prije zaključivanja ponude. 
Izvođač je dužan uskladiti projektnu dokumentaciju sa stvarno izvedenim stanjem, te istu s izmjenama isporučiti Investitoru u jednom primjerku.
Rezanje kabela izvoditi na licu mjesta nakon izmjere stvarnih dužina trase, naročito u slučajevima kabela većih presjeka. Tekstove natpisnih pločica usuglasiti sa tehnologom i projektantom. Sve kabele označiti odgovarajućim oznakama na oba kraja.</t>
  </si>
  <si>
    <t xml:space="preserve">Instalacijske cijevi moraju biti otpornosti 750N, te sve cijevi moraju biti samogasive. </t>
  </si>
  <si>
    <t>Prije narudžbe materijala na licu mjesta provjeriti stvarno potrebne dužine i komade.</t>
  </si>
  <si>
    <t>34.00.</t>
  </si>
  <si>
    <t>PRIPREMNI RADOVI</t>
  </si>
  <si>
    <t>34.01.</t>
  </si>
  <si>
    <t>Priprema gradilišta i odlaganje otpada</t>
  </si>
  <si>
    <t>Priprema gradilišta, donošenje potrebne opreme i alata na gradilište. Tokom izvedbe svih radova elektroinstalacija, sav materijal nastao kao posljedica izvedebe elektroinstalaterskih radova potrebno je na parceli  sortirati  u zasebnim kontejnerima prema vrsti materijala. Posebno je odvojiti ambalažni otpad (papir, plastika, drvo i sl.) te višak i otpadci materijala izvedbe (metal, toplinska izolacija i sl.). Sav otpadni materijal potrebno je učestalo odvoziti sa lokacije na mjesta predviđena za odlaganje pojedine vrste otpada i u reciklažna dvorišta. Zabranjeno je odvoziti otpad na mjesta koja za to nisu dozvoljena. Sve stavke podrazumijevaju odvoz i uklanjanje nakon ugradnje i usitnjavanja na gradilištu, uključivo i transport kompletnog viška materijala na deponij i reciklažna dvorišta udaljena do 25km od gradilišta, sa plaćanjem svih pristojbi za zbrinjavanje otpada. Sav otpad prevozi se i odlaže sukladno propisima o otpadu i komunalnom redu. Investitoru je obavezno dostaviti Prateći list za otpad</t>
  </si>
  <si>
    <t>UKUPNO</t>
  </si>
  <si>
    <t>B</t>
  </si>
  <si>
    <t>JAKA STRUJA</t>
  </si>
  <si>
    <t xml:space="preserve">Sve stavke uključuju kompletno ožičene, ispitane razdjelnike, dopremljene, montirane i spojene na mjestu ugradnje. _x005F_x000D_Stavka uključuje sav potrebam spojni i montažni materijal koji je potreban za dovođenje razdjelnika do pune funkcijonalnosti. Svaki razdjelnik opremljen je ladicom za smještaj jednopolne sheme u koju obvezno treba uložiti jednopolnu shemu izvedenog stanja svakog pripadajućeg razdjelnika. Svaki razdjelni mora biti ispitan i isporučen sa izjavama o sukladnosti za ormar i svu ugrađenu opremu. </t>
  </si>
  <si>
    <t xml:space="preserve">Svi razdjelnici moraju biti isporučeni u kompletu sa svim montažnim i spojnim priborom, vodičima unutrašnjih veza, rednim stezaljkama, brtvenim gumama, kabelskim uvodnicama, naljepnicama, vrećicom za umetanje sheme, faznim, N i PE sabirnicama. </t>
  </si>
  <si>
    <t>U svakome razdjelniku ostaviti 25% rezerve za naknadnu ugradnju opeme.</t>
  </si>
  <si>
    <t>35.00.</t>
  </si>
  <si>
    <t>DISTRIBUCIJSKI RAZDJELNICI</t>
  </si>
  <si>
    <t>35.01.</t>
  </si>
  <si>
    <t>GRO</t>
  </si>
  <si>
    <r>
      <rPr>
        <sz val="10"/>
        <rFont val="Calibri"/>
        <family val="2"/>
        <charset val="1"/>
      </rPr>
      <t xml:space="preserve">Dobava, montaža i spajanje razvodnog ormara oznake </t>
    </r>
    <r>
      <rPr>
        <b/>
        <sz val="10"/>
        <rFont val="Calibri"/>
        <family val="2"/>
        <charset val="1"/>
      </rPr>
      <t>+GRO</t>
    </r>
    <r>
      <rPr>
        <sz val="10"/>
        <rFont val="Calibri"/>
        <family val="2"/>
        <charset val="1"/>
      </rPr>
      <t xml:space="preserve"> dimenzija [(600+600)x(2048+100)x250mm], tipski testiran prema IEC 60439-1/IEC 61439-1-2 do 250A. Ormar je slobodnostojeći, metalni, sa prozirnim vratima, sa stupnjem zaštite IP43. Potrebno predvidjeti 20% rezervnog prostora u svrhu budućih nadogradnji.
Stavka uključuje sav potreban montažni materijal za potpunu funkcionalnost. </t>
    </r>
  </si>
  <si>
    <t>ORMAR:</t>
  </si>
  <si>
    <t xml:space="preserve">Nosači za zid kom 1  </t>
  </si>
  <si>
    <t>Aparatno polje š=600mm v=2000mm kom 1</t>
  </si>
  <si>
    <t xml:space="preserve">Ext: aparatno polje + kit za produljenje š=600mm v=2000mm kom 1 </t>
  </si>
  <si>
    <t xml:space="preserve">Krov/dno TZ-flange š=600mm kom 1 </t>
  </si>
  <si>
    <t xml:space="preserve">TL flange, metalne, š=600mm kom 1  </t>
  </si>
  <si>
    <t>Upora za medjusobne povezivanje ormara serije L-M kom 1  i</t>
  </si>
  <si>
    <t xml:space="preserve">Krov/dno otvoreno, dimnezija š=600mm kom 2 </t>
  </si>
  <si>
    <t xml:space="preserve">Puna ploča za dno ormara š=600mm kom 2  </t>
  </si>
  <si>
    <t xml:space="preserve">Staklena vrata š=600mm v=2000mm kom 2  </t>
  </si>
  <si>
    <t xml:space="preserve">Podnožje ormara v=100 mm širine š=600mm kom 2 </t>
  </si>
  <si>
    <t xml:space="preserve">Prednja puna ploča š=600mm, h=400mm kom 2  </t>
  </si>
  <si>
    <t xml:space="preserve">Puna parcijalna ploča š=600mm, h=400mm kom 2  </t>
  </si>
  <si>
    <t xml:space="preserve">Kit za ugradnju prekidača Tmax XT2 3/4p horizontalno, š=600mm, v=200mm kom 1  </t>
  </si>
  <si>
    <t>DIN nosač, podesivi, š=600mm kom 15</t>
  </si>
  <si>
    <t xml:space="preserve">Prednja ploča sa izrezom od 45mm (no Din Rail) š=600m h=200mm kom 15 </t>
  </si>
  <si>
    <t>Nosači bakrenih sabirnica, vertikalni, š=600mm, profilirani/ravne sabirnice kom 5</t>
  </si>
  <si>
    <t>Profilirane bakrene sabirnice In=400 A kom 4</t>
  </si>
  <si>
    <t xml:space="preserve">uvodna ploča sa 52 ulaza  za razvodni ormara kom 4  </t>
  </si>
  <si>
    <t>Vijci za profilirane bakrene sabirnice M8 kom 5</t>
  </si>
  <si>
    <t xml:space="preserve">
Nosači žica 55mm (set=50kom) kom 2  </t>
  </si>
  <si>
    <t xml:space="preserve">
Nosači žica - bočna ugradnja (set=10 kom) kom 4 </t>
  </si>
  <si>
    <t xml:space="preserve">
nosač dokumentacije </t>
  </si>
  <si>
    <t>OPREMA:</t>
  </si>
  <si>
    <t xml:space="preserve">Tropolni kompaktni fiksni prekidač 160A, prekidne moći Icw(1s)=36kA, sa prednjim priključcima, sa podesivom elektroničkom zaštitom jedinicom za zaštitu od preopterećenja i kratkog spoja kom 1  </t>
  </si>
  <si>
    <t xml:space="preserve">Naponski okidač 230VAC, kom 1 </t>
  </si>
  <si>
    <t xml:space="preserve">Pomoćni kontakti AUX-1Q kom 1 </t>
  </si>
  <si>
    <t xml:space="preserve">DIN nosač, kom 1  </t>
  </si>
  <si>
    <t xml:space="preserve">Jednopolni minijaturni automatski prekidač In=6A, B karakteristike, prekidne moći 10kA, kom 1 </t>
  </si>
  <si>
    <t xml:space="preserve">Tropolni nosač cilindričnog niskonaponskog osigurača 14x51mm – 50A, kom 1  </t>
  </si>
  <si>
    <t xml:space="preserve">Cilindrični osigurač gG-40A, kom 3  </t>
  </si>
  <si>
    <t xml:space="preserve">Tropolni+N katodni odvodnik prenapona klase C, 40kA, sa kontaktom za signalizaciju dotrajalosti,  kom 1  </t>
  </si>
  <si>
    <t xml:space="preserve">Jednopolni minijaturni automatski prekidač In=10A, B karakteristike, prekidne moći 10kA,  kom 1 </t>
  </si>
  <si>
    <t xml:space="preserve">Jednofazni upravljački transformator 230/24VAC, 63VA, kom 1  </t>
  </si>
  <si>
    <t xml:space="preserve">Dvopolni minijaturni automatski prekidač C4A, 10kA, kom 1  </t>
  </si>
  <si>
    <t xml:space="preserve">Minijaturni pomoćni relej sa 4 preklopiva kontakta, In=6A - 24VAC kom 1 </t>
  </si>
  <si>
    <t xml:space="preserve">Podnožje pomoćnog minijaturnog releja sa 2 ili 4 preklopiva kontakta kom 1  </t>
  </si>
  <si>
    <t xml:space="preserve">Signalna lampica 230VAC, zelena, ugradnja na DIN nosač, kom 3  </t>
  </si>
  <si>
    <t>Tropolni kompaktni fiksni prekidač 32A, prekidne moći Icw(1s)=25kA, sa prednjim priključcima, sa podesivom termomagnetskom zaštitom jedinicom za zaštitu od preopterećenja i kratkog spoja TMD,  kom 1</t>
  </si>
  <si>
    <t xml:space="preserve">Tropolni kompaktni fiksni prekidač 40A, prekidne moći Icw(1s)=25kA, sa prednjim priključcima, sa podesivom termomagnetskom zaštitom jedinicom za zaštitu od preopterećenja i kratkog spoja  kom 1 </t>
  </si>
  <si>
    <t xml:space="preserve">Tropolni kompaktni fiksni prekidač 63A, prekidne moći Icw(1s)=25kA, sa prednjim priključcima, sa podesivom termomagnetskom zaštitom jedinicom za zaštitu od preopterećenja i kratkog spoja,  kom 2  </t>
  </si>
  <si>
    <t>Kit za ugradnju prekidača na DIN nosač kom 4</t>
  </si>
  <si>
    <t xml:space="preserve">Tropolni minijaturni automatski prekidač C25A, prekidne moći 10kA - IEC60947-2 ili jednako vrijedno ______________,  kom 1  </t>
  </si>
  <si>
    <t xml:space="preserve">Tropolni minijaturni automatski prekidač C32A, prekidne moći 10kA - IEC60947-2 ili jednakovrijedno ________________,  kom 7  </t>
  </si>
  <si>
    <t xml:space="preserve">Četveropolna strujna zaštitna sklopka 25/30mA, AC karakterisitike kom 1  </t>
  </si>
  <si>
    <t xml:space="preserve">Četveropolna strujna zaštitna sklopka 40/30mA, AC karakterisitike kom 5  </t>
  </si>
  <si>
    <t>Jednopolni minijaturni automatski prekidač In=6A, B karakteristike, prekidne moći 10kA, kom 1  i</t>
  </si>
  <si>
    <t xml:space="preserve">Jednopolni minijaturni automatski prekidač In=6A, C karakteristike, prekidne moći 10kA,  kom 1 </t>
  </si>
  <si>
    <t xml:space="preserve">Jednopolni minijaturni automatski prekidač B10A, prekidne moći 10kA – IEC60947-2 ili jednakovrijedno ______________________________, kom 11  </t>
  </si>
  <si>
    <t xml:space="preserve">Jednopolni minijaturni automatski prekidač C10A, prekidne moći 10kA – IEC60947-2 ili jednakovrijedno _______________________________, kom 8  </t>
  </si>
  <si>
    <t xml:space="preserve">Jednopolni minijaturni automatski prekidač B16A, prekidne moći 10kA - IEC60947-2 ili jednkovrijedno ______________________________,  kom 42  </t>
  </si>
  <si>
    <t xml:space="preserve">Jednopolni minijaturni automatski prekidač B20A, prekidne moći 10kA – IEC60947-2 ili jednkovrijedno ______________________________, kom 3  </t>
  </si>
  <si>
    <t xml:space="preserve">Jednopolni minijaturni automatski prekidač C16A, prekidne moći 10kA - IEC60947-2 ili jednkovrijedno ______________________________, tip S201-C16 kom 2 </t>
  </si>
  <si>
    <t xml:space="preserve">Tropolni minijaturni automatski prekidač C6A, prekidne moći 10kA – IEC60947-2 ili jednkovrijedno ______________________________, kom 1  </t>
  </si>
  <si>
    <t xml:space="preserve">Tropolni minijaturni automatski prekidač B20A, prekidne moći 10kA - IEC60947-2 ili jednkovrijedno ______________________________,  kom 2  </t>
  </si>
  <si>
    <t xml:space="preserve">Tropolni minijaturni automatski prekidač C40A, prekidne moći 10kA - IEC60947-2 ili jednkovrijedno ______________________________,  kom 1  </t>
  </si>
  <si>
    <t xml:space="preserve">Tropolni minijaturni automatski prekidač C50A, prekidne moći 10kA - IEC60947-2 ili jednkovrijedno ______________________________,  kom 3 </t>
  </si>
  <si>
    <t xml:space="preserve">Jednopolna+N kombinirana zaštitna sklopka In=16A, 0.03A, AC, C karakteristike kom 2  </t>
  </si>
  <si>
    <t xml:space="preserve">Četveropolna diferencijalna sklopka 25A/0.03A, AC karakteristike,  kom 1  </t>
  </si>
  <si>
    <t>Četveropolni minijaturni automatski prekidač C16A, prekidne moći 10kA - IEC60947-2 ili jednkovrijedno ______________________________, kom 1</t>
  </si>
  <si>
    <t xml:space="preserve">Luksomat, 1CO, 230VAC, od 5-2.000 lx, sa sondom za vanjsku montažu kom 1  </t>
  </si>
  <si>
    <t xml:space="preserve">Dvopolna izborna preklopka I-0-II, 16A, ugradnja na DIN nosač, kom 3  </t>
  </si>
  <si>
    <t xml:space="preserve">Instalacijski sklopnik 2NO, 230VAC,  kom 1  </t>
  </si>
  <si>
    <t>Instalacijski sklopnik 4NO, 230VAC, kom 2  i</t>
  </si>
  <si>
    <t xml:space="preserve">Naponski okidač za min.automatski osigurač 24VAC, kom 2  </t>
  </si>
  <si>
    <t xml:space="preserve">Sabirnica RST,  kom 3  </t>
  </si>
  <si>
    <t xml:space="preserve">Kapa PS-END kom 20  </t>
  </si>
  <si>
    <t>Redne stezaljke - prema shemi - koristiti katne redne stezaljke L-N-PE ili 3xL-N-PE kom 1</t>
  </si>
  <si>
    <r>
      <rPr>
        <sz val="10"/>
        <rFont val="Calibri"/>
        <family val="2"/>
        <charset val="1"/>
      </rPr>
      <t xml:space="preserve">Tropolna shema izvedenog stanja razdjelnika </t>
    </r>
    <r>
      <rPr>
        <b/>
        <sz val="10"/>
        <rFont val="Calibri"/>
        <family val="2"/>
        <charset val="1"/>
      </rPr>
      <t xml:space="preserve">+GRO, </t>
    </r>
    <r>
      <rPr>
        <sz val="10"/>
        <rFont val="Calibri"/>
        <family val="2"/>
        <charset val="1"/>
      </rPr>
      <t xml:space="preserve"> napravljena u EPLAN Electric softwearu ili jednakovrijedno _______________ - prije početka izrade razdjelnika poslati tropolnu shemu sa prednjim pogledom i listom materijala na odobrenje investitoru i nadzornom inženjeru kom 1</t>
    </r>
  </si>
  <si>
    <t>Vodiči i POK kanali i uzvedbi nehalogen free, u stavku potrebno uračunati stopice i ostali pomoćni materijal kpl 1</t>
  </si>
  <si>
    <t>Izrada i ispitivanje razdjelnika u skladu sa standardima IEC 61439-1 &amp; IEC 61439-2 ili jendakovrijedno_____________ kpl 1</t>
  </si>
  <si>
    <t>Doprema, unošenje i povezivanje ormara s kablovima na objektu, sa ispitivanjem i izdavanjem atesta kpl 1</t>
  </si>
  <si>
    <t>Obračun po kompletu ugrađenog i spojenog ormara</t>
  </si>
  <si>
    <t>35.02.</t>
  </si>
  <si>
    <t>KOMP</t>
  </si>
  <si>
    <r>
      <rPr>
        <sz val="10"/>
        <rFont val="Calibri"/>
        <family val="2"/>
        <charset val="1"/>
      </rPr>
      <t xml:space="preserve">Dobava, montaža i spajanje razvodnog ormara oznake </t>
    </r>
    <r>
      <rPr>
        <b/>
        <sz val="10"/>
        <rFont val="Calibri"/>
        <family val="2"/>
        <charset val="1"/>
      </rPr>
      <t>+RO_KOMP</t>
    </r>
    <r>
      <rPr>
        <sz val="10"/>
        <rFont val="Calibri"/>
        <family val="2"/>
        <charset val="1"/>
      </rPr>
      <t xml:space="preserve">, dimenzija [800x1200x300mm], tipski testiran prema IEC 60439-1/IEC 61439-1-2 ili jednkovrijedno ______________________________.Ormar je zidni, metalni, s punim metalnim vratima, sa stupnjem zaštite IP65. 
Potrebno predvidjeti 20% rezervnog prostora u svrhu budućih nadogradnji.
Stavka uključuje sav potreban montažni materijal za potpunu funkcionalnost. </t>
    </r>
  </si>
  <si>
    <t xml:space="preserve">Zidni ormar dimenzija 800x1200x300mm, stupanj zaštite IP65, kom 1 </t>
  </si>
  <si>
    <t xml:space="preserve">Džep za dokumentaciju A4, kom 1  </t>
  </si>
  <si>
    <t xml:space="preserve">Tropolna teretna sklopka In=63A, ugradnja na DIN nosač, kom 1 </t>
  </si>
  <si>
    <t xml:space="preserve">Tropolni nosač cilindričnog niskonaponskog osigurača 14x51mm - 50A, kom 3  </t>
  </si>
  <si>
    <t xml:space="preserve">Cilindrični osigurač gG-16A, kom 9 </t>
  </si>
  <si>
    <t>Jednopolni + N nosač cilindričnog niskonaponskog osigurača 10,3x38mm kom 1</t>
  </si>
  <si>
    <t>Dvopolni nosač cilindričnog niskonaponskog osigurača 10,3x38mm kom 1</t>
  </si>
  <si>
    <t>Cilindrični osigurač 10,3x38mm, In=6A kom 3</t>
  </si>
  <si>
    <t>Kondenzatorski sklopnik 25 kVAr-a, 3NO+1NO, 230VAC kom 3</t>
  </si>
  <si>
    <t>Dvopolna grebenasta sklopka 0-1, 10A, 400VAC kom 1</t>
  </si>
  <si>
    <t>Regulator kompenzacije sa 6 supnjeva kom 1</t>
  </si>
  <si>
    <t xml:space="preserve">Kondenzatorska baterija 6,7 kVAr-a, 430V,  6,7 kVAr, 430 V, 50 HZ kom 3  </t>
  </si>
  <si>
    <t xml:space="preserve">PRIGUŠNICA P=7%, 6,25 KVAR, 400 V, 50 HZ kom 2 </t>
  </si>
  <si>
    <t>Ventilator 250x250mm, 230VAC kom 1</t>
  </si>
  <si>
    <t>Rešetka sa filterom 250x250mm kom 1</t>
  </si>
  <si>
    <t>Termostat za ventilator 1NO,230VAC kom 1</t>
  </si>
  <si>
    <r>
      <rPr>
        <sz val="10"/>
        <rFont val="Calibri"/>
        <family val="2"/>
        <charset val="1"/>
      </rPr>
      <t xml:space="preserve">Tropolna shema izvedenog stanja razdjelnika </t>
    </r>
    <r>
      <rPr>
        <b/>
        <sz val="10"/>
        <rFont val="Calibri"/>
        <family val="2"/>
        <charset val="1"/>
      </rPr>
      <t xml:space="preserve">+RO_KOMP, </t>
    </r>
    <r>
      <rPr>
        <sz val="10"/>
        <rFont val="Calibri"/>
        <family val="2"/>
        <charset val="1"/>
      </rPr>
      <t xml:space="preserve"> napravljena u EPLAN Electric softwearu ili jednakovrijedno _________________ - prije početka izrade razdjelnika poslati tropolnu shemu sa prednjim pogledom i listom materijala na odobrenje investitoru i nadzornom inženjeru kom 1</t>
    </r>
  </si>
  <si>
    <t>Vodiči i POK kanali i uzvedbi halogen free, stopice i ostali pomoćni materijal kpl 1</t>
  </si>
  <si>
    <t>Izrada i ispitivanje razdjelnika u skladu sa standardima IEC 61439-1 &amp; IEC 61439-2 ili jendakovrijedno ________________kpl 1</t>
  </si>
  <si>
    <t>Doprema, unošenje i povezivanje ormara s kablovima na objektu, sa ispitivanjem i izdavanjem atesta kom 1</t>
  </si>
  <si>
    <t>35.03.</t>
  </si>
  <si>
    <t>RP</t>
  </si>
  <si>
    <r>
      <rPr>
        <sz val="10"/>
        <rFont val="Calibri"/>
        <family val="2"/>
        <charset val="1"/>
      </rPr>
      <t xml:space="preserve">Dobava, montaža i spajanje razvodnog ormara oznake </t>
    </r>
    <r>
      <rPr>
        <b/>
        <sz val="10"/>
        <rFont val="Calibri"/>
        <family val="2"/>
        <charset val="1"/>
      </rPr>
      <t>+RP</t>
    </r>
    <r>
      <rPr>
        <sz val="10"/>
        <rFont val="Calibri"/>
        <family val="2"/>
        <charset val="1"/>
      </rPr>
      <t xml:space="preserve"> dimenzija [430x735x120mm], tipski testiran prema IEC 60439-1/IEC 61439-1-2 ili jednkovrijedno ______________________________do 160A. Ormar je zidni, metalni, sa prozirnim vratima, sa stupnjem zaštite IP41.
Potrebno predvidjeti 20% rezervnog prostora u svrhu budućih nadogradnji.
Stavka uključuje sav potreban montažni materijal za potpunu funkcionalnost. </t>
    </r>
  </si>
  <si>
    <t xml:space="preserve">Nadgradni ormar dim. 430x735x127mm, stupnja zaštite IP41, sa sabirnicama N i PE kom 1 </t>
  </si>
  <si>
    <t xml:space="preserve">Tropolna teretna sklopka In=63A, ugradnja na DIN nosač, kom 1  </t>
  </si>
  <si>
    <t xml:space="preserve">Jednopolni minijaturni automatski prekidač In=20A, C karakteristike, prekidne moći 10kA, kom 1  </t>
  </si>
  <si>
    <t xml:space="preserve">Tropolni nosač cilindričnog niskonaponskog osigurača 14x51mm - 50A,  kom 1  </t>
  </si>
  <si>
    <t xml:space="preserve">Cilindrični osigurač gG-40A kom 3 </t>
  </si>
  <si>
    <t xml:space="preserve">Tropolni+N katodni odvodnik prenapona klase C, 40kA, sa kontaktom za signalizaciju dotrajalosti,  kom 1 </t>
  </si>
  <si>
    <t xml:space="preserve">Tropolni minijaturni automatski prekidač C32A, prekidne moći 10kA – IEC60947-2 ili jednkovrijedno ______________________________,  kom 1  </t>
  </si>
  <si>
    <t xml:space="preserve">Četveropolna strujna zaštitna sklopka 40/30mA, AC karakterisitike kom 1 </t>
  </si>
  <si>
    <t xml:space="preserve">Jednopolni minijaturni automatski prekidač B10A, prekidne moći 10kA - IEC60947-2 ili jednkovrijedno ______________________________,  kom 2  </t>
  </si>
  <si>
    <t xml:space="preserve">Jednopolni minijaturni automatski prekidač B16A, prekidne moći 10kA – IEC60947-2ili jednkovrijedno ______________________________, kom 9  </t>
  </si>
  <si>
    <t xml:space="preserve">Sabirnica RST,  kom 1  </t>
  </si>
  <si>
    <t xml:space="preserve">Kapa PS-END kom 10  </t>
  </si>
  <si>
    <r>
      <rPr>
        <sz val="10"/>
        <rFont val="Calibri"/>
        <family val="2"/>
        <charset val="1"/>
      </rPr>
      <t xml:space="preserve">Tropolna shema izvedenog stanja razdjelnika </t>
    </r>
    <r>
      <rPr>
        <b/>
        <sz val="10"/>
        <rFont val="Calibri"/>
        <family val="2"/>
        <charset val="1"/>
      </rPr>
      <t xml:space="preserve">+RP, </t>
    </r>
    <r>
      <rPr>
        <sz val="10"/>
        <rFont val="Calibri"/>
        <family val="2"/>
        <charset val="1"/>
      </rPr>
      <t xml:space="preserve"> napravljena u EPLAN Electric softwearu ili jednakovrijedno ______________- prije početka izrade razdjelnika poslati tropolnu shemu sa prednjim pogledom i listom materijala na odobrenje investitoru i nadzornom inženjeru kom 1</t>
    </r>
  </si>
  <si>
    <t>Izrada i ispitivanje razdjelnika u skladu sa standardima IEC 61439-1 &amp; IEC 61439-2 ili jednkovrijedno ______________________________ kpl 1</t>
  </si>
  <si>
    <t>35.04.</t>
  </si>
  <si>
    <t>R1</t>
  </si>
  <si>
    <r>
      <rPr>
        <sz val="10"/>
        <rFont val="Calibri"/>
        <family val="2"/>
        <charset val="1"/>
      </rPr>
      <t xml:space="preserve">Dobava, montaža i spajanje razvodnog ormara oznake </t>
    </r>
    <r>
      <rPr>
        <b/>
        <sz val="10"/>
        <rFont val="Calibri"/>
        <family val="2"/>
        <charset val="1"/>
      </rPr>
      <t>+R1</t>
    </r>
    <r>
      <rPr>
        <sz val="10"/>
        <rFont val="Calibri"/>
        <family val="2"/>
        <charset val="1"/>
      </rPr>
      <t xml:space="preserve"> dimenzija [600x1248x250mm], tipski testiran prema IEC 60439-1/IEC 61439-1-2 ili jednkovrijedno ______________________________do 250A. Ormar je zidni, metalni, sa prozirnim vratima, sa stupnjem zaštite IP43. 
Potrebno predvidjeti 20% rezervnog prostora u svrhu budućih nadogradnji.
Stavka uključuje sav potreban montažni materijal za potpunu funkcionalnost. </t>
    </r>
  </si>
  <si>
    <t xml:space="preserve">Stražnja ploča&amp; bočne stranice razvodnog ormara  dimenzija š=600mm, h=1200mm kom 1  </t>
  </si>
  <si>
    <t xml:space="preserve">Puna ploča za dno ormara š=600mm kom 1  </t>
  </si>
  <si>
    <t xml:space="preserve">Krov/dno otvoreno, dimenzija š=600mm kom 2  </t>
  </si>
  <si>
    <t xml:space="preserve">Prozirna vrata š= 600mm h=1200mm kom 1  </t>
  </si>
  <si>
    <t xml:space="preserve">Prednja puna ploča š=600mm, h=400mm kom 1  </t>
  </si>
  <si>
    <t xml:space="preserve">Puna parcijalna ploča š=600mm, h=400mm kom 1  </t>
  </si>
  <si>
    <t xml:space="preserve">Prednja ploča sa izrezom od 45mm (no Din Rail) š=600m h=150mm kom 1  </t>
  </si>
  <si>
    <t xml:space="preserve">Prednja ploča sa izrezom od 45mm (no Din Rail) š=600m h=200mm kom 1  </t>
  </si>
  <si>
    <t xml:space="preserve">DIN nosač š=600mm kom 5  </t>
  </si>
  <si>
    <t xml:space="preserve">uvodna ploča sa 52 ulaza  za razvodni ormara kom 2 </t>
  </si>
  <si>
    <t xml:space="preserve">Nosači za zid kom 1 </t>
  </si>
  <si>
    <t xml:space="preserve">
Nosači žica 55mm (set=50kom) kom 1 </t>
  </si>
  <si>
    <t xml:space="preserve">
Nosači žica - bočna ugradnja (set=10 kom) kom 2 </t>
  </si>
  <si>
    <t xml:space="preserve">
nosač dokumentacije A4 kom 1  </t>
  </si>
  <si>
    <t xml:space="preserve">Tropolni kompaktni fiksni prekidač 63A, prekidne moći Icw(1s)=25kA, sa prednjim priključcima, sa podesivom termomagnetskom zaštitom jedinicom za zaštitu od preopterećenja i kratkog spoja TMD, kom 1  </t>
  </si>
  <si>
    <t>Jednopolni minijaturni automatski prekidač In=10A, C karakteristike, prekidne moći 10kA,  kom 3</t>
  </si>
  <si>
    <t>Tropolni nosač cilindričnog niskonaponskog osigurača 14x51mm – 50A, kom 1</t>
  </si>
  <si>
    <t xml:space="preserve">Tropolni+N katodni odvodnik prenapona klase C, 40kA, sa kontaktom za signalizaciju dotrajalosti, kom 1  </t>
  </si>
  <si>
    <t xml:space="preserve">Tropolni minijaturni automatski prekidač C25A, prekidne moći 10kA - IEC60947-2 ili jednakovrijdno _______________,  kom 1  </t>
  </si>
  <si>
    <t xml:space="preserve">Tropolni minijaturni automatski prekidač C32A, prekidne moći 10kA – IEC60947-2 ili jednakovrijedno _________________, kom 3  </t>
  </si>
  <si>
    <t xml:space="preserve">Četveropolna strujna zaštitna sklopka 40/30mA, AC karakterisitike kom 3  </t>
  </si>
  <si>
    <t xml:space="preserve">Jednopolni minijaturni automatski prekidač In=6A, B karakteristike, prekidne moći 10kA, kom 2  </t>
  </si>
  <si>
    <t xml:space="preserve">Jednopolni minijaturni automatski prekidač B10A, prekidne moći 10kA - IEC60947-2ili jednakovrijedno _________________,  kom 8  </t>
  </si>
  <si>
    <t xml:space="preserve">Jednopolni minijaturni automatski prekidač B16A, prekidne moći 10kA - IEC60947-2 ili jednakovrijedno _________________,  kom 31 </t>
  </si>
  <si>
    <t>Distribucijski blok 4p, In=80A,  kom 1  i</t>
  </si>
  <si>
    <t xml:space="preserve">Sabirnica RST, kom 1 </t>
  </si>
  <si>
    <t xml:space="preserve">Kapa PS-END kom 10 </t>
  </si>
  <si>
    <r>
      <rPr>
        <sz val="10"/>
        <rFont val="Calibri"/>
        <family val="2"/>
        <charset val="1"/>
      </rPr>
      <t xml:space="preserve">Tropolna shema izvedenog stanja razdjelnika </t>
    </r>
    <r>
      <rPr>
        <b/>
        <sz val="10"/>
        <rFont val="Calibri"/>
        <family val="2"/>
        <charset val="1"/>
      </rPr>
      <t xml:space="preserve">+R1, </t>
    </r>
    <r>
      <rPr>
        <sz val="10"/>
        <rFont val="Calibri"/>
        <family val="2"/>
        <charset val="1"/>
      </rPr>
      <t xml:space="preserve"> napravljena u EPLAN Electric softwearu ili jednakovrijedno __________________ - prije početka izrade razdjelnika poslati tropolnu shemu sa prednjim pogledom i listom materijala na odobrenje investitoru i nadzornom inženjeru kom 1</t>
    </r>
  </si>
  <si>
    <t>Izrada i ispitivanje razdjelnika u skladu sa standardima IEC 61439-1 &amp; IEC 61439-2  ili jendakovrijedno _______________ kpl 1</t>
  </si>
  <si>
    <t>35.05.</t>
  </si>
  <si>
    <t>R2</t>
  </si>
  <si>
    <r>
      <rPr>
        <sz val="10"/>
        <rFont val="Calibri"/>
        <family val="2"/>
        <charset val="1"/>
      </rPr>
      <t xml:space="preserve">Dobava, montaža i spajanje razvodnog ormara oznake </t>
    </r>
    <r>
      <rPr>
        <b/>
        <sz val="10"/>
        <rFont val="Calibri"/>
        <family val="2"/>
        <charset val="1"/>
      </rPr>
      <t>+R2</t>
    </r>
    <r>
      <rPr>
        <sz val="10"/>
        <rFont val="Calibri"/>
        <family val="2"/>
        <charset val="1"/>
      </rPr>
      <t xml:space="preserve"> dimenzija [600x1248x250mm], tipski testiran prema IEC 60439-1/IEC 61439-1-2 ili jednakovrijedno _______________do 250A. Ormar je zidni, metalni, sa prozirnim vratima, sa stupnjem zaštite IP43.
Potrebno predvidjeti 20% rezervnog prostora u svrhu budućih nadogradnji.
Stavka uključuje sav potreban montažni materijal za potpunu funkcionalnost. </t>
    </r>
  </si>
  <si>
    <t xml:space="preserve">Stražnja ploča&amp; bočne stranice razvodnog ormara dimenzija š=600mm, h=1200mm kom 1  </t>
  </si>
  <si>
    <t>Puna ploča za dno ormara š=600mm kom 1  i</t>
  </si>
  <si>
    <t>Prednja ploča sa izrezom od 45mm (no Din Rail) š=600m h=200mm kom 1</t>
  </si>
  <si>
    <t xml:space="preserve">DIN nosač š=600mm kom 5 </t>
  </si>
  <si>
    <t xml:space="preserve">uvodna ploča sa 52 ulaza  za razvodni ormara  kom 2 </t>
  </si>
  <si>
    <t xml:space="preserve">
Nosači žica - bočna ugradnja (set=10 kom) kom 2  </t>
  </si>
  <si>
    <t xml:space="preserve">
nosač dokumentacije A4 kom 1 </t>
  </si>
  <si>
    <t xml:space="preserve">Tropolni kompaktni fiksni prekidač 63A, prekidne moći Icw(1s)=25kA, sa prednjim priključcima, sa podesivom termomagnetskom zaštitom jedinicom za zaštitu od preopterećenja i kratkog spoja  kom 1 </t>
  </si>
  <si>
    <t xml:space="preserve">DIN nosač,  kom 1  </t>
  </si>
  <si>
    <t xml:space="preserve">Jednopolni minijaturni automatski prekidač In=10A, C karakteristike, prekidne moći 10kA,kom 2 </t>
  </si>
  <si>
    <t xml:space="preserve">Tropolni nosač cilindričnog niskonaponskog osigurača 14x51mm – 50A,kom 1  </t>
  </si>
  <si>
    <t xml:space="preserve">Cilindrični osigurač gG-40A kom 3  </t>
  </si>
  <si>
    <t xml:space="preserve">Tropolni minijaturni automatski prekidač C25A, prekidne moći 10kA - IEC60947-2 ili jednakovrijedno _______________,  kom 1 </t>
  </si>
  <si>
    <t xml:space="preserve">Tropolni minijaturni automatski prekidač C32A, prekidne moći 10kA – IEC60947-2 ili jednakovrijedno _______________, kom 3 </t>
  </si>
  <si>
    <t xml:space="preserve">Četveropolna strujna zaštitna sklopka 40/30mA, AC karakterisitike kom 3 </t>
  </si>
  <si>
    <t xml:space="preserve">Jednopolni minijaturni automatski prekidač In=6A, B karakteristike, prekidne moći 10kA, kom 3  </t>
  </si>
  <si>
    <t xml:space="preserve">Jednopolni minijaturni automatski prekidač B10A, prekidne moći 10kA - IEC60947-2,  kom 7  </t>
  </si>
  <si>
    <t xml:space="preserve">Jednopolni minijaturni automatski prekidač B16A, prekidne moći 10kA - IEC60947-2 ili jednakovrijedno _______________, kom 31  </t>
  </si>
  <si>
    <t xml:space="preserve">Distribucijski blok 4p, In=80A, kom 1  </t>
  </si>
  <si>
    <r>
      <rPr>
        <sz val="10"/>
        <rFont val="Calibri"/>
        <family val="2"/>
        <charset val="1"/>
      </rPr>
      <t xml:space="preserve">Tropolna shema izvedenog stanja razdjelnika </t>
    </r>
    <r>
      <rPr>
        <b/>
        <sz val="10"/>
        <rFont val="Calibri"/>
        <family val="2"/>
        <charset val="1"/>
      </rPr>
      <t xml:space="preserve">+R2, </t>
    </r>
    <r>
      <rPr>
        <sz val="10"/>
        <rFont val="Calibri"/>
        <family val="2"/>
        <charset val="1"/>
      </rPr>
      <t xml:space="preserve"> napravljena u EPLAN Electric ili sličnom softwearu - prije početka izrade razdjelnika poslati tropolnu shemu sa prednjim pogledom i listom materijala na odobrenje investitoru i nadzornom inženjeru kom 1</t>
    </r>
  </si>
  <si>
    <t>36.00.</t>
  </si>
  <si>
    <t>INSTALACIJSKI KABELI</t>
  </si>
  <si>
    <t>36.01.</t>
  </si>
  <si>
    <t>Dobava i polaganje kabela. Kabeli se većinom dijelom polažu u savitljive plastične cijevi, dijelom na kabelske police, a vanjski vodovi u zemlji u prije postavljenim krutim PEHD cijevima. Vodovi se polažu u skladu s projektom. Obvezno je pridržavati se pravila obilježavanja kabelskih žila. Ukoliko se vodovi nastavljaju ili granaju, u cijeni su uključene potrebne podžbukne i nadžbukne razvodne kutije i ostali pribor. U količinama su uključene dužine kabela ostavljene kao rezerva na mjestima priključivanja i u razdjelnicima. Prije narudžbe kabela potrebno je točno izmjeriti dužinu trase kabela.</t>
  </si>
  <si>
    <t>Kabel FG16OR16 3x1.5 mm²</t>
  </si>
  <si>
    <t>Kabel FG16OR16 3x2.5 mm²</t>
  </si>
  <si>
    <t>Kabel FG16OR16 3x4 mm²</t>
  </si>
  <si>
    <t>Kabel FG16OR16 5x1,5 mm²</t>
  </si>
  <si>
    <t>Kabel FG16OR16 5x4 mm²</t>
  </si>
  <si>
    <t>Kabel FG16OR16 5x10 mm²</t>
  </si>
  <si>
    <t>Kabel FG16OR16 5x16 mm²</t>
  </si>
  <si>
    <t>Kabel FG16OR16 5x25 mm²</t>
  </si>
  <si>
    <t>Kabel NHXH E90 2x1.5 mm²</t>
  </si>
  <si>
    <t>Kabel NHXH E90 3x1.5 mm2</t>
  </si>
  <si>
    <t>Kabel NHXH E90 5x10 mm2</t>
  </si>
  <si>
    <t>Kabel NYY-J 4x16 mm²</t>
  </si>
  <si>
    <t>Kabel NYY-J 3x2,5 mm²</t>
  </si>
  <si>
    <t>37.00.</t>
  </si>
  <si>
    <t>ENERGETSKI RASPLET</t>
  </si>
  <si>
    <t>37.01.</t>
  </si>
  <si>
    <t>Kabel NYY-J 5x70 mm²</t>
  </si>
  <si>
    <t>Kabel FG16OR16 5x35 mm²</t>
  </si>
  <si>
    <t>Kabel FG16OR16 5x6 mm²</t>
  </si>
  <si>
    <t>38.00.</t>
  </si>
  <si>
    <t>IZJEDNAČENJE POTENCIJALA</t>
  </si>
  <si>
    <t>Dobava, polaganje i spajanje vodova  kroz CS cijevi sa izradom svih spojeva, radi povezivanja svih metalnih masa, cjevovoda, ograda i sl. Sve stavke uključuju dobavu, montažu i spajanje sa svim potrebnim sitnim materijalom, te potrebnim štemanjam.</t>
  </si>
  <si>
    <t>38.01.</t>
  </si>
  <si>
    <t>Dobava i ugradnja P/Ž kutije PS 49 sa poklopcem i rednom stezaljkom za IP. 
U kutiji se spaja sabirni zaštitni vodič i razvod do fiksno ugrađenih vodljivih dijelova.</t>
  </si>
  <si>
    <t>38.02.</t>
  </si>
  <si>
    <t>H07V-K 1x10 mm2</t>
  </si>
  <si>
    <t>38.03.</t>
  </si>
  <si>
    <t>H07V-K 1x6 mm2</t>
  </si>
  <si>
    <t>38.04.</t>
  </si>
  <si>
    <t>39.00.</t>
  </si>
  <si>
    <t>INSTALACIJSKE CIJEVI I ZDENCI</t>
  </si>
  <si>
    <t>Dobava, montaža i polaganje cijevi. Svaka stavka uključuje sav potreban montažni materijal, spojene elemente za cijevi i sav rad za dovođenje stavke do pune funkicijonalnosti.</t>
  </si>
  <si>
    <t>39.01.</t>
  </si>
  <si>
    <t>Rebraste instalcijske cijevi</t>
  </si>
  <si>
    <t>Cijevi se polažu u betonu ili u prije napravljenim šlicevima.  CS cijevi imaju mehaničku otpornost 750N.</t>
  </si>
  <si>
    <t>Zaštitna rebrasta cijev CS20</t>
  </si>
  <si>
    <t>Zaštitna rebrasta cijev CS25</t>
  </si>
  <si>
    <t>Zaštitna rebrasta cijev CS32</t>
  </si>
  <si>
    <t>Zaštitna rebrasta cijev CS50</t>
  </si>
  <si>
    <t>PEHD cijev fi 110</t>
  </si>
  <si>
    <t>PEHD cijev fi 50</t>
  </si>
  <si>
    <t>39.02.</t>
  </si>
  <si>
    <t>kabelski zdenac MZD0
Nosivost polopca zdenca 100kN</t>
  </si>
  <si>
    <t>40.00.</t>
  </si>
  <si>
    <t>PREKIDAČI</t>
  </si>
  <si>
    <t>Utičnice i sklopke moraju se  ponuditi od jednog istog proizvođača. U jedinične cijene za podžbukne (p/ž) i nadžbukne (n/ž) tipove uključene su kutije, središnje ploče i odgovarajući broj pokrovnih okvira. _x005F_x000D_Konačan izbor usuglasiti s investitorom i projektantom interijera.</t>
  </si>
  <si>
    <t>40.01.</t>
  </si>
  <si>
    <t>Dobava, montaža i spajanje sklopka-jednopolna</t>
  </si>
  <si>
    <t>a) podžbukne</t>
  </si>
  <si>
    <t>b) nadžbukne</t>
  </si>
  <si>
    <t>40.02.</t>
  </si>
  <si>
    <t>Dobava, montaža i spajanje sklopka-izmjenična</t>
  </si>
  <si>
    <t>40.03.</t>
  </si>
  <si>
    <t>Dobava, montaža i spajanje tipkala za isključenje napajanja</t>
  </si>
  <si>
    <t>40.04.</t>
  </si>
  <si>
    <t>Dobava, montaža i spajanje senzora rasvjete 360°</t>
  </si>
  <si>
    <t>41.00.</t>
  </si>
  <si>
    <t>UTIČNICE I PODNE KUTIJE</t>
  </si>
  <si>
    <t>Utičnice i sklopke moraju se  ponuditi od jednog istog proizvođača. U jedinične cijene za podžbukne (p/ž) i nadžbukne (n/ž) tipove uključene su kutije, središnje ploče i odgovarajući broj pokrovnih okvira. _x005F_x000D_Konačan izbor usuglasiti s investitorom i projektantom interijera. Sve priključnice moraju imati dječju zaštitu.</t>
  </si>
  <si>
    <t>41.01.</t>
  </si>
  <si>
    <t>Podžbukna priključnica shuko 230V/16A sa dječjom zaštitom</t>
  </si>
  <si>
    <t>41.02.</t>
  </si>
  <si>
    <t>Podžbukna priključnica shuko 230V/16A dvostruka sa dječjom zaštitom</t>
  </si>
  <si>
    <t>41.03.</t>
  </si>
  <si>
    <t xml:space="preserve">Podžbukna priključnica shuko 230V/16A trostruka sa dječjom zaštitom, </t>
  </si>
  <si>
    <t>41.04.</t>
  </si>
  <si>
    <t>Podžbukna priključnica shuko 230V/16A, s poklopcem jednostruka, sa dječjom zaštitom</t>
  </si>
  <si>
    <t>41.05.</t>
  </si>
  <si>
    <t>Nadžbukna priključnica trofazna 16A/400V</t>
  </si>
  <si>
    <t>41.06.</t>
  </si>
  <si>
    <t>Podžbukna priključnica 1xRJ45 (WIFI, dizalo)</t>
  </si>
  <si>
    <t>41.07.</t>
  </si>
  <si>
    <t>Set što uključuje podžbukna priključnica shuko 230V/16A dvostruka sa dječjom zaštitom i 1xRJ45</t>
  </si>
  <si>
    <t>41.08.</t>
  </si>
  <si>
    <t>Set za TV što uključuje podžbukna priključnica shuko 230V/16A dvostruka sa dječjom zaštitom, 1xRJ45 i 1 TV-RD-SAT 5-2400 MHz</t>
  </si>
  <si>
    <t>41.09.</t>
  </si>
  <si>
    <t xml:space="preserve">Dobava postavljanje i spajanje podne kutije dim. 330X260x59mm (odstupanje u dimenzijama: +/- 5%) sa priključnicama </t>
  </si>
  <si>
    <t>6x230V bijela+4xRJ45 cat.6 FTP</t>
  </si>
  <si>
    <t>3x230V bijela+2xRJ45 cat.6 FTP</t>
  </si>
  <si>
    <t>41.10.</t>
  </si>
  <si>
    <t xml:space="preserve">Dobava postavljanje i spajanje seta što uključuje priključnica shuko 230V/16A trostruka i 2xRJ45 </t>
  </si>
  <si>
    <t>42.00.</t>
  </si>
  <si>
    <t>KABELSKE KANALICE</t>
  </si>
  <si>
    <t>42.01.</t>
  </si>
  <si>
    <t>Dobava i montaža kabelske police s poklopcem PK 300,
u cijenu je potrebno uračunati sav potreban  materijal potreban za potpuno funkcioniranje stavke.</t>
  </si>
  <si>
    <t>42.02.</t>
  </si>
  <si>
    <t>Dobava i montaža kabelske police s poklopcem PK 200, u cijenu je potrebno uračunati sav potreban  materijal potreban za potpuno funkcioniranje stavke.</t>
  </si>
  <si>
    <t>42.03.</t>
  </si>
  <si>
    <t>Dobava i montaža kabelske police s poklopcem PK 100, u cijenu je potrebno uračunati sav potreban  materijal potreban za potpuno funkcioniranje stavke.</t>
  </si>
  <si>
    <t>43.00</t>
  </si>
  <si>
    <t>OPĆA RASVJETA</t>
  </si>
  <si>
    <t>Sve svjetiljke moraju biti proizvedene sukladno zahtjevima standarda proizvodnje HRN EN 60598:2009 - CEI 34.21 ili jednakovrijedno. Servis svjetiljki omogućen bez specijaliziranog alata. 
Sve svjetiljke moraju imati LED izvor, ZHAGA kompatibilan, konzistencije boje (SDMC)≤3. Odziv boje LED izvora (Ra) ≥90. Najveći presjek kabela 2.5mm2, napajane sa mrežnog priključka 220-240V 50-60Hz. Svjetiljke trebaju zadovoljavati granice i metode mjerenja značajka radio smetnji električnih rasvjetnih uređaja prema HRN EN 55015:20137A1:2015 ili jednakovrijedno, svjetlotehničke zahtjeve prema standardu HRN EN 12464-1:2012 ili jednakovrijedno, imati ENEC certifikat ili jednakovrijedno, te zadovoljavati opće zahtjeve prema HRN EN 60598-1:2009 ili jednakovrijedno. Prema standardu IEC/EN62471:2008 ili jednakovrijedno svjetiljke su klasificirane u grupu fotobiološkog zračenja RG0 (izuzeta od rizika).; Vijek trajanja izvora: Ne manje od 49.000h, L90B10, svjetiljka testirana na ambijentalnoj temperaturi 25°C
Vijek trajanja izvora dokazan TM21 izvješćem. 
Jamstvo na sve svjetiljke opće rasvjete: ne manje od 7 godina.
Svi proizvodi moraju biti razvijeni i proizvedeni unutar EN ISO 9001:2015 ili jednakovrijedno  certificirane tvornice.</t>
  </si>
  <si>
    <t>43.01.</t>
  </si>
  <si>
    <t xml:space="preserve">Dobava, montaža i spajanje stropne ugradne, direktne svjetiljke, izrađene od dekapiranog čelika, elektrostatski plastificiranog sa satiniranim opal polikarbonatnim difuzorm (SOP).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φ 633 - 643 mm, H 115 - 125 mm 
Okvirne dimenzije ugradnje (od - do): φ 609 - 619 mm, H 190 - 200 mm 
Ukupni svjetlosni tok (φ - min): 4035 lm
Ukupna snaga (P - max): 44 W
Efikasnost svjetiljke (LEF - min): 91 lm/W
Iskoristivost (LOR - min): 100 %
Blještanje (UGR - max): 22.2
IP zaštita (min): 43
Jamstvo na proizvod: Ne manje od 7 godina., S1a
</t>
  </si>
  <si>
    <t>43.02.</t>
  </si>
  <si>
    <t>Dobava, montaža i spajanje stropne ugradne, direktne svjetiljke, izrađene od dekapiranog čelika, elektrostatski plastificiranog sa satiniranim opal polikarbonatnim difuzorm (SOP).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φ 403 - 413 mm, H 95 - 105 mm 
Okvirne dimenzije ugradnje (od - do): φ 390 - 400 mm, H 150 - 160 mm 
Ukupni svjetlosni tok (φ - min): 2483 lm
Ukupna snaga (P - max): 26 W
Efikasnost svjetiljke (LEF - min): 95 lm/W
Iskoristivost (LOR - min): 100 %
Blještanje (UGR - max): 23.9
IP zaštita (min): 43
Jamstvo na proizvod: Ne manje od 7 godina. S1b</t>
  </si>
  <si>
    <t>43.03.</t>
  </si>
  <si>
    <t>Dobava, montaža i spajanje stropne ugradne, direktne svjetiljke, izrađene od dekapiranog čelika, elektrostatski plastificiranog sa satiniranim opal polikarbonatnim difuzorm (SOP).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φ 305 - 315 mm, H 95 - 105 mm 
Okvirne dimenzije ugradnje (od - do): φ 290 - 300 mm, H 150 - 160 mm 
Ukupni svjetlosni tok (φ - min): 1009 lm
Ukupna snaga (P - max): 11 W
Efikasnost svjetiljke (LEF - min): 91 lm/W
Iskoristivost (LOR - min): 100 %
Blještanje (UGR - max): 22.6
IP zaštita (min): 43
Jamstvo na proizvod: Ne manje od 7 godina. S1c</t>
  </si>
  <si>
    <t>43.04.</t>
  </si>
  <si>
    <t>Dobava, montaža i spajanje stropne ugradne, direktne svjetiljke, izrađene od dekapiranog čelika, elektrostatski plastificiranog s linearnom optikom reduciranog bliještanja, visokoefikasna leća od akrila,
srednjeg snopa svjetla, s bijelim odsijačem (LGO).U kompletu sa svjetiljkom isporučuje se set za ugradnju u spušteni strop.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L 592 - 602 mm, W 592 - 602 mm, H 30 - 40 mm 
Okvirne dimenzije ugradnje (od - do): L 575 - 585 mm, W 575 - 585 mm, H 55 - 65 mm 
Ukupni svjetlosni tok (φ - min): 2122 lm
Ukupna snaga (P - max): 17 W
Efikasnost svjetiljke (LEF - min): 124 lm/W
Iskoristivost (LOR - min): 100 %
Blještanje (UGR - max): 16.7
IP zaštita (min): 20
Jamstvo na proizvod: Ne manje od 7 godina. S2a</t>
  </si>
  <si>
    <t>43.05.</t>
  </si>
  <si>
    <t>Dobava, montaža i spajanje stropne ugradne, direktne svjetiljke, izrađene od dekapiranog čelika, elektrostatski plastificiranog s linearnom optikom reduciranog bliještanja, visokoefikasna leća od akrila,
srednjeg snopa svjetla, s bijelim odsijačem (LGO). U kompletu sa svjetiljkom isporučuje se set za ugradnju u spušteni strop.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L 592 - 602 mm, W 592 - 602 mm, H 30 - 40 mm 
Okvirne dimenzije ugradnje (od - do): L 575 - 585 mm, W 575 - 585 mm, H 55 - 65 mm 
Ukupni svjetlosni tok (φ - min): 3308 lm
Ukupna snaga (P - max): 26 W
Efikasnost svjetiljke (LEF - min): 127 lm/W
Iskoristivost (LOR - min): 100 %
Blještanje (UGR - max): 18.2
IP zaštita (min): 20
Jamstvo na proizvod: Ne manje od 7 godina. S2b</t>
  </si>
  <si>
    <t>43.06.</t>
  </si>
  <si>
    <t>Dobava, montaža i spajanje stropne ugradne, direktne svjetiljke, izrađene od polikarbonata, ojačanog staklenim vlaknima, otpornog na visoke temperature (test usijanom žicom do 850°C) sa satiniranim opal polikarbonatnim difuzorm (SOP). Na predspojnoj napravi svjetiljke moguće je podešavanje jačine struje.
Izvor: PCB LED moduli velikog svjetlosnog toka, SMD LED srednje snage, SDMC≤3
Temperatura boje svjetla (od - do) (CCT), odziv boje (RA): 3950 - 4050 K, (±100K), Ra&gt;90
Predspojna sprava: strujno upravljiva, konstantnog izlaza (FO), smještena u izdvojenom kućištu
Okvirne dimenzije svjetiljke (od - do): φ 149 - 159 mm, H 58 - 68 mm 
Okvirne dimenzije ugradnje (od - do): φ 133 - 143 mm, H 85 - 95 mm 
Ukupni svjetlosni tok (φ - min): 1750 lm
Ukupna snaga (P - max): 18 W
Efikasnost svjetiljke (LEF - min): 97 lm/W
Iskoristivost (LOR - min): 100 %
Blještanje (UGR - max): 25.9
IP zaštita (min): 44
Jamstvo na proizvod: Ne manje od 7 godina. S3</t>
  </si>
  <si>
    <t>43.07.</t>
  </si>
  <si>
    <t>Dobava, montaža i spajanje modularne, stropne ugradne, direktne svjetiljke, izrađene od ekstrudiranog aluminijskog profila, elektrostatski plastificiranog s mikroprizmatičnom difuznom PMMA optikom (DPR). 
Izvor: PCB LED moduli velikog svjetlosnog toka, SMD LED srednje snage, SDMC≤3
Temperatura boje svjetla (od - do) (CCT), odziv boje (RA): 3950 - 4050 K, (±100K), Ra&gt;90
Predspojna sprava: strujno upravljiva, dimabilna (DALI), smještena u kućištu svjetiljke
Okvirne dimenzije svjetiljke (od - do): L 3077 - 3087 mm, W 74 - 84 mm, H 66 - 76 mm 
Okvirne dimenzije ugradnje (od - do): L 3077 - 3087 mm, W 63 - 73 mm, H 105 - 115 mm 
Ukupni svjetlosni tok (φ - min): 7119 lm
Ukupna snaga (P - max): 75.7 W
Efikasnost svjetiljke (LEF - min): 94 lm/W
Iskoristivost (LOR - min): 100 %
Blještanje (UGR - max): 22.9
IP zaštita (min): 20
Jamstvo na proizvod: Ne manje od 7 godina. S4a DALI</t>
  </si>
  <si>
    <t>43.08.</t>
  </si>
  <si>
    <t>Dobava, montaža i spajanje modularne, stropne ugradne, direktne svjetiljke, izrađene od ekstrudiranog aluminijskog profila, elektrostatski plastificiranog s mikroprizmatičnom difuznom PMMA optikom (DPR). 
Izvor: PCB LED moduli velikog svjetlosnog toka, SMD LED srednje snage, SDMC≤3
Temperatura boje svjetla (od - do) (CCT), odziv boje (RA): 3950 - 4050 K, (±100K), Ra&gt;90
Predspojna sprava: strujno upravljiva, dimabilna (DALI), smještena u kućištu svjetiljke
Okvirne dimenzije svjetiljke (od - do): L 837 - 847 mm, W 74 - 84 mm, H 66 - 76 mm 
Okvirne dimenzije ugradnje (od - do): L 837 - 847 mm, W 63 - 73 mm, H 105 - 115 mm 
Ukupni svjetlosni tok (φ - min): 1942 lm
Ukupna snaga (P - max): 20.9 W
Efikasnost svjetiljke (LEF - min): 92 lm/W
Iskoristivost (LOR - min): 100 %
Blještanje (UGR - max): 22.9
IP zaštita (min): 20
Jamstvo na proizvod: Ne manje od 7 godina. S4b DALI</t>
  </si>
  <si>
    <t>43.09.</t>
  </si>
  <si>
    <t>Dobava, montaža i spajanje modularne, stropne ugradne, direktne svjetiljke, izrađene od ekstrudiranog aluminijskog profila, elektrostatski plastificiranog s mikroprizmatičnom difuznom PMMA optikom (DPR). 
Izvor: PCB LED moduli velikog svjetlosnog toka, SMD LED srednje snage, SDMC≤3
Temperatura boje svjetla (od - do) (CCT), odziv boje (RA): 3950 - 4050 K, (±100K), Ra&gt;90
Predspojna sprava: strujno upravljiva, dimabilna (DALI), smještena u kućištu svjetiljke
Okvirne dimenzije svjetiljke (od - do): L 2051 - 2061 mm, W 44 - 54 mm, H 60 - 70 mm 
Okvirne dimenzije ugradnje (od - do): L 2051 - 2061 mm, W 36 - 46 mm, H 80 - 90 mm 
Ukupni svjetlosni tok (φ - min): 3435 lm
Ukupna snaga (P - max): 34 W
Efikasnost svjetiljke (LEF - min): 101 lm/W
Iskoristivost (LOR - min): 100 %
Blještanje (UGR - max): 23.6
IP zaštita (min): 20
Jamstvo na proizvod: Ne manje od 7 godina. S5 DALI</t>
  </si>
  <si>
    <t>43.10.</t>
  </si>
  <si>
    <t>Dobava, montaža i spajanje stropne ugradne, direktne svjetiljke, izrađene od dekapiranog čelika, elektrostatski plastificiranog s opalnim PMMA difuzorom (OP). Uz svjetiljku se isporučuje pribor za montažu u strop.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L 1192 - 1202 mm, W 192 - 202 mm, H 90 - 100 mm 
Okvirne dimenzije ugradnje (od - do): L 1175 - 1185 mm, W 175 - 185 mm, H 115 - 125 mm 
Ukupni svjetlosni tok (φ - min): 3231 lm
Ukupna snaga (P - max): 44 W
Efikasnost svjetiljke (LEF - min): 73 lm/W
Iskoristivost (LOR - min): 100 %
Blještanje (UGR - max): 22.6
IP zaštita (min): 43
Jamstvo na proizvod: Ne manje od 7 godina. S6</t>
  </si>
  <si>
    <t>43.11.</t>
  </si>
  <si>
    <t>Dobava, montaža i spajanje stropne nadgradne, direktno-indirektne svjetiljke, izrađene od polikarbonata s opalnim polikarbonatnim difuzorom (OP).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φ 280 - 290 mm, H 98 - 108 mm 
Ukupni svjetlosni tok (φ - min): 1727 lm
Ukupna snaga (P - max): 14 W
Efikasnost svjetiljke (LEF - min): 123 lm/W
Iskoristivost (LOR - min): 100 %
Blještanje (UGR - max): 21.2
IP zaštita (min): 43
Jamstvo na proizvod: Ne manje od 7 godina. S7</t>
  </si>
  <si>
    <t>43.12.</t>
  </si>
  <si>
    <t>Dobava, montaža i spajanje stropne nadgradne, direktne svjetiljke, izrađene od polikarbonata sa satiniranim opal polikarbonatnim difuzorm (SOP). 
Izvor: PCB LED moduli velikog svjetlosnog toka, SMD LED srednje snage, SDMC≤3
Temperatura boje svjetla (od - do) (CCT), odziv boje (RA): 3950 - 4050 K, (±100K), Ra&gt;90
Predspojna sprava: strujno upravljiva, konstantnog izlaza (FO), smještena u kućištu svjetiljke
Okvirne dimenzije svjetiljke (od - do): L 1272 - 1282 mm, W 96 - 106 mm, H 79 - 89 mm 
Ukupni svjetlosni tok (φ - min): 3826 lm
Ukupna snaga (P - max): 31 W
Efikasnost svjetiljke (LEF - min): 123 lm/W
Iskoristivost (LOR - min): 100 %
Blještanje (UGR - max): 23
IP zaštita (min): 66
Jamstvo na proizvod: Ne manje od 7 godina. S8</t>
  </si>
  <si>
    <t>43.13.</t>
  </si>
  <si>
    <t>Dobava, montaža i spajanje stropne nadgradne, direktne svjetiljke, izrađene od zakrivljenog profila ekstrudiranog aluminija, elektrostatski plastificiranog i centralne akustične ploče sa satiniranim opal polikarbonatnim difuzorm (SOP). 
Izvor: LED traka velikog svjetlosnog toka, SDMC≤3
Temperatura boje svjetla (od - do) (CCT), odziv boje (RA): 2950 - 3050 K, (±100K), Ra&gt;90
Predspojna sprava: strujno upravljiva, konstantnog izlaza (FO), smještena u izdvojenom kućištu
Okvirne dimenzije svjetiljke (od - do): φ 1211 - 1221 mm, H 22 - 32 mm 
Ukupni svjetlosni tok (φ - min): 2123 lm
Ukupna snaga (P - max): 27 W
Efikasnost svjetiljke (LEF - min): 79 lm/W
Iskoristivost (LOR - min): 100 %
Blještanje (UGR - max): 17,1
IP zaštita (min): 40
Jamstvo na proizvod: Ne manje od 7 godina. S9</t>
  </si>
  <si>
    <t>43.14.</t>
  </si>
  <si>
    <t>Dobava, montaža i spajanje stropne nadgradne, direktne svjetiljke, izrađene od zakrivljenog profila ekstrudiranog aluminija, elektrostatski plastificiranog sa satiniranim opal polikarbonatnim difuzorm (SOP). 
Izvor: LED traka velikog svjetlosnog toka, SDMC≤3
Temperatura boje svjetla (od - do) (CCT), odziv boje (RA): 2950 - 3050 K, (±100K), Ra&gt;90
Predspojna sprava: strujno upravljiva, dimabilna (DALI), smještena u izdvojenom kućištu
Okvirne dimenzije svjetiljke (od - do): φ 1211 - 1221 mm, H 22 - 32 mm 
Ukupni svjetlosni tok (φ - min): 2123 lm
Ukupna snaga (P - max): 27 W
Efikasnost svjetiljke (LEF - min): 79 lm/W
Iskoristivost (LOR - min): 100 %
Blještanje (UGR - max): 17,1
IP zaštita (min): 40
Jamstvo na proizvod: Ne manje od 7 godina. S9 DALI</t>
  </si>
  <si>
    <t>43.15.</t>
  </si>
  <si>
    <t>Dobava, montaža i spajanje zidne nadgradne, direktne svjetiljke, izrađene od zakrivljenog profila ekstrudiranog aluminija, elektrostatski plastificiranog sa satiniranim opal polikarbonatnim difuzorm (SOP). 
Izvor: LED traka velikog svjetlosnog toka, SDMC≤3
Temperatura boje svjetla (od - do) (CCT), odziv boje (RA): 2950 - 3050 K, (±100K), Ra&gt;90
Predspojna sprava: strujno upravljiva, konstantnog izlaza (FO), smještena u izdvojenom kućištu
Okvirne dimenzije svjetiljke (od - do): φ 894 - 904 mm, H 22 - 32 mm 
Ukupni svjetlosni tok (φ - min): 1565 lm
Ukupna snaga (P - max): 20 W
Efikasnost svjetiljke (LEF - min): 78 lm/W
Iskoristivost (LOR - min): 100 %
Blještanje (UGR - max): 18,2
IP zaštita (min): 40
Jamstvo na proizvod: Ne manje od 7 godina. S10</t>
  </si>
  <si>
    <t>43.16.</t>
  </si>
  <si>
    <t>Dobava, montaža i spajanje zidne nadgradne, direktne svjetiljke, izrađene od zakrivljenog profila ekstrudiranog aluminija, elektrostatski plastificiranog sa satiniranim opal polikarbonatnim difuzorm (SOP). 
Izvor: LED traka velikog svjetlosnog toka, SDMC≤3
Temperatura boje svjetla (od - do) (CCT), odziv boje (RA): 2950 - 3050 K, (±100K), Ra&gt;90
Predspojna sprava: strujno upravljiva, konstantnog izlaza (FO), smještena u izdvojenom kućištu
Okvirne dimenzije svjetiljke (od - do): φ 606 - 616 mm, H 22 - 32 mm 
Ukupni svjetlosni tok (φ - min): 1062 lm
Ukupna snaga (P - max): 14 W
Efikasnost svjetiljke (LEF - min): 76 lm/W
Iskoristivost (LOR - min): 100 %
Blještanje (UGR - max): 19,7
IP zaštita (min): 40
Jamstvo na proizvod: Ne manje od 7 godina. S11</t>
  </si>
  <si>
    <t>43.17.</t>
  </si>
  <si>
    <t>Dobava, montaža i spajanje stropne ugradne, direktne svjetiljke, izrađene od polikarbonata i lijevanog aluminija s visokoučinkovitom optikom s jednolikom distribucijom, srednjeg snopa svjetla, izrađenom od metaliziranog polikarbonata sa završnim slojem laka. Na predspojnoj napravi svjetiljke moguće je podešavanje jačine struje.
Izvor: LED COB moduli velike snage, SDMC≤3
Temperatura boje svjetla (od - do) (CCT), odziv boje (RA): 2950 - 3050 K, (±100K), Ra&gt;90
Predspojna sprava: strujno upravljiva, konstantnog izlaza (FO), smještena u izdvojenom kućištu
Okvirne dimenzije svjetiljke (od - do): φ 60 - 70 mm, H 64 - 74 mm 
Okvirne dimenzije ugradnje (od - do): φ 52 - 62 mm, H 75 - 85 mm 
Ukupni svjetlosni tok (φ - min): 920 lm
Ukupna snaga (P - max): 11 W
Efikasnost svjetiljke (LEF - min): 83 lm/W
Iskoristivost (LOR - min): 100 %
Blještanje (UGR - max): 13,3
IP zaštita (min): 20
Jamstvo na proizvod: Ne manje od 7 godina. S12</t>
  </si>
  <si>
    <t>43.18.</t>
  </si>
  <si>
    <t>Dobava, montaža i spajanje modularne, stropne ugradne, direktne svjetiljke, izrađene od ekstrudiranog aluminijskog profila, elektrostatski plastificiranog sa satiniranim opal polikarbonatnim difuzorm (SOP). 
Izvor: PCB LED moduli velikog svjetlosnog toka, SMD LED srednje snage, SDMC≤3
Temperatura boje svjetla (od - do) (CCT), odziv boje (RA): 2950 - 3050 K, (±100K), Ra&gt;90
Predspojna sprava: strujno upravljiva, dimabilna (DALI), smještena u kućištu svjetiljke
Okvirne dimenzije svjetiljke (od - do): L 867 - 877 mm, L1 867 - 877 mm, W 44 - 54 mm, H 60 - 70 mm 
Okvirne dimenzije ugradnje (od - do): L 863 - 873 mm, L1 863 - 873 mm, W 36 - 46 mm, H 80 - 90 mm 
Ukupni svjetlosni tok (φ - min): 2569 lm
Ukupna snaga (P - max): 27 W
Efikasnost svjetiljke (LEF - min): 95 lm/W
Iskoristivost (LOR - min): 100 %
Blještanje (UGR - max): 27,9
IP zaštita (min): 20
Jamstvo na proizvod: Ne manje od 7 godina. S13 DALI</t>
  </si>
  <si>
    <t>43.19.</t>
  </si>
  <si>
    <t xml:space="preserve">
Dobava, montaža i spajanje modularne, stropne ugradne, direktne svjetiljke, izrađene od ekstrudiranog aluminijskog profila, elektrostatski plastificiranog sa satiniranim opal polikarbonatnim difuzorm (SOP). 
Izvor: PCB LED moduli velikog svjetlosnog toka, SMD LED srednje snage, SDMC≤3
Temperatura boje svjetla (od - do) (CCT), odziv boje (RA): 2950 - 3050 K, (±100K), Ra&gt;90
Predspojna sprava: strujno upravljiva, dimabilna (DALI), smještena u kućištu svjetiljke
Okvirne dimenzije svjetiljke (od - do): L 1024 - 1034 mm, W 44 - 54 mm, H 60 - 70 mm 
Okvirne dimenzije ugradnje (od - do): L 1024 - 1034 mm, W 36 - 46 mm, H 80 - 90 mm 
Ukupni svjetlosni tok (φ - min): 1570 lm
Ukupna snaga (P - max): 17 W
Efikasnost svjetiljke (LEF - min): 92 lm/W
Iskoristivost (LOR - min): 100 %
Blještanje (UGR - max): 25,6
IP zaštita (min): 20
Jamstvo na proizvod: Ne manje od 7 godina. S14 DALI</t>
  </si>
  <si>
    <t>43.20.</t>
  </si>
  <si>
    <t>Dobava, montaža i spajanje zidne nadgradne, direktne svjetiljke, izrađene od ekstrudiranog aluminijskog profila, elektrostatski plastificiranog sa satiniranim opal polikarbonatnim difuzorm (SOP). 
Izvor: PCB LED moduli velikog svjetlosnog toka, SMD LED srednje snage, SDMC≤3
Temperatura boje svjetla (od - do) (CCT), odziv boje (RA): 2950 - 3050 K, (±100K), Ra&gt;90
Predspojna sprava: strujno upravljiva, konstantnog izlaza (FO), smještena u kućištu svjetiljke
Okvirne dimenzije svjetiljke (od - do): L 840 - 850 mm, W 31 - 41 mm, H 50 - 60 mm 
Ukupni svjetlosni tok (φ - min): 1245 lm
Ukupna snaga (P - max): 15 W
Efikasnost svjetiljke (LEF - min): 83 lm/W
Iskoristivost (LOR - min): 100 %
Blještanje (UGR - max): 25,5
IP zaštita (min): 44
Jamstvo na proizvod: Ne manje od 7 godina. S15</t>
  </si>
  <si>
    <t>43.21.</t>
  </si>
  <si>
    <t>Dobava, montaža i spajanje stropne nadgradne, direktno-indirektne svjetiljke, izrađene od polikarbonata s opalnim polikarbonatnim difuzorom (OP). 
Izvor: PCB LED moduli velikog svjetlosnog toka, SMD LED srednje snage, SDMC≤3
Temperatura boje svjetla (od - do) (CCT), odziv boje (RA): 2950 - 3050 K, (±100K), Ra&gt;90
Predspojna sprava: strujno upravljiva, konstantnog izlaza (FO), smještena u kućištu svjetiljke
Okvirne dimenzije svjetiljke (od - do): φ 280 - 290 mm, H 98 - 108 mm 
Ukupni svjetlosni tok (φ - min): 1697 lm
Ukupna snaga (P - max): 14 W
Efikasnost svjetiljke (LEF - min): 121 lm/W
Iskoristivost (LOR - min): 100 %
Blještanje (UGR - max): 21.2
IP zaštita (min): 65
Jamstvo na proizvod: Ne manje od 7 godina. VS1</t>
  </si>
  <si>
    <t>43.22.</t>
  </si>
  <si>
    <t>Dobava, montaža i spajanje zidne nadgradne, direktno-indirektne svjetiljke, izrađene od polikarbonata s opalnim polikarbonatnim difuzorom (OP). 
Izvor: PCB LED moduli velikog svjetlosnog toka, SMD LED srednje snage, SDMC≤3
Temperatura boje svjetla (od - do) (CCT), odziv boje (RA): 2950 - 3050 K, (±100K), Ra&gt;90
Predspojna sprava: strujno upravljiva, konstantnog izlaza (FO), smještena u kućištu svjetiljke
Okvirne dimenzije svjetiljke (od - do): φ 280 - 290 mm, H 98 - 108 mm 
Ukupni svjetlosni tok (φ - min): 1697 lm
Ukupna snaga (P - max): 14 W
Efikasnost svjetiljke (LEF - min): 121 lm/W
Iskoristivost (LOR - min): 100 %
Blještanje (UGR - max): 21.2
IP zaštita (min): 65
Jamstvo na proizvod: Ne manje od 7 godina. VS1z</t>
  </si>
  <si>
    <t>43.23.</t>
  </si>
  <si>
    <t>Dobava, montaža i spajanje samostojeće, difuzne svjetiljke izrađene od lijevanog aluminija, bez udjela bakra za visoku otpornost od korozije i kaljenog stakla.
Izvor: LED 10W
Temperatura boje svjetla (od - do): 2950 - 3050 K, (±100K)
Predspojna sprava: strujno upravljiva, konstantnog izlaza (FO), smještena u kućištu svjetiljke
Okvirne dimenzije svjetiljke (od - do): L 145 - 155 mm, W 145 - 155,  H 898 - 908 mm 
Ukupni svjetlosni tok (φ - min): 600 lm
Ukupna snaga (P - max): 12,5 W
Efikasnost svjetiljke (LEF - min): 48 lm/W
IP zaštita (min): 65
IK zaštita (min): 8
Jamstvo na proizvod: Ne manje od 2 godina. VS2</t>
  </si>
  <si>
    <t>43.24.</t>
  </si>
  <si>
    <t>Dobava, montaža i spajanje cestovne svjetiljke izrađene od lijevanog aluminija s niskim udjelom bakra prema EN 47100 ili jednakovrijedno. Gornja strana svjetiljke bez izloženih rebara hladnjaka. Završna obrada: Poliesterska praškasta plastifikacija otporna na UV Zračenje i koroziju. Svjetiljka je ispitana na prskanje slanom vodom u trajanju od 3000h. Opremljena kompenzacijskim filtrom od teflona. Pokrov od zaštitnog kaljenog stakla debljine 4mm, visoke čistoće. Izloženi vijci od nehrđajućeg čelika. U kompletu sa svjetiljkom isporučuje se stup visine 6m, razdjelnica, šablona za betoniranje, sidreni vijci i konzola za jednu svjetiljku.
Prenaponska zaštita: 10kV. 
Napajanje: Predspojna naprava za vanjsku eksploataciju vijeka trajanja većim od 100.000h
Svjetiljka je predviđena za montažu na završetak stupa φ 46-60mm
Dimenzije svjetiljke: 250X520X430mm (±10%)
Težina svjetiljke: 4,4kg (±10%)
Površina izložena vjetru ne veća od 0.02m2  
Vijek trajanja izvora u temp. režimu od -40 do 40°C: 100.000h L90B10
Izvor: Više LE Dioda na MCPCB radi kvalitetne disipacije topline. Optička komponenta: Leće, zamjenjive
CCT: 3000K, RA&gt;70 
Ukupna snaga sistema:  22W (LED + driver) (±10%)
Efikasni svjetlosni tok:  3350lm (±10%) RS1</t>
  </si>
  <si>
    <t>43.25.</t>
  </si>
  <si>
    <t>Dobava, motaža i spajanje DALIeco kontrolera.
Rasvjetni upravljač, omogućuje spajanje do 4DALIeco LS/PD ili 6 DALI LS/PD LI senzora, moguća prilagodba pojedinačnih parametara pomoću pametnog telefona 
Za uredsku rasvjetu, učionice, prostorije za vježbanje i hodnike te strop
Snaga sustava: 4W
Okvirne dimenzije (od - do): L 155 - 165 mm, W 30 - 40 mm, H 35 - 45 mm 
IP zaštita (min): 20
Jamstvo na proizvod: Ne manje od 2 godine.</t>
  </si>
  <si>
    <t>44.00.</t>
  </si>
  <si>
    <t>SIGURNOSNA RASVJETA</t>
  </si>
  <si>
    <t>Sve svjetiljke i dijelovi centralnog sustava moraju biti proizvedeni sukladno zahtjevima standarda proizvodnje HRN EN 60598:2009 - CEI 34.21 ili jednakovrijedno, HRN EN 62384:2008 ili jednakovrijedno, HRN EN 50172:2008 ili jednakovrijedno. Svjetiljke moraju biti u skladu sa HRN EN 60598-1 ili jednakovrijedno, HRN EN 60598-2-22 ili jednakovrijedno, HRN EN 1838 ili jednakovrijedno, HRN EN 50171 ili jednakovrijedno standardima.
Vijek trajanja izvora: Ne manje od 49.000h. 
Jamstvo na svjetiljke i centralni baterijski sustav: ne manje od 2 godine.
Svi proizvodi moraju biti razvijeni i proizvedeni unutar EN ISO 9001:2015 ili jednakovrijedno certificirane tvornice.</t>
  </si>
  <si>
    <t>44.01.</t>
  </si>
  <si>
    <t>Dobava, montaža i spajanje stropnog nadgradnog rasvjetnog tijela protupanične rasvjete sa piktogramom smjer ''izlaz dolje'', IP zaštite 65, kućišta izrađenog od bijelog polikarbonata s transparentnim polikarbonatnim pokrovom i pleksiglasom, svjetiljka se koristi za označavanje smjera evakuacije, 220÷240VAC/50÷60Hz napajanje, elektronička predspojna naprava sa vlastitim napajanjem, sa inverterom za nužnu rasvjetu u pripravnom modu rada i hermetički zatvorenom hibridnom baterijom autonomije 3h, sa funkcijom autotesta, s elektronskom zaštitom protiv potpunog pražnjenja baterije, 2P+T priključne stezaljke za max. presjek kabela 2.5mm². Udaljenost uočavanja VD 25m. Instalirane max. snage sustava rasvjete 4W. 
Jamstvo na proizvod: Ne manje od 2 godine. P1</t>
  </si>
  <si>
    <t>44.02.</t>
  </si>
  <si>
    <t>Dobava, montaža i spajanje stropnog nadgradnog rasvjetnog tijela protupanične rasvjete sa piktogramom smjer ''izlaz lijevo/desno'', IP zaštite 65, kućišta izrađenog od bijelog polikarbonata s transparentnim polikarbonatnim pokrovom i pleksiglasom, svjetiljka se koristi za označavanje smjera evakuacije, 220÷240VAC/50÷60Hz napajanje, elektronička predspojna naprava sa vlastitim napajanjem, sa inverterom za nužnu rasvjetu u pripravnom modu rada i hermetički zatvorenom hibridnom baterijom autonomije 3h, sa funkcijom autotesta, s elektronskom zaštitom protiv potpunog pražnjenja baterije, 2P+T priključne stezaljke za max. presjek kabela 2.5mm². Udaljenost uočavanja VD 25m. Instalirane max. snage sustava rasvjete 2W. 
Jamstvo na proizvod: Ne manje od 2 godine. P2</t>
  </si>
  <si>
    <t>44.03.</t>
  </si>
  <si>
    <t>Dobava, montaža i spajanje zidnog nadgradnog rasvjetnog tijela protupanične rasvjete sa piktogramom smjer ''izlaz lijevo/desno'', IP zaštite 65, kućišta izrađenog od bijelog polikarbonata s transparentnim polikarbonatnim pokrovom i pleksiglasom, svjetiljka se koristi za označavanje smjera evakuacije, 220÷240VAC/50÷60Hz napajanje, elektronička predspojna naprava sa vlastitim napajanjem, sa inverterom za nužnu rasvjetu u pripravnom modu rada i hermetički zatvorenom hibridnom baterijom autonomije 3h, sa funkcijom autotesta, s elektronskom zaštitom protiv potpunog pražnjenja baterije, 2P+T priključne stezaljke za max. presjek kabela 2.5mm². Udaljenost uočavanja VD 25m. Instalirane max. snage sustava rasvjete 2W. 
Jamstvo na proizvod: Ne manje od 2 godine. P3</t>
  </si>
  <si>
    <t>44.04.</t>
  </si>
  <si>
    <t>Dobava, montaža i spajanje ugradnog rasvjetnog tijela protupanične rasvjete s open area optikom, IP zaštite 20, kućišta izrađenog od bijelog polikarbonata, leća i odsijač od PC, svjetiljka se koristi za sigurnosnu rasvjetu otvorenih prostora, 220÷240VAC/50÷60Hz napajanje, elektronička predspojna naprava sa vlastitim napajanjem, sa inverterom za nužnu rasvjetu u pripravnom modu rada i hermetički zatvorenom hibridnom baterijom autonomije 3h, sa funkcijom autotesta, s elektronskom zaštitom protiv potpunog pražnjenja baterije, 2P+T priključne stezaljke za max. presjek kabela 2.5mm². Ukupni svjetlosni tok svjetilke min. 190 lm, instalirane max. snage sustava rasvjete 2W.
Jamstvo na proizvod: Ne manje od 2 godine. EM1</t>
  </si>
  <si>
    <t>44.05.</t>
  </si>
  <si>
    <t>Dobava, montaža i spajanje ugradnog rasvjetnog tijela protupanične rasvjete s koridor optikom, IP zaštite 20, kućišta izrađenog od bijelog polikarbonata, leća i odsijač od PC, svjetiljka se koristi za sigurnosnu rasvjetu otvorenih prostora, 220÷240VAC/50÷60Hz napajanje, elektronička predspojna naprava sa vlastitim napajanjem, sa inverterom za nužnu rasvjetu u pripravnom modu rada i hermetički zatvorenom hibridnom baterijom autonomije 3h, sa funkcijom autotesta, s elektronskom zaštitom protiv potpunog pražnjenja baterije, 2P+T priključne stezaljke za max. presjek kabela 2.5mm². Ukupni svjetlosni tok svjetilke min. 340 lm, instalirane max. snage sustava rasvjete 4W.
Jamstvo na proizvod: Ne manje od 2 godine. EM2</t>
  </si>
  <si>
    <t>44.06.</t>
  </si>
  <si>
    <t>Dobava, montaža i spajanje nadgradnog rasvjetnog tijela protupanične rasvjete, IP zaštite 65, kućišta izrađenog od bijelog polikarbonata s transparentnim polikarbonatnim pokrovom, svjetiljka se koristi za sigurnosnu rasvjetu, 220÷240VAC/50÷60Hz napajanje, elektronička predspojna naprava sa vlastitim napajanjem, sa inverterom za nužnu rasvjetu u pripravnom modu rada i hermetički zatvorenom hibridnom baterijom autonomije 3h, sa funkcijom autotesta, s elektronskom zaštitom protiv potpunog pražnjenja baterije, 2P+T priključne stezaljke za max. presjek kabela 2.5mm². Ukupni svjetlosni tok svjetilke min. 340 lm, instalirane max. snage sustava rasvjete 4W. 
Jamstvo na proizvod: Ne manje od 2 godine. EM3</t>
  </si>
  <si>
    <t>45.00.</t>
  </si>
  <si>
    <t>SUSTAV ZAŠTITE OD MUNJE</t>
  </si>
  <si>
    <t xml:space="preserve">Za sljedeće stavke uključena je dobava, doprema, montaža i spajanje, te za traku i odvode polagenje u betonu i zemlji zajedno sa izradom svih spojeva za armaturu. Sav sitni spojni i montažni materijal da se instalacija dovede do pune funkcijonalnosti mora biti uključen u ponudu. </t>
  </si>
  <si>
    <t>45.01.</t>
  </si>
  <si>
    <t>Traka FeZn 30x4mm za temeljni uzemljivač</t>
  </si>
  <si>
    <t>45.02.</t>
  </si>
  <si>
    <t>Traka FeZn 25x4mm za uzemljenje stupova vanjske rasvjete kompletno sa priborom i spajanjem na rasvjetni stup, te za temeljni uzemljivač pomoćne građevine</t>
  </si>
  <si>
    <t>45.03.</t>
  </si>
  <si>
    <t xml:space="preserve">Izrada prstena u oknu dizala pri dnu i vrhu trakom FeZn 30x4mm kompletno sa svim montažnim i spojnim priborom </t>
  </si>
  <si>
    <t>45.04.</t>
  </si>
  <si>
    <t>Izrada prstena u kotlovnici trakom FeZn 30x4mm kompletno sa svim montažnim i spojnim priborom</t>
  </si>
  <si>
    <t>45.05.</t>
  </si>
  <si>
    <t>Okruglog vodiča Al fi 8 mm sa krovnim i zidnim nosačima</t>
  </si>
  <si>
    <t>45.06.</t>
  </si>
  <si>
    <t>Mjerno mjesto kompletno sa zaštitnom kutijom</t>
  </si>
  <si>
    <t>45.07.</t>
  </si>
  <si>
    <t>Dobava, montaža i spajanje sa krovnim hvataljkama loveće hvataljke sa nosačima, betonskim postoljem i odstojnika od nevodljivog materijala, ukupne visine 3m za zaštitu klima uređaja i ostale opreme na krovu.</t>
  </si>
  <si>
    <t>45.08.</t>
  </si>
  <si>
    <t>Sitni spojni i montažni materijal</t>
  </si>
  <si>
    <t>46.00.</t>
  </si>
  <si>
    <t>ISPITIVANJA I ATESTI</t>
  </si>
  <si>
    <t>Pribavljanje potrebnih atesta za ugradenu opremu i kabele, ispitivanje i kontrola instalacije te izrada izvješa o obavljenim ispitivanjima.</t>
  </si>
  <si>
    <t>46.01.</t>
  </si>
  <si>
    <t>Ispitivanja efikasnosti zaštite od dodirnog napona (direkni i indirektni)</t>
  </si>
  <si>
    <t>46.02.</t>
  </si>
  <si>
    <t>Funkcionalno ispitivanje elektroinstalacije</t>
  </si>
  <si>
    <t>46.03.</t>
  </si>
  <si>
    <t>Ispitivanje efikasnosti selektivne zaštite od struja KS</t>
  </si>
  <si>
    <t>46.04.</t>
  </si>
  <si>
    <t>Ispitivanje nivoa unutarnje rasvjete</t>
  </si>
  <si>
    <t>46.05.</t>
  </si>
  <si>
    <t>Ispitivanje instalacije strukturne mreže</t>
  </si>
  <si>
    <t>46.06.</t>
  </si>
  <si>
    <t>Ispitivanje otpora izolacije vodica i kabela</t>
  </si>
  <si>
    <t>46.07.</t>
  </si>
  <si>
    <t>Funkcionalno ispitivanje protupanične rasvjete</t>
  </si>
  <si>
    <t>46.09.</t>
  </si>
  <si>
    <t>Funkcionalno ispitivanje tipkala za isklop u nuždi</t>
  </si>
  <si>
    <t>Ispitivanje sustava za zaštitu od munje</t>
  </si>
  <si>
    <t>46.10.</t>
  </si>
  <si>
    <t>Predaja Investitoru svih jamstvenih listova i  uputa za održavanje. Popisa izjava o sukladnosti i popisa svih ispitivanja.</t>
  </si>
  <si>
    <t>C</t>
  </si>
  <si>
    <t>SLABA STRUJA</t>
  </si>
  <si>
    <t>47.00.</t>
  </si>
  <si>
    <t>OZVUČENJE, SOS, PAMETNE PLOČE</t>
  </si>
  <si>
    <t>OPĆE OZVUČENJE</t>
  </si>
  <si>
    <t>47.01.</t>
  </si>
  <si>
    <t>DOBAVA I POSTAVA - KOMPLET RAZGLASNE  CENTRALE</t>
  </si>
  <si>
    <t xml:space="preserve">SUSTAVA OPĆEG OZVUČENJA  (RC01) SADRŽANE OD </t>
  </si>
  <si>
    <t>SLJEDEĆIH  ELEMENATA KAKO SLIJEDI (kpl)</t>
  </si>
  <si>
    <t xml:space="preserve">panel sekvencijalnog uklopa  </t>
  </si>
  <si>
    <t>sljedećih karakteristika ili jednakovrijedno (kom)1</t>
  </si>
  <si>
    <t>19" rackmount panel s prekidačem za sekvencijalno uključenje / isključenje svih elemenata razglasne centrale, ugrađen svijetleća LED tipka za prikaz stanja, prihvat za 230V - jedan ulaz / 7 izlaza, osigurač 6-12A. Uključena zaštita za centralu</t>
  </si>
  <si>
    <t>ili jednakovrijedno ______________________________________________________</t>
  </si>
  <si>
    <t xml:space="preserve">panel  audio DSP obrade signala </t>
  </si>
  <si>
    <r>
      <rPr>
        <b/>
        <i/>
        <sz val="9"/>
        <color rgb="FF595959"/>
        <rFont val="Arial"/>
        <family val="2"/>
        <charset val="238"/>
      </rPr>
      <t xml:space="preserve">Općenito: </t>
    </r>
    <r>
      <rPr>
        <i/>
        <sz val="9"/>
        <color rgb="FF595959"/>
        <rFont val="Arial"/>
        <family val="2"/>
        <charset val="238"/>
      </rPr>
      <t xml:space="preserve">DSP procesor / digitalni audio server s uključenim mrežnim modulom za prijenos upravljačkih informacija audio kanala putem lokalne LAN mreže . Sadrži ukupno 12 audio ulaza, 8 audio izlaza te dodatnih 8 podesivih USB audio kanala (in/out). 
</t>
    </r>
  </si>
  <si>
    <t>Ostale karakteristike:, 2-linijski OLED ekran osjetljiv na dodir (kapacitivni touch), frekventni odaziv: 20Hz-20kHz, THD: &lt;0.006%, dinamički raspon: &gt;108dB, phantom napajanje: +48VDC (7mA/input) na svim audio ulazima, A/D - 24-bitni D/A konverter, 48kHz rata uzorkovanja), USB audio kanali - 48kHz rata uzorkovanja.</t>
  </si>
  <si>
    <t xml:space="preserve">panel  mrežnog 8-portnog PoE+ preklopnika </t>
  </si>
  <si>
    <t>8-portni gigabitni preklopnik 8 10/100/1000 RJ-458 10/100/1000 RJ-45 klase 4,Kapacitet prebacivanja 16 Gbps,protok 11,90 Mpps,PoE mogućnost 65W,stant On upravljanje  (pristup putem mobilne aplikacije i/ili web portala) i lokalno web GUI.poboljšana je sigurnosnim značajkama kao što su VLAN, automatska zaštita od uskraćivanja usluge, globalna kontrola i sigurnost temeljena na TPM (Trusted Platform module),PoE opcije klase 4 omogućuju napajanje uređaja poput IP telefona, nadzornih kamera i pristupnih točaka bez troškova dodatnog kabliranja.</t>
  </si>
  <si>
    <t>modularni audio player, kučište za ugradnju kartica</t>
  </si>
  <si>
    <t>profesionalni modularni audio sustav s kućištem za smještaj min. 4 kartice različitih izvora zvuka (istovremeni nezavisni rad svake pojedinačne kartice). Uređaj sadrži ugrađen web server (HTML5), 2,8" TFT ekran na prednjoj ploči, 4 USB porta, zvučnik s potenciometrom za slušanje pojedinog izvora, RS232 &amp; TCP/IP sučelje za kontrolu, opcionalno sučelje za smješta karticu za prijenos audio signala putem LAN mreže, te pripadajući softver za kontrolu izvora</t>
  </si>
  <si>
    <t xml:space="preserve">modul kartice Internet audio reproduktora / streamera	</t>
  </si>
  <si>
    <t>kartica audio izvora - internet radio streamer s USB podrškom za reprodukciju uslijed nestanka internet veze. Baza s unešenih preko 30000 internet radio postaja / kanala, mogućnost pohrane  do 100 različitih unosa, balansirani stereo audio izlaz (2x 3-pinski terminal blok), USB sučelje (podržani FAT16 i FAT32), RJ45 LAN port. Podrška za audio formate: MP3, WMA, AAC. Izlazni nivo: +8 dB ~ -92 dB, THD+N (@ 1 kHz): &lt; 0.07%</t>
  </si>
  <si>
    <t>modul kartice AM/FM prijemnika</t>
  </si>
  <si>
    <t>kartica audio izvora - DAB/DAB+ &amp; FM tuner, RDS, ručna i automatska pretraga, balansirani stereo audio izlaz, 1x antenska priključak (F tip, 75Ω), mogućnost memorijske pohrane min. 10 stanica, mono/stereo način rada, podesivi izlazni nivo audio signala, podrška za DRC (dynamic range compression)</t>
  </si>
  <si>
    <t>modul kartice media player &amp; recorde</t>
  </si>
  <si>
    <t xml:space="preserve">kartica audio izvora -media player &amp; recorder s USB podrškom za reprodukciju . Moguća je reprodukcija medija za audio datoteka MP3, OGG, AAC, FLAC, WMA i WAV,  balansirani stereo audio izlaz (1x 3-pinski terminal blok),  balansirani stereo audio ulaz (1x 3-pinski terminal blok ), Izlazni nivo: +8 dB ~ -91dB, THD+N (@ 1 kHz): &lt; 0.07% 
</t>
  </si>
  <si>
    <t>panel releja za spuštanje projekcijskog platna</t>
  </si>
  <si>
    <t>Služi za spuštanje platna uključuje 1 x  tipke gore/dolje. 1H visine</t>
  </si>
  <si>
    <t xml:space="preserve">panel kompleta bežičnih mikrofona sadržanog od elemenata </t>
  </si>
  <si>
    <t>sljedećih karakteristika ili jednakovrijedno (kpl)1</t>
  </si>
  <si>
    <t>true diversity sustav bežičnih mikrofona s uključenom: 
1x dvostruka combo mix / dualout baza / prijemnik (1HE), 
2x antenski priključak,
1x ručni kondezatorski bežični mikrofon / odašiljač, 
1x pojasni predajnik / beltpack, 
1x tanki naglavni kondezatorski mikrofon.</t>
  </si>
  <si>
    <r>
      <rPr>
        <b/>
        <i/>
        <sz val="9"/>
        <color rgb="FF595959"/>
        <rFont val="Arial CE"/>
        <charset val="238"/>
      </rPr>
      <t xml:space="preserve">Karakteristike baze/prijemnika: </t>
    </r>
    <r>
      <rPr>
        <i/>
        <sz val="9"/>
        <color rgb="FF595959"/>
        <rFont val="Arial CE"/>
        <family val="2"/>
        <charset val="238"/>
      </rPr>
      <t>True Diversity  dvostruka baza s. Rad u frekvencijskom području od 655do 679MHz. Broj kanala: 96 (8 grupa po 12 kanala). Tip modulacije: FM. Broj antenskih priključnica: 2 (BNC). Napajanje: 12-18V DC</t>
    </r>
  </si>
  <si>
    <r>
      <rPr>
        <b/>
        <i/>
        <sz val="9"/>
        <color rgb="FF595959"/>
        <rFont val="Arial CE"/>
        <charset val="238"/>
      </rPr>
      <t>Karakteristike ručnog mikrofona / odašiljača</t>
    </r>
    <r>
      <rPr>
        <i/>
        <sz val="9"/>
        <color rgb="FF595959"/>
        <rFont val="Arial CE"/>
        <family val="2"/>
        <charset val="238"/>
      </rPr>
      <t xml:space="preserve">: Tip: kondezatorski. Usmjerenost: kardioida. Broj kanala 160 . Frekventni odaziv: 60Hz - 16kHz. Raspon frekvencija odašiljanja: 655-679 MHz. Nazivna HF izlazna snaga: podesiva minimalno 2-30mW. </t>
    </r>
  </si>
  <si>
    <r>
      <rPr>
        <b/>
        <i/>
        <sz val="9"/>
        <color rgb="FF595959"/>
        <rFont val="Arial CE"/>
        <charset val="1"/>
      </rPr>
      <t xml:space="preserve">Karakteristike pojasnog predajnika: </t>
    </r>
    <r>
      <rPr>
        <i/>
        <sz val="9"/>
        <color rgb="FF595959"/>
        <rFont val="Arial CE"/>
        <charset val="1"/>
      </rPr>
      <t xml:space="preserve">Broj kanala: 96 (8 grupa po 12 kanala). Frekventni odaziv: 60Hz - 16 000 Hz. Raspon frekvencija odašiljanja: 655-679MHz. Nazivna HF izlazna snaga: podesiva od minimalno 2-30mW. </t>
    </r>
  </si>
  <si>
    <r>
      <rPr>
        <b/>
        <i/>
        <sz val="9"/>
        <color rgb="FF595959"/>
        <rFont val="Arial CE"/>
        <charset val="238"/>
      </rPr>
      <t>Karakteristike naglavnog mikrofona:</t>
    </r>
    <r>
      <rPr>
        <i/>
        <sz val="9"/>
        <color rgb="FF595959"/>
        <rFont val="Arial CE"/>
        <family val="2"/>
        <charset val="238"/>
      </rPr>
      <t xml:space="preserve"> Frekventni odaziv: 20Hz-20 000Hz. Usmjerenost: kardioida,   Impedancija:  minimalno 680Ω.  Fantom napajanje: 5V</t>
    </r>
  </si>
  <si>
    <t xml:space="preserve">panel profesionalnog 4-kanalnog pojačala snage </t>
  </si>
  <si>
    <t>Profesionalno 19" rackmount 4-kanalno pojačalo snage 4x 80W@100V .S/N: &gt; 100dB. THD+N (@1kHz): &lt; 0.05%. Ugrađen sustav zaštite pojačala od DC kvara, kratkog spoja, pregrijavanja i prepobude s funkcijom  limitacije signala kada je potrebno.Raspon frekvencija: 110Hz-22kH Ulazi: 3-pinski terminal blok , Izlazi: 4-pinski terminal blok. 1HE</t>
  </si>
  <si>
    <t>19" rackmount polica (kom) 2</t>
  </si>
  <si>
    <t xml:space="preserve">polica visine 2HE, 483 x 44 x 331.5 mm (W x H x D) </t>
  </si>
  <si>
    <t>panel ventilacijski (kom)5</t>
  </si>
  <si>
    <t>slijepa ploča od 19''. Ploča je perforirana šesterokutnim ventilacijskim otvorima za lakše hlađenje pohranjene opreme.Visina 1 HE</t>
  </si>
  <si>
    <t xml:space="preserve">19" rack za smještaj opreme, ožičen, ispitan, </t>
  </si>
  <si>
    <t>19" samostojeći rack ormar unutarnje visine od 27 HE s uključenim prednjim staklenim vratima s bravicom i ključem, 50 mm kotačima, kompletno ispitan i ožičen. Uklonjive stranice (bočne i zadnja), prednja vrata sa kaljenim staklom. Minimalna nosivost: 800kg. Tlocrtna dimenzija ormara 600 x 600 mm.</t>
  </si>
  <si>
    <t>47.02.</t>
  </si>
  <si>
    <t>DOBAVA I POSTAVA - NADGRADNI ZVUČNIK</t>
  </si>
  <si>
    <t>Dvosistemski koaksijalni nadgradni zvučnik s rotirajućim nosačem. 1x 6,5" LF jedinica + 1x 1,0" HF jedinica.  Frekventni raspon: minimalno 58Hz-20kHZ. Osjetljivost: SPL @1W/1m: minimalno 89dB. Maksimalni SPL@1m: minimalno 112dB.). Snaga zvučnika (RMS): minimalno 200W@8Ω , 20-40-80W@100V. U kompletu uključen nosač sa skrivenim prolazom za kabele te mogućnost rotacije zvučnika u svim smjerovima (minimalno 120° horizontalno  i 120° vertikalno). IP 53.</t>
  </si>
  <si>
    <t>47.03.</t>
  </si>
  <si>
    <t>DOBAVA I POSTAVA - UGRADNI ZVUČNIK</t>
  </si>
  <si>
    <t>SLJEDEĆIH KARAKTERISTIKA ILI JEDNAKOVRIJEDNO (kpl)</t>
  </si>
  <si>
    <t>Dvosistemski ugradni zvučnik (u kučištu od visokokvalitetnog ABS-a , ugrađeni 8" woofer + 1" visokotonac, snaga: 50W@16Ω; 2,5-20W@100V. Maksimalni SPL108dB: minimalno 88dB. Frekventni raspon: minimalno 50Hz - 20kHz. Disperzija@1kHz: minimalno 180°. Stupanj zaštite: minimalno IP49. Promjer otvora za ugradnju: maksimalno 223mm ,Vanjski promjer zvučnika: maksimalno 250mm.</t>
  </si>
  <si>
    <t>47.04.</t>
  </si>
  <si>
    <t>DOBAVA I POSTAVA - ZIDNI DIGITALNI TOUCH</t>
  </si>
  <si>
    <t xml:space="preserve">OLED KONTROLER  , SLJEDEĆIH </t>
  </si>
  <si>
    <t>zidni digitalni kontroler crne boje  s kapacitivnim visoko-kontrastnim LCD ekranom osjetljivim na dodir, dijagonale minimalno 3,8", te sadržanih minimalno 12 tipki (svaka je programibilna). Promjenjivo pozadinsko osvjetljenje ekrana prema količini ambijentalnog svjetla, statusna indikacija (RGB LED bar s promjenjivim osvjetljenjem), PoE napajani uređaj (IEEE 802.3at Class 3, 15W), . Spojivost: 1x RJ45 ulaz,  1x RJ45 izlaz. Postava na kutiju fi68.</t>
  </si>
  <si>
    <t>47.05.</t>
  </si>
  <si>
    <t>DOBAVA I POSTAVA - 3LCD LASER VIDEO/DATA PROJEKTOR</t>
  </si>
  <si>
    <r>
      <rPr>
        <b/>
        <i/>
        <sz val="9"/>
        <color rgb="FF595959"/>
        <rFont val="Arial CE"/>
        <charset val="238"/>
      </rPr>
      <t xml:space="preserve">Općenito: </t>
    </r>
    <r>
      <rPr>
        <i/>
        <sz val="9"/>
        <color rgb="FF595959"/>
        <rFont val="Arial CE"/>
        <family val="2"/>
        <charset val="238"/>
      </rPr>
      <t xml:space="preserve">3LCD laser tehnologija, minimalno 5200 ANSI lumena ) . Minimalno 20.000 radnih sati (u štednom načinu rada / najmanje 30.000 radnih sati u ECO modu). Leća projektora smještena centralno s omjerom u rasponu 1,35 - 2,20:1 Nativna rezolucija: najmanje WUXGA - 1920 x 1200 px (16:10) . Kontrast: ne manji od 2.500.000 : 1, Ručni pomak leće: min. ±30% vertikalno, min.  ±30% horizontalno.  Uključen odvojni trafo za eliminaciju bruma unutar sustava. </t>
    </r>
  </si>
  <si>
    <r>
      <rPr>
        <b/>
        <i/>
        <sz val="9"/>
        <color rgb="FF595959"/>
        <rFont val="Arial CE"/>
        <charset val="238"/>
      </rPr>
      <t>Konekcije:</t>
    </r>
    <r>
      <rPr>
        <i/>
        <sz val="9"/>
        <color rgb="FF595959"/>
        <rFont val="Arial CE"/>
        <family val="2"/>
        <charset val="238"/>
      </rPr>
      <t xml:space="preserve"> USB 2.0-A, USB 2.0, RS-232C, Ethernet sučelje (100 Base-TX/10 Base-T), Bežični LAN IEEE 802.11a/b/g/n/ac (WiFi 5), Bežični LAN b/g/g 25 GHz, Bežični LAN a/n (5 GHz), VGA ulaz (2x), VGA izlaz, HDMI izlaz, HDBaseT, Miracast, Izlazni priključak za utičnicu, Ulazni priključak za utičnicu (2x), HDMI sučelje (HDCP 2.3) (2x), Reprodukcija USB 2 tipa A</t>
    </r>
  </si>
  <si>
    <r>
      <rPr>
        <b/>
        <i/>
        <sz val="9"/>
        <color rgb="FF595959"/>
        <rFont val="Arial CE"/>
        <charset val="238"/>
      </rPr>
      <t>Ostale funkcije</t>
    </r>
    <r>
      <rPr>
        <i/>
        <sz val="9"/>
        <color rgb="FF595959"/>
        <rFont val="Arial CE"/>
        <charset val="238"/>
      </rPr>
      <t>: Zrcaljenje zaslona,kensington zaštita,zaključavanje jedinice za bežični LAN, sigurnosne značajke bežičnog LAN-a, zaštita lozinkom,automatsko uključivanje, funkcija rasporeda,zrcaljenje zaslona, funkcija podijeljenog zaslona,nadzor putem mreže, Web daljinski upravljač</t>
    </r>
  </si>
  <si>
    <t>47.06.</t>
  </si>
  <si>
    <t>DOBAVA I POSTAVA - KOMPLET STROPNI NOSAČ</t>
  </si>
  <si>
    <t>Min. udaljenost do stropa (mm): 124, Maks. udaljenost do stropa (mm): 124, Okretanje: Do 360°, Nagib do 15°, Rotacija: 15, Maks. opterećenje (kg): 20, Raspon (promjer): 30 - 337 mm</t>
  </si>
  <si>
    <t>47.07.</t>
  </si>
  <si>
    <t>DOBAVA I POSTAVA- UGRADNO  ELEKTROMOTORNO</t>
  </si>
  <si>
    <t xml:space="preserve"> PLATNO   SLJEDEĆIH KARAKTERISTIKA</t>
  </si>
  <si>
    <t>Komplet sa svim potrebnim priborom za ugradnju platna u strop. . Vidljiva projekcijska površina: 244x 153 cm, omjer projekcije 16:10. Crni rub - gornji 28cm, ostale strane 5cm.  Težina: do 23kg. Proizvedeno u EU.</t>
  </si>
  <si>
    <t>47.08.</t>
  </si>
  <si>
    <t xml:space="preserve">DOBAVA I POSTAVA, KOMPLET ZIDNO TIPKALO ZA </t>
  </si>
  <si>
    <t>KONTROLU PLATNA</t>
  </si>
  <si>
    <t>Komplet za postavu u zid. Sadrži: ugradnu kutiju, nosač, masku, 1x tipkalo za kontrolu platna (up/down)</t>
  </si>
  <si>
    <t>47.09.</t>
  </si>
  <si>
    <t>DOBAVA I POSTAVA -  TV KOMPLET DIJAGONALE 65"</t>
  </si>
  <si>
    <t>Općenito: 4K HDR Smart Nano Cell ekran dijagonale 65". Nativna razlučivost: 3840x2160,pozadinskog osvjetljenja	Direct LED. .Indeks izračuna slike 65 Hz.Ugrađeni zvučnici (20W).</t>
  </si>
  <si>
    <t>47.10.</t>
  </si>
  <si>
    <t xml:space="preserve">DOBAVA I POSTAVA - NAGIBNI (TILT)  ZIDNI NOSAČ </t>
  </si>
  <si>
    <t>za TV DIJAGONALE 65"</t>
  </si>
  <si>
    <t>Profesionalni zidni nosač , nosivosti max 75Kg,  minimalna udaljenost od zida 52 mm.</t>
  </si>
  <si>
    <t>47.11.</t>
  </si>
  <si>
    <t>DOBAVA I POSTAVA -PRIKLJUČNA KUTIJA, ZIDNA</t>
  </si>
  <si>
    <t xml:space="preserve">komplet i sadržan od:2x7M ugradna kutija (dublja), nosač, maska, 3x 230V ,  2x RJ45,  1xHDMI, 2xXLR combo  </t>
  </si>
  <si>
    <t>47.12.</t>
  </si>
  <si>
    <t xml:space="preserve">komplet i sadržan od:2x7M ugradna kutija (dublja), nosač, maska, 3x 230V ,  3x RJ45,  1xRF, 4xsljepac  </t>
  </si>
  <si>
    <t>SOS SIGNALIZACIJA</t>
  </si>
  <si>
    <t>47.13.</t>
  </si>
  <si>
    <t xml:space="preserve">DOBAVA I POSTAVA - SOS CENTRALA SLJEDEĆIH </t>
  </si>
  <si>
    <t>Komplet SOS centralnog uređaja / centrale u kompaktnoj varijanti modernog dizajna za smješta iznad ulaznih vrata u invalidski sanitarni čvor. Sadrži ispravljač i potrebnu elektroniku za upravljanje sustavom. U trenutku poziva pojavljuje se zvučni signal, plexi staklo počinje svijetliti . Komplet sa ugradnom kutijom 4 modula /horizontalna postava</t>
  </si>
  <si>
    <t>47.14.</t>
  </si>
  <si>
    <t>DOBAVA I POSTAVA - POTEZNO-POZIVNO-RAZRJEŠNO</t>
  </si>
  <si>
    <t>Tipkalo je opremljeno poteznom vrpcom za uspostavu poziva i crvenom LED indikacijom statusa koja se uključuje uslijed uspostave poziva. Samo tipkalo uključuje i funkciju razrješenja. Komplet sa ugradnom kutijom Ø60.</t>
  </si>
  <si>
    <t>47.15.</t>
  </si>
  <si>
    <t>DOBAVA I POSTAVA - SIGNALNA SVJETILJKA S BIPEROM</t>
  </si>
  <si>
    <t>Ugradna signalna svjetiljka sa biperom za signalizaciju poziva Postavlja se na izdvojeno mjesto iznad ulaznih vratiju sanitarnih prostora. Postava svjetiljke u ugradnu kutiju fi60.</t>
  </si>
  <si>
    <t>PAMETNE PLOČE</t>
  </si>
  <si>
    <t>47.16.</t>
  </si>
  <si>
    <t xml:space="preserve">DOBAVA I POSTAVA - 75" EKRAN OSJETLJIV NA DODIR S </t>
  </si>
  <si>
    <t>"WHITEBOARD / SMARTBOARD" FUNKCIJAMA</t>
  </si>
  <si>
    <t>Osnovno: Profesionani "touch" IPS/Direct LED ekran dijagonale 75" ,  s antibakterijskim prednjim staklom debljine minimalno 3,2mm (MoHS7 - anti-glare, transparent). Uređaj predviđen za 18/7 rad (18sati dnevno / 7 dana u tjednu). Nativna rezolucija: 3840 x 2160px. Svjetlost: 400cd/m² (tipična). Kontrast: 5000:1 (tipično). Vrijeme odziva: maks. 8ms (tipično). Kut gledanja: minimalno 178° (H/V). Broj dodirnih točaka za istovremeni rad: do 40, transmisija: &gt;92%, preciznost: minimalna veličina objekta - 1.6 mm (±1mm). touch funkcionalnost (prsti, olovke ili bilo koji drugi predmet s mekanim vrhom, podrška za operativni sustav 10/11, Linux, MAC OS, Android. SoC specifikacije (System On Chip):  8GB RAM, 64GB ROM. Sadrži ugrađeni WiFi modul, Bluetooth 5,0</t>
  </si>
  <si>
    <r>
      <rPr>
        <b/>
        <i/>
        <sz val="9"/>
        <color rgb="FF595959"/>
        <rFont val="Arial CE"/>
        <charset val="238"/>
      </rPr>
      <t>Povezivost:</t>
    </r>
    <r>
      <rPr>
        <b/>
        <i/>
        <sz val="9"/>
        <color rgb="FF595959"/>
        <rFont val="Arial"/>
        <family val="2"/>
        <charset val="238"/>
      </rPr>
      <t xml:space="preserve"> </t>
    </r>
    <r>
      <rPr>
        <i/>
        <sz val="9"/>
        <color rgb="FF595959"/>
        <rFont val="Arial"/>
        <family val="2"/>
        <charset val="238"/>
      </rPr>
      <t>2x USB 3.0 tip A, 1x Ulaz HDMI 2.0, 1x Ulaz USB tipa C, 1x USB 3.0 tip B, 1x OPS utor JAE 80-pin, 3x USB 3.0 tip B, 1x Ulaz USB tipa C, 1x Ulaz DisplayPort 1.2a, 2x Ulazi HDMI 2.0, 1x VGA / Audio (3,5 mm priključak) ulaz, 2x USB 3.0 tip A, 1x Izlaz HDMI, 1x Izlaz za zvuk (3,5 mm priključak), 1x Izlaz za zvuk (SPDIF, optički), 2x LAN RJ45 100/1000 Mbps, 1x RS232 (9-pinski SubD), 1x USB 2.0 tip A</t>
    </r>
  </si>
  <si>
    <r>
      <rPr>
        <i/>
        <sz val="9"/>
        <color rgb="FF595959"/>
        <rFont val="Arial CE"/>
        <charset val="238"/>
      </rPr>
      <t>Funkcije:</t>
    </r>
    <r>
      <rPr>
        <i/>
        <sz val="9"/>
        <color rgb="FF595959"/>
        <rFont val="Arial"/>
        <family val="2"/>
        <charset val="238"/>
      </rPr>
      <t xml:space="preserve"> "Whiteboard" aplikacija s anotacijskim funkcijama, snimanje ekrana, kalkulator, timer, kalendar, File manager, foto-audio-video player, WPS Office, Adobe Reader, Firefox, Chromium preglednik, OpenCamera, OpenStreetmaps, BYOD (Bring Your Own Device</t>
    </r>
  </si>
  <si>
    <r>
      <rPr>
        <i/>
        <sz val="9"/>
        <color rgb="FF595959"/>
        <rFont val="Arial CE"/>
        <charset val="238"/>
      </rPr>
      <t xml:space="preserve">OPS Slot IN PC: </t>
    </r>
    <r>
      <rPr>
        <i/>
        <sz val="9"/>
        <color rgb="FF595959"/>
        <rFont val="Arial"/>
        <family val="2"/>
        <charset val="238"/>
      </rPr>
      <t>uključen PC modul u obliku kartice koja se ugrađuje u ekran - Intel i5-1135G7 (2,4 GHz, max. turbo 4.2 GHz), 8GB DDR4 RAM, 250GB SSD, integrirana grafika (Intel Iris Xe Graphics), podrška za 4096x2160@60Hz rezolucije. Sadrži: 1x USB 3.2 Gen1 (Tip C), 2x USB 3.2 Gen2 (Tip A), 1x USB 3.2 Gen1 (Tip A), 1x USB 2.0 (Tip A), Audio: Realtek ALC897, 1x 3,5 mm ulaz za mikrofon, 1x 3,5 mm izlaz za audio, 1x RJ45, Wi-Fi 2,4 &amp; 5 &amp; 6 GHz, Bluetooth 5.3, Windows 10 Pro licenca.</t>
    </r>
  </si>
  <si>
    <t>47.17.</t>
  </si>
  <si>
    <t>DOBAVA I POSTAVA- TIPKOVNICA I MIŠ, BEŽIČNI</t>
  </si>
  <si>
    <t xml:space="preserve">komplet bežične tipkovnice i miša s USB prijemnikom, bežični domet: 10 metara.	</t>
  </si>
  <si>
    <t>47.18.</t>
  </si>
  <si>
    <t xml:space="preserve">DOBAVA I POSTAVA - RAVNI  ZIDNI NOSAČ </t>
  </si>
  <si>
    <t>za TV DIJAGONALE 75"</t>
  </si>
  <si>
    <t>Profesionalni zidni nosač , nosivosti max 100kg,  minimalna udaljenost od zida 35 mm.</t>
  </si>
  <si>
    <t>47.19.</t>
  </si>
  <si>
    <t>komplet i sadržan od:2x7M ugradna kutija (dublja), nosač, maska,  1x230V, 1xRJ45, 1xHDMI, 1xUSB3.0-A, 1xTRS 3.5mm, 1x sljepac</t>
  </si>
  <si>
    <t>47.20.</t>
  </si>
  <si>
    <t>komplet i sadržan od:2x7M ugradna kutija (dublja), nosač, maska,  11x230V, 2xRJ45, 1xUSB3.0-A, 1xTRS 3.5mm 1x sljepac</t>
  </si>
  <si>
    <t>47.21.</t>
  </si>
  <si>
    <t xml:space="preserve">DOBAVA I POSTAVA - AKTIVNI USB 3,0 KABEL </t>
  </si>
  <si>
    <t xml:space="preserve">aktivni produžni kabel za produljenje USB 3.0 signala. Sadrži aktivnu elektroniku koja mu omogućuje produženje bez gubitka signala ili potencijalnih problema s performansama / bez potrebe za vanjskim izvorom napajanja (napaja se iz USB izvora). Plug&amp;Play funkcija, USB 3.0 (5Gbps). Konstrukcija: 2 para 24AWG + 1 par 26AWG + 2 žice 22AWG + 2 odvodne žice 24AWG. Konekcije: USB 3.0 type–A muški / USB 3.0 type–A ženski. Dužina: 7,6m.Uključena  keystone USB 3.0 A Ž/Ž,	</t>
  </si>
  <si>
    <t>47.22.</t>
  </si>
  <si>
    <t>DOBAVA I POSTAVA -USB KABEL 3,0 (1,8m/kom)</t>
  </si>
  <si>
    <t>USB tip–A muški na tip–B muški,brzine prijenosa do : 4,8 Gbps, duljina kabela 1,8 m</t>
  </si>
  <si>
    <t>47.23.</t>
  </si>
  <si>
    <t>DOBAVA I POSTAVA- HQ HDMI KABEL  (4,6 m/kom)</t>
  </si>
  <si>
    <t xml:space="preserve">ravni tzv. "flat" instalacijski "high−speed" HDMI + Ethernet kabel s podrškom za rezolucije do 4K@60Hz (4:4:4). 28AWG (7/0.2), K-LOCK konektori s povećanom otpornošću na povlačenje. Dužina:4,6m (+/-5%)	</t>
  </si>
  <si>
    <t>KOMPLET USLUGA I SITNOG MATERIJALA</t>
  </si>
  <si>
    <t>47.24.</t>
  </si>
  <si>
    <t xml:space="preserve">DOBAVA I POSTAVA - KOMPLET KRATKIH SPOJNIH KABELA </t>
  </si>
  <si>
    <t xml:space="preserve">I SITNOG POTROŠNOG MATERIJALA ZA DOVOĐENJE </t>
  </si>
  <si>
    <t>SUSTAVA DO PUNE FUNKCIONALNOSTI</t>
  </si>
  <si>
    <t>komplet sitnog spojnog materijala i pribora, kratkih kabela, sitnog potrošnog materijala, .. za dovođenje sustava do pune funkcionalnosti</t>
  </si>
  <si>
    <t>47.25.</t>
  </si>
  <si>
    <t xml:space="preserve">KOMPLET USLUGA NA LOKACIJI </t>
  </si>
  <si>
    <t xml:space="preserve">" - ispitivanje linija, programiranje sustava, izrada GUI upravljačkih 
   sučelja  završno podešavanje i puštanje u rad. "	
 - obuka korisnika na lokaciji (2-3 osobe, 4 sata)	
" - dokumentacija (izjave o sukladnosti, jamstveni, zapisnik, uputstva za upotrebu na HR jeziku)"	</t>
  </si>
  <si>
    <t>47.26.</t>
  </si>
  <si>
    <t xml:space="preserve">DOBAVA I POSTAVA - FLEKSIBILNI FINOŽIČNI INSTALACIJSKI </t>
  </si>
  <si>
    <t xml:space="preserve">KABEL 2x 1,5mm² SLJEDEĆIH </t>
  </si>
  <si>
    <t>Fleksibilni kabel 2x1,5mm². Konstrukcija pojedinog vodiča 28 x 0,25mm, Otpor vodiča 13,3 Ω/km. Vodič: goli bakreni, klase 5, 16 AWG  Izolacija: polyolefin, Otpornost prema gorenju</t>
  </si>
  <si>
    <t>47.27.</t>
  </si>
  <si>
    <t xml:space="preserve">DOBAVA I POSTAVA - OKLOPLJEN MREŽNI CAT6 U/FTP LAN </t>
  </si>
  <si>
    <t>Mrežni instalacijski kabel CAT6 250MHZ U/FTP, LSHF FRNC LSOH, PVC, kabel s 4 parice 4x2xAWG23, oklopljen folijom i opletom, svaki par oklopljen Al-folijom i opletom,  bezhalogena smjesa.Kabel je samogasiv prema IEC 60332-1</t>
  </si>
  <si>
    <t>47.28.</t>
  </si>
  <si>
    <t xml:space="preserve">DOBAVA I POSTAVA -MREŽNI UTP KABEL  </t>
  </si>
  <si>
    <t>mrežni instalacijski kabel CAT5E UTP, 100MHz; 305m, UTP kabel neoklopljen, puna žica 4x2xAWG24/1 CCA, PVC sivi; LAN kabel; CAT5E UTP cable unshielded solid 4x2xAWG24/1</t>
  </si>
  <si>
    <t>47.29.</t>
  </si>
  <si>
    <t xml:space="preserve">DOBAVA I POSTAVA - INSTALACIJSKI BALANSIRANI </t>
  </si>
  <si>
    <t>Okrugli dvostruko oklopljeni audio / mikrofonski kabel 2x0,23mm² , 24 AWG Otpor:95 Ω ± 1 Ωm, kapacitet (core/core):42 pF / m @ 1 MHz</t>
  </si>
  <si>
    <t>47.30.</t>
  </si>
  <si>
    <t xml:space="preserve">CAT6A U/FTP Video &amp; LAN / LSHF (Low Smoke &amp; Halogen Free) kabel za prijenos AV i IT signala. 4x2x23AWG - 4 oklopljene "uvrnute" parice, 23AWG "solid copper" vodiči, zajednički oklop / plašt. Promjer vodiča: 0.56mm ±0.01mm, DC otpor vodiča: &lt;79.8Ω/km, NVP: 76%, kapacitet (mutual pair): ≤42pF/m.	</t>
  </si>
  <si>
    <t>47.31.</t>
  </si>
  <si>
    <t>DOBAVA I POSTAVA - INSTALACIJSKI KABEL 5x0,75mm²</t>
  </si>
  <si>
    <t xml:space="preserve">5 paralelno postavljena bakrena vodiča 5x 0,75mm², finožični použeni klase 5, izolacija,plašt  PVC-a smjesa. Konstrukcija pojedinog vodiča: 24 x 0,20mm. Otpor vodiča pri 20 °C: 26Ω/km. Vanjski promjer 7,4- 9,3mm. Otpornost prema gorenju IEC 60332-1 . </t>
  </si>
  <si>
    <t>47.32.</t>
  </si>
  <si>
    <t>Bezhalogeni vatrodojavni instalacijski kabel,  2x2x0.8 FE180 E30 maks. radnog napona do 225V. Bakreni vodič punog presjeka, promjera 0,8mm, bezhalogena poliolefinska izolacija minimalne debljine 0,3 kodiranje žila bojom, PEPT separator, elektrostatički zaslon od alumnij-laminirane poliesterke trake i pokositrenim bakrenim kontakt vodičem promjera minimalno 0,6mm, plašt od bezhalogenske poliolefinske smjese HM2. Vanjski promjer kabela do 7mm.</t>
  </si>
  <si>
    <t>48.00.</t>
  </si>
  <si>
    <t>GENERIČKO KABLIRANJE</t>
  </si>
  <si>
    <t>Sve naveden stavke uključuju dobavu, montažu i spajanje do pune funkiconalnosti.</t>
  </si>
  <si>
    <t>NAPOMENA:_x005F_x000D_Večina priključnica RJ45 obuhvaćena je unutar stavki MODULARNIH GARNITURA u dijelu troškovnika jake struje.</t>
  </si>
  <si>
    <t>48.01.</t>
  </si>
  <si>
    <t>GKO</t>
  </si>
  <si>
    <t>Glavni komunikacijski ormar opremljen prespojnik optičkim panelima, patch panelima FTP cat.6a, prenaponskom zaštitom, ventilatorskom jedinicom, ladicama, nosačima i ostalom potrebnom opremom</t>
  </si>
  <si>
    <t>Dobava, montaža i spajanje do potpune funkcionalnosti komunikacijskog ormara  dimenzija 1020x600x600 ± 5% mm (ŠxVxD), prednje 19" šine, 21U. Sigurnosna staklena vrata debljine 5 mm od kaljenog stakla sa zaključavanjem. Otvaranje 180°.Višestruki otvori za kabele: s gornje,donje i stražnje strane,moguće prekrivanje četkom, IP20. Pribor za uzemljenje uključen. . Boja ormara: Svjetlosiva RAL 7035 ili jednakovrijedno. Stavka uključuje sve potrebne vijke i matice za montažu na zid te potrebni nosači za police.</t>
  </si>
  <si>
    <t>19" ventilacijska jedinica za zidni komunikacijski ormar s 2 ventilatora i termostatom, 2U, stavka uključuje dobavu, montažu te spajanje</t>
  </si>
  <si>
    <t>Konverter medija 1xRJ45 10/100/1000, stavka uključuje dobavu, montažu te spajanje</t>
  </si>
  <si>
    <t>Sabirnica za uzemljenje te priključak kabelskog ormara na razvodnu ploču i uzemljenje, stavka uključuje dobavu, montažu te spajanje</t>
  </si>
  <si>
    <t>19" izvlačiva polica, maskimalno 30kg tereta, dubina police 350mm ± 5%, 1U,  stavka uključuje dobavu, montažu te spajanje</t>
  </si>
  <si>
    <t>19" vodilica kabela, jednostruki kanal, 1U, boja RAL 7035 ili jednakovrijedno,  stavka uključuje dobavu, montažu te spajanje</t>
  </si>
  <si>
    <t>19" napojna letva s 8 utičnica + prekidač za isključenje, 1U, boja RAL 7035 ili jednakovrijedno, stavka uključuje dobavu, montažu te spajanje</t>
  </si>
  <si>
    <t>19" preklopnik 24xRJ45 Cat6 10/100/1000T, stavka uključuje dobavu, montažu te spajanje</t>
  </si>
  <si>
    <t>19" prespojni panel 1U, s 24 oklopljena modula  RJ45 Cat.6 za bezalatno spajanje, boja RAL 7035  ili jednakovrijedno, stavka uključuje dobavu, montažu te spajanje</t>
  </si>
  <si>
    <t>Prespojni kabel RJ45 cat.6 oklopljen,s pregibnicama,0.5m, stavka uključuje dobavu te spajanje</t>
  </si>
  <si>
    <t>Izrada Cat.6 spoja na prespojnom panelu, uključivo shemiranje ormara i aranžiranje ormara te numeracija prespojnog panela.</t>
  </si>
  <si>
    <t xml:space="preserve">Dobava i ugradanja optičkog prespojnog kabela duplex LC/LC, 9/125µm OS2, 1.0m </t>
  </si>
  <si>
    <t>Optički razdjelnik, 12 niti,LC,50/125µm OM2, izvlačivi,19",1U</t>
  </si>
  <si>
    <t>Optički prespojni panel 19", 1U, uključuje 12 spojnica LC, MM</t>
  </si>
  <si>
    <t>Varenje niti sa zaštitnom cijevčicom</t>
  </si>
  <si>
    <t>ormar  komplet</t>
  </si>
  <si>
    <t>48.02.</t>
  </si>
  <si>
    <t>KO1</t>
  </si>
  <si>
    <t>informatičko komunikacijski ormarić
dimenzija 800x600 12U
U ormarić se ugrađuje sljedeća oprema:</t>
  </si>
  <si>
    <t>kompaktni modularni patch panel (1x24 RJ45)</t>
  </si>
  <si>
    <t>35mm DIN šina za smještaj shuko priključnice bočno u ormarić, duljine 8cm</t>
  </si>
  <si>
    <t>shuko priključnica za montažu na 35mm DIN šinu</t>
  </si>
  <si>
    <t>prespojni "patch" kabel FTP Cat6a, 2xRJ45, duljine 0,5m</t>
  </si>
  <si>
    <t>Ormarić sa svom navedenom opremom.</t>
  </si>
  <si>
    <t>48.03.</t>
  </si>
  <si>
    <t>Mrežni kabel  Cat. 6a FTP</t>
  </si>
  <si>
    <t>48.04.</t>
  </si>
  <si>
    <t>Optički kabel 12-niti,  50/125um,
LSOH unutarnji/vanjski</t>
  </si>
  <si>
    <t>48.05.</t>
  </si>
  <si>
    <t>Zaštitna rebrasta cijev CS20. Ista se veže na armaturu u betonskoj konstrukciji, odnosno žbukom se polaže u usjek u zidanoj konstrukciji.</t>
  </si>
  <si>
    <t>48.06.</t>
  </si>
  <si>
    <r>
      <rPr>
        <sz val="10"/>
        <color rgb="FF000000"/>
        <rFont val="Calibri"/>
        <family val="2"/>
        <charset val="1"/>
      </rPr>
      <t xml:space="preserve">Zaštitna rebrasta cijev CS50. </t>
    </r>
    <r>
      <rPr>
        <sz val="10"/>
        <color rgb="FF000000"/>
        <rFont val="Calibri"/>
        <family val="2"/>
        <charset val="238"/>
      </rPr>
      <t>Ista se veže na armaturu u betonskoj konstrukciji, odnosno žbukom se polaže u usjek u zidanoj konstrukciji.</t>
    </r>
  </si>
  <si>
    <t>48.07.</t>
  </si>
  <si>
    <t>Sitni spojni i montažni pribor i materijal.</t>
  </si>
  <si>
    <t>48.08.</t>
  </si>
  <si>
    <t>Ispitivanje instalacije i izdavanje potrebnih atesta.</t>
  </si>
  <si>
    <t>49.00.</t>
  </si>
  <si>
    <t>ANTENSKA INSTALACIJA</t>
  </si>
  <si>
    <t>Napomena:
Prije izvođenja instalacije potrebno je izvršiti mjerenje nivoa prijemnih signala. Na temelju mjerenja odabrati poziciju antenskog stupa.</t>
  </si>
  <si>
    <t>49.01.</t>
  </si>
  <si>
    <t xml:space="preserve">Mjerenje prijemnog signala zemaljskih i satelitskih programa, te eventualna izmjena troškovnika (kanalna pretpojačala i filteri) ukoliko je nivo signala ispod dozvoljenih granica odnosno investitor zahtjeva prijem posebnih programa. </t>
  </si>
  <si>
    <t>kompl.st.1.</t>
  </si>
  <si>
    <t>paušal</t>
  </si>
  <si>
    <t>49.02.</t>
  </si>
  <si>
    <t>Elemenati antenskog sustava s ugrađenim slijedećim elementima ugrađeni u razdjelnik ZAU</t>
  </si>
  <si>
    <t xml:space="preserve">širokopojasno pojačalo </t>
  </si>
  <si>
    <t>multisklopka 9/4</t>
  </si>
  <si>
    <t xml:space="preserve">konektori, spojni i montažni materijal i pribor
</t>
  </si>
  <si>
    <t>kompl.st.2.</t>
  </si>
  <si>
    <t>49.03.</t>
  </si>
  <si>
    <t>Dobava svega potrebnog materijala izrada, montaža i spajanje  sustava antena na krovu sastavljenog iz sljedeče opreme :</t>
  </si>
  <si>
    <t>antenski stup 5m</t>
  </si>
  <si>
    <t>antenski stup 2m</t>
  </si>
  <si>
    <t>antena UHF, FM</t>
  </si>
  <si>
    <t>satelitska antena 100cm komplet sa postoljem, nosačima</t>
  </si>
  <si>
    <t xml:space="preserve">H/V Hi/Lo konvertor </t>
  </si>
  <si>
    <t>konektori, spojni i montažni materijal i pribor</t>
  </si>
  <si>
    <t>kompl.st.3.</t>
  </si>
  <si>
    <t>49.04.</t>
  </si>
  <si>
    <t>Dobava, postavljanje i spajanje kabela DIGI-SAT 3000 koaks.75Ohm 1.02/6.6,90dB,kl.A,PVC</t>
  </si>
  <si>
    <t>kompl.st.4.</t>
  </si>
  <si>
    <t>49.05.</t>
  </si>
  <si>
    <r>
      <rPr>
        <sz val="10"/>
        <rFont val="Arial"/>
        <family val="2"/>
        <charset val="1"/>
      </rPr>
      <t xml:space="preserve">Dobava i postavljanje plastičnih cijevi </t>
    </r>
    <r>
      <rPr>
        <sz val="10"/>
        <rFont val="Calibri"/>
        <family val="2"/>
        <charset val="238"/>
      </rPr>
      <t>Ø</t>
    </r>
    <r>
      <rPr>
        <sz val="10"/>
        <rFont val="Arial"/>
        <family val="2"/>
        <charset val="1"/>
      </rPr>
      <t>23 komplet sa svim pomočnim materijalom</t>
    </r>
  </si>
  <si>
    <t>kompl.st.5.</t>
  </si>
  <si>
    <t>49.06.</t>
  </si>
  <si>
    <r>
      <rPr>
        <sz val="10"/>
        <rFont val="Arial"/>
        <family val="2"/>
        <charset val="1"/>
      </rPr>
      <t xml:space="preserve">Dobava sveg potrebnog materijala te uzemljenje antenskog stupa. Uzemljenje izvesti aluminijskom žicom Al </t>
    </r>
    <r>
      <rPr>
        <sz val="10"/>
        <rFont val="Arial"/>
        <family val="2"/>
        <charset val="238"/>
      </rPr>
      <t>Ø8</t>
    </r>
    <r>
      <rPr>
        <sz val="10"/>
        <rFont val="Arial"/>
        <family val="2"/>
        <charset val="1"/>
      </rPr>
      <t xml:space="preserve"> mm, spojem na gromobransku instalaciju krova.</t>
    </r>
  </si>
  <si>
    <t>kompl.st.6.</t>
  </si>
  <si>
    <t>49.07.</t>
  </si>
  <si>
    <t>Ostali sitni spojni i montažni materijal i pribor, prolazne i razvodne termoplastične kutije.</t>
  </si>
  <si>
    <t>kompl.st.7.</t>
  </si>
  <si>
    <t>49.08.</t>
  </si>
  <si>
    <t>Stavljanje u rad, podešavanje, ispitivanje funkcionalnosti instalacije, programiranje te atestiranje sustava.</t>
  </si>
  <si>
    <t>kompl.st.8.</t>
  </si>
  <si>
    <t>49.00.:</t>
  </si>
  <si>
    <t>IV.</t>
  </si>
  <si>
    <t>VATRODOJAVA, PLINODETEKCIJA, ODIMLJAVANJE</t>
  </si>
  <si>
    <t>50.00.</t>
  </si>
  <si>
    <t>VATRODOJAVA</t>
  </si>
  <si>
    <t>50.01.</t>
  </si>
  <si>
    <t>Dobava, isporuka, montaža i spajanje  adresabilne vatrodojavne centrale s dvije analogno adresabilne petlje, s mogućnosti spajanja do 128 elemenata po petlji i proširenja s dodatne dvije petlje, s intuitivnim grafičkim LCD zaslonom.
Karakteristike:
- minimalno 2 petlje, proširivo do minimalno 4, uz 512 zona i 300 izlaznih grupa
- Ethernet port s TCP/IP protokolom za daljinsku dijagnostiku, održavanje i programiranje
- grafički LCD zaslon sukladan normi HRN EN 54 ili jednakovrijednoj, s ikonicama i za prikaz do 256 zona
- 3 USB porta s podrškom za memorijske stickove i RS232 sučeljem za pisač
- obavještavanje e-mailom izravno s centrale (4 korisnička računa)
- struktura izbornika za do 3 operatera (20 korisnika i šifri)
- memorija događaja za minimalno 9999 zapisa
- mogućnost autonomije minimalno do 72 sata u normalnom radu i 30 minuta u alarmu
- izlazi: minimalno 4x 750 mA / 24 VDC s mogućnošću programiranja; 2x 350 mA / 24 VDC za požarni alarm / grešku; 2x relejni izlazi za požarni alarm / grešku; 1x aux 500 mA / 24 VDC
- ulazi: minimalno 2 
- napajanje: 220/230 VAC, 50/60 Hz, 
- stupanj zaštite kućišta: minimalno IP30
- sukladno standardima CPD, WEEE, RoHS, normama HRN EN 54-2, HRN EN 54-4,  HRN EN 54-21 ili jednakovrijednima
- kompatibilna sa softverom za integraciju sustava tehničke zaštite bez dodatnih konvertera signala</t>
  </si>
  <si>
    <t>50.02.</t>
  </si>
  <si>
    <t>Dobava, isporuka, montaža i spajanje kartice petlje za vatrodojavnu centralu. Za prihvat dodatne dvije petlje.</t>
  </si>
  <si>
    <t>50.03.</t>
  </si>
  <si>
    <t>Dobava, isporuka, montaža i spajanje akumulatorskih baterija 12 VDC, 18 Ah za autonomiju vatrodojavne centrale 30 h.</t>
  </si>
  <si>
    <t>50.04.</t>
  </si>
  <si>
    <t>Dobava, isporuka, montaža i spajanje adresabilnog optičkog detektora požara s ugrađenim algoritmom za dijagnostički test samog sebe. LED dioda za signalizaciju stanja. Mogućnost programiranja osjetljivosti putem vatrodojavne centrale.
Tehničke karakteristike:
- radni napon minimalno 17 VDC, maksimalno 28 VDC
- potrošnja struje maksimalno 0,35 mA (normalan rad), maksimalno 4 mA (alarm)
- stupanj zaštite kućišta minimalno IP43
- radna temperatura minimalno u rasponu od -10°C do +60°C
- mogućnost adresiranja od 1 do 128
- mogućnost zamjene optičke komore
- uređaj sukladan standardima i normama CE, CPR i HRN EN 54-7 ili jednakovrijednima</t>
  </si>
  <si>
    <t>50.05.</t>
  </si>
  <si>
    <t>Dobava, isporuka, montaža i spajanje adresabilnog višekriterijskog detektora požara s kombiniranim optičkim i termičkim senzorom. Senzore je moguće konfigurirati u pet različitih logičkih načina rada. Mogućnost programiranja osjetljivosti putem vatrodojavne centrale.
Tehničke karakteristike:
- radni napon minimalno 17 VDC, maksimalno 28 VDC
- potrošnja struje maksimalno 0,35 mA (normalan rad), maksimalno 4 mA (alarm)
- stupanj zaštite kućišta minimalno IP23
- radna temperatura minimalno u rasponu od -10°C do +60°C
- mogućnost adresiranja od 1 do 128
- mogućnost zamjene optičke komore
- uređaj sukladan standardima i normama CE, CPR i HRN EN 54-7 ili jednakovrijednima
- minimalno 5 načina rada: samo optički; samo termički - fiksna temperatura; samo termički - gradijent porasta temperature; dualno (neovisno optički i termički); multisenzor s dva stupnja osjetljivosti na dim</t>
  </si>
  <si>
    <t>50.06.</t>
  </si>
  <si>
    <t>Dobava, isporuka, montaža i spajanje adresabilnog termičkog detektora požara s termičkim senzorom koji reagira na promjenu temperature u prostoru. Zadovoljava europske EN-54 standarde ili jednakovrijedno.
Tehničke karakteristike:
- radni napon minimalno 17 VDC, maksimalno 28 VDC
- potrošnja struje maksimalno 0,27 mA (normalan rad), maksimalno 4,7 mA (alarm)
- stupanj zaštite kućišta minimalno IP20
- radna temperatura minimalno u rasponu od -10°C do +60°C
- mogućnost adresiranja od 1 do 128
- uređaj sukladan standardima i normama CE, CPR i HRN EN 54-5 ili jednakovrijednima
- način rada: samo termički - fiksna temperatura; samo termički - gradijent porasta temperature</t>
  </si>
  <si>
    <t>50.07.</t>
  </si>
  <si>
    <t>Dobava, isporuka, montaža i spajanje podnožja detektora požara sa 4 kontakta. Mora biti kompatibilan sa specificiranim automatskim javljačima požara.</t>
  </si>
  <si>
    <t>50.08.</t>
  </si>
  <si>
    <t>Dobava, isporuka, montaža i spajanje podnožja detektora požara s integriranim izolatorom petlje.
Tehničke karakteristike:
- stupanj zaštite kućišta minimalno IP30
- radna temperatura u minimalnom rasponu od -10°C do +50°C
- mora biti sukladan normi HRN EN 54-17 ili jednakovrijednoj
- mora biti kompatibilan sa specificiranim automatskim javljačima požara</t>
  </si>
  <si>
    <t>50.09.</t>
  </si>
  <si>
    <t>Dobava, isporuka, montaža i spajanje crvenog, adresabilnog ručnog javljača požara.  Sa LED indikatorom za signalizaciju stanja.
Tehničke karakteristike:
- napajanje minimalno u rasponu od 17 do 38 VDC
- potrošnja struje: maksimalno do 0,18 mA (normalan rad), maksimalno do 2,8 mA (alarm)
- stupanj zaštite kućišta: minimalno IP41
- radna temperatura: minimalno u rasponu od -25°C do +72°C
- sukladan sa standardima CE i CPD, normama HRN EN 54-11 ili jednakovrijednima</t>
  </si>
  <si>
    <t>50.10.</t>
  </si>
  <si>
    <t>Dobava, isporuka, montaža i spajanje adresabilnog ulazno-izlaznog modula sa četiri selektabilno nadzirana ulaza i četiri magnestki zapirana izlazna kontakta.
Tehničke karakteristike:
- minimalno 4 izlaza (nenadzirani) 2 A / 30 VDC
- minimalno 4 ulaza
- radni napon: minimalno u rasponu 17-39 VDC
- potrošnja struje: maksimalno do 0,30 mA (normalan rad), do 0,350 mA (alarm)
- radna temperatura: minimalno u rasponu od -5°C do +40°C
- stupanj zaštite kućišta minimalno IP40
- sukladan sa normom HRN EN 54-17 ili jednakovrijednom</t>
  </si>
  <si>
    <t>50.11.</t>
  </si>
  <si>
    <t>Dobava, isporuka, montaža i spajanje adresabilnog modula za prihvat konvencionalnih elemenata.
Tehničke karakteristike:
- prihvat do 30 detektora
- radni napon: minimalno u rasponu 21-28 VDC
- potrošnja struje: maksimalno do 15 mA (normalan rad), do 40 mA (alarm)
- radna temperatura: minimalno u rasponu od -10°C do +55°C
- stupanj zaštite kućišta minimalno IP40
- sukladan sa normom HRN EN 54-18 ili jednakovrijednom</t>
  </si>
  <si>
    <t>50.12.</t>
  </si>
  <si>
    <t>Dobava, isporuka, montaža i spajanje konvencionalnog optičkog detektora požara. 
Optički javljač koji reagira na nastanak dima u prostoru. Zadovoljava europske EN-54 standarde.
Tehničke karakteristike:
- radni napon minimalno 8,5 VDC, maksimalno 33DC
- potrošnja struje maksimalno 0,01 mA (normalan rad), maksimalno 60 mA (alarm)
- stupanj zaštite kućišta minimalno IP43
- radna temperatura minimalno u rasponu od -10°C do +60°C
- uređaj sukladan standardima i normama CE i HRN EN 45 ili jednakovrijednima</t>
  </si>
  <si>
    <t>50.13.</t>
  </si>
  <si>
    <t>Dobava, isporuka, montaža i spajanje podnožja detektora požara sa 6 kontakta. Mora biti kompatibilan sa specificiranim konvencionalnim automatskim javljačima požara.</t>
  </si>
  <si>
    <t>50.14.</t>
  </si>
  <si>
    <t>Dobava, isporuka, montaža i spajanje paralelnog indikatora prorade automatskih javljača požara.</t>
  </si>
  <si>
    <t>50.15.</t>
  </si>
  <si>
    <t>Dobava, isporuka, montaža i spajanje unutarnje adresabilne crvene vatrodojavne sirene s bljeskalicom napajane iz linije.
Tehničke karakteristike:
- crvena boja kućišta i crvena bljeskalica
- radni napon u minimalnom rasponu od 17 do 32 VDC
- potrošnja struje u alarmu: maksimalno 31 mA
- glasnoća zvuka: minimalno u rasponu od 97 dB
- mogućnost odabira minimalno 32 različita tona
- radna temperatura: minimalno u rasponu od -10°C do +55°C
- stupanj zaštite kućišta minimalno IP65
- sukladna normi HRN EN 54-3 ili jednakovrijednoj</t>
  </si>
  <si>
    <t>50.16.</t>
  </si>
  <si>
    <t>Dobava, isporuka, montaža i spajanje vanjske konvencionalne crvene vatrodojavne sirene s bljeskalicom napajane iz linije.
Tehničke karakteristike:
- crvena boja kućišta i crvena bljeskalica
- radni napon u minimalnom rasponu od 17 do 60 VDC
- potrošnja struje u alarmu: maksimalno 45,1 mA pri bljeskanju od 1 Hz
- glasnoća zvuka: minimalno u rasponu od 85 do 97 dB(A)
- mogućnost odabira minimalno 32 različita tona
- radna temperatura: minimalno u rasponu od -25°C do +70°C
- stupanj zaštite kućišta minimalno IP65
- sukladna normama HRN EN 54-3, 54-23 ili jednakovrijednima</t>
  </si>
  <si>
    <t>50.17.</t>
  </si>
  <si>
    <r>
      <rPr>
        <sz val="10"/>
        <rFont val="Calibri"/>
        <family val="2"/>
        <charset val="1"/>
      </rPr>
      <t>Dobava, isporuka i polaganje vatrodojavnog bezhalogenog kabela JB-H(St)H  2x2x0,8 mm</t>
    </r>
    <r>
      <rPr>
        <vertAlign val="superscript"/>
        <sz val="10"/>
        <rFont val="Arial"/>
        <family val="2"/>
        <charset val="238"/>
      </rPr>
      <t>2</t>
    </r>
    <r>
      <rPr>
        <sz val="10"/>
        <rFont val="Arial"/>
        <family val="2"/>
        <charset val="238"/>
      </rPr>
      <t xml:space="preserve"> - </t>
    </r>
    <r>
      <rPr>
        <sz val="10"/>
        <rFont val="Calibri"/>
        <family val="2"/>
        <charset val="238"/>
      </rPr>
      <t>sve komplet</t>
    </r>
  </si>
  <si>
    <t>50.18.</t>
  </si>
  <si>
    <t>Dobava, isporuka i polaganje vatrodojavnog bezhalogenog kabela JB-Y(St)Y  2x2x0,8 mm2 - sve komplet</t>
  </si>
  <si>
    <t>50.19.</t>
  </si>
  <si>
    <r>
      <rPr>
        <sz val="10"/>
        <rFont val="Calibri"/>
        <family val="2"/>
        <charset val="1"/>
      </rPr>
      <t>Dobava, isporuka i polaganje halogen free kabela NHXH (E30) 3x1,5 mm</t>
    </r>
    <r>
      <rPr>
        <vertAlign val="superscript"/>
        <sz val="10"/>
        <rFont val="Arial"/>
        <family val="2"/>
        <charset val="238"/>
      </rPr>
      <t>2</t>
    </r>
  </si>
  <si>
    <t>50.20.</t>
  </si>
  <si>
    <t>Dobava, isporuka i polaganje rebraste cijev - samogasiva - CSPS25/20 uključujući sav potreban dodatni materijal i pribor (vezice, obujmice,...)</t>
  </si>
  <si>
    <t>50.21.</t>
  </si>
  <si>
    <t>Dobava, isporuka i polaganje PNT cijevi 23, uključujući sav potreban dodatni materijal i pribor (vezice, obujmice, spojnice...)</t>
  </si>
  <si>
    <t>50.22.</t>
  </si>
  <si>
    <t>Sitni potrošni materijal</t>
  </si>
  <si>
    <t>50.23.</t>
  </si>
  <si>
    <t>Dobava, isporuka i montaža metalnog revizionog otvora za spušteni strop dimenzija 60x60 cm</t>
  </si>
  <si>
    <t>50.24.</t>
  </si>
  <si>
    <t xml:space="preserve">Dobava i isporuka naljepnica za označavenje elemenata sustava za dojavu požara </t>
  </si>
  <si>
    <t>50.25.</t>
  </si>
  <si>
    <t>Izrada proboja fi 25mm u betonskom zidu debljine do 40 cm</t>
  </si>
  <si>
    <t>50.26.</t>
  </si>
  <si>
    <t>Protupožarno brtvljenje između požarnih sektora provrta fi 25mm</t>
  </si>
  <si>
    <t>50.27.</t>
  </si>
  <si>
    <t>Ispitivanje instalacije sustava za dojavu požara prije puštanja sustava u rad sa otklanjanjem grešaka, kratkih spojeva i ostalih poteškoća za rad vatrodojavnih petlji</t>
  </si>
  <si>
    <t>50.28.</t>
  </si>
  <si>
    <t>Programiranje i parametriranje vatrodojavne centrale i unošenje podataka sa usklađivanjem izvršnih funkcija sustava.</t>
  </si>
  <si>
    <t>50.29.</t>
  </si>
  <si>
    <t>Obuka korisnika za rad sa sustavom uz dostavu korisničkih uputa na hrvatskom jeziku.</t>
  </si>
  <si>
    <t>50.30.</t>
  </si>
  <si>
    <t xml:space="preserve">Izrada projekta izvedenog stanja sustava s ovjerom ovlaštenog inženjera </t>
  </si>
  <si>
    <t>50.31.</t>
  </si>
  <si>
    <t>Prvo ispitivanje sustava za dojavu požara od strane ovlaštene ustanove uz prethodno dobiven projekat  ovjeren od strane MUP-a ili nadležne institucije za cijeli objekt</t>
  </si>
  <si>
    <t>50.32.</t>
  </si>
  <si>
    <t>Primopredaja sustava za dojavu požara investitoru (predaja tehničke dokumentacije, certifikata ugrađene opreme, programske dokumentacije te projekta izvedenog stanja)</t>
  </si>
  <si>
    <t>50.33.</t>
  </si>
  <si>
    <t>Dobava i isporuka naljepnica D1 i D2 (prema normi HRN DIN 4066 ili jednakovrijedno) za označavanje puta od prijelaznog mjesta vatrogasne tehnike do centrale za dojavu požara.</t>
  </si>
  <si>
    <t>51.00.</t>
  </si>
  <si>
    <t>PLINODETEKCIJA</t>
  </si>
  <si>
    <t>51.01.</t>
  </si>
  <si>
    <t>Dobava, montaža i spajanje centrale za dojavu plina u kompletu sa dodatnim baterijskim napajanjem 12 V DC / 7,2 Ah, mogućnost prihvata do četiri detektora plina.</t>
  </si>
  <si>
    <t>51.02.</t>
  </si>
  <si>
    <t>Dobava, montaža i spajanje sonde za detekciju plina metana u "S" izvedbi u kompletu sa instalacijskom kutijom i uvodnicom u Ex izvedbi</t>
  </si>
  <si>
    <t>51.03.</t>
  </si>
  <si>
    <t>Dobava, montaža i spajanje sirene sa bljeskalicom za vanjsku i unutarnju montažu.</t>
  </si>
  <si>
    <t>51.04.</t>
  </si>
  <si>
    <r>
      <rPr>
        <sz val="10"/>
        <rFont val="Calibri"/>
        <family val="2"/>
        <charset val="1"/>
      </rPr>
      <t>Dobava, isporuka i polaganje kabela LiYCY 4x1 mm</t>
    </r>
    <r>
      <rPr>
        <vertAlign val="superscript"/>
        <sz val="10"/>
        <rFont val="Arial"/>
        <family val="2"/>
        <charset val="238"/>
      </rPr>
      <t>2</t>
    </r>
    <r>
      <rPr>
        <sz val="10"/>
        <rFont val="Arial"/>
        <family val="2"/>
        <charset val="238"/>
      </rPr>
      <t xml:space="preserve"> - sve komplet</t>
    </r>
  </si>
  <si>
    <t>51.05.</t>
  </si>
  <si>
    <r>
      <rPr>
        <sz val="10"/>
        <rFont val="Calibri"/>
        <family val="2"/>
        <charset val="1"/>
      </rPr>
      <t>Dobava, isporuka i polaganje vatrodojavnog bezhalogenog kabela JB-H(St)H  2x2x0,8mm</t>
    </r>
    <r>
      <rPr>
        <vertAlign val="superscript"/>
        <sz val="10"/>
        <rFont val="Arial"/>
        <family val="2"/>
        <charset val="238"/>
      </rPr>
      <t>2</t>
    </r>
    <r>
      <rPr>
        <sz val="10"/>
        <rFont val="Arial"/>
        <family val="2"/>
        <charset val="238"/>
      </rPr>
      <t xml:space="preserve"> - sve komplet</t>
    </r>
  </si>
  <si>
    <t>51.06.</t>
  </si>
  <si>
    <r>
      <rPr>
        <sz val="10"/>
        <rFont val="Calibri"/>
        <family val="2"/>
        <charset val="1"/>
      </rPr>
      <t>Dobava, isporuka i polaganje halogen free kabela NHXH(E30) 3x1,5mm</t>
    </r>
    <r>
      <rPr>
        <vertAlign val="superscript"/>
        <sz val="10"/>
        <rFont val="Arial"/>
        <family val="2"/>
        <charset val="238"/>
      </rPr>
      <t>2</t>
    </r>
  </si>
  <si>
    <t>51.07.</t>
  </si>
  <si>
    <t xml:space="preserve">Ispitivanje instalacije sustava za detekciju plina prije puštanja sustava u rad sa otklanjanjem grešaka, kratkih spojeva i ostalih poteškoća za rad </t>
  </si>
  <si>
    <t>51.08.</t>
  </si>
  <si>
    <t>Programiranje i parametriranje plinodetekcijske centrale i unošenje podataka sa usklađivanjem izvršnih funkcija sustava.</t>
  </si>
  <si>
    <t>51.09.</t>
  </si>
  <si>
    <t>Prvo funkcionalno ispitivanje sustava za dojavu požara. Ispitivanje mora izvesti tvrtka koja ima ovlaštenje MUP-a. Potrebno je izdati zapisnik o obavljenom prvom funkcionalnom ispitivanju te potvrdu o ispravnosti sustava za detekciju plina u kotlovnici.</t>
  </si>
  <si>
    <t xml:space="preserve">   </t>
  </si>
  <si>
    <t>51.10.</t>
  </si>
  <si>
    <t>Izrada projekta izvedenog stanja sustava s ovjerom ovlaštenog inženjera elektrotehnike.</t>
  </si>
  <si>
    <t>52.00.</t>
  </si>
  <si>
    <t>ODIMLJAVANJE STUBIŠTA</t>
  </si>
  <si>
    <t>52.01.</t>
  </si>
  <si>
    <t>Dobava, isporuka, montaža i spajanje</t>
  </si>
  <si>
    <t xml:space="preserve">Kompaktna centrala za odimljavanje 6,5A, 1 grupa za odimljavanje, 1 grupa za prozračivanje, modul za preuzimanje signala od vatrodojavne centrale, slobodni bezpotencijalni kontakt za prijenos signala vanjskom uređaju, napajanje 230V, nazivni napon 24V, baterija s osiguranom autonomijom 72h, sve komplet. </t>
  </si>
  <si>
    <t>52.02.</t>
  </si>
  <si>
    <t>Na prozor predviđen za odimljavanje (v. poziciju u projektu - dimenzija svijetlog otvora cca 1000x1000mm) ugraditi vretenasti elektromotor koji omogućava otvaranje prema vanjskom prostoru, s pripadajućom konzolom. Hod motora 1000 mm. 1,4 A/motoru. Isporučeni sustav treba sadržavati sve pripadajuće dijelove i pribor za ugradnju. Nazivni napon: 24V</t>
  </si>
  <si>
    <t>52.03.</t>
  </si>
  <si>
    <t>Ručni javljač za ručno aktiviranje sustava, narančasti, sve komplet.</t>
  </si>
  <si>
    <t>52.04.</t>
  </si>
  <si>
    <t>Nadžbukni prekidač za ispitivanje funkcionalnosti sustava koji omogućava otvaranje prozora, s funkcijama otvori/stop/zatvori, RAL 1013, sve komplet. Isti služi i za otvaranje prozora radi potrebe svakodnevnog prozračivanja stubišta.</t>
  </si>
  <si>
    <t>52.05.</t>
  </si>
  <si>
    <t>Dobava, isporuka, montaža i spajanje senzora za vjetar i kišu koji se sastoji od senzora za vjetar, senzora za kišu, montažne konzole i prstena za pričvršćenje</t>
  </si>
  <si>
    <t>52.06.</t>
  </si>
  <si>
    <r>
      <rPr>
        <sz val="10"/>
        <rFont val="Arial"/>
        <family val="2"/>
        <charset val="238"/>
      </rPr>
      <t>Dobava i isporuka s polaganjem kabela NHXH (E90) 3x2,5 mm</t>
    </r>
    <r>
      <rPr>
        <vertAlign val="superscript"/>
        <sz val="10"/>
        <rFont val="Arial"/>
        <family val="2"/>
        <charset val="238"/>
      </rPr>
      <t>2</t>
    </r>
    <r>
      <rPr>
        <sz val="10"/>
        <rFont val="Arial"/>
        <family val="2"/>
        <charset val="238"/>
      </rPr>
      <t xml:space="preserve"> za napajanje centrale i motora</t>
    </r>
  </si>
  <si>
    <t>52.07.</t>
  </si>
  <si>
    <t>Dobava i isporuka sa polaganjem vatrodojavnog kabela JE-H(St)H (E90) 4x2x0,8 mm za spoj tipkala za odimljavanje u nuždi</t>
  </si>
  <si>
    <t>52.08.</t>
  </si>
  <si>
    <t>Dobava i isporuka sa polaganjem vatrodojavnog kabela J-Y(St)Y 2x2x0,8 mm za spoj tipkala za provjetravanje</t>
  </si>
  <si>
    <t>52.09.</t>
  </si>
  <si>
    <t>Dobava i isporuka sa polaganjem vatrodojavnog kabela NYM-J 7x1,5 mm za spoj vremenske stanice</t>
  </si>
  <si>
    <t>52.10.</t>
  </si>
  <si>
    <t>Dobava i isporuka s polaganjem instalacijske CS cijevi fi 20 mm sa svim priborom</t>
  </si>
  <si>
    <t>52.11.</t>
  </si>
  <si>
    <t>Usluga puštanja u rad</t>
  </si>
  <si>
    <t>52.12.</t>
  </si>
  <si>
    <t>Usluga programiranja</t>
  </si>
  <si>
    <t>52.13.</t>
  </si>
  <si>
    <t>Funkcionalno ispitivanje sustava odimljavanja od strane ovlaštene ustanove uz izdavanje zapisnika i uvjerenja o ispravnosti sustava</t>
  </si>
  <si>
    <t>52.14.</t>
  </si>
  <si>
    <t>Izrada projekta izvedenog stanja sustava za odimljavanje</t>
  </si>
  <si>
    <t>52.15.</t>
  </si>
  <si>
    <t>Obuka korisnika i primopredaja sustava</t>
  </si>
  <si>
    <t>52.00.:</t>
  </si>
  <si>
    <t>REKAPITULACIJA</t>
  </si>
  <si>
    <t>IX</t>
  </si>
  <si>
    <t>RADOVI VANJSKOG UREĐENJA</t>
  </si>
  <si>
    <t>OPIS STAVKE</t>
  </si>
  <si>
    <t>JED.MJ.</t>
  </si>
  <si>
    <t>KOLIČINA</t>
  </si>
  <si>
    <t>J.CIJENA</t>
  </si>
  <si>
    <t>54.00</t>
  </si>
  <si>
    <t>PRIPREMNI  RADOVI</t>
  </si>
  <si>
    <t>54.01</t>
  </si>
  <si>
    <t>Horizontalno i visinsko iskolčenje trase sa izradom elaborata iskolčenja. Iskolčenje obuhvaća sva geodetska mjerenja kojima se podaci iz projekta prenose na teren, osiguranje osi iskolčene trase, profiliranje, obnavljanje i održavanje iskolčenih oznaka na terenu za sve vrijeme građenja, odnosno do predaje radova Investitoru. Rad se obračunava i mjeri po kvadratnom metru trase. Napomena: ukupna površina zahvata uređenja okoliša (bez zgrade) iznosi 1.806,00 m2.</t>
  </si>
  <si>
    <t>54.02.</t>
  </si>
  <si>
    <t>Provedba mjera osiguranja gradilišta prije početka i u tijeku izvođenja radova, obavlja se postavom prometnih znakova, rampi i svjetlosnih signala noću, zaštitnih ograda i drugih oznaka. Prema stavkama 0-24. i 0-35.2.14 OTU-a za radove na cestama, knjiga I.</t>
  </si>
  <si>
    <t>kom.</t>
  </si>
  <si>
    <t>54.03.</t>
  </si>
  <si>
    <t xml:space="preserve">Ručni iskop materijala C kategorije (šlicanje) za točno utvrđivanje položaja postojećih  podzemnih instalacija. Predviđena je širina rova 0.40 m, dubina rova 0.8 m u dužini od 2.0 m, a sve prema posebnim uvjetima građenja nadležnih poduzeća za pojedinu vrstu instalacije. U cijenu stavke uključeno je  i zatrpavanje istih. Obračun prema stvarno izvršenim količinama po kubnom metru iskopanog materijala. </t>
  </si>
  <si>
    <r>
      <rPr>
        <sz val="10"/>
        <rFont val="Arial"/>
        <family val="2"/>
        <charset val="1"/>
      </rPr>
      <t>m</t>
    </r>
    <r>
      <rPr>
        <vertAlign val="superscript"/>
        <sz val="10"/>
        <rFont val="Times New Roman"/>
        <family val="1"/>
        <charset val="238"/>
      </rPr>
      <t>3</t>
    </r>
  </si>
  <si>
    <t>54.04.</t>
  </si>
  <si>
    <t xml:space="preserve">Rezanje rubova postojećeg asfaltnog zastora radi osiguranja kvalitete spoja starog i novog asfalta (Širina rezanog asfalta je min. 25cm). U cijenu uključiti razbijanje, utovar i odvoz na deponiju udaljenu do 10km. Obračun po dužnom metru izrezanog asfalta. </t>
  </si>
  <si>
    <t>54.05.</t>
  </si>
  <si>
    <t>Demontaža postojećih prometnih znakova s skladištenjem na gradilištu do ponvnog postavljanja istih. U cijenu uključiti izvedbu temelja, i sve ostale radove za postavljanje prometnog znaka. Rad se mjeri i obračunava po komadu demontiranog znaka i ponovno postavljenog prometnog znaka.</t>
  </si>
  <si>
    <t>54.06.</t>
  </si>
  <si>
    <t xml:space="preserve">Zaštita postojećih podzemnih instalacija. Na mjestima gdje postojeće ili premještene podzemne instalacije prolaze  ispod kolničke konstrukcije, potrebno je izvršiti mehaničku zaštitu vodova prema posebnim uvjetima nadležnih poduzeća. Obračun se vrši po dužnom metru stvarno izvedene zaštite. </t>
  </si>
  <si>
    <t>a.) Elektro instalacije</t>
  </si>
  <si>
    <t>b.) Plinskih instalacija</t>
  </si>
  <si>
    <t>c.) Telefonskih instalacija</t>
  </si>
  <si>
    <t>d.) Vodovodnih instalacija</t>
  </si>
  <si>
    <t>54.07.</t>
  </si>
  <si>
    <t>Izrada geodetskog snimka izvedenog stanja sa provedbom na katastru. Obračun po kvadratnom metru snimljene i u katastru provedene situacije izvedenog stanja.</t>
  </si>
  <si>
    <t>54.08.</t>
  </si>
  <si>
    <t>Izmještanje elektroenergetskog stupa. Rad se mjeri i obračunava prema komadu izmještenog stupa. (Prema posebnim uvjetima HEP-a u slučaju potrebe zaštite ili izmještanja instalacija - obveza je Inverstitora prije početka radova izraditi projekt zaštite ili izmještanja elektroenergetskih instalacija). Ovaj rad izvodi ovlaštena organizacija, prema komadu (kompletno sa svim radovima) izmještenog stupa.</t>
  </si>
  <si>
    <t>RADOVE IZVODI ISKLJUČIVO DISTRIBUTER EL. ENERGIJE! NE NUDITI!</t>
  </si>
  <si>
    <t>55.00</t>
  </si>
  <si>
    <t>55.00.</t>
  </si>
  <si>
    <t>Strojni i ručni iskop materijala (materijal "B" kategorije) s utovarom i odvozom na  deponij (udaljen do 10km). Iskop se obavlja prema profilima i visinskim kotama iz projekta, te propisanim nagibima kosina. Rad se obračunava po m3 stvarno iskopanog, utovarenog i odveženog materijala. Predviđa se 98 % strojnog i 2 % ručnog iskopa.</t>
  </si>
  <si>
    <t>a) RUČNO - 2%</t>
  </si>
  <si>
    <t>B) STROJNO - 98%</t>
  </si>
  <si>
    <t>55.02.</t>
  </si>
  <si>
    <t>Uređenje temeljnog tla. Radovi na uređenju temeljnog tla obuhvaćaju planiranje, eventualno potrebno prosušivanje ili vlaženje materijala i zbijanje do propisanog modula stišljivosti za izvedbu ceste, parkirališta, travnih ploča i pješačke staze, Ms=25MN/m2. Rad se mjeri i obračunava po kvadratnom metru stvarno uređene i zbijenog temeljnog tla.</t>
  </si>
  <si>
    <t>55.03.</t>
  </si>
  <si>
    <t>Izrada nasipa od šljunkovitog materijala, granulacije 32 mm. U stavku uključiti dobavu, ugradnju i sabijanje materijala za nasip prema projektu, zbijanje do  Ms=50MN/m2. Rad se mjeri i obračunava po kubnom metru ugrađenog materijala.</t>
  </si>
  <si>
    <t>55.04.</t>
  </si>
  <si>
    <r>
      <rPr>
        <sz val="10"/>
        <rFont val="Arial"/>
        <family val="2"/>
        <charset val="1"/>
      </rPr>
      <t>Uređenje posteljice. Radovi na uređenju posteljice obuhvaćaju planiranje, eventualno potrebno prosušivanje ili vlaženje materijala i zbijanje do propisanog modula stišljivosti za izvedbu ceste, parkirališta, travnih ploča i pješačke staze, Ms=40MN/m</t>
    </r>
    <r>
      <rPr>
        <vertAlign val="superscript"/>
        <sz val="10"/>
        <rFont val="Arial"/>
        <family val="2"/>
        <charset val="1"/>
      </rPr>
      <t>2</t>
    </r>
    <r>
      <rPr>
        <sz val="10"/>
        <rFont val="Arial"/>
        <family val="2"/>
        <charset val="1"/>
      </rPr>
      <t>. Rad se mjeri i obračunava po kvadratnom metru stvarno uređene i zbijene posteljice.</t>
    </r>
  </si>
  <si>
    <r>
      <rPr>
        <sz val="10"/>
        <rFont val="Arial"/>
        <family val="2"/>
        <charset val="1"/>
      </rPr>
      <t>m</t>
    </r>
    <r>
      <rPr>
        <vertAlign val="superscript"/>
        <sz val="10"/>
        <rFont val="Times New Roman"/>
        <family val="1"/>
        <charset val="238"/>
      </rPr>
      <t>2</t>
    </r>
  </si>
  <si>
    <t>55.05.</t>
  </si>
  <si>
    <r>
      <rPr>
        <sz val="10"/>
        <rFont val="Arial"/>
        <family val="2"/>
        <charset val="1"/>
      </rPr>
      <t>Izrada tampona ispod ceste i parkirališta u sloju debljine 50cm i tampona ispod staze i travnih ploča u sloju debljine 40cm. Rad obuhvaća  nabavu, prijevoz i ugradnju  zrnatog kamenog materijala u tamponski sloj kolničke konstrukcije. Za izradu ovog sloja koristiti se prirodni šljunak. Materijal se zbija odgovarajućim strojevima  dok se ne postigne  modul stišljivosti Ms=100MN/m</t>
    </r>
    <r>
      <rPr>
        <vertAlign val="superscript"/>
        <sz val="10"/>
        <rFont val="Arial"/>
        <family val="2"/>
        <charset val="1"/>
      </rPr>
      <t>2</t>
    </r>
    <r>
      <rPr>
        <sz val="10"/>
        <rFont val="Arial"/>
        <family val="2"/>
        <charset val="1"/>
      </rPr>
      <t xml:space="preserve"> ispod ceste i parkirališta, i Ms=70MN/m</t>
    </r>
    <r>
      <rPr>
        <vertAlign val="superscript"/>
        <sz val="10"/>
        <rFont val="Arial"/>
        <family val="2"/>
        <charset val="1"/>
      </rPr>
      <t>2</t>
    </r>
    <r>
      <rPr>
        <sz val="10"/>
        <rFont val="Arial"/>
        <family val="2"/>
        <charset val="1"/>
      </rPr>
      <t xml:space="preserve"> ispod travnih ploča i pješačke staze. Rad se mjeri i obračunava po kubnom metru stvarno ugrađenog materijala. Napomena: tlocrtna površina ispod asfalta i parkirališta iznosi 992m2, površina ispod staze i travnih ploča iznosi 814m2.</t>
    </r>
  </si>
  <si>
    <t>55.06.</t>
  </si>
  <si>
    <t>Izrada bankina od zemljanog materijala iz iskopa, debljine sloja 10 cm. Rad se obračunava u dužnim metrima, u jediničnoj cijeni je sadržan dovoz sa deponije gradilišta, razastiranje, fino planiranje i sabijanje i ostale radove potrebne za potpunu izradu bankine. Širina bankine je do 0,50m.</t>
  </si>
  <si>
    <t>55.07.</t>
  </si>
  <si>
    <t>Uređenje zelenih površina s ugradnjom humusa u sloju debljine 10 cm i sijanjem trave. Upotrijebiti aktivni humusni materijal bez primjesa grana, korijenja, kamenih i drugih materijala koji nisu pogodni za razvoj vegetacije. U cijenu uključiti: nabavu,  dovoz sa privremene deponije, razastiranje, grubo i fino planiranje, zbijanje, zasijavanje travom (3 - 5 dg/ m2), valjanje laganim valjcima te jednokratno zalijevanje. Rad se obračunava po kvadratnom metru stvarno uređenih zelenih površina.</t>
  </si>
  <si>
    <t>56.00.</t>
  </si>
  <si>
    <t>BETONSKI RADOVI</t>
  </si>
  <si>
    <t>56.01.</t>
  </si>
  <si>
    <t>Nabava, doprema i ugradnja betonskih rubnjaka 15/ 25/ 100, od betona C30/37 m+s. Postavljaju se  na podlogu od svježeg betona C12/15 sa zalijevanjem spojnica cemetnim mortom i njegom betona. Radove izvesti u svemu prema stavci 3-04.7.1 OTU-a za radove na cestama, knjiga II. Rad se mjeri i obračunava u dužnim metrima postavljenih rubnjaka.</t>
  </si>
  <si>
    <t>56.02.</t>
  </si>
  <si>
    <t>Nabava, doprema i ugradnja betonskih rubnika 8/20, od betona C30/37 m+s. Postavljaju se  na podlogu od svježeg betona C12/15 sa zalijevanjem spojnica cemetnim mortom i njegom betona. Radove izvesti u svemu prema stavci 3-04.7.1 OTU-a za radove na cestama, knjiga II. Rad se mjeri i obračunava u dužnim metrima postavljenih rubnjaka.</t>
  </si>
  <si>
    <t>56.03.</t>
  </si>
  <si>
    <r>
      <rPr>
        <sz val="10"/>
        <rFont val="Arial"/>
        <family val="2"/>
        <charset val="238"/>
      </rPr>
      <t>Izrada tipskih cestovnih slivnika iz betonskih cijevi na pero i utor f500mm, dubine 1.50 m sa KIŠNOM REŠETKOM</t>
    </r>
    <r>
      <rPr>
        <b/>
        <sz val="10"/>
        <rFont val="Arial"/>
        <family val="2"/>
        <charset val="238"/>
      </rPr>
      <t xml:space="preserve"> </t>
    </r>
    <r>
      <rPr>
        <sz val="10"/>
        <rFont val="Arial"/>
        <family val="2"/>
        <charset val="238"/>
      </rPr>
      <t xml:space="preserve">na vrhu za 40t prometno opterećenje. </t>
    </r>
  </si>
  <si>
    <t>U stavku ulazi: - Iskop jame za slivnik.</t>
  </si>
  <si>
    <t xml:space="preserve"> - Utovar i odvoz viška iskopane zemlje na odgovarajuću deponiju.</t>
  </si>
  <si>
    <t xml:space="preserve"> - Izrada dna slivnika iz nabijenog betona C16/20.</t>
  </si>
  <si>
    <r>
      <rPr>
        <sz val="10"/>
        <rFont val="Arial"/>
        <family val="2"/>
        <charset val="1"/>
      </rPr>
      <t xml:space="preserve"> - Dobava i ugradnja gotovih betonskih cijevi </t>
    </r>
    <r>
      <rPr>
        <sz val="11"/>
        <rFont val="Symbol"/>
        <family val="1"/>
        <charset val="2"/>
      </rPr>
      <t>f</t>
    </r>
    <r>
      <rPr>
        <sz val="11"/>
        <rFont val="Times New Roman"/>
        <family val="1"/>
        <charset val="238"/>
      </rPr>
      <t>500 mm 1,5 m po slivniku</t>
    </r>
  </si>
  <si>
    <t xml:space="preserve"> - Izrada obloge slivnika u okrugloj oplati od betona C16/20 u debljini od 10 cm.                                            </t>
  </si>
  <si>
    <t xml:space="preserve"> - Zatrpavanje ostatka jame šljunkom uz nabijanje </t>
  </si>
  <si>
    <t xml:space="preserve"> - Dobava i ugradnja ljevano željeznih rešetki za  teško teretno opterećenje 40t (osam komada) u kolniku prometnice ili u zelenoj površini 25t (3 komada).                        </t>
  </si>
  <si>
    <t xml:space="preserve"> - Dobava i ugradnja UKC DN 200 za spoj slivnika na oborinsku kanalizaciju, ukupna duljina svih priključka je L=95m', sa svim radovima.</t>
  </si>
  <si>
    <t>- Ostali radovi za kompletno dovršenje slivnika.</t>
  </si>
  <si>
    <t xml:space="preserve"> Obračun se vrši po komadu kompletno dovršenog slivnika sa priključkom.</t>
  </si>
  <si>
    <t>56.04.</t>
  </si>
  <si>
    <t>Opločenje pješačke staze betonskim opločnicima, debljine 20cm x 20cm debljine 6cm, sive boje. Opločnici se postavljaju na sloj kulira 3cm. Stavka sadrži nabavu, dobavu i ugradnju opločnika te nabavu i dobavu kulira granulacije od 0 mm do 4 mm, debljine 3cm.  Reške opločnika zapuniti pijeskom. Rad se mjeri i obračunava po kvadratnom mertu opločenja.</t>
  </si>
  <si>
    <t>56.05.</t>
  </si>
  <si>
    <t>Nabava doprema i ugradnja travne rešetke od plastičnih elemenata dimenzija 50cm x 50cm debljine 4cm. U cijenu uključiti sve potrebne radove na pripremi za ugradnju travnih rešetki i sav materijal poput postavljanja bočnih okvira, odgovarajućeg geotekstila (drenažna tkanina 400g) - u svemu prema uputama proizvođača, za kvalitetnu ugradnju istih. Rad se mjeri i obračunava po m2 ugrađenih travnih ploča.</t>
  </si>
  <si>
    <t>57.00.</t>
  </si>
  <si>
    <t>ASFALTERSKI RADOVI</t>
  </si>
  <si>
    <t>57.01.</t>
  </si>
  <si>
    <t xml:space="preserve">Nabava, doprema i strojna ugradnja bitumeniziranog šljunka AC32 base 50/70, debljina sloja 7cm. Obračun po kvadratnom metru stvarno izvedenog sloja. </t>
  </si>
  <si>
    <t>57.02.</t>
  </si>
  <si>
    <t>Nabava, doprema i ugradnja AC11 surf 50/70. Debljina sloja određena je projektom i iznosi 4cm. Obračun po kvadratnom metru stvarno izvedenog sloja.</t>
  </si>
  <si>
    <t>ASFALTERSKI RADOVI UKUPNO:</t>
  </si>
  <si>
    <t>58.00.</t>
  </si>
  <si>
    <t>PROMETNA SIGNALIZACIJA</t>
  </si>
  <si>
    <t>58.01.</t>
  </si>
  <si>
    <t>Vertikalna signalizacija - u stavku ulazi:</t>
  </si>
  <si>
    <t xml:space="preserve"> - znak veličine 60cm, izrađen od retroreflektirajućih folija stabilnih na UV zračenja aplicirano na AL-podlogu debljine 2 mm, pojačanog okvira s vodoravnim ojačanjima (2 kom).</t>
  </si>
  <si>
    <t>- pocinčani stup-nosač određene veličine.</t>
  </si>
  <si>
    <t>-  iskop za temelj nosača dubine 0.8 m s dobavom i ugradnjom betona (min. 0.2 m3) .</t>
  </si>
  <si>
    <t>-  Svi ostali radovi potrebni za kompletno postavljanje prometnog znaka.</t>
  </si>
  <si>
    <t>Postavljaju se van slobodnog profila na uočljivom mjestu tako da ne ometaju kretanje vozila i pješaka u naselju na visini od 0,3 m do 2,2 m, dok izvan naselja na visini od 1,2 m do 1,4 m. U svemu prema projektu, Pravilniku o prometnim znakovima i stavkama 09.01. OUT-a knjiga VI.  Obračun se vrši po komadu postavljenog znaka sa stup-nosačem.</t>
  </si>
  <si>
    <t>Prometni znak B02</t>
  </si>
  <si>
    <t>Prometni znak C39</t>
  </si>
  <si>
    <t>Prometni znak C39 i E11 na jednom stupu</t>
  </si>
  <si>
    <t>58.02.</t>
  </si>
  <si>
    <t>Horizontalna signalizacija - ovaj rad obuhvaća izradu uzdužnih i poprečnih oznaka na kolniku za vođenje i reguliranje prometa, prema projektu, prema Pravilniku o prometnim znakovima, normi HRN  i stavkama 09.02. OUT-a knjiga VI. Obračun se vrši prema dužnom i kvadratnom metru izrađene crte ili površine.</t>
  </si>
  <si>
    <t>Isctravanje linija (središnja - isprekidana), 12cm</t>
  </si>
  <si>
    <t>Isctravanje linija (rubne - isprekidane kratke, 10cm)</t>
  </si>
  <si>
    <t>Icsrtavanje parkirališnih mjesta, dim 2,50x50m</t>
  </si>
  <si>
    <t>Iscrtavanje parkirališnih mjesta za invalide</t>
  </si>
  <si>
    <t>PROMETNA SIGNALIZACIJA UKUPNO:</t>
  </si>
  <si>
    <t>59.00.</t>
  </si>
  <si>
    <t>OBORINSKA KANALIZACIJA</t>
  </si>
  <si>
    <t>59.01.</t>
  </si>
  <si>
    <t>Horizontalno i visinsko iskolčenje oborinske kanalizacije te osiguranje rova postavljanjem vidnih obilježja. Iskolčenje obuhvaća sva geodetska mjerenja kojima se podaci iz projekta prenose na teren, osiguranje osi iskolčene trase, profiliranje, obnavljanje i održavanje iskolčenih oznaka na terenu za sve vrijeme građenja, odnosno do predaje radova Investitoru.  Rad se obračunava i mjeri po dužnom metru iskolčene oborinske kanalizacije.</t>
  </si>
  <si>
    <t>59.02.</t>
  </si>
  <si>
    <t xml:space="preserve">Strojni, djelomično ručni iskop rova od dubine  1,60 do dubine 2,50m, za kanalizaciju sa uključenim proširenjima i produbljenjima na mjestima izgradnje revizionih okana za 0,5 m na svaku stranu mjereno od vanjskog ruba rova. Rad obuhvaća približno 90% strojnog, te 10% ručnog iskopa. Stvarni odnos ručnog i strojnog iskopa odredit će se kod izvođenja radova, zbog izvođenja dijela nasipa visine do cca 1,50m. Materijal iz iskopa deponirati na gradilištu, te upotrijebiti za zatrpavanje rova, a višak materijala razgrnuti u okolni teren ili odvesti na deponiju, a sve prema dogovoru s nadzornim inženjerom ili investitorom. Rad se mjeri po kubnom metru stvarno izvršenog iskopa u sraslom stanju. </t>
  </si>
  <si>
    <t>RUČNO - 10 %</t>
  </si>
  <si>
    <r>
      <rPr>
        <sz val="10"/>
        <rFont val="Arial"/>
        <family val="2"/>
        <charset val="1"/>
      </rPr>
      <t>m</t>
    </r>
    <r>
      <rPr>
        <vertAlign val="superscript"/>
        <sz val="11"/>
        <rFont val="Times New Roman"/>
        <family val="1"/>
        <charset val="238"/>
      </rPr>
      <t>3</t>
    </r>
  </si>
  <si>
    <t xml:space="preserve"> STROJNO - 90 %</t>
  </si>
  <si>
    <t>59.03.</t>
  </si>
  <si>
    <t>Fino planiranje dna rova (planuma)  prema kotama danim u projektu. Dopušteno odstupanje kote iskopa dna rova može biti lokalno +/-1cm. Rad se mjeri i obračunava po kvadratnom metru stvarno uređenog dna rova.</t>
  </si>
  <si>
    <r>
      <rPr>
        <sz val="10"/>
        <rFont val="Arial"/>
        <family val="2"/>
        <charset val="1"/>
      </rPr>
      <t>m</t>
    </r>
    <r>
      <rPr>
        <vertAlign val="superscript"/>
        <sz val="11"/>
        <rFont val="Times New Roman"/>
        <family val="1"/>
        <charset val="238"/>
      </rPr>
      <t>2</t>
    </r>
  </si>
  <si>
    <t>59.04.</t>
  </si>
  <si>
    <t>Izrada pješčane posteljice ispod cijevi u sloju min. debljine 10cm. granulacija zrna od 0-4mm. Pijesak se ugrađuje na odgovarajuće pripremljen planum dna rova. U stavku ulazi nabava, dobava, nasipavanje, razastiranje, fino planiranje i nabijanje pijeska u rovu. Obračun se vrši po kubnom metru stvarno ugrađenog i sabijenog materijala.</t>
  </si>
  <si>
    <t>59.05.</t>
  </si>
  <si>
    <t>Nasipavanje pijeska / sipkog materijala, granulacije od 4mm do 8mm, oko cijevi i 30cm iznad tjemena cijevi. Zatrpavanje smije započeti nakon što se ispita vodonepropusnost. Materijal se zbija ručno ili laganim sredstvima za sabijanje tla. Rad se mjeri i obračunava po kubnom metru doveženog, ugrađenog i zbijenog materijala.</t>
  </si>
  <si>
    <t>59.06.</t>
  </si>
  <si>
    <t>Zatrpavanje preostalog dijela rova šljunkovitim materijalom granulacije od 0 do 63mm uz nabijanje odgovarajućim nabijačima do potrebne zbijenosti uz eventualno vlaženje materijala u slojevima debljine 30cm. Rad se mjeri i obračunava po kubnom metru dovezenog, ugrađenog i zbijenog materijala.</t>
  </si>
  <si>
    <t>59.07.</t>
  </si>
  <si>
    <t>Izrada AB montažnih okana oborinske kanalizacije promjera 80cm. Na vrhu okana ugrađuje se poklopac za prometno opterećenje D400, dubine okana su od 1,20 do 1,76m. U cijenu uključiti iskop, planiranje dna, izvedbu posteljice, ugradnju podložnog betona, montažu okna, izvedbu i obradu spojeva, zatrpavanje prostora oko okana s pažljivim zbijanjem materijala na propisani modul stišljivosti, i sve ostale radove za ugradnju okana. Okna moraju biti vodonepropusna. Rad se mjeri i obračunava prema komadu ugrađenog okna.</t>
  </si>
  <si>
    <t>59.08.</t>
  </si>
  <si>
    <t>Nabava, dobava i montaža PEHD DN315. U stavku ulazi dovoz cijevi na gradilište s istovarom uz kanalizacijski rov,  tj. na privremeno odlagalište ili pak skladištenje,  razvoz duž trase, spustanje duž rova i ugradnja cijevi na isplaniranu podlogu od pijeska. Obračun se vrši po dužnom metru postavljene kanalizacijske cijevi.</t>
  </si>
  <si>
    <t>DN315</t>
  </si>
  <si>
    <t>59.09.</t>
  </si>
  <si>
    <t>Dobava, montaža, demontaža i čišćenje oplate za razupiranje rova, po čitavoj visini i dužini za zaštitu od zarušavanja. Rad se mjeri po kvadratnom metru dvostrano postavljene oplate.</t>
  </si>
  <si>
    <t>59.10.</t>
  </si>
  <si>
    <t>Dobava, ugradba i spajanje tvornički gotovog separatora masti i ulja  kapaciteta 6 l/s, dimenzija cca 6m x 1,50m mm, visine 1,50m, ukupne visine 2,5m. Separator se ugrađuje na podnu oblogu prema uputi proizvođača. Stavka predviđa sve potrebne radnje i predranjde za izvedbu iste. Obračun po komadu ugrađenog i funkcionalnog separatora. kom 1,00 jednakovrijedno.</t>
  </si>
  <si>
    <t>Upisati predloženi proizvod: Proizvođač, Tip/Marka/Vrsta ________________________________________________________________</t>
  </si>
  <si>
    <t>OBORINSKA KANALIZACIJA UKUPNO:</t>
  </si>
  <si>
    <t>54.00.</t>
  </si>
  <si>
    <t>UKUPNO:</t>
  </si>
  <si>
    <t>SVEUKUPNO SA PDV-om:</t>
  </si>
  <si>
    <t>1.00</t>
  </si>
  <si>
    <t>2.00</t>
  </si>
  <si>
    <t>3.00</t>
  </si>
  <si>
    <t>BETONSKI I AB RADOVI</t>
  </si>
  <si>
    <t>4.00</t>
  </si>
  <si>
    <t>5.00</t>
  </si>
  <si>
    <t>6.00</t>
  </si>
  <si>
    <t>7.00</t>
  </si>
  <si>
    <t>GISPKARTONSKI RADOVI</t>
  </si>
  <si>
    <t>8.00</t>
  </si>
  <si>
    <t>SOBOSLIKARSKO-LIČILAČKI RADOVI</t>
  </si>
  <si>
    <t>9.00</t>
  </si>
  <si>
    <t>KERAMIČARSKI RADOVI</t>
  </si>
  <si>
    <t>10.00</t>
  </si>
  <si>
    <t>11.00</t>
  </si>
  <si>
    <t>12.00</t>
  </si>
  <si>
    <t>STOLARSKI RADOVI</t>
  </si>
  <si>
    <t>13.00</t>
  </si>
  <si>
    <t>PODOPOLAGAČKI RADOVI</t>
  </si>
  <si>
    <t>14.00.</t>
  </si>
  <si>
    <t>DIZALO</t>
  </si>
  <si>
    <t>15.00</t>
  </si>
  <si>
    <t>16.00</t>
  </si>
  <si>
    <t>17.00</t>
  </si>
  <si>
    <t>UNUTARNJI VODOVOD</t>
  </si>
  <si>
    <t>18.00</t>
  </si>
  <si>
    <t>19.00</t>
  </si>
  <si>
    <t>20.00</t>
  </si>
  <si>
    <t>MONTAŽNI RADOVI KANALIZACIJSKOG CJEVOVODA</t>
  </si>
  <si>
    <t>21.00</t>
  </si>
  <si>
    <t>SANITARNA OPREMA</t>
  </si>
  <si>
    <t>22.00</t>
  </si>
  <si>
    <t>23.00</t>
  </si>
  <si>
    <t>CIJEVNI RAZVOD I OPREMA</t>
  </si>
  <si>
    <t>RADOVI HIDRANTSKE MREŽE UKUPNO:</t>
  </si>
  <si>
    <t>VII STROJARSKI RADOVI</t>
  </si>
  <si>
    <t>24.00</t>
  </si>
  <si>
    <t>PLINSKA INSTALACIJA – STROJARSKI DIO</t>
  </si>
  <si>
    <t>25.00</t>
  </si>
  <si>
    <t>PLINSKA INSTALACIJA – GRAĐEVINSKI DIO</t>
  </si>
  <si>
    <t>26.00</t>
  </si>
  <si>
    <t>PLINSKA INSTALACIJA – MJERENI I NEMJERENI DIO</t>
  </si>
  <si>
    <t>27.00</t>
  </si>
  <si>
    <t>28.00</t>
  </si>
  <si>
    <t>30.00..</t>
  </si>
  <si>
    <t>INSTALACIJA VENTILACIJE REKUPERATOROM I VENTILACIJE SANITARIJA</t>
  </si>
  <si>
    <t>INSTACIJA ODSISNO-DOBAVNE VENTILACIJE KUHINJE</t>
  </si>
  <si>
    <t>STROJARSKI RADOVI UKUPNO:</t>
  </si>
  <si>
    <t>VIII ELEKTROTEHNIČKI RADOVI</t>
  </si>
  <si>
    <t>43.00.</t>
  </si>
  <si>
    <t>ELEKTROTEHNIČKI RADOVI UKUPNO:</t>
  </si>
  <si>
    <t xml:space="preserve">IX RADOVI VANJSKOG UREĐENJA </t>
  </si>
  <si>
    <t>PRIPREMNI RADOVI:</t>
  </si>
  <si>
    <t>VANJSKO UREĐENJE UKUPNO:</t>
  </si>
  <si>
    <t>SVI RADOVI UKUPNO:</t>
  </si>
  <si>
    <t>PDV (25%)</t>
  </si>
  <si>
    <t>SVEUKUPNO:</t>
  </si>
  <si>
    <t>59.11.</t>
  </si>
  <si>
    <t>Izrada upojnog zdenca. Upojni zdenac, unutarnjeg promjera 1m, izvodi se na sljedeći način: donji dio okna, visine 80 cm, izvodi se iz betonskih blokova, koji se ugrađuju sa nezapunjenim vertikalnim reškama. Donjih 80cm se ispuni krupnom batudom, a gornjih 20cm pijeskom. Ukupna visina upojnog zdenca je 400cm. Na betonske blokove se postavljaju armirano betonske perforirane i pune cijevi unutarnjeg promjera 2m u visini 2,7m. Na gornjoj cijevi se izvede armirano - betonska pokrovna ploča debljine 20cm, C30/37, sa otvorom 60/60 cm. Nad otvorom se izvede 45cm visoki armirano-betonski okvir u koji se ugradi lijevano-željezni poklopac 60/60 cm, nosivosti za srednje teško prometno opterećenje. Otvor za poklopac se ugrađuje nesimetrično, neposredno uz jednu stranu okna, te se ugrađuju stupaljke za silazak u okno. Stavkom je obuhvaćena nabava i doprema poklopca sa okvirom, betona C30/37, armature, betonskih cijevi, betonskih blokova, oplate, batude, pijeska, lijevano-željeznih stupaljki i rad, te izrada betonske pokrovne ploče. Obračun po komadu izvedenog upojnog zdenca.</t>
  </si>
  <si>
    <t>SLJEDEĆIH KARAKTERISTIKA (kpl)</t>
  </si>
  <si>
    <t>SLJEDEĆIH KARAKTERISTIKA (kom)</t>
  </si>
  <si>
    <r>
      <t>SLJEDEĆIH KARAKTERISTIKA</t>
    </r>
    <r>
      <rPr>
        <i/>
        <sz val="10"/>
        <rFont val="Arial CE"/>
        <charset val="238"/>
      </rPr>
      <t>(kpl)</t>
    </r>
  </si>
  <si>
    <r>
      <t xml:space="preserve">SLJEDEĆIH KARAKTERISTIKA </t>
    </r>
    <r>
      <rPr>
        <i/>
        <sz val="10"/>
        <rFont val="Arial CE"/>
        <charset val="238"/>
      </rPr>
      <t>(kpl)</t>
    </r>
  </si>
  <si>
    <t>(3.0m/kom)</t>
  </si>
  <si>
    <t xml:space="preserve">SLJEDEĆIH KARAKTERISTIKA </t>
  </si>
  <si>
    <t>SLJEDEĆIH KARAKTERISTIKA</t>
  </si>
  <si>
    <t>KARAKTERISTIKA  (m)</t>
  </si>
  <si>
    <t xml:space="preserve"> (m)</t>
  </si>
  <si>
    <t xml:space="preserve">LSOH KABEL SLJEDEĆIH KARAKTERISTIKA </t>
  </si>
  <si>
    <t>SLJEDEĆIH KARAKTERISTIKA (m)</t>
  </si>
  <si>
    <r>
      <t xml:space="preserve">MIC/LINE AUDIO KABEL </t>
    </r>
    <r>
      <rPr>
        <b/>
        <i/>
        <sz val="10"/>
        <rFont val="Arial"/>
        <family val="2"/>
        <charset val="238"/>
      </rPr>
      <t xml:space="preserve">SLJEDEĆIH KARAKTERISTIKA </t>
    </r>
  </si>
  <si>
    <t xml:space="preserve">KABEL  SLJEDEĆIH KARAKTERISTIKA </t>
  </si>
  <si>
    <t>DOBAVA I POSTAVA - CAT6A U/FTP</t>
  </si>
  <si>
    <t>SLJEDEĆIH KARAKTERISTIKA  (m)</t>
  </si>
  <si>
    <t xml:space="preserve">DOBAVA I POSTAVA - BEZHALOGENI VATRODOJAVNI INSTALACIJSKI KABEL E30 </t>
  </si>
  <si>
    <t>SLJEDEĆIH KARAKTERISTIKA O (kpl)</t>
  </si>
  <si>
    <t>KARAKTERISTIKA (kpl)</t>
  </si>
  <si>
    <r>
      <t xml:space="preserve">SLJEDEĆIH KARAKTERISTIKA </t>
    </r>
    <r>
      <rPr>
        <i/>
        <sz val="10"/>
        <rFont val="Arial CE"/>
        <charset val="238"/>
      </rPr>
      <t>(kom)</t>
    </r>
  </si>
  <si>
    <t>SLJEDEĆIH KARAKTERISTIKA  (kpl)</t>
  </si>
  <si>
    <t xml:space="preserve"> (kom)</t>
  </si>
  <si>
    <t>SLJEDEĆIH KARAKTERISTIKA  (kom)</t>
  </si>
  <si>
    <r>
      <t xml:space="preserve">SLJEDEĆIH KARAKTERISTIKA </t>
    </r>
    <r>
      <rPr>
        <i/>
        <sz val="10"/>
        <color rgb="FFFF0000"/>
        <rFont val="Arial CE"/>
        <charset val="238"/>
      </rPr>
      <t>(kpl)</t>
    </r>
  </si>
  <si>
    <r>
      <rPr>
        <b/>
        <i/>
        <sz val="10"/>
        <color rgb="FFFF0000"/>
        <rFont val="Arial CE"/>
        <charset val="1"/>
      </rPr>
      <t xml:space="preserve">SLJEDEĆIH KARAKTERISTIKA </t>
    </r>
    <r>
      <rPr>
        <i/>
        <sz val="10"/>
        <color rgb="FFFF0000"/>
        <rFont val="Arial CE"/>
        <charset val="238"/>
      </rPr>
      <t>(kpl)</t>
    </r>
  </si>
  <si>
    <t>KARAKTERISTIKA  (kom)</t>
  </si>
  <si>
    <t>TIPKALO SLJEDEĆIH KARAKTERISTIKA</t>
  </si>
  <si>
    <t>Cilindrični osigurač gG-40A, kom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</si>
</sst>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0.00_ ;\-#,##0.00\ "/>
    <numFmt numFmtId="165" formatCode="#,##0.00\ [$€-407];[Red]\-#,##0.00\ [$€-407]"/>
    <numFmt numFmtId="166" formatCode="[$-41A]#,###.00"/>
    <numFmt numFmtId="167" formatCode="#,###.00"/>
    <numFmt numFmtId="168" formatCode="dd/mm/yy"/>
    <numFmt numFmtId="169" formatCode="[$-41A]#,##0.00"/>
    <numFmt numFmtId="170" formatCode="[$-809]dd\-mmm"/>
    <numFmt numFmtId="171" formatCode="#,##0.00&quot; kn&quot;"/>
    <numFmt numFmtId="172" formatCode="_-* #,##0.00\ [$€-1]_-;\-* #,##0.00\ [$€-1]_-;_-* \-??\ [$€-1]_-;_-@_-"/>
    <numFmt numFmtId="173" formatCode="_-* #,##0.00\ [$€-41A]_-;\-* #,##0.00\ [$€-41A]_-;_-* \-??\ [$€-41A]_-;_-@_-"/>
    <numFmt numFmtId="174" formatCode="#,##0.00\ _k_n"/>
    <numFmt numFmtId="175" formatCode="#,##0.00&quot; kn&quot;;[Red]\-#,##0.00&quot; kn&quot;"/>
    <numFmt numFmtId="176" formatCode="#,##0.00\ [$€-41A]"/>
    <numFmt numFmtId="177" formatCode="#,##0.00_ ;[Red]\-#,##0.00\ "/>
    <numFmt numFmtId="178" formatCode="_-* #,##0.000\ _K_n_-;\-* #,##0.000\ _K_n_-;_-* \-??\ _K_n_-;_-@_-"/>
    <numFmt numFmtId="179" formatCode="#,##0.00\ [$€-1]"/>
    <numFmt numFmtId="180" formatCode="#,##0.00\ [$EUR]"/>
  </numFmts>
  <fonts count="126">
    <font>
      <sz val="10"/>
      <name val="Arial"/>
      <family val="2"/>
      <charset val="238"/>
    </font>
    <font>
      <sz val="10"/>
      <color rgb="FF000000"/>
      <name val="Century Gothic"/>
      <family val="2"/>
      <charset val="238"/>
    </font>
    <font>
      <sz val="6.8"/>
      <color rgb="FF000000"/>
      <name val="Arial Unicode MS"/>
      <family val="2"/>
      <charset val="238"/>
    </font>
    <font>
      <b/>
      <i/>
      <sz val="16"/>
      <name val="Arial"/>
      <family val="2"/>
      <charset val="238"/>
    </font>
    <font>
      <sz val="11"/>
      <name val="Arial"/>
      <family val="2"/>
      <charset val="238"/>
    </font>
    <font>
      <sz val="11"/>
      <name val="Arial"/>
      <family val="1"/>
      <charset val="238"/>
    </font>
    <font>
      <sz val="11"/>
      <name val="Arial"/>
      <family val="1"/>
      <charset val="1"/>
    </font>
    <font>
      <sz val="11"/>
      <color rgb="FF000000"/>
      <name val="Calibri"/>
      <family val="2"/>
      <charset val="238"/>
    </font>
    <font>
      <sz val="10"/>
      <color rgb="FF000000"/>
      <name val="Arial"/>
      <family val="2"/>
      <charset val="238"/>
    </font>
    <font>
      <b/>
      <i/>
      <u/>
      <sz val="10"/>
      <name val="Arial"/>
      <family val="2"/>
      <charset val="238"/>
    </font>
    <font>
      <sz val="10"/>
      <color rgb="FF00000A"/>
      <name val="Arial"/>
      <family val="2"/>
      <charset val="238"/>
    </font>
    <font>
      <sz val="10"/>
      <color rgb="FF00000A"/>
      <name val="Arial"/>
      <family val="1"/>
      <charset val="238"/>
    </font>
    <font>
      <b/>
      <sz val="10"/>
      <color rgb="FF00000A"/>
      <name val="Arial"/>
      <family val="2"/>
      <charset val="238"/>
    </font>
    <font>
      <sz val="10"/>
      <name val="Arial"/>
      <family val="2"/>
      <charset val="1"/>
    </font>
    <font>
      <b/>
      <sz val="10"/>
      <name val="Arial"/>
      <family val="2"/>
      <charset val="1"/>
    </font>
    <font>
      <sz val="10"/>
      <color rgb="FFFF0000"/>
      <name val="Arial"/>
      <family val="2"/>
      <charset val="1"/>
    </font>
    <font>
      <sz val="9.5"/>
      <name val="Arial"/>
      <family val="2"/>
      <charset val="1"/>
    </font>
    <font>
      <sz val="10"/>
      <color rgb="FF000000"/>
      <name val="Arial"/>
      <family val="2"/>
      <charset val="1"/>
    </font>
    <font>
      <b/>
      <i/>
      <sz val="10"/>
      <color rgb="FF000000"/>
      <name val="Arial"/>
      <family val="2"/>
      <charset val="1"/>
    </font>
    <font>
      <b/>
      <sz val="12"/>
      <name val="Arial"/>
      <family val="2"/>
      <charset val="238"/>
    </font>
    <font>
      <b/>
      <sz val="10"/>
      <name val="Arial"/>
      <family val="2"/>
      <charset val="238"/>
    </font>
    <font>
      <sz val="10"/>
      <color rgb="FFFF0000"/>
      <name val="Arial"/>
      <family val="2"/>
      <charset val="238"/>
    </font>
    <font>
      <b/>
      <sz val="10"/>
      <color rgb="FF000000"/>
      <name val="Arial"/>
      <family val="2"/>
      <charset val="238"/>
    </font>
    <font>
      <sz val="10"/>
      <color rgb="FF0070C0"/>
      <name val="Arial"/>
      <family val="2"/>
      <charset val="238"/>
    </font>
    <font>
      <sz val="10"/>
      <color rgb="FFC9211E"/>
      <name val="Arial"/>
      <family val="2"/>
      <charset val="238"/>
    </font>
    <font>
      <sz val="9"/>
      <name val="Arial"/>
      <family val="2"/>
      <charset val="1"/>
    </font>
    <font>
      <sz val="9"/>
      <color rgb="FFFF0000"/>
      <name val="Arial"/>
      <family val="2"/>
      <charset val="1"/>
    </font>
    <font>
      <b/>
      <sz val="9"/>
      <color rgb="FFFF0000"/>
      <name val="Arial"/>
      <family val="2"/>
      <charset val="1"/>
    </font>
    <font>
      <sz val="9"/>
      <color rgb="FF000000"/>
      <name val="Arial"/>
      <family val="2"/>
      <charset val="1"/>
    </font>
    <font>
      <b/>
      <i/>
      <sz val="9"/>
      <name val="Arial"/>
      <family val="2"/>
      <charset val="1"/>
    </font>
    <font>
      <i/>
      <sz val="9"/>
      <name val="Arial"/>
      <family val="2"/>
      <charset val="1"/>
    </font>
    <font>
      <b/>
      <sz val="9"/>
      <name val="Arial"/>
      <family val="2"/>
      <charset val="1"/>
    </font>
    <font>
      <b/>
      <i/>
      <sz val="9"/>
      <color rgb="FF000000"/>
      <name val="Arial"/>
      <family val="2"/>
      <charset val="1"/>
    </font>
    <font>
      <i/>
      <sz val="9"/>
      <color rgb="FF000000"/>
      <name val="Arial"/>
      <family val="2"/>
      <charset val="1"/>
    </font>
    <font>
      <sz val="12"/>
      <name val="Calibri"/>
      <family val="2"/>
      <charset val="238"/>
    </font>
    <font>
      <b/>
      <sz val="9"/>
      <name val="Arial"/>
      <family val="2"/>
      <charset val="238"/>
    </font>
    <font>
      <sz val="9"/>
      <name val="Arial"/>
      <family val="2"/>
      <charset val="238"/>
    </font>
    <font>
      <sz val="9"/>
      <name val="Symbol"/>
      <family val="1"/>
      <charset val="2"/>
    </font>
    <font>
      <sz val="9"/>
      <name val="Arial CE"/>
      <family val="2"/>
      <charset val="238"/>
    </font>
    <font>
      <b/>
      <sz val="9"/>
      <color rgb="FF0000FF"/>
      <name val="Arial"/>
      <family val="2"/>
      <charset val="1"/>
    </font>
    <font>
      <sz val="9"/>
      <color rgb="FF0000FF"/>
      <name val="Arial"/>
      <family val="2"/>
      <charset val="1"/>
    </font>
    <font>
      <vertAlign val="superscript"/>
      <sz val="12"/>
      <name val="Arial"/>
      <family val="2"/>
      <charset val="238"/>
    </font>
    <font>
      <vertAlign val="subscript"/>
      <sz val="9"/>
      <name val="Arial"/>
      <family val="2"/>
      <charset val="238"/>
    </font>
    <font>
      <vertAlign val="superscript"/>
      <sz val="12"/>
      <name val="Arial CE"/>
      <family val="2"/>
      <charset val="238"/>
    </font>
    <font>
      <sz val="12"/>
      <name val="Arial CE"/>
      <family val="2"/>
      <charset val="238"/>
    </font>
    <font>
      <i/>
      <sz val="9"/>
      <name val="Arial CE"/>
      <family val="2"/>
      <charset val="238"/>
    </font>
    <font>
      <sz val="9"/>
      <color rgb="FF000000"/>
      <name val="Calibri"/>
      <family val="2"/>
      <charset val="238"/>
    </font>
    <font>
      <sz val="9"/>
      <color rgb="FF000000"/>
      <name val="Arial"/>
      <family val="2"/>
      <charset val="238"/>
    </font>
    <font>
      <i/>
      <sz val="9"/>
      <color rgb="FF000000"/>
      <name val="Arial"/>
      <family val="2"/>
      <charset val="238"/>
    </font>
    <font>
      <i/>
      <vertAlign val="subscript"/>
      <sz val="9"/>
      <color rgb="FF000000"/>
      <name val="Arial"/>
      <family val="2"/>
      <charset val="238"/>
    </font>
    <font>
      <i/>
      <sz val="9"/>
      <name val="Arial"/>
      <family val="2"/>
      <charset val="238"/>
    </font>
    <font>
      <b/>
      <sz val="9"/>
      <name val="Arial CE"/>
      <charset val="238"/>
    </font>
    <font>
      <sz val="9"/>
      <name val="Arial CE"/>
      <charset val="238"/>
    </font>
    <font>
      <i/>
      <sz val="9"/>
      <name val="Arial CE"/>
      <charset val="238"/>
    </font>
    <font>
      <vertAlign val="superscript"/>
      <sz val="9"/>
      <name val="Arial CE"/>
      <charset val="238"/>
    </font>
    <font>
      <b/>
      <sz val="9"/>
      <color rgb="FF0000CC"/>
      <name val="Arial"/>
      <family val="2"/>
      <charset val="1"/>
    </font>
    <font>
      <sz val="9"/>
      <color rgb="FF0000CC"/>
      <name val="Arial"/>
      <family val="2"/>
      <charset val="1"/>
    </font>
    <font>
      <vertAlign val="superscript"/>
      <sz val="11"/>
      <name val="Arial CE"/>
      <family val="2"/>
      <charset val="238"/>
    </font>
    <font>
      <sz val="11"/>
      <name val="Arial CE"/>
      <family val="2"/>
      <charset val="238"/>
    </font>
    <font>
      <vertAlign val="superscript"/>
      <sz val="9"/>
      <name val="Arial CE"/>
      <family val="2"/>
      <charset val="238"/>
    </font>
    <font>
      <sz val="10"/>
      <name val="Arial CE"/>
      <family val="2"/>
      <charset val="238"/>
    </font>
    <font>
      <sz val="9"/>
      <color rgb="FF0070C0"/>
      <name val="Arial"/>
      <family val="2"/>
      <charset val="238"/>
    </font>
    <font>
      <b/>
      <i/>
      <sz val="9"/>
      <color rgb="FF0070C0"/>
      <name val="Arial"/>
      <family val="2"/>
      <charset val="238"/>
    </font>
    <font>
      <sz val="8"/>
      <name val="Arial"/>
      <family val="2"/>
      <charset val="1"/>
    </font>
    <font>
      <sz val="8"/>
      <name val="Arial CE"/>
      <family val="2"/>
      <charset val="238"/>
    </font>
    <font>
      <sz val="12"/>
      <name val="ArialUnicodeMS"/>
      <charset val="1"/>
    </font>
    <font>
      <sz val="9"/>
      <name val="ArialUnicodeMS"/>
      <charset val="1"/>
    </font>
    <font>
      <sz val="12"/>
      <name val="Arial"/>
      <family val="2"/>
      <charset val="238"/>
    </font>
    <font>
      <sz val="11"/>
      <name val="ArialUnicodeMS"/>
      <charset val="1"/>
    </font>
    <font>
      <vertAlign val="superscript"/>
      <sz val="12"/>
      <name val="Arial"/>
      <family val="2"/>
      <charset val="1"/>
    </font>
    <font>
      <sz val="9"/>
      <color rgb="FFFF0000"/>
      <name val="Arial"/>
      <family val="2"/>
      <charset val="238"/>
    </font>
    <font>
      <b/>
      <sz val="9"/>
      <color rgb="FF000000"/>
      <name val="Arial"/>
      <family val="2"/>
      <charset val="238"/>
    </font>
    <font>
      <b/>
      <i/>
      <u/>
      <sz val="9"/>
      <color rgb="FF000000"/>
      <name val="Arial"/>
      <family val="2"/>
      <charset val="1"/>
    </font>
    <font>
      <b/>
      <sz val="9"/>
      <color rgb="FF000000"/>
      <name val="Arial"/>
      <family val="2"/>
      <charset val="1"/>
    </font>
    <font>
      <vertAlign val="subscript"/>
      <sz val="12"/>
      <name val="Arial"/>
      <family val="2"/>
      <charset val="238"/>
    </font>
    <font>
      <vertAlign val="superscript"/>
      <sz val="12"/>
      <color rgb="FF000000"/>
      <name val="Calibri"/>
      <family val="2"/>
      <charset val="238"/>
    </font>
    <font>
      <sz val="12"/>
      <color rgb="FF000000"/>
      <name val="Calibri"/>
      <family val="2"/>
      <charset val="238"/>
    </font>
    <font>
      <vertAlign val="subscript"/>
      <sz val="12"/>
      <color rgb="FF000000"/>
      <name val="Calibri"/>
      <family val="2"/>
      <charset val="238"/>
    </font>
    <font>
      <vertAlign val="subscript"/>
      <sz val="9"/>
      <color rgb="FF000000"/>
      <name val="Calibri"/>
      <family val="2"/>
      <charset val="238"/>
    </font>
    <font>
      <vertAlign val="superscript"/>
      <sz val="9"/>
      <color rgb="FF000000"/>
      <name val="Calibri"/>
      <family val="2"/>
      <charset val="238"/>
    </font>
    <font>
      <b/>
      <i/>
      <sz val="9"/>
      <color rgb="FFFF0000"/>
      <name val="Arial"/>
      <family val="2"/>
      <charset val="1"/>
    </font>
    <font>
      <sz val="10"/>
      <name val="Calibri"/>
      <family val="2"/>
      <charset val="1"/>
    </font>
    <font>
      <sz val="10"/>
      <color rgb="FF000000"/>
      <name val="Calibri"/>
      <family val="2"/>
      <charset val="1"/>
    </font>
    <font>
      <b/>
      <sz val="10"/>
      <color rgb="FF000000"/>
      <name val="Calibri"/>
      <family val="2"/>
      <charset val="1"/>
    </font>
    <font>
      <b/>
      <sz val="10"/>
      <name val="Calibri"/>
      <family val="2"/>
      <charset val="1"/>
    </font>
    <font>
      <b/>
      <sz val="10"/>
      <color rgb="FF000000"/>
      <name val="Calibri"/>
      <family val="2"/>
      <charset val="238"/>
    </font>
    <font>
      <sz val="10"/>
      <color rgb="FF000000"/>
      <name val="Calibri"/>
      <family val="2"/>
      <charset val="238"/>
    </font>
    <font>
      <sz val="10"/>
      <name val="Calibri"/>
      <family val="2"/>
      <charset val="238"/>
    </font>
    <font>
      <b/>
      <sz val="10"/>
      <name val="Calibri"/>
      <family val="2"/>
      <charset val="238"/>
    </font>
    <font>
      <sz val="10"/>
      <color rgb="FFFF0000"/>
      <name val="Calibri"/>
      <family val="2"/>
      <charset val="1"/>
    </font>
    <font>
      <i/>
      <sz val="10"/>
      <color rgb="FF000000"/>
      <name val="Calibri"/>
      <family val="2"/>
      <charset val="1"/>
    </font>
    <font>
      <sz val="10"/>
      <color rgb="FF0070C0"/>
      <name val="Calibri"/>
      <family val="2"/>
      <charset val="1"/>
    </font>
    <font>
      <b/>
      <i/>
      <sz val="10"/>
      <color rgb="FF000000"/>
      <name val="Calibri"/>
      <family val="2"/>
      <charset val="1"/>
    </font>
    <font>
      <b/>
      <i/>
      <sz val="9"/>
      <color rgb="FF595959"/>
      <name val="Arial"/>
      <family val="2"/>
      <charset val="238"/>
    </font>
    <font>
      <i/>
      <sz val="9"/>
      <color rgb="FF595959"/>
      <name val="Arial"/>
      <family val="2"/>
      <charset val="238"/>
    </font>
    <font>
      <b/>
      <i/>
      <sz val="9"/>
      <color rgb="FF595959"/>
      <name val="Arial CE"/>
      <charset val="238"/>
    </font>
    <font>
      <i/>
      <sz val="9"/>
      <color rgb="FF595959"/>
      <name val="Arial CE"/>
      <family val="2"/>
      <charset val="238"/>
    </font>
    <font>
      <b/>
      <i/>
      <sz val="9"/>
      <color rgb="FF595959"/>
      <name val="Arial CE"/>
      <charset val="1"/>
    </font>
    <font>
      <i/>
      <sz val="9"/>
      <color rgb="FF595959"/>
      <name val="Arial CE"/>
      <charset val="1"/>
    </font>
    <font>
      <b/>
      <i/>
      <sz val="10"/>
      <name val="Arial CE"/>
      <charset val="1"/>
    </font>
    <font>
      <i/>
      <sz val="10"/>
      <name val="Arial CE"/>
      <charset val="238"/>
    </font>
    <font>
      <i/>
      <sz val="9"/>
      <color rgb="FF595959"/>
      <name val="Arial CE"/>
      <charset val="238"/>
    </font>
    <font>
      <b/>
      <i/>
      <sz val="10"/>
      <name val="Arial CE"/>
      <charset val="238"/>
    </font>
    <font>
      <b/>
      <i/>
      <sz val="10"/>
      <name val="Arial"/>
      <family val="2"/>
      <charset val="238"/>
    </font>
    <font>
      <vertAlign val="superscript"/>
      <sz val="10"/>
      <name val="Arial"/>
      <family val="2"/>
      <charset val="238"/>
    </font>
    <font>
      <sz val="11"/>
      <name val="Times New Roman"/>
      <family val="1"/>
      <charset val="238"/>
    </font>
    <font>
      <b/>
      <i/>
      <u/>
      <sz val="10"/>
      <color rgb="FFFF0000"/>
      <name val="Arial"/>
      <family val="2"/>
      <charset val="1"/>
    </font>
    <font>
      <b/>
      <sz val="12"/>
      <name val="Calibri"/>
      <family val="2"/>
      <charset val="238"/>
    </font>
    <font>
      <b/>
      <i/>
      <u/>
      <sz val="10"/>
      <name val="Arial"/>
      <family val="2"/>
      <charset val="1"/>
    </font>
    <font>
      <vertAlign val="superscript"/>
      <sz val="10"/>
      <name val="Times New Roman"/>
      <family val="1"/>
      <charset val="238"/>
    </font>
    <font>
      <vertAlign val="superscript"/>
      <sz val="10"/>
      <name val="Arial"/>
      <family val="2"/>
      <charset val="1"/>
    </font>
    <font>
      <sz val="11"/>
      <name val="Symbol"/>
      <family val="1"/>
      <charset val="2"/>
    </font>
    <font>
      <vertAlign val="superscript"/>
      <sz val="11"/>
      <name val="Times New Roman"/>
      <family val="1"/>
      <charset val="238"/>
    </font>
    <font>
      <b/>
      <i/>
      <sz val="10"/>
      <name val="Arial"/>
      <family val="2"/>
      <charset val="1"/>
    </font>
    <font>
      <sz val="10"/>
      <name val="Arial"/>
      <family val="2"/>
      <charset val="238"/>
    </font>
    <font>
      <sz val="10"/>
      <color rgb="FFFF0000"/>
      <name val="Calibri"/>
      <family val="2"/>
      <charset val="238"/>
    </font>
    <font>
      <b/>
      <sz val="10"/>
      <color rgb="FFFF0000"/>
      <name val="Calibri"/>
      <family val="2"/>
      <charset val="1"/>
    </font>
    <font>
      <i/>
      <sz val="10"/>
      <color rgb="FFFF0000"/>
      <name val="Calibri"/>
      <family val="2"/>
      <charset val="1"/>
    </font>
    <font>
      <b/>
      <sz val="10"/>
      <color rgb="FFFF0000"/>
      <name val="Calibri"/>
      <family val="2"/>
      <charset val="238"/>
    </font>
    <font>
      <b/>
      <i/>
      <sz val="10"/>
      <color rgb="FFFF0000"/>
      <name val="Arial CE"/>
      <charset val="238"/>
    </font>
    <font>
      <i/>
      <sz val="10"/>
      <color rgb="FFFF0000"/>
      <name val="Arial CE"/>
      <charset val="238"/>
    </font>
    <font>
      <b/>
      <i/>
      <sz val="10"/>
      <color rgb="FFFF0000"/>
      <name val="Calibri"/>
      <family val="2"/>
      <charset val="238"/>
    </font>
    <font>
      <b/>
      <i/>
      <sz val="10"/>
      <color rgb="FFFF0000"/>
      <name val="Arial CE"/>
      <charset val="1"/>
    </font>
    <font>
      <b/>
      <i/>
      <sz val="10"/>
      <color rgb="FFFF0000"/>
      <name val="Calibri"/>
      <family val="2"/>
      <charset val="1"/>
    </font>
    <font>
      <sz val="9"/>
      <name val="Arial"/>
      <family val="2"/>
    </font>
    <font>
      <i/>
      <sz val="9"/>
      <color rgb="FF0070C0"/>
      <name val="Arial"/>
      <family val="2"/>
      <charset val="238"/>
    </font>
  </fonts>
  <fills count="6">
    <fill>
      <patternFill patternType="none"/>
    </fill>
    <fill>
      <patternFill patternType="gray125"/>
    </fill>
    <fill>
      <patternFill patternType="solid">
        <fgColor rgb="FFDDDDDD"/>
        <bgColor rgb="FFDCE6F2"/>
      </patternFill>
    </fill>
    <fill>
      <patternFill patternType="solid">
        <fgColor rgb="FFFFFF00"/>
        <bgColor rgb="FFFFFF00"/>
      </patternFill>
    </fill>
    <fill>
      <patternFill patternType="solid">
        <fgColor rgb="FFD3D3D3"/>
        <bgColor rgb="FFDDDDDD"/>
      </patternFill>
    </fill>
    <fill>
      <patternFill patternType="solid">
        <fgColor rgb="FFDCE6F2"/>
        <bgColor rgb="FFDDDDDD"/>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hair">
        <color auto="1"/>
      </right>
      <top/>
      <bottom/>
      <diagonal/>
    </border>
    <border>
      <left style="hair">
        <color auto="1"/>
      </left>
      <right style="hair">
        <color auto="1"/>
      </right>
      <top style="hair">
        <color auto="1"/>
      </top>
      <bottom style="hair">
        <color auto="1"/>
      </bottom>
      <diagonal/>
    </border>
    <border>
      <left/>
      <right/>
      <top style="double">
        <color auto="1"/>
      </top>
      <bottom style="double">
        <color auto="1"/>
      </bottom>
      <diagonal/>
    </border>
    <border>
      <left/>
      <right/>
      <top/>
      <bottom style="double">
        <color auto="1"/>
      </bottom>
      <diagonal/>
    </border>
    <border>
      <left/>
      <right/>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top style="thin">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bottom style="medium">
        <color auto="1"/>
      </bottom>
      <diagonal/>
    </border>
    <border>
      <left/>
      <right style="hair">
        <color auto="1"/>
      </right>
      <top style="thin">
        <color auto="1"/>
      </top>
      <bottom style="thin">
        <color auto="1"/>
      </bottom>
      <diagonal/>
    </border>
    <border>
      <left/>
      <right/>
      <top/>
      <bottom style="hair">
        <color auto="1"/>
      </bottom>
      <diagonal/>
    </border>
    <border>
      <left/>
      <right style="hair">
        <color auto="1"/>
      </right>
      <top style="hair">
        <color auto="1"/>
      </top>
      <bottom style="hair">
        <color auto="1"/>
      </bottom>
      <diagonal/>
    </border>
  </borders>
  <cellStyleXfs count="23">
    <xf numFmtId="0" fontId="0" fillId="0" borderId="0"/>
    <xf numFmtId="164" fontId="114" fillId="0" borderId="0" applyBorder="0" applyProtection="0"/>
    <xf numFmtId="0" fontId="1" fillId="0" borderId="0" applyBorder="0" applyProtection="0">
      <alignment horizontal="right" vertical="top" wrapText="1"/>
    </xf>
    <xf numFmtId="0" fontId="1" fillId="0" borderId="0" applyBorder="0">
      <alignment horizontal="justify" vertical="top" wrapText="1"/>
      <protection locked="0"/>
    </xf>
    <xf numFmtId="0" fontId="2" fillId="0" borderId="0" applyBorder="0" applyProtection="0">
      <alignment horizontal="justify" vertical="top" wrapText="1"/>
    </xf>
    <xf numFmtId="0" fontId="3" fillId="0" borderId="0" applyBorder="0" applyProtection="0">
      <alignment horizontal="center"/>
    </xf>
    <xf numFmtId="0" fontId="114" fillId="0" borderId="0"/>
    <xf numFmtId="0" fontId="4" fillId="0" borderId="0"/>
    <xf numFmtId="0" fontId="5" fillId="0" borderId="0"/>
    <xf numFmtId="0" fontId="6" fillId="0" borderId="0"/>
    <xf numFmtId="0" fontId="114" fillId="0" borderId="0"/>
    <xf numFmtId="0" fontId="114" fillId="0" borderId="0"/>
    <xf numFmtId="0" fontId="114" fillId="0" borderId="0"/>
    <xf numFmtId="0" fontId="7" fillId="0" borderId="0"/>
    <xf numFmtId="0" fontId="114" fillId="0" borderId="0"/>
    <xf numFmtId="0" fontId="114" fillId="0" borderId="0"/>
    <xf numFmtId="0" fontId="114" fillId="0" borderId="0"/>
    <xf numFmtId="0" fontId="8" fillId="0" borderId="0"/>
    <xf numFmtId="0" fontId="114" fillId="0" borderId="0"/>
    <xf numFmtId="165" fontId="9" fillId="0" borderId="0" applyBorder="0" applyProtection="0"/>
    <xf numFmtId="0" fontId="114" fillId="0" borderId="0"/>
    <xf numFmtId="0" fontId="114" fillId="0" borderId="0"/>
    <xf numFmtId="43" fontId="114" fillId="0" borderId="0" applyFont="0" applyFill="0" applyBorder="0" applyAlignment="0" applyProtection="0"/>
  </cellStyleXfs>
  <cellXfs count="785">
    <xf numFmtId="0" fontId="0" fillId="0" borderId="0" xfId="0"/>
    <xf numFmtId="0" fontId="13" fillId="0" borderId="0" xfId="0" applyFont="1" applyAlignment="1">
      <alignment horizontal="left"/>
    </xf>
    <xf numFmtId="0" fontId="13" fillId="0" borderId="0" xfId="0" applyFont="1" applyAlignment="1">
      <alignment wrapText="1"/>
    </xf>
    <xf numFmtId="0" fontId="14" fillId="0" borderId="0" xfId="0" applyFont="1" applyAlignment="1">
      <alignment horizontal="justify" vertical="top" wrapText="1"/>
    </xf>
    <xf numFmtId="0" fontId="13" fillId="0" borderId="0" xfId="0" applyFont="1" applyAlignment="1">
      <alignment horizontal="justify" vertical="top" wrapText="1"/>
    </xf>
    <xf numFmtId="0" fontId="13" fillId="0" borderId="0" xfId="0" applyFont="1" applyAlignment="1">
      <alignment horizontal="left" vertical="top" wrapText="1"/>
    </xf>
    <xf numFmtId="0" fontId="0" fillId="0" borderId="0" xfId="0" applyAlignment="1">
      <alignment wrapText="1"/>
    </xf>
    <xf numFmtId="0" fontId="10" fillId="2" borderId="0" xfId="0" applyFont="1" applyFill="1" applyAlignment="1">
      <alignment horizontal="left"/>
    </xf>
    <xf numFmtId="0" fontId="0" fillId="2" borderId="0" xfId="0" applyFill="1" applyAlignment="1">
      <alignment horizontal="left" wrapText="1"/>
    </xf>
    <xf numFmtId="0" fontId="0" fillId="2" borderId="0" xfId="0" applyFill="1" applyAlignment="1">
      <alignment horizontal="left"/>
    </xf>
    <xf numFmtId="0" fontId="10" fillId="2" borderId="0" xfId="0" applyFont="1" applyFill="1" applyAlignment="1">
      <alignment horizontal="left" wrapText="1"/>
    </xf>
    <xf numFmtId="0" fontId="0" fillId="2" borderId="0" xfId="0" applyFill="1" applyAlignment="1">
      <alignment wrapText="1"/>
    </xf>
    <xf numFmtId="0" fontId="10" fillId="0" borderId="0" xfId="0" applyFont="1" applyAlignment="1">
      <alignment horizontal="left" vertical="top"/>
    </xf>
    <xf numFmtId="0" fontId="12" fillId="0" borderId="0" xfId="0" applyFont="1"/>
    <xf numFmtId="0" fontId="13" fillId="0" borderId="0" xfId="0" applyFont="1"/>
    <xf numFmtId="0" fontId="14" fillId="0" borderId="0" xfId="0" applyFont="1" applyAlignment="1">
      <alignment horizontal="left"/>
    </xf>
    <xf numFmtId="0" fontId="14" fillId="0" borderId="0" xfId="0" applyFont="1" applyAlignment="1">
      <alignment horizontal="left" wrapText="1"/>
    </xf>
    <xf numFmtId="0" fontId="14" fillId="0" borderId="0" xfId="0" applyFont="1"/>
    <xf numFmtId="0" fontId="13" fillId="0" borderId="0" xfId="0" applyFont="1" applyAlignment="1">
      <alignment horizontal="justify" vertical="top"/>
    </xf>
    <xf numFmtId="0" fontId="13" fillId="0" borderId="0" xfId="0" applyFont="1" applyAlignment="1">
      <alignment horizontal="left" vertical="top"/>
    </xf>
    <xf numFmtId="0" fontId="13" fillId="0" borderId="0" xfId="0" applyFont="1" applyAlignment="1">
      <alignment vertical="top"/>
    </xf>
    <xf numFmtId="0" fontId="15" fillId="0" borderId="0" xfId="0" applyFont="1" applyAlignment="1">
      <alignment horizontal="justify" vertical="top" wrapText="1"/>
    </xf>
    <xf numFmtId="0" fontId="15" fillId="0" borderId="0" xfId="0" applyFont="1" applyAlignment="1">
      <alignment horizontal="justify" vertical="top"/>
    </xf>
    <xf numFmtId="0" fontId="15" fillId="0" borderId="0" xfId="0" applyFont="1" applyAlignment="1">
      <alignment horizontal="left" vertical="top"/>
    </xf>
    <xf numFmtId="0" fontId="15" fillId="0" borderId="0" xfId="0" applyFont="1" applyAlignment="1">
      <alignment vertical="top"/>
    </xf>
    <xf numFmtId="0" fontId="14" fillId="0" borderId="0" xfId="0" applyFont="1" applyAlignment="1">
      <alignment wrapText="1"/>
    </xf>
    <xf numFmtId="49" fontId="17" fillId="0" borderId="0" xfId="3" applyNumberFormat="1" applyFont="1" applyBorder="1" applyAlignment="1" applyProtection="1">
      <alignment horizontal="left" vertical="top"/>
    </xf>
    <xf numFmtId="49" fontId="13" fillId="0" borderId="0" xfId="7" applyNumberFormat="1" applyFont="1" applyAlignment="1">
      <alignment horizontal="left" wrapText="1"/>
    </xf>
    <xf numFmtId="49" fontId="17" fillId="0" borderId="0" xfId="2" applyNumberFormat="1" applyFont="1" applyBorder="1" applyAlignment="1" applyProtection="1">
      <alignment horizontal="center" vertical="top"/>
    </xf>
    <xf numFmtId="49" fontId="17" fillId="0" borderId="0" xfId="2" applyNumberFormat="1" applyFont="1" applyBorder="1" applyAlignment="1" applyProtection="1">
      <alignment horizontal="left" vertical="top"/>
    </xf>
    <xf numFmtId="49" fontId="18" fillId="0" borderId="0" xfId="4" applyNumberFormat="1" applyFont="1" applyBorder="1" applyAlignment="1" applyProtection="1">
      <alignment horizontal="left" vertical="top"/>
    </xf>
    <xf numFmtId="49" fontId="13" fillId="0" borderId="0" xfId="0" applyNumberFormat="1" applyFont="1"/>
    <xf numFmtId="0" fontId="0" fillId="0" borderId="0" xfId="0" applyAlignment="1">
      <alignment vertical="top"/>
    </xf>
    <xf numFmtId="0" fontId="0" fillId="0" borderId="0" xfId="0" applyAlignment="1">
      <alignment horizontal="left" wrapText="1"/>
    </xf>
    <xf numFmtId="0" fontId="0" fillId="0" borderId="0" xfId="0" applyAlignment="1">
      <alignment horizontal="right"/>
    </xf>
    <xf numFmtId="166" fontId="8" fillId="0" borderId="0" xfId="0" applyNumberFormat="1" applyFont="1" applyAlignment="1">
      <alignment horizontal="right"/>
    </xf>
    <xf numFmtId="166" fontId="0" fillId="0" borderId="0" xfId="0" applyNumberFormat="1" applyAlignment="1">
      <alignment horizontal="right"/>
    </xf>
    <xf numFmtId="0" fontId="8" fillId="0" borderId="0" xfId="0" applyFont="1" applyAlignment="1">
      <alignment horizontal="left" wrapText="1"/>
    </xf>
    <xf numFmtId="0" fontId="21" fillId="0" borderId="0" xfId="0" applyFont="1"/>
    <xf numFmtId="0" fontId="0" fillId="0" borderId="0" xfId="0" applyAlignment="1">
      <alignment horizontal="left" vertical="top" wrapText="1"/>
    </xf>
    <xf numFmtId="0" fontId="21" fillId="0" borderId="0" xfId="0" applyFont="1" applyAlignment="1">
      <alignment vertical="top"/>
    </xf>
    <xf numFmtId="0" fontId="21" fillId="0" borderId="0" xfId="0" applyFont="1" applyAlignment="1">
      <alignment horizontal="left" wrapText="1"/>
    </xf>
    <xf numFmtId="0" fontId="21" fillId="0" borderId="0" xfId="0" applyFont="1" applyAlignment="1">
      <alignment horizontal="right"/>
    </xf>
    <xf numFmtId="166" fontId="21" fillId="0" borderId="0" xfId="0" applyNumberFormat="1" applyFont="1" applyAlignment="1">
      <alignment horizontal="right"/>
    </xf>
    <xf numFmtId="166" fontId="20" fillId="0" borderId="0" xfId="0" applyNumberFormat="1" applyFont="1" applyAlignment="1">
      <alignment horizontal="right"/>
    </xf>
    <xf numFmtId="0" fontId="20" fillId="0" borderId="0" xfId="0" applyFont="1" applyAlignment="1">
      <alignment horizontal="left" vertical="top"/>
    </xf>
    <xf numFmtId="0" fontId="20" fillId="0" borderId="0" xfId="0" applyFont="1" applyAlignment="1">
      <alignment horizontal="left" vertical="top" wrapText="1"/>
    </xf>
    <xf numFmtId="167" fontId="22" fillId="0" borderId="0" xfId="0" applyNumberFormat="1" applyFont="1" applyAlignment="1">
      <alignment horizontal="left" vertical="top"/>
    </xf>
    <xf numFmtId="0" fontId="8" fillId="0" borderId="0" xfId="0" applyFont="1"/>
    <xf numFmtId="0" fontId="8" fillId="0" borderId="0" xfId="0" applyFont="1" applyAlignment="1">
      <alignment vertical="top"/>
    </xf>
    <xf numFmtId="0" fontId="8" fillId="0" borderId="0" xfId="0" applyFont="1" applyAlignment="1">
      <alignment horizontal="right"/>
    </xf>
    <xf numFmtId="0" fontId="0" fillId="0" borderId="0" xfId="0" applyAlignment="1">
      <alignment horizontal="left" vertical="top"/>
    </xf>
    <xf numFmtId="168" fontId="0" fillId="0" borderId="0" xfId="0" applyNumberFormat="1" applyAlignment="1">
      <alignment horizontal="left" vertical="top"/>
    </xf>
    <xf numFmtId="166" fontId="8" fillId="0" borderId="0" xfId="0" applyNumberFormat="1" applyFont="1"/>
    <xf numFmtId="0" fontId="23" fillId="0" borderId="0" xfId="0" applyFont="1" applyAlignment="1">
      <alignment horizontal="left" wrapText="1"/>
    </xf>
    <xf numFmtId="0" fontId="23" fillId="0" borderId="0" xfId="0" applyFont="1" applyAlignment="1">
      <alignment horizontal="right"/>
    </xf>
    <xf numFmtId="166" fontId="23" fillId="0" borderId="0" xfId="0" applyNumberFormat="1" applyFont="1" applyAlignment="1">
      <alignment horizontal="right"/>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right" vertical="center"/>
    </xf>
    <xf numFmtId="166" fontId="0" fillId="0" borderId="0" xfId="0" applyNumberFormat="1" applyAlignment="1">
      <alignment horizontal="right" vertical="center"/>
    </xf>
    <xf numFmtId="0" fontId="20" fillId="0" borderId="0" xfId="0" applyFont="1" applyAlignment="1">
      <alignment horizontal="left" wrapText="1"/>
    </xf>
    <xf numFmtId="166" fontId="8" fillId="0" borderId="0" xfId="0" applyNumberFormat="1" applyFont="1" applyAlignment="1">
      <alignment horizontal="left"/>
    </xf>
    <xf numFmtId="166" fontId="24" fillId="0" borderId="0" xfId="0" applyNumberFormat="1" applyFont="1" applyAlignment="1">
      <alignment horizontal="right"/>
    </xf>
    <xf numFmtId="0" fontId="8" fillId="0" borderId="0" xfId="0" applyFont="1" applyAlignment="1">
      <alignment horizontal="left" vertical="top"/>
    </xf>
    <xf numFmtId="0" fontId="8" fillId="0" borderId="0" xfId="0" applyFont="1" applyAlignment="1">
      <alignment wrapText="1"/>
    </xf>
    <xf numFmtId="169" fontId="8" fillId="0" borderId="0" xfId="0" applyNumberFormat="1" applyFont="1" applyAlignment="1">
      <alignment horizontal="right"/>
    </xf>
    <xf numFmtId="0" fontId="0" fillId="0" borderId="0" xfId="0" applyAlignment="1">
      <alignment horizontal="right" wrapText="1"/>
    </xf>
    <xf numFmtId="0" fontId="20" fillId="0" borderId="0" xfId="0" applyFont="1" applyAlignment="1">
      <alignment wrapText="1"/>
    </xf>
    <xf numFmtId="169" fontId="0" fillId="0" borderId="0" xfId="0" applyNumberFormat="1" applyAlignment="1">
      <alignment horizontal="left"/>
    </xf>
    <xf numFmtId="169" fontId="0" fillId="0" borderId="0" xfId="0" applyNumberFormat="1" applyAlignment="1">
      <alignment horizontal="right"/>
    </xf>
    <xf numFmtId="169" fontId="21" fillId="0" borderId="0" xfId="0" applyNumberFormat="1" applyFont="1" applyAlignment="1">
      <alignment horizontal="right"/>
    </xf>
    <xf numFmtId="167" fontId="20" fillId="0" borderId="0" xfId="0" applyNumberFormat="1" applyFont="1"/>
    <xf numFmtId="169" fontId="0" fillId="0" borderId="0" xfId="0" applyNumberFormat="1" applyAlignment="1">
      <alignment vertical="top" wrapText="1"/>
    </xf>
    <xf numFmtId="169" fontId="0" fillId="0" borderId="0" xfId="0" applyNumberFormat="1" applyAlignment="1">
      <alignment wrapText="1"/>
    </xf>
    <xf numFmtId="169" fontId="0" fillId="0" borderId="0" xfId="0" applyNumberFormat="1" applyAlignment="1">
      <alignment horizontal="right" wrapText="1"/>
    </xf>
    <xf numFmtId="169" fontId="0" fillId="0" borderId="0" xfId="0" applyNumberFormat="1" applyAlignment="1">
      <alignment horizontal="left" vertical="top" wrapText="1"/>
    </xf>
    <xf numFmtId="169" fontId="0" fillId="0" borderId="0" xfId="0" applyNumberFormat="1" applyAlignment="1">
      <alignment horizontal="left" wrapText="1"/>
    </xf>
    <xf numFmtId="0" fontId="0" fillId="0" borderId="0" xfId="0" applyAlignment="1">
      <alignment horizontal="justify" vertical="top" wrapText="1"/>
    </xf>
    <xf numFmtId="169" fontId="20" fillId="0" borderId="0" xfId="0" applyNumberFormat="1" applyFont="1" applyAlignment="1">
      <alignment wrapText="1"/>
    </xf>
    <xf numFmtId="169" fontId="20" fillId="0" borderId="0" xfId="0" applyNumberFormat="1" applyFont="1" applyAlignment="1">
      <alignment horizontal="right" wrapText="1"/>
    </xf>
    <xf numFmtId="169" fontId="23" fillId="0" borderId="0" xfId="0" applyNumberFormat="1" applyFont="1" applyAlignment="1">
      <alignment wrapText="1"/>
    </xf>
    <xf numFmtId="0" fontId="0" fillId="0" borderId="0" xfId="0" applyAlignment="1">
      <alignment horizontal="right" vertical="top" wrapText="1"/>
    </xf>
    <xf numFmtId="4" fontId="0" fillId="0" borderId="0" xfId="0" applyNumberFormat="1" applyAlignment="1">
      <alignment horizontal="right" wrapText="1"/>
    </xf>
    <xf numFmtId="0" fontId="0" fillId="0" borderId="0" xfId="0" applyAlignment="1">
      <alignment horizontal="center"/>
    </xf>
    <xf numFmtId="0" fontId="0" fillId="0" borderId="0" xfId="0" applyAlignment="1">
      <alignment horizontal="center" vertical="top" wrapText="1"/>
    </xf>
    <xf numFmtId="0" fontId="0" fillId="0" borderId="0" xfId="0" applyAlignment="1">
      <alignment vertical="top" wrapText="1"/>
    </xf>
    <xf numFmtId="4" fontId="0" fillId="0" borderId="0" xfId="0" applyNumberFormat="1" applyAlignment="1">
      <alignment horizontal="right"/>
    </xf>
    <xf numFmtId="4" fontId="0" fillId="0" borderId="0" xfId="0" applyNumberFormat="1" applyAlignment="1">
      <alignment horizontal="right" vertical="top"/>
    </xf>
    <xf numFmtId="0" fontId="23" fillId="0" borderId="0" xfId="0" applyFont="1" applyAlignment="1">
      <alignment vertical="top" wrapText="1"/>
    </xf>
    <xf numFmtId="169" fontId="23" fillId="0" borderId="0" xfId="0" applyNumberFormat="1" applyFont="1" applyAlignment="1">
      <alignment horizontal="right" wrapText="1"/>
    </xf>
    <xf numFmtId="0" fontId="0" fillId="0" borderId="0" xfId="0" applyAlignment="1">
      <alignment vertical="center" wrapText="1"/>
    </xf>
    <xf numFmtId="169" fontId="0" fillId="0" borderId="0" xfId="0" applyNumberFormat="1" applyAlignment="1">
      <alignment vertical="center" wrapText="1"/>
    </xf>
    <xf numFmtId="169" fontId="0" fillId="0" borderId="0" xfId="0" applyNumberFormat="1" applyAlignment="1">
      <alignment horizontal="right" vertical="center" wrapText="1"/>
    </xf>
    <xf numFmtId="168" fontId="0" fillId="0" borderId="0" xfId="0" applyNumberFormat="1" applyAlignment="1">
      <alignment vertical="top" wrapText="1"/>
    </xf>
    <xf numFmtId="0" fontId="20" fillId="0" borderId="0" xfId="0" applyFont="1" applyAlignment="1">
      <alignment horizontal="justify" vertical="top" wrapText="1"/>
    </xf>
    <xf numFmtId="0" fontId="8" fillId="0" borderId="0" xfId="0" applyFont="1" applyAlignment="1">
      <alignment horizontal="justify" vertical="top" wrapText="1"/>
    </xf>
    <xf numFmtId="0" fontId="8" fillId="0" borderId="0" xfId="0" applyFont="1" applyAlignment="1">
      <alignment horizontal="justify" wrapText="1"/>
    </xf>
    <xf numFmtId="4" fontId="8" fillId="0" borderId="0" xfId="0" applyNumberFormat="1" applyFont="1" applyAlignment="1">
      <alignment horizontal="right" wrapText="1"/>
    </xf>
    <xf numFmtId="0" fontId="8" fillId="0" borderId="0" xfId="0" applyFont="1" applyAlignment="1">
      <alignment horizontal="center" wrapText="1"/>
    </xf>
    <xf numFmtId="170" fontId="8" fillId="0" borderId="0" xfId="0" applyNumberFormat="1" applyFont="1" applyAlignment="1">
      <alignment vertical="top" wrapText="1"/>
    </xf>
    <xf numFmtId="0" fontId="8" fillId="0" borderId="0" xfId="0" applyFont="1" applyAlignment="1">
      <alignment vertical="top" wrapText="1"/>
    </xf>
    <xf numFmtId="0" fontId="25" fillId="0" borderId="0" xfId="0" applyFont="1" applyAlignment="1">
      <alignment horizontal="right"/>
    </xf>
    <xf numFmtId="0" fontId="25" fillId="0" borderId="0" xfId="0" applyFont="1"/>
    <xf numFmtId="0" fontId="25" fillId="0" borderId="0" xfId="0" applyFont="1" applyAlignment="1">
      <alignment wrapText="1"/>
    </xf>
    <xf numFmtId="0" fontId="25" fillId="0" borderId="0" xfId="0" applyFont="1" applyAlignment="1">
      <alignment horizontal="right" vertical="center"/>
    </xf>
    <xf numFmtId="0" fontId="25" fillId="0" borderId="0" xfId="0" applyFont="1" applyAlignment="1">
      <alignment horizontal="center" vertical="center"/>
    </xf>
    <xf numFmtId="0" fontId="25" fillId="0" borderId="1" xfId="0" applyFont="1" applyBorder="1" applyAlignment="1">
      <alignment horizontal="center" vertical="center"/>
    </xf>
    <xf numFmtId="0" fontId="25" fillId="0" borderId="2" xfId="0" applyFont="1" applyBorder="1" applyAlignment="1">
      <alignment vertical="center"/>
    </xf>
    <xf numFmtId="0" fontId="25" fillId="0" borderId="3" xfId="0" applyFont="1" applyBorder="1" applyAlignment="1">
      <alignment horizontal="center" vertical="center" wrapText="1"/>
    </xf>
    <xf numFmtId="0" fontId="25" fillId="0" borderId="1" xfId="0" applyFont="1" applyBorder="1" applyAlignment="1">
      <alignment horizontal="right" vertical="center"/>
    </xf>
    <xf numFmtId="0" fontId="25" fillId="0" borderId="0" xfId="0" applyFont="1" applyAlignment="1">
      <alignment vertical="center"/>
    </xf>
    <xf numFmtId="0" fontId="25" fillId="0" borderId="0" xfId="0" applyFont="1" applyAlignment="1">
      <alignment horizontal="right" vertical="top"/>
    </xf>
    <xf numFmtId="0" fontId="25" fillId="0" borderId="0" xfId="0" applyFont="1" applyAlignment="1">
      <alignment horizontal="right" vertical="top" wrapText="1"/>
    </xf>
    <xf numFmtId="4" fontId="25" fillId="0" borderId="0" xfId="0" applyNumberFormat="1" applyFont="1" applyAlignment="1">
      <alignment horizontal="center" vertical="center"/>
    </xf>
    <xf numFmtId="4" fontId="25" fillId="0" borderId="0" xfId="0" applyNumberFormat="1" applyFont="1"/>
    <xf numFmtId="0" fontId="26" fillId="0" borderId="0" xfId="0" applyFont="1" applyAlignment="1">
      <alignment horizontal="right" vertical="top"/>
    </xf>
    <xf numFmtId="0" fontId="25" fillId="0" borderId="0" xfId="0" applyFont="1" applyAlignment="1">
      <alignment vertical="top"/>
    </xf>
    <xf numFmtId="0" fontId="25" fillId="0" borderId="0" xfId="0" applyFont="1" applyAlignment="1">
      <alignment vertical="top" wrapText="1"/>
    </xf>
    <xf numFmtId="0" fontId="28" fillId="0" borderId="4" xfId="15" applyFont="1" applyBorder="1" applyAlignment="1" applyProtection="1">
      <alignment horizontal="center" vertical="top" wrapText="1"/>
      <protection hidden="1"/>
    </xf>
    <xf numFmtId="0" fontId="25" fillId="0" borderId="0" xfId="15" applyFont="1"/>
    <xf numFmtId="0" fontId="29" fillId="0" borderId="0" xfId="15" applyFont="1" applyAlignment="1">
      <alignment horizontal="left" vertical="center" wrapText="1"/>
    </xf>
    <xf numFmtId="0" fontId="29" fillId="0" borderId="0" xfId="15" applyFont="1" applyAlignment="1">
      <alignment horizontal="left" vertical="top" wrapText="1"/>
    </xf>
    <xf numFmtId="0" fontId="30" fillId="0" borderId="0" xfId="15" applyFont="1" applyAlignment="1">
      <alignment horizontal="right" vertical="center" wrapText="1"/>
    </xf>
    <xf numFmtId="4" fontId="29" fillId="0" borderId="0" xfId="15" applyNumberFormat="1" applyFont="1" applyAlignment="1">
      <alignment horizontal="center" vertical="center" wrapText="1"/>
    </xf>
    <xf numFmtId="0" fontId="29" fillId="0" borderId="0" xfId="15" applyFont="1" applyAlignment="1">
      <alignment horizontal="center" wrapText="1"/>
    </xf>
    <xf numFmtId="0" fontId="31" fillId="0" borderId="0" xfId="0" applyFont="1" applyAlignment="1">
      <alignment vertical="top" wrapText="1"/>
    </xf>
    <xf numFmtId="0" fontId="25" fillId="0" borderId="0" xfId="15" applyFont="1" applyAlignment="1">
      <alignment horizontal="left" vertical="top" wrapText="1"/>
    </xf>
    <xf numFmtId="0" fontId="28" fillId="0" borderId="0" xfId="15" applyFont="1" applyAlignment="1" applyProtection="1">
      <alignment horizontal="left" vertical="top"/>
      <protection hidden="1"/>
    </xf>
    <xf numFmtId="0" fontId="32" fillId="0" borderId="0" xfId="15" applyFont="1" applyAlignment="1">
      <alignment horizontal="center" vertical="top" wrapText="1"/>
    </xf>
    <xf numFmtId="0" fontId="33" fillId="0" borderId="0" xfId="15" applyFont="1" applyAlignment="1">
      <alignment horizontal="right" vertical="center"/>
    </xf>
    <xf numFmtId="4" fontId="32" fillId="0" borderId="0" xfId="15" applyNumberFormat="1" applyFont="1" applyAlignment="1">
      <alignment horizontal="center" vertical="center"/>
    </xf>
    <xf numFmtId="0" fontId="32" fillId="0" borderId="0" xfId="15" applyFont="1" applyAlignment="1">
      <alignment horizontal="center"/>
    </xf>
    <xf numFmtId="0" fontId="25" fillId="0" borderId="0" xfId="0" applyFont="1" applyAlignment="1">
      <alignment horizontal="right" wrapText="1"/>
    </xf>
    <xf numFmtId="4" fontId="25" fillId="0" borderId="0" xfId="0" applyNumberFormat="1" applyFont="1" applyAlignment="1">
      <alignment vertical="center"/>
    </xf>
    <xf numFmtId="0" fontId="27" fillId="3" borderId="0" xfId="0" applyFont="1" applyFill="1" applyAlignment="1">
      <alignment vertical="center" wrapText="1"/>
    </xf>
    <xf numFmtId="0" fontId="26" fillId="3" borderId="0" xfId="0" applyFont="1" applyFill="1" applyAlignment="1">
      <alignment horizontal="right" vertical="center"/>
    </xf>
    <xf numFmtId="4" fontId="26" fillId="3" borderId="0" xfId="0" applyNumberFormat="1" applyFont="1" applyFill="1" applyAlignment="1">
      <alignment vertical="center"/>
    </xf>
    <xf numFmtId="0" fontId="27" fillId="0" borderId="0" xfId="0" applyFont="1" applyAlignment="1">
      <alignment vertical="center" wrapText="1"/>
    </xf>
    <xf numFmtId="0" fontId="26" fillId="0" borderId="0" xfId="0" applyFont="1" applyAlignment="1">
      <alignment horizontal="right" vertical="center"/>
    </xf>
    <xf numFmtId="4" fontId="26" fillId="0" borderId="0" xfId="0" applyNumberFormat="1" applyFont="1" applyAlignment="1">
      <alignment vertical="center"/>
    </xf>
    <xf numFmtId="0" fontId="25" fillId="0" borderId="0" xfId="0" applyFont="1" applyAlignment="1">
      <alignment vertical="center" wrapText="1"/>
    </xf>
    <xf numFmtId="0" fontId="31" fillId="0" borderId="0" xfId="0" applyFont="1" applyAlignment="1">
      <alignment wrapText="1"/>
    </xf>
    <xf numFmtId="2" fontId="25" fillId="0" borderId="0" xfId="0" applyNumberFormat="1" applyFont="1" applyAlignment="1">
      <alignment vertical="center"/>
    </xf>
    <xf numFmtId="168" fontId="25" fillId="0" borderId="0" xfId="0" applyNumberFormat="1" applyFont="1" applyAlignment="1">
      <alignment horizontal="right" vertical="top"/>
    </xf>
    <xf numFmtId="4" fontId="25" fillId="0" borderId="0" xfId="0" applyNumberFormat="1" applyFont="1" applyAlignment="1">
      <alignment horizontal="right" vertical="center"/>
    </xf>
    <xf numFmtId="0" fontId="25" fillId="0" borderId="0" xfId="0" applyFont="1" applyAlignment="1">
      <alignment horizontal="right" vertical="center" wrapText="1"/>
    </xf>
    <xf numFmtId="2" fontId="25" fillId="0" borderId="0" xfId="0" applyNumberFormat="1" applyFont="1" applyAlignment="1">
      <alignment horizontal="right" vertical="center" wrapText="1"/>
    </xf>
    <xf numFmtId="4" fontId="25" fillId="0" borderId="0" xfId="0" applyNumberFormat="1" applyFont="1" applyAlignment="1">
      <alignment horizontal="right"/>
    </xf>
    <xf numFmtId="171" fontId="25" fillId="0" borderId="0" xfId="0" applyNumberFormat="1" applyFont="1" applyAlignment="1">
      <alignment horizontal="right"/>
    </xf>
    <xf numFmtId="2" fontId="25" fillId="0" borderId="0" xfId="0" applyNumberFormat="1" applyFont="1" applyAlignment="1">
      <alignment horizontal="right" wrapText="1"/>
    </xf>
    <xf numFmtId="4" fontId="25" fillId="0" borderId="0" xfId="0" applyNumberFormat="1" applyFont="1" applyAlignment="1">
      <alignment horizontal="right" wrapText="1"/>
    </xf>
    <xf numFmtId="0" fontId="33" fillId="0" borderId="0" xfId="17" applyFont="1" applyProtection="1">
      <protection hidden="1"/>
    </xf>
    <xf numFmtId="0" fontId="30" fillId="0" borderId="0" xfId="15" applyFont="1" applyProtection="1">
      <protection hidden="1"/>
    </xf>
    <xf numFmtId="0" fontId="35" fillId="0" borderId="0" xfId="0" applyFont="1" applyAlignment="1">
      <alignment vertical="top" wrapText="1"/>
    </xf>
    <xf numFmtId="0" fontId="36" fillId="0" borderId="0" xfId="0" applyFont="1" applyAlignment="1">
      <alignment horizontal="right" vertical="top"/>
    </xf>
    <xf numFmtId="0" fontId="36" fillId="0" borderId="0" xfId="0" applyFont="1"/>
    <xf numFmtId="0" fontId="36" fillId="0" borderId="0" xfId="0" applyFont="1" applyAlignment="1">
      <alignment horizontal="right" vertical="center"/>
    </xf>
    <xf numFmtId="2" fontId="36" fillId="0" borderId="0" xfId="0" applyNumberFormat="1" applyFont="1" applyAlignment="1">
      <alignment horizontal="right" vertical="center" wrapText="1"/>
    </xf>
    <xf numFmtId="4" fontId="36" fillId="0" borderId="0" xfId="0" applyNumberFormat="1" applyFont="1" applyAlignment="1">
      <alignment horizontal="right"/>
    </xf>
    <xf numFmtId="0" fontId="36" fillId="0" borderId="0" xfId="0" applyFont="1" applyAlignment="1">
      <alignment horizontal="right"/>
    </xf>
    <xf numFmtId="0" fontId="36" fillId="0" borderId="0" xfId="0" applyFont="1" applyAlignment="1">
      <alignment vertical="top" wrapText="1"/>
    </xf>
    <xf numFmtId="2" fontId="36" fillId="0" borderId="0" xfId="0" applyNumberFormat="1" applyFont="1" applyAlignment="1">
      <alignment horizontal="right" wrapText="1"/>
    </xf>
    <xf numFmtId="0" fontId="39" fillId="3" borderId="6" xfId="0" applyFont="1" applyFill="1" applyBorder="1" applyAlignment="1">
      <alignment horizontal="right" vertical="center" wrapText="1"/>
    </xf>
    <xf numFmtId="0" fontId="40" fillId="3" borderId="6" xfId="0" applyFont="1" applyFill="1" applyBorder="1" applyAlignment="1">
      <alignment horizontal="right" vertical="center"/>
    </xf>
    <xf numFmtId="4" fontId="40" fillId="3" borderId="6" xfId="0" applyNumberFormat="1" applyFont="1" applyFill="1" applyBorder="1" applyAlignment="1">
      <alignment vertical="center"/>
    </xf>
    <xf numFmtId="4" fontId="39" fillId="3" borderId="6" xfId="0" applyNumberFormat="1" applyFont="1" applyFill="1" applyBorder="1" applyAlignment="1">
      <alignment vertical="center"/>
    </xf>
    <xf numFmtId="4" fontId="39" fillId="3" borderId="6" xfId="0" applyNumberFormat="1" applyFont="1" applyFill="1" applyBorder="1" applyAlignment="1">
      <alignment horizontal="right" vertical="center"/>
    </xf>
    <xf numFmtId="2" fontId="25" fillId="0" borderId="0" xfId="0" applyNumberFormat="1" applyFont="1" applyAlignment="1">
      <alignment horizontal="right"/>
    </xf>
    <xf numFmtId="2" fontId="25" fillId="0" borderId="0" xfId="0" applyNumberFormat="1" applyFont="1"/>
    <xf numFmtId="0" fontId="26" fillId="0" borderId="0" xfId="0" applyFont="1" applyAlignment="1">
      <alignment vertical="top" wrapText="1"/>
    </xf>
    <xf numFmtId="0" fontId="26" fillId="0" borderId="0" xfId="0" applyFont="1" applyAlignment="1">
      <alignment horizontal="right"/>
    </xf>
    <xf numFmtId="4" fontId="26" fillId="0" borderId="0" xfId="0" applyNumberFormat="1" applyFont="1" applyAlignment="1">
      <alignment horizontal="right" wrapText="1"/>
    </xf>
    <xf numFmtId="4" fontId="26" fillId="0" borderId="0" xfId="0" applyNumberFormat="1" applyFont="1" applyAlignment="1">
      <alignment horizontal="right"/>
    </xf>
    <xf numFmtId="0" fontId="26" fillId="0" borderId="0" xfId="0" applyFont="1"/>
    <xf numFmtId="171" fontId="25" fillId="0" borderId="0" xfId="0" applyNumberFormat="1" applyFont="1"/>
    <xf numFmtId="0" fontId="25" fillId="0" borderId="0" xfId="0" applyFont="1" applyAlignment="1">
      <alignment horizontal="left" wrapText="1"/>
    </xf>
    <xf numFmtId="1" fontId="25" fillId="0" borderId="0" xfId="0" applyNumberFormat="1" applyFont="1" applyAlignment="1">
      <alignment horizontal="right"/>
    </xf>
    <xf numFmtId="0" fontId="25" fillId="0" borderId="0" xfId="0" applyFont="1" applyAlignment="1">
      <alignment horizontal="left" vertical="top" wrapText="1"/>
    </xf>
    <xf numFmtId="2" fontId="25" fillId="0" borderId="0" xfId="0" applyNumberFormat="1" applyFont="1" applyAlignment="1">
      <alignment wrapText="1"/>
    </xf>
    <xf numFmtId="0" fontId="29" fillId="0" borderId="0" xfId="15" applyFont="1" applyAlignment="1">
      <alignment horizontal="left" wrapText="1"/>
    </xf>
    <xf numFmtId="0" fontId="32" fillId="0" borderId="0" xfId="15" applyFont="1" applyAlignment="1">
      <alignment horizontal="left" vertical="top"/>
    </xf>
    <xf numFmtId="0" fontId="25" fillId="0" borderId="0" xfId="15" applyFont="1" applyAlignment="1">
      <alignment vertical="top" wrapText="1"/>
    </xf>
    <xf numFmtId="0" fontId="33" fillId="0" borderId="0" xfId="15" applyFont="1" applyAlignment="1">
      <alignment horizontal="right" vertical="center" wrapText="1"/>
    </xf>
    <xf numFmtId="4" fontId="33" fillId="0" borderId="0" xfId="17" applyNumberFormat="1" applyFont="1" applyAlignment="1">
      <alignment horizontal="right" vertical="center" wrapText="1"/>
    </xf>
    <xf numFmtId="4" fontId="33" fillId="0" borderId="0" xfId="17" applyNumberFormat="1" applyFont="1" applyAlignment="1">
      <alignment horizontal="right" wrapText="1"/>
    </xf>
    <xf numFmtId="0" fontId="28" fillId="0" borderId="0" xfId="15" applyFont="1" applyAlignment="1">
      <alignment horizontal="right" vertical="center" wrapText="1"/>
    </xf>
    <xf numFmtId="0" fontId="29" fillId="0" borderId="0" xfId="15" applyFont="1"/>
    <xf numFmtId="0" fontId="31" fillId="0" borderId="0" xfId="15" applyFont="1" applyAlignment="1">
      <alignment vertical="top" wrapText="1"/>
    </xf>
    <xf numFmtId="0" fontId="30" fillId="0" borderId="0" xfId="17" applyFont="1" applyProtection="1">
      <protection hidden="1"/>
    </xf>
    <xf numFmtId="0" fontId="28" fillId="0" borderId="0" xfId="17" applyFont="1" applyAlignment="1">
      <alignment vertical="top" wrapText="1"/>
    </xf>
    <xf numFmtId="0" fontId="25" fillId="0" borderId="0" xfId="15" applyFont="1" applyAlignment="1">
      <alignment horizontal="right" vertical="center"/>
    </xf>
    <xf numFmtId="0" fontId="25" fillId="0" borderId="0" xfId="15" applyFont="1" applyAlignment="1">
      <alignment vertical="center"/>
    </xf>
    <xf numFmtId="0" fontId="30" fillId="0" borderId="0" xfId="15" applyFont="1"/>
    <xf numFmtId="0" fontId="32" fillId="0" borderId="0" xfId="17" applyFont="1" applyAlignment="1" applyProtection="1">
      <alignment horizontal="left" vertical="top"/>
      <protection hidden="1"/>
    </xf>
    <xf numFmtId="0" fontId="33" fillId="0" borderId="0" xfId="21" applyFont="1" applyAlignment="1">
      <alignment horizontal="right" vertical="center" wrapText="1"/>
    </xf>
    <xf numFmtId="0" fontId="28" fillId="0" borderId="0" xfId="15" applyFont="1" applyAlignment="1">
      <alignment horizontal="right" vertical="center"/>
    </xf>
    <xf numFmtId="0" fontId="28" fillId="0" borderId="0" xfId="15" applyFont="1" applyAlignment="1">
      <alignment vertical="center"/>
    </xf>
    <xf numFmtId="0" fontId="28" fillId="0" borderId="0" xfId="15" applyFont="1"/>
    <xf numFmtId="0" fontId="32" fillId="0" borderId="0" xfId="14" applyFont="1" applyAlignment="1">
      <alignment horizontal="left" vertical="top" wrapText="1"/>
    </xf>
    <xf numFmtId="0" fontId="33" fillId="0" borderId="0" xfId="17" applyFont="1" applyAlignment="1" applyProtection="1">
      <alignment vertical="center"/>
      <protection hidden="1"/>
    </xf>
    <xf numFmtId="49" fontId="32" fillId="0" borderId="0" xfId="17" applyNumberFormat="1" applyFont="1" applyAlignment="1" applyProtection="1">
      <alignment horizontal="left" vertical="top"/>
      <protection hidden="1"/>
    </xf>
    <xf numFmtId="0" fontId="29" fillId="0" borderId="0" xfId="17" applyFont="1" applyAlignment="1" applyProtection="1">
      <alignment horizontal="left" vertical="top" wrapText="1"/>
      <protection hidden="1"/>
    </xf>
    <xf numFmtId="4" fontId="33" fillId="0" borderId="0" xfId="17" applyNumberFormat="1" applyFont="1" applyAlignment="1">
      <alignment horizontal="right" vertical="center"/>
    </xf>
    <xf numFmtId="4" fontId="33" fillId="0" borderId="0" xfId="17" applyNumberFormat="1" applyFont="1" applyAlignment="1">
      <alignment horizontal="right"/>
    </xf>
    <xf numFmtId="4" fontId="28" fillId="0" borderId="0" xfId="17" applyNumberFormat="1" applyFont="1" applyAlignment="1">
      <alignment horizontal="right" vertical="center" wrapText="1"/>
    </xf>
    <xf numFmtId="4" fontId="28" fillId="0" borderId="0" xfId="17" applyNumberFormat="1" applyFont="1" applyAlignment="1">
      <alignment horizontal="right"/>
    </xf>
    <xf numFmtId="4" fontId="28" fillId="0" borderId="0" xfId="17" applyNumberFormat="1" applyFont="1" applyAlignment="1">
      <alignment horizontal="right" wrapText="1"/>
    </xf>
    <xf numFmtId="0" fontId="30" fillId="0" borderId="0" xfId="15" applyFont="1" applyAlignment="1">
      <alignment vertical="top" wrapText="1"/>
    </xf>
    <xf numFmtId="0" fontId="28" fillId="0" borderId="0" xfId="15" applyFont="1" applyAlignment="1">
      <alignment horizontal="right" wrapText="1"/>
    </xf>
    <xf numFmtId="0" fontId="30" fillId="0" borderId="0" xfId="15" applyFont="1" applyAlignment="1">
      <alignment horizontal="right" wrapText="1"/>
    </xf>
    <xf numFmtId="49" fontId="29" fillId="0" borderId="0" xfId="15" applyNumberFormat="1" applyFont="1" applyAlignment="1">
      <alignment horizontal="left" vertical="top" wrapText="1"/>
    </xf>
    <xf numFmtId="0" fontId="25" fillId="0" borderId="0" xfId="15" applyFont="1" applyAlignment="1">
      <alignment wrapText="1"/>
    </xf>
    <xf numFmtId="0" fontId="33" fillId="0" borderId="0" xfId="15" applyFont="1" applyAlignment="1">
      <alignment wrapText="1"/>
    </xf>
    <xf numFmtId="4" fontId="25" fillId="0" borderId="0" xfId="17" applyNumberFormat="1" applyFont="1" applyAlignment="1">
      <alignment horizontal="right" wrapText="1"/>
    </xf>
    <xf numFmtId="2" fontId="25" fillId="0" borderId="0" xfId="0" applyNumberFormat="1" applyFont="1" applyAlignment="1">
      <alignment horizontal="center" vertical="center"/>
    </xf>
    <xf numFmtId="4" fontId="25" fillId="0" borderId="0" xfId="0" applyNumberFormat="1" applyFont="1" applyAlignment="1">
      <alignment horizontal="center"/>
    </xf>
    <xf numFmtId="4" fontId="26" fillId="0" borderId="0" xfId="0" applyNumberFormat="1" applyFont="1"/>
    <xf numFmtId="0" fontId="25" fillId="0" borderId="0" xfId="0" applyFont="1" applyAlignment="1">
      <alignment horizontal="center" wrapText="1"/>
    </xf>
    <xf numFmtId="2" fontId="25" fillId="0" borderId="0" xfId="0" applyNumberFormat="1" applyFont="1" applyAlignment="1">
      <alignment horizontal="center"/>
    </xf>
    <xf numFmtId="0" fontId="33" fillId="0" borderId="0" xfId="15" applyFont="1" applyAlignment="1">
      <alignment horizontal="right" wrapText="1"/>
    </xf>
    <xf numFmtId="4" fontId="30" fillId="0" borderId="0" xfId="17" applyNumberFormat="1" applyFont="1" applyAlignment="1">
      <alignment horizontal="right" wrapText="1"/>
    </xf>
    <xf numFmtId="49" fontId="29" fillId="0" borderId="0" xfId="15" applyNumberFormat="1" applyFont="1" applyAlignment="1">
      <alignment vertical="top"/>
    </xf>
    <xf numFmtId="0" fontId="30" fillId="0" borderId="0" xfId="0" applyFont="1" applyAlignment="1">
      <alignment vertical="top" wrapText="1"/>
    </xf>
    <xf numFmtId="0" fontId="33" fillId="0" borderId="0" xfId="17" applyFont="1" applyAlignment="1" applyProtection="1">
      <alignment vertical="top"/>
      <protection hidden="1"/>
    </xf>
    <xf numFmtId="49" fontId="32" fillId="0" borderId="0" xfId="15" applyNumberFormat="1" applyFont="1" applyAlignment="1">
      <alignment vertical="top"/>
    </xf>
    <xf numFmtId="4" fontId="30" fillId="0" borderId="0" xfId="17" applyNumberFormat="1" applyFont="1" applyAlignment="1">
      <alignment wrapText="1"/>
    </xf>
    <xf numFmtId="0" fontId="51" fillId="0" borderId="0" xfId="0" applyFont="1" applyAlignment="1">
      <alignment vertical="top" wrapText="1"/>
    </xf>
    <xf numFmtId="49" fontId="25" fillId="0" borderId="0" xfId="0" applyNumberFormat="1" applyFont="1" applyAlignment="1">
      <alignment vertical="center" wrapText="1"/>
    </xf>
    <xf numFmtId="0" fontId="53" fillId="0" borderId="0" xfId="0" applyFont="1" applyAlignment="1">
      <alignment vertical="center" wrapText="1"/>
    </xf>
    <xf numFmtId="0" fontId="32" fillId="0" borderId="0" xfId="15" applyFont="1" applyAlignment="1">
      <alignment vertical="top"/>
    </xf>
    <xf numFmtId="4" fontId="33" fillId="0" borderId="0" xfId="17" applyNumberFormat="1" applyFont="1" applyAlignment="1">
      <alignment wrapText="1"/>
    </xf>
    <xf numFmtId="4" fontId="33" fillId="0" borderId="0" xfId="17" applyNumberFormat="1" applyFont="1" applyAlignment="1">
      <alignment horizontal="right" vertical="top" wrapText="1"/>
    </xf>
    <xf numFmtId="0" fontId="28" fillId="0" borderId="0" xfId="17" applyFont="1" applyProtection="1">
      <protection hidden="1"/>
    </xf>
    <xf numFmtId="0" fontId="32" fillId="0" borderId="0" xfId="15" applyFont="1" applyAlignment="1">
      <alignment horizontal="left" wrapText="1"/>
    </xf>
    <xf numFmtId="2" fontId="33" fillId="0" borderId="0" xfId="17" applyNumberFormat="1" applyFont="1" applyAlignment="1">
      <alignment horizontal="right" wrapText="1"/>
    </xf>
    <xf numFmtId="49" fontId="29" fillId="0" borderId="0" xfId="15" applyNumberFormat="1" applyFont="1" applyAlignment="1">
      <alignment vertical="top" wrapText="1"/>
    </xf>
    <xf numFmtId="2" fontId="25" fillId="0" borderId="0" xfId="0" applyNumberFormat="1" applyFont="1" applyAlignment="1">
      <alignment horizontal="center" vertical="center" wrapText="1"/>
    </xf>
    <xf numFmtId="4" fontId="31" fillId="0" borderId="0" xfId="0" applyNumberFormat="1" applyFont="1"/>
    <xf numFmtId="4" fontId="31" fillId="0" borderId="0" xfId="0" applyNumberFormat="1" applyFont="1" applyAlignment="1">
      <alignment horizontal="right"/>
    </xf>
    <xf numFmtId="0" fontId="25" fillId="0" borderId="0" xfId="15" applyFont="1" applyProtection="1">
      <protection locked="0"/>
    </xf>
    <xf numFmtId="4" fontId="26" fillId="0" borderId="0" xfId="0" applyNumberFormat="1" applyFont="1" applyAlignment="1">
      <alignment horizontal="center" vertical="center"/>
    </xf>
    <xf numFmtId="171" fontId="30" fillId="0" borderId="0" xfId="15" applyNumberFormat="1" applyFont="1"/>
    <xf numFmtId="0" fontId="29" fillId="0" borderId="0" xfId="15" applyFont="1" applyAlignment="1">
      <alignment vertical="top"/>
    </xf>
    <xf numFmtId="0" fontId="32" fillId="0" borderId="0" xfId="15" applyFont="1" applyAlignment="1">
      <alignment wrapText="1"/>
    </xf>
    <xf numFmtId="4" fontId="28" fillId="0" borderId="0" xfId="17" applyNumberFormat="1" applyFont="1" applyAlignment="1">
      <alignment horizontal="center" wrapText="1"/>
    </xf>
    <xf numFmtId="4" fontId="30" fillId="0" borderId="0" xfId="17" applyNumberFormat="1" applyFont="1" applyAlignment="1">
      <alignment vertical="top" wrapText="1"/>
    </xf>
    <xf numFmtId="0" fontId="29" fillId="0" borderId="0" xfId="15" applyFont="1" applyAlignment="1">
      <alignment horizontal="right" wrapText="1"/>
    </xf>
    <xf numFmtId="0" fontId="30" fillId="0" borderId="0" xfId="17" applyFont="1" applyAlignment="1" applyProtection="1">
      <alignment vertical="top"/>
      <protection hidden="1"/>
    </xf>
    <xf numFmtId="0" fontId="55" fillId="3" borderId="6" xfId="0" applyFont="1" applyFill="1" applyBorder="1" applyAlignment="1">
      <alignment horizontal="right" vertical="center" wrapText="1"/>
    </xf>
    <xf numFmtId="0" fontId="56" fillId="3" borderId="6" xfId="0" applyFont="1" applyFill="1" applyBorder="1" applyAlignment="1">
      <alignment horizontal="right" vertical="center"/>
    </xf>
    <xf numFmtId="2" fontId="56" fillId="3" borderId="6" xfId="0" applyNumberFormat="1" applyFont="1" applyFill="1" applyBorder="1" applyAlignment="1">
      <alignment horizontal="center" vertical="center"/>
    </xf>
    <xf numFmtId="4" fontId="55" fillId="3" borderId="6" xfId="0" applyNumberFormat="1" applyFont="1" applyFill="1" applyBorder="1" applyAlignment="1">
      <alignment horizontal="right" vertical="center"/>
    </xf>
    <xf numFmtId="2" fontId="26" fillId="0" borderId="0" xfId="0" applyNumberFormat="1" applyFont="1" applyAlignment="1">
      <alignment horizontal="center" vertical="center"/>
    </xf>
    <xf numFmtId="4" fontId="33" fillId="0" borderId="0" xfId="15" applyNumberFormat="1" applyFont="1" applyAlignment="1">
      <alignment horizontal="right" vertical="center"/>
    </xf>
    <xf numFmtId="0" fontId="25" fillId="0" borderId="0" xfId="0" applyFont="1" applyAlignment="1">
      <alignment horizontal="center"/>
    </xf>
    <xf numFmtId="0" fontId="26" fillId="0" borderId="0" xfId="0" applyFont="1" applyAlignment="1">
      <alignment horizontal="center"/>
    </xf>
    <xf numFmtId="2" fontId="26" fillId="0" borderId="0" xfId="0" applyNumberFormat="1" applyFont="1" applyAlignment="1">
      <alignment horizontal="center"/>
    </xf>
    <xf numFmtId="0" fontId="32" fillId="0" borderId="0" xfId="15" applyFont="1" applyAlignment="1">
      <alignment horizontal="right" wrapText="1"/>
    </xf>
    <xf numFmtId="0" fontId="25" fillId="0" borderId="0" xfId="15" applyFont="1" applyAlignment="1">
      <alignment horizontal="right" vertical="top"/>
    </xf>
    <xf numFmtId="4" fontId="33" fillId="0" borderId="0" xfId="15" applyNumberFormat="1" applyFont="1" applyAlignment="1">
      <alignment horizontal="right" wrapText="1"/>
    </xf>
    <xf numFmtId="0" fontId="25" fillId="0" borderId="0" xfId="15" applyFont="1" applyAlignment="1">
      <alignment horizontal="right"/>
    </xf>
    <xf numFmtId="4" fontId="25" fillId="0" borderId="0" xfId="15" applyNumberFormat="1" applyFont="1" applyProtection="1">
      <protection locked="0"/>
    </xf>
    <xf numFmtId="0" fontId="61" fillId="0" borderId="0" xfId="0" applyFont="1" applyAlignment="1">
      <alignment horizontal="right" vertical="top"/>
    </xf>
    <xf numFmtId="0" fontId="62" fillId="0" borderId="0" xfId="15" applyFont="1" applyAlignment="1">
      <alignment horizontal="left" vertical="top" wrapText="1"/>
    </xf>
    <xf numFmtId="0" fontId="61" fillId="0" borderId="0" xfId="15" applyFont="1" applyProtection="1">
      <protection locked="0"/>
    </xf>
    <xf numFmtId="0" fontId="61" fillId="0" borderId="0" xfId="15" applyFont="1" applyAlignment="1">
      <alignment horizontal="right" vertical="top"/>
    </xf>
    <xf numFmtId="0" fontId="29" fillId="0" borderId="0" xfId="17" applyFont="1" applyAlignment="1" applyProtection="1">
      <alignment horizontal="left" vertical="top"/>
      <protection hidden="1"/>
    </xf>
    <xf numFmtId="0" fontId="30" fillId="0" borderId="0" xfId="15" applyFont="1" applyAlignment="1">
      <alignment horizontal="left" vertical="top"/>
    </xf>
    <xf numFmtId="4" fontId="33" fillId="0" borderId="0" xfId="17" applyNumberFormat="1" applyFont="1" applyAlignment="1">
      <alignment vertical="top" wrapText="1"/>
    </xf>
    <xf numFmtId="0" fontId="33" fillId="0" borderId="0" xfId="15" applyFont="1" applyAlignment="1">
      <alignment horizontal="left" vertical="top"/>
    </xf>
    <xf numFmtId="4" fontId="30" fillId="0" borderId="0" xfId="17" applyNumberFormat="1" applyFont="1" applyAlignment="1">
      <alignment horizontal="right" vertical="top" wrapText="1"/>
    </xf>
    <xf numFmtId="0" fontId="32" fillId="0" borderId="0" xfId="15" applyFont="1" applyAlignment="1">
      <alignment horizontal="left" vertical="top" wrapText="1"/>
    </xf>
    <xf numFmtId="0" fontId="29" fillId="0" borderId="0" xfId="14" applyFont="1" applyAlignment="1">
      <alignment horizontal="justify" vertical="top" wrapText="1"/>
    </xf>
    <xf numFmtId="0" fontId="30" fillId="0" borderId="0" xfId="14" applyFont="1" applyAlignment="1">
      <alignment vertical="top" wrapText="1"/>
    </xf>
    <xf numFmtId="49" fontId="32" fillId="0" borderId="0" xfId="17" applyNumberFormat="1" applyFont="1" applyAlignment="1" applyProtection="1">
      <alignment horizontal="left" vertical="center"/>
      <protection hidden="1"/>
    </xf>
    <xf numFmtId="0" fontId="29" fillId="0" borderId="0" xfId="14" applyFont="1" applyAlignment="1">
      <alignment vertical="center" wrapText="1"/>
    </xf>
    <xf numFmtId="0" fontId="33" fillId="0" borderId="0" xfId="15" applyFont="1" applyAlignment="1">
      <alignment horizontal="justify" vertical="center" wrapText="1"/>
    </xf>
    <xf numFmtId="4" fontId="33" fillId="0" borderId="0" xfId="17" applyNumberFormat="1" applyFont="1" applyAlignment="1" applyProtection="1">
      <alignment horizontal="center" vertical="center"/>
      <protection hidden="1"/>
    </xf>
    <xf numFmtId="0" fontId="31" fillId="0" borderId="0" xfId="0" applyFont="1" applyAlignment="1">
      <alignment vertical="center" wrapText="1"/>
    </xf>
    <xf numFmtId="0" fontId="63" fillId="0" borderId="0" xfId="0" applyFont="1" applyAlignment="1">
      <alignment horizontal="left" vertical="top" wrapText="1"/>
    </xf>
    <xf numFmtId="4" fontId="25" fillId="0" borderId="0" xfId="15" applyNumberFormat="1" applyFont="1" applyAlignment="1" applyProtection="1">
      <alignment horizontal="right" vertical="center"/>
      <protection locked="0"/>
    </xf>
    <xf numFmtId="4" fontId="25" fillId="0" borderId="0" xfId="15" applyNumberFormat="1" applyFont="1" applyAlignment="1">
      <alignment horizontal="right" vertical="center"/>
    </xf>
    <xf numFmtId="49" fontId="25" fillId="0" borderId="0" xfId="15" applyNumberFormat="1" applyFont="1" applyAlignment="1">
      <alignment horizontal="justify" vertical="top"/>
    </xf>
    <xf numFmtId="49" fontId="32" fillId="0" borderId="0" xfId="15" applyNumberFormat="1" applyFont="1" applyAlignment="1">
      <alignment horizontal="left" vertical="top"/>
    </xf>
    <xf numFmtId="0" fontId="33" fillId="0" borderId="0" xfId="15" applyFont="1" applyAlignment="1">
      <alignment horizontal="left"/>
    </xf>
    <xf numFmtId="49" fontId="29" fillId="0" borderId="0" xfId="15" applyNumberFormat="1" applyFont="1" applyAlignment="1">
      <alignment horizontal="left" vertical="top"/>
    </xf>
    <xf numFmtId="0" fontId="30" fillId="0" borderId="0" xfId="15" applyFont="1" applyAlignment="1">
      <alignment horizontal="left" vertical="top" wrapText="1"/>
    </xf>
    <xf numFmtId="0" fontId="26" fillId="3" borderId="0" xfId="0" applyFont="1" applyFill="1" applyAlignment="1">
      <alignment horizontal="center"/>
    </xf>
    <xf numFmtId="2" fontId="26" fillId="3" borderId="0" xfId="0" applyNumberFormat="1" applyFont="1" applyFill="1" applyAlignment="1">
      <alignment horizontal="center"/>
    </xf>
    <xf numFmtId="4" fontId="26" fillId="3" borderId="0" xfId="0" applyNumberFormat="1" applyFont="1" applyFill="1" applyAlignment="1">
      <alignment horizontal="right"/>
    </xf>
    <xf numFmtId="0" fontId="26" fillId="3" borderId="0" xfId="0" applyFont="1" applyFill="1" applyAlignment="1">
      <alignment horizontal="right"/>
    </xf>
    <xf numFmtId="2" fontId="25" fillId="0" borderId="0" xfId="0" applyNumberFormat="1" applyFont="1" applyAlignment="1">
      <alignment horizontal="center" wrapText="1"/>
    </xf>
    <xf numFmtId="4" fontId="25" fillId="0" borderId="0" xfId="0" applyNumberFormat="1" applyFont="1" applyAlignment="1">
      <alignment horizontal="left" vertical="top" wrapText="1"/>
    </xf>
    <xf numFmtId="0" fontId="37" fillId="0" borderId="0" xfId="0" applyFont="1" applyAlignment="1">
      <alignment horizontal="left" vertical="top" wrapText="1"/>
    </xf>
    <xf numFmtId="49" fontId="32" fillId="0" borderId="0" xfId="21" applyNumberFormat="1" applyFont="1" applyAlignment="1">
      <alignment vertical="top"/>
    </xf>
    <xf numFmtId="0" fontId="25" fillId="0" borderId="0" xfId="15" applyFont="1" applyAlignment="1">
      <alignment horizontal="center"/>
    </xf>
    <xf numFmtId="4" fontId="31" fillId="0" borderId="0" xfId="15" applyNumberFormat="1" applyFont="1" applyAlignment="1">
      <alignment horizontal="center"/>
    </xf>
    <xf numFmtId="3" fontId="31" fillId="0" borderId="0" xfId="15" applyNumberFormat="1" applyFont="1" applyAlignment="1">
      <alignment horizontal="center"/>
    </xf>
    <xf numFmtId="0" fontId="30" fillId="0" borderId="0" xfId="15" applyFont="1" applyAlignment="1">
      <alignment horizontal="center" vertical="center" wrapText="1"/>
    </xf>
    <xf numFmtId="0" fontId="29" fillId="0" borderId="0" xfId="15" applyFont="1" applyAlignment="1">
      <alignment horizontal="center" vertical="top" wrapText="1"/>
    </xf>
    <xf numFmtId="0" fontId="29" fillId="0" borderId="0" xfId="15" applyFont="1" applyAlignment="1">
      <alignment horizontal="right" vertical="top" wrapText="1"/>
    </xf>
    <xf numFmtId="0" fontId="40" fillId="3" borderId="6" xfId="0" applyFont="1" applyFill="1" applyBorder="1" applyAlignment="1">
      <alignment vertical="center"/>
    </xf>
    <xf numFmtId="4" fontId="40" fillId="3" borderId="6" xfId="0" applyNumberFormat="1" applyFont="1" applyFill="1" applyBorder="1" applyAlignment="1">
      <alignment horizontal="center" vertical="center"/>
    </xf>
    <xf numFmtId="0" fontId="39" fillId="0" borderId="0" xfId="0" applyFont="1" applyAlignment="1">
      <alignment horizontal="right" vertical="center" wrapText="1"/>
    </xf>
    <xf numFmtId="0" fontId="40" fillId="0" borderId="0" xfId="0" applyFont="1" applyAlignment="1">
      <alignment vertical="center"/>
    </xf>
    <xf numFmtId="4" fontId="40" fillId="0" borderId="0" xfId="0" applyNumberFormat="1" applyFont="1" applyAlignment="1">
      <alignment horizontal="center" vertical="center"/>
    </xf>
    <xf numFmtId="4" fontId="39" fillId="0" borderId="0" xfId="0" applyNumberFormat="1" applyFont="1" applyAlignment="1">
      <alignment vertical="center"/>
    </xf>
    <xf numFmtId="4" fontId="39" fillId="0" borderId="0" xfId="0" applyNumberFormat="1" applyFont="1" applyAlignment="1">
      <alignment horizontal="right" vertical="center"/>
    </xf>
    <xf numFmtId="0" fontId="25" fillId="3" borderId="0" xfId="0" applyFont="1" applyFill="1"/>
    <xf numFmtId="49" fontId="28" fillId="0" borderId="0" xfId="0" applyNumberFormat="1" applyFont="1" applyAlignment="1">
      <alignment horizontal="right" vertical="top"/>
    </xf>
    <xf numFmtId="0" fontId="28" fillId="0" borderId="0" xfId="0" applyFont="1" applyAlignment="1">
      <alignment horizontal="justify" vertical="top" wrapText="1"/>
    </xf>
    <xf numFmtId="172" fontId="25" fillId="0" borderId="0" xfId="0" applyNumberFormat="1" applyFont="1"/>
    <xf numFmtId="173" fontId="25" fillId="0" borderId="0" xfId="0" applyNumberFormat="1" applyFont="1"/>
    <xf numFmtId="49" fontId="25" fillId="0" borderId="0" xfId="0" applyNumberFormat="1" applyFont="1" applyAlignment="1">
      <alignment horizontal="right"/>
    </xf>
    <xf numFmtId="0" fontId="72" fillId="0" borderId="0" xfId="0" applyFont="1" applyAlignment="1">
      <alignment wrapText="1"/>
    </xf>
    <xf numFmtId="0" fontId="28" fillId="0" borderId="0" xfId="0" applyFont="1"/>
    <xf numFmtId="172" fontId="28" fillId="0" borderId="0" xfId="0" applyNumberFormat="1" applyFont="1"/>
    <xf numFmtId="173" fontId="28" fillId="0" borderId="0" xfId="0" applyNumberFormat="1" applyFont="1"/>
    <xf numFmtId="49" fontId="25" fillId="0" borderId="0" xfId="0" applyNumberFormat="1" applyFont="1" applyAlignment="1">
      <alignment horizontal="right" vertical="center"/>
    </xf>
    <xf numFmtId="0" fontId="25" fillId="0" borderId="0" xfId="0" applyFont="1" applyAlignment="1">
      <alignment horizontal="justify" vertical="center" wrapText="1"/>
    </xf>
    <xf numFmtId="0" fontId="28" fillId="0" borderId="0" xfId="0" applyFont="1" applyAlignment="1">
      <alignment vertical="center"/>
    </xf>
    <xf numFmtId="172" fontId="28" fillId="0" borderId="0" xfId="0" applyNumberFormat="1" applyFont="1" applyAlignment="1">
      <alignment vertical="center"/>
    </xf>
    <xf numFmtId="173" fontId="28" fillId="0" borderId="0" xfId="0" applyNumberFormat="1" applyFont="1" applyAlignment="1">
      <alignment vertical="center"/>
    </xf>
    <xf numFmtId="0" fontId="28" fillId="0" borderId="0" xfId="0" applyFont="1" applyAlignment="1">
      <alignment horizontal="right" vertical="center"/>
    </xf>
    <xf numFmtId="172" fontId="25" fillId="0" borderId="0" xfId="0" applyNumberFormat="1" applyFont="1" applyAlignment="1">
      <alignment vertical="center"/>
    </xf>
    <xf numFmtId="173" fontId="25" fillId="0" borderId="0" xfId="0" applyNumberFormat="1" applyFont="1" applyAlignment="1">
      <alignment vertical="center"/>
    </xf>
    <xf numFmtId="0" fontId="28" fillId="0" borderId="0" xfId="0" applyFont="1" applyAlignment="1">
      <alignment horizontal="center" vertical="center"/>
    </xf>
    <xf numFmtId="0" fontId="25" fillId="0" borderId="0" xfId="0" applyFont="1" applyAlignment="1">
      <alignment horizontal="justify" vertical="top" wrapText="1"/>
    </xf>
    <xf numFmtId="0" fontId="28" fillId="0" borderId="0" xfId="0" applyFont="1" applyAlignment="1">
      <alignment horizontal="justify" vertical="center"/>
    </xf>
    <xf numFmtId="49" fontId="25" fillId="0" borderId="0" xfId="0" applyNumberFormat="1" applyFont="1" applyAlignment="1">
      <alignment horizontal="right" vertical="top"/>
    </xf>
    <xf numFmtId="0" fontId="73" fillId="0" borderId="0" xfId="0" applyFont="1" applyAlignment="1">
      <alignment wrapText="1"/>
    </xf>
    <xf numFmtId="0" fontId="28" fillId="0" borderId="0" xfId="0" applyFont="1" applyAlignment="1">
      <alignment wrapText="1"/>
    </xf>
    <xf numFmtId="0" fontId="25" fillId="0" borderId="0" xfId="15" applyFont="1" applyAlignment="1">
      <alignment horizontal="center" vertical="center" wrapText="1"/>
    </xf>
    <xf numFmtId="0" fontId="25" fillId="0" borderId="0" xfId="15" applyFont="1" applyProtection="1">
      <protection hidden="1"/>
    </xf>
    <xf numFmtId="49" fontId="25" fillId="0" borderId="0" xfId="0" applyNumberFormat="1" applyFont="1" applyAlignment="1">
      <alignment horizontal="justify" vertical="center" wrapText="1"/>
    </xf>
    <xf numFmtId="0" fontId="28" fillId="0" borderId="0" xfId="0" applyFont="1" applyAlignment="1">
      <alignment horizontal="justify" vertical="center" wrapText="1"/>
    </xf>
    <xf numFmtId="2" fontId="28" fillId="0" borderId="0" xfId="0" applyNumberFormat="1" applyFont="1" applyAlignment="1">
      <alignment horizontal="center" vertical="center"/>
    </xf>
    <xf numFmtId="0" fontId="28" fillId="0" borderId="0" xfId="13" applyFont="1" applyAlignment="1">
      <alignment horizontal="justify" vertical="center" wrapText="1"/>
    </xf>
    <xf numFmtId="0" fontId="25" fillId="0" borderId="0" xfId="0" applyFont="1" applyAlignment="1">
      <alignment horizontal="left" vertical="top"/>
    </xf>
    <xf numFmtId="0" fontId="31" fillId="0" borderId="0" xfId="15" applyFont="1" applyAlignment="1">
      <alignment horizontal="center" vertical="center" wrapText="1"/>
    </xf>
    <xf numFmtId="0" fontId="25" fillId="0" borderId="0" xfId="15" applyFont="1" applyAlignment="1">
      <alignment horizontal="justify" vertical="top" wrapText="1"/>
    </xf>
    <xf numFmtId="4" fontId="25" fillId="0" borderId="0" xfId="15" applyNumberFormat="1" applyFont="1" applyAlignment="1">
      <alignment horizontal="right" vertical="center" wrapText="1"/>
    </xf>
    <xf numFmtId="49" fontId="31" fillId="0" borderId="0" xfId="15" applyNumberFormat="1" applyFont="1" applyAlignment="1">
      <alignment horizontal="center" vertical="top" wrapText="1"/>
    </xf>
    <xf numFmtId="0" fontId="25" fillId="0" borderId="0" xfId="15" applyFont="1" applyAlignment="1">
      <alignment horizontal="right" wrapText="1"/>
    </xf>
    <xf numFmtId="4" fontId="25" fillId="0" borderId="0" xfId="15" applyNumberFormat="1" applyFont="1" applyAlignment="1">
      <alignment horizontal="center" wrapText="1"/>
    </xf>
    <xf numFmtId="0" fontId="31" fillId="0" borderId="0" xfId="15" applyFont="1" applyAlignment="1">
      <alignment horizontal="center" vertical="top" wrapText="1"/>
    </xf>
    <xf numFmtId="3" fontId="25" fillId="0" borderId="0" xfId="15" applyNumberFormat="1" applyFont="1" applyAlignment="1">
      <alignment horizontal="justify" vertical="top" wrapText="1"/>
    </xf>
    <xf numFmtId="4" fontId="28" fillId="0" borderId="0" xfId="15" applyNumberFormat="1" applyFont="1"/>
    <xf numFmtId="0" fontId="31" fillId="0" borderId="0" xfId="15" applyFont="1" applyAlignment="1">
      <alignment horizontal="left" vertical="top" wrapText="1"/>
    </xf>
    <xf numFmtId="4" fontId="28" fillId="0" borderId="0" xfId="15" applyNumberFormat="1" applyFont="1" applyAlignment="1">
      <alignment horizontal="right" vertical="center"/>
    </xf>
    <xf numFmtId="4" fontId="25" fillId="0" borderId="0" xfId="15" applyNumberFormat="1" applyFont="1" applyAlignment="1">
      <alignment horizontal="right" wrapText="1"/>
    </xf>
    <xf numFmtId="0" fontId="28" fillId="0" borderId="0" xfId="17" applyFont="1" applyAlignment="1">
      <alignment horizontal="left" vertical="top" wrapText="1"/>
    </xf>
    <xf numFmtId="0" fontId="73" fillId="0" borderId="0" xfId="15" applyFont="1" applyAlignment="1">
      <alignment horizontal="left" wrapText="1"/>
    </xf>
    <xf numFmtId="0" fontId="28" fillId="0" borderId="0" xfId="15" applyFont="1" applyAlignment="1">
      <alignment horizontal="left" vertical="top" wrapText="1"/>
    </xf>
    <xf numFmtId="0" fontId="28" fillId="0" borderId="0" xfId="15" applyFont="1" applyAlignment="1">
      <alignment vertical="top"/>
    </xf>
    <xf numFmtId="0" fontId="28" fillId="0" borderId="0" xfId="15" applyFont="1" applyAlignment="1">
      <alignment vertical="top" wrapText="1"/>
    </xf>
    <xf numFmtId="49" fontId="73" fillId="0" borderId="0" xfId="15" applyNumberFormat="1" applyFont="1" applyAlignment="1">
      <alignment vertical="top"/>
    </xf>
    <xf numFmtId="0" fontId="73" fillId="0" borderId="0" xfId="15" applyFont="1" applyAlignment="1">
      <alignment horizontal="left" vertical="top" wrapText="1"/>
    </xf>
    <xf numFmtId="0" fontId="73" fillId="0" borderId="0" xfId="15" applyFont="1" applyAlignment="1">
      <alignment horizontal="left" vertical="top"/>
    </xf>
    <xf numFmtId="4" fontId="31" fillId="0" borderId="0" xfId="15" applyNumberFormat="1" applyFont="1" applyAlignment="1">
      <alignment horizontal="center" wrapText="1"/>
    </xf>
    <xf numFmtId="4" fontId="28" fillId="0" borderId="0" xfId="17" applyNumberFormat="1" applyFont="1" applyAlignment="1">
      <alignment horizontal="right" vertical="top" wrapText="1"/>
    </xf>
    <xf numFmtId="0" fontId="73" fillId="0" borderId="0" xfId="17" applyFont="1" applyAlignment="1" applyProtection="1">
      <alignment horizontal="left" vertical="top"/>
      <protection hidden="1"/>
    </xf>
    <xf numFmtId="0" fontId="31" fillId="0" borderId="0" xfId="15" applyFont="1" applyAlignment="1">
      <alignment horizontal="left" vertical="center" wrapText="1"/>
    </xf>
    <xf numFmtId="3" fontId="25" fillId="0" borderId="0" xfId="15" applyNumberFormat="1" applyFont="1" applyAlignment="1">
      <alignment horizontal="left" vertical="top" wrapText="1"/>
    </xf>
    <xf numFmtId="0" fontId="73" fillId="0" borderId="0" xfId="15" applyFont="1" applyAlignment="1">
      <alignment vertical="top"/>
    </xf>
    <xf numFmtId="3" fontId="25" fillId="0" borderId="0" xfId="15" applyNumberFormat="1" applyFont="1" applyAlignment="1">
      <alignment horizontal="center"/>
    </xf>
    <xf numFmtId="0" fontId="28" fillId="0" borderId="0" xfId="17" applyFont="1" applyAlignment="1" applyProtection="1">
      <alignment horizontal="left" vertical="top" wrapText="1"/>
      <protection hidden="1"/>
    </xf>
    <xf numFmtId="4" fontId="25" fillId="0" borderId="0" xfId="15" applyNumberFormat="1" applyFont="1" applyAlignment="1">
      <alignment vertical="top"/>
    </xf>
    <xf numFmtId="0" fontId="25" fillId="0" borderId="0" xfId="15" applyFont="1" applyAlignment="1">
      <alignment vertical="top"/>
    </xf>
    <xf numFmtId="49" fontId="31" fillId="0" borderId="0" xfId="15" applyNumberFormat="1" applyFont="1" applyAlignment="1">
      <alignment horizontal="left" vertical="top"/>
    </xf>
    <xf numFmtId="4" fontId="25" fillId="0" borderId="0" xfId="15" applyNumberFormat="1" applyFont="1" applyAlignment="1">
      <alignment horizontal="right" vertical="top" wrapText="1"/>
    </xf>
    <xf numFmtId="0" fontId="25" fillId="0" borderId="0" xfId="15" applyFont="1" applyAlignment="1">
      <alignment horizontal="left" vertical="center" wrapText="1"/>
    </xf>
    <xf numFmtId="4" fontId="73" fillId="0" borderId="0" xfId="15" applyNumberFormat="1" applyFont="1" applyAlignment="1">
      <alignment horizontal="right" vertical="center"/>
    </xf>
    <xf numFmtId="4" fontId="28" fillId="0" borderId="0" xfId="17" applyNumberFormat="1" applyFont="1" applyAlignment="1">
      <alignment wrapText="1"/>
    </xf>
    <xf numFmtId="0" fontId="25" fillId="0" borderId="0" xfId="17" applyFont="1" applyAlignment="1" applyProtection="1">
      <alignment horizontal="left" vertical="top" wrapText="1"/>
      <protection hidden="1"/>
    </xf>
    <xf numFmtId="0" fontId="31" fillId="0" borderId="0" xfId="17" applyFont="1" applyAlignment="1" applyProtection="1">
      <alignment horizontal="left" vertical="top" wrapText="1"/>
      <protection hidden="1"/>
    </xf>
    <xf numFmtId="0" fontId="40" fillId="0" borderId="0" xfId="0" applyFont="1" applyAlignment="1">
      <alignment horizontal="right" vertical="center"/>
    </xf>
    <xf numFmtId="4" fontId="40" fillId="0" borderId="0" xfId="0" applyNumberFormat="1" applyFont="1" applyAlignment="1">
      <alignment vertical="center"/>
    </xf>
    <xf numFmtId="0" fontId="26" fillId="0" borderId="0" xfId="0" applyFont="1" applyAlignment="1">
      <alignment vertical="center"/>
    </xf>
    <xf numFmtId="0" fontId="28" fillId="0" borderId="0" xfId="0" applyFont="1" applyAlignment="1">
      <alignment horizontal="right"/>
    </xf>
    <xf numFmtId="0" fontId="28" fillId="0" borderId="0" xfId="0" applyFont="1" applyAlignment="1">
      <alignment horizontal="center"/>
    </xf>
    <xf numFmtId="0" fontId="36" fillId="0" borderId="0" xfId="0" applyFont="1" applyAlignment="1">
      <alignment wrapText="1"/>
    </xf>
    <xf numFmtId="0" fontId="72" fillId="0" borderId="0" xfId="0" applyFont="1" applyAlignment="1">
      <alignment vertical="top" wrapText="1"/>
    </xf>
    <xf numFmtId="0" fontId="73" fillId="0" borderId="0" xfId="0" applyFont="1" applyAlignment="1">
      <alignment horizontal="justify" vertical="center" wrapText="1"/>
    </xf>
    <xf numFmtId="0" fontId="28" fillId="0" borderId="0" xfId="0" applyFont="1" applyAlignment="1">
      <alignment vertical="center" wrapText="1"/>
    </xf>
    <xf numFmtId="0" fontId="32" fillId="0" borderId="0" xfId="0" applyFont="1" applyAlignment="1">
      <alignment vertical="top" wrapText="1"/>
    </xf>
    <xf numFmtId="4" fontId="25" fillId="0" borderId="0" xfId="9" applyNumberFormat="1" applyFont="1" applyAlignment="1">
      <alignment horizontal="right" vertical="center"/>
    </xf>
    <xf numFmtId="0" fontId="30" fillId="0" borderId="0" xfId="15" applyFont="1" applyAlignment="1">
      <alignment vertical="top"/>
    </xf>
    <xf numFmtId="49" fontId="25" fillId="0" borderId="0" xfId="0" applyNumberFormat="1" applyFont="1" applyAlignment="1" applyProtection="1">
      <alignment horizontal="left" vertical="top" wrapText="1"/>
      <protection hidden="1"/>
    </xf>
    <xf numFmtId="4" fontId="25" fillId="0" borderId="0" xfId="17" applyNumberFormat="1" applyFont="1" applyAlignment="1">
      <alignment horizontal="center" wrapText="1"/>
    </xf>
    <xf numFmtId="4" fontId="25" fillId="0" borderId="0" xfId="17" applyNumberFormat="1" applyFont="1" applyAlignment="1">
      <alignment horizontal="right" vertical="center" wrapText="1"/>
    </xf>
    <xf numFmtId="0" fontId="28" fillId="0" borderId="0" xfId="17" applyFont="1" applyAlignment="1" applyProtection="1">
      <alignment horizontal="center"/>
      <protection hidden="1"/>
    </xf>
    <xf numFmtId="49" fontId="32" fillId="0" borderId="0" xfId="17" applyNumberFormat="1" applyFont="1" applyAlignment="1" applyProtection="1">
      <alignment horizontal="left" vertical="top" wrapText="1"/>
      <protection hidden="1"/>
    </xf>
    <xf numFmtId="49" fontId="32" fillId="0" borderId="0" xfId="15" applyNumberFormat="1" applyFont="1" applyAlignment="1">
      <alignment horizontal="left" vertical="top" wrapText="1"/>
    </xf>
    <xf numFmtId="0" fontId="28" fillId="0" borderId="0" xfId="15" applyFont="1" applyAlignment="1">
      <alignment horizontal="center" wrapText="1"/>
    </xf>
    <xf numFmtId="0" fontId="33" fillId="0" borderId="0" xfId="15" applyFont="1" applyAlignment="1">
      <alignment vertical="top"/>
    </xf>
    <xf numFmtId="49" fontId="32" fillId="0" borderId="0" xfId="15" applyNumberFormat="1" applyFont="1" applyAlignment="1">
      <alignment vertical="top" wrapText="1"/>
    </xf>
    <xf numFmtId="1" fontId="25" fillId="0" borderId="0" xfId="0" applyNumberFormat="1" applyFont="1" applyAlignment="1">
      <alignment horizontal="center"/>
    </xf>
    <xf numFmtId="4" fontId="25" fillId="0" borderId="0" xfId="0" applyNumberFormat="1" applyFont="1" applyAlignment="1" applyProtection="1">
      <alignment horizontal="right" vertical="center"/>
      <protection hidden="1"/>
    </xf>
    <xf numFmtId="174" fontId="25" fillId="0" borderId="0" xfId="0" applyNumberFormat="1" applyFont="1" applyAlignment="1">
      <alignment vertical="center"/>
    </xf>
    <xf numFmtId="4" fontId="25" fillId="0" borderId="0" xfId="9" applyNumberFormat="1" applyFont="1" applyAlignment="1">
      <alignment horizontal="right"/>
    </xf>
    <xf numFmtId="4" fontId="25" fillId="0" borderId="0" xfId="17" applyNumberFormat="1" applyFont="1" applyAlignment="1">
      <alignment horizontal="center"/>
    </xf>
    <xf numFmtId="49" fontId="28" fillId="0" borderId="0" xfId="0" applyNumberFormat="1" applyFont="1" applyAlignment="1" applyProtection="1">
      <alignment horizontal="left" vertical="top" wrapText="1"/>
      <protection hidden="1"/>
    </xf>
    <xf numFmtId="0" fontId="28" fillId="0" borderId="0" xfId="17" applyFont="1" applyAlignment="1" applyProtection="1">
      <alignment vertical="top"/>
      <protection hidden="1"/>
    </xf>
    <xf numFmtId="0" fontId="25" fillId="0" borderId="0" xfId="15" applyFont="1" applyAlignment="1">
      <alignment horizontal="center" vertical="top" wrapText="1"/>
    </xf>
    <xf numFmtId="0" fontId="28" fillId="0" borderId="0" xfId="17" applyFont="1" applyAlignment="1" applyProtection="1">
      <alignment horizontal="center" vertical="center"/>
      <protection hidden="1"/>
    </xf>
    <xf numFmtId="4" fontId="28" fillId="0" borderId="0" xfId="17" applyNumberFormat="1" applyFont="1" applyAlignment="1">
      <alignment horizontal="center" vertical="center" wrapText="1"/>
    </xf>
    <xf numFmtId="0" fontId="25" fillId="0" borderId="0" xfId="15" applyFont="1" applyAlignment="1">
      <alignment horizontal="right" vertical="center" wrapText="1"/>
    </xf>
    <xf numFmtId="4" fontId="25" fillId="0" borderId="0" xfId="17" applyNumberFormat="1" applyFont="1" applyAlignment="1">
      <alignment horizontal="center" vertical="center" wrapText="1"/>
    </xf>
    <xf numFmtId="0" fontId="80" fillId="0" borderId="0" xfId="15" applyFont="1" applyAlignment="1">
      <alignment vertical="top"/>
    </xf>
    <xf numFmtId="49" fontId="26" fillId="0" borderId="0" xfId="0" applyNumberFormat="1" applyFont="1" applyAlignment="1" applyProtection="1">
      <alignment horizontal="left" vertical="top" wrapText="1"/>
      <protection hidden="1"/>
    </xf>
    <xf numFmtId="0" fontId="26" fillId="0" borderId="0" xfId="15" applyFont="1" applyAlignment="1">
      <alignment horizontal="right"/>
    </xf>
    <xf numFmtId="4" fontId="26" fillId="0" borderId="0" xfId="17" applyNumberFormat="1" applyFont="1" applyAlignment="1">
      <alignment horizontal="center"/>
    </xf>
    <xf numFmtId="4" fontId="26" fillId="0" borderId="0" xfId="17" applyNumberFormat="1" applyFont="1" applyAlignment="1">
      <alignment horizontal="right" vertical="center" wrapText="1"/>
    </xf>
    <xf numFmtId="4" fontId="25" fillId="0" borderId="0" xfId="15" applyNumberFormat="1" applyFont="1" applyAlignment="1">
      <alignment horizontal="center" vertical="center" wrapText="1"/>
    </xf>
    <xf numFmtId="0" fontId="31" fillId="0" borderId="0" xfId="0" applyFont="1" applyAlignment="1">
      <alignment horizontal="center" vertical="center"/>
    </xf>
    <xf numFmtId="0" fontId="31" fillId="0" borderId="0" xfId="0" applyFont="1" applyAlignment="1">
      <alignment horizontal="right" vertical="center"/>
    </xf>
    <xf numFmtId="175" fontId="31" fillId="0" borderId="0" xfId="0" applyNumberFormat="1" applyFont="1" applyAlignment="1">
      <alignment horizontal="right" vertical="center"/>
    </xf>
    <xf numFmtId="0" fontId="31" fillId="0" borderId="0" xfId="0" applyFont="1" applyAlignment="1">
      <alignment horizontal="left" vertical="center" wrapText="1"/>
    </xf>
    <xf numFmtId="176" fontId="31" fillId="0" borderId="0" xfId="0" applyNumberFormat="1" applyFont="1" applyAlignment="1">
      <alignment horizontal="right" vertical="center"/>
    </xf>
    <xf numFmtId="176" fontId="25" fillId="0" borderId="0" xfId="0" applyNumberFormat="1" applyFont="1" applyAlignment="1">
      <alignment horizontal="right" vertical="center"/>
    </xf>
    <xf numFmtId="0" fontId="31" fillId="0" borderId="0" xfId="0" applyFont="1" applyAlignment="1">
      <alignment vertical="center"/>
    </xf>
    <xf numFmtId="176" fontId="31" fillId="0" borderId="0" xfId="0" applyNumberFormat="1" applyFont="1" applyAlignment="1">
      <alignment vertical="center"/>
    </xf>
    <xf numFmtId="0" fontId="31" fillId="0" borderId="0" xfId="0" applyFont="1" applyAlignment="1">
      <alignment horizontal="center"/>
    </xf>
    <xf numFmtId="0" fontId="31" fillId="0" borderId="0" xfId="0" applyFont="1"/>
    <xf numFmtId="176" fontId="31" fillId="0" borderId="0" xfId="0" applyNumberFormat="1" applyFont="1"/>
    <xf numFmtId="176" fontId="31" fillId="0" borderId="7" xfId="0" applyNumberFormat="1" applyFont="1" applyBorder="1"/>
    <xf numFmtId="4" fontId="31" fillId="0" borderId="6" xfId="0" applyNumberFormat="1" applyFont="1" applyBorder="1" applyAlignment="1">
      <alignment vertical="center"/>
    </xf>
    <xf numFmtId="176" fontId="31" fillId="0" borderId="7" xfId="0" applyNumberFormat="1" applyFont="1" applyBorder="1" applyAlignment="1">
      <alignment horizontal="right" vertical="center"/>
    </xf>
    <xf numFmtId="4" fontId="31" fillId="0" borderId="0" xfId="0" applyNumberFormat="1" applyFont="1" applyAlignment="1">
      <alignment vertical="center"/>
    </xf>
    <xf numFmtId="0" fontId="25" fillId="0" borderId="7" xfId="0" applyFont="1" applyBorder="1" applyAlignment="1">
      <alignment vertical="center"/>
    </xf>
    <xf numFmtId="176" fontId="25" fillId="0" borderId="7" xfId="0" applyNumberFormat="1" applyFont="1" applyBorder="1" applyAlignment="1">
      <alignment vertical="center"/>
    </xf>
    <xf numFmtId="176" fontId="31" fillId="0" borderId="6" xfId="0" applyNumberFormat="1" applyFont="1" applyBorder="1" applyAlignment="1">
      <alignment horizontal="right" vertical="center"/>
    </xf>
    <xf numFmtId="49" fontId="81" fillId="0" borderId="0" xfId="6" applyNumberFormat="1" applyFont="1" applyAlignment="1">
      <alignment horizontal="center" vertical="top"/>
    </xf>
    <xf numFmtId="49" fontId="82" fillId="0" borderId="0" xfId="6" applyNumberFormat="1" applyFont="1" applyAlignment="1">
      <alignment horizontal="left" wrapText="1"/>
    </xf>
    <xf numFmtId="0" fontId="82" fillId="0" borderId="0" xfId="6" applyFont="1" applyAlignment="1">
      <alignment horizontal="center"/>
    </xf>
    <xf numFmtId="4" fontId="82" fillId="0" borderId="0" xfId="6" applyNumberFormat="1" applyFont="1"/>
    <xf numFmtId="0" fontId="81" fillId="0" borderId="0" xfId="6" applyFont="1"/>
    <xf numFmtId="4" fontId="81" fillId="0" borderId="0" xfId="6" applyNumberFormat="1" applyFont="1"/>
    <xf numFmtId="49" fontId="81" fillId="0" borderId="0" xfId="20" applyNumberFormat="1" applyFont="1" applyAlignment="1">
      <alignment horizontal="center" vertical="top"/>
    </xf>
    <xf numFmtId="0" fontId="82" fillId="0" borderId="0" xfId="20" applyFont="1" applyAlignment="1">
      <alignment horizontal="left" wrapText="1"/>
    </xf>
    <xf numFmtId="0" fontId="83" fillId="0" borderId="0" xfId="20" applyFont="1"/>
    <xf numFmtId="0" fontId="83" fillId="0" borderId="0" xfId="20" applyFont="1" applyAlignment="1">
      <alignment horizontal="center"/>
    </xf>
    <xf numFmtId="4" fontId="82" fillId="0" borderId="0" xfId="20" applyNumberFormat="1" applyFont="1"/>
    <xf numFmtId="4" fontId="83" fillId="0" borderId="0" xfId="20" applyNumberFormat="1" applyFont="1" applyAlignment="1">
      <alignment horizontal="right"/>
    </xf>
    <xf numFmtId="0" fontId="81" fillId="0" borderId="0" xfId="6" applyFont="1" applyAlignment="1">
      <alignment horizontal="left" vertical="center"/>
    </xf>
    <xf numFmtId="49" fontId="81" fillId="0" borderId="0" xfId="20" applyNumberFormat="1" applyFont="1" applyAlignment="1">
      <alignment horizontal="center" vertical="top" wrapText="1"/>
    </xf>
    <xf numFmtId="0" fontId="81" fillId="0" borderId="0" xfId="6" applyFont="1" applyAlignment="1">
      <alignment horizontal="left" vertical="center" wrapText="1"/>
    </xf>
    <xf numFmtId="0" fontId="83" fillId="0" borderId="0" xfId="20" applyFont="1" applyAlignment="1">
      <alignment horizontal="left" wrapText="1"/>
    </xf>
    <xf numFmtId="4" fontId="82" fillId="0" borderId="0" xfId="6" applyNumberFormat="1" applyFont="1" applyAlignment="1">
      <alignment horizontal="center"/>
    </xf>
    <xf numFmtId="4" fontId="82" fillId="0" borderId="0" xfId="6" applyNumberFormat="1" applyFont="1" applyAlignment="1">
      <alignment horizontal="right"/>
    </xf>
    <xf numFmtId="49" fontId="81" fillId="0" borderId="8" xfId="20" applyNumberFormat="1" applyFont="1" applyBorder="1" applyAlignment="1">
      <alignment horizontal="center" vertical="top"/>
    </xf>
    <xf numFmtId="0" fontId="82" fillId="0" borderId="8" xfId="20" applyFont="1" applyBorder="1" applyAlignment="1">
      <alignment horizontal="left" wrapText="1"/>
    </xf>
    <xf numFmtId="4" fontId="83" fillId="0" borderId="0" xfId="20" applyNumberFormat="1" applyFont="1" applyAlignment="1">
      <alignment horizontal="left"/>
    </xf>
    <xf numFmtId="49" fontId="81" fillId="0" borderId="0" xfId="6" applyNumberFormat="1" applyFont="1" applyAlignment="1">
      <alignment horizontal="center" vertical="top" wrapText="1"/>
    </xf>
    <xf numFmtId="49" fontId="82" fillId="0" borderId="0" xfId="6" applyNumberFormat="1" applyFont="1" applyAlignment="1">
      <alignment horizontal="center" wrapText="1"/>
    </xf>
    <xf numFmtId="0" fontId="82" fillId="0" borderId="0" xfId="6" applyFont="1" applyAlignment="1">
      <alignment horizontal="center" wrapText="1"/>
    </xf>
    <xf numFmtId="4" fontId="82" fillId="0" borderId="0" xfId="6" applyNumberFormat="1" applyFont="1" applyAlignment="1">
      <alignment horizontal="center" wrapText="1"/>
    </xf>
    <xf numFmtId="49" fontId="81" fillId="0" borderId="9" xfId="6" applyNumberFormat="1" applyFont="1" applyBorder="1" applyAlignment="1">
      <alignment horizontal="center" vertical="top"/>
    </xf>
    <xf numFmtId="0" fontId="83" fillId="0" borderId="10" xfId="6" applyFont="1" applyBorder="1" applyAlignment="1">
      <alignment horizontal="left" wrapText="1"/>
    </xf>
    <xf numFmtId="3" fontId="83" fillId="0" borderId="0" xfId="6" applyNumberFormat="1" applyFont="1" applyAlignment="1">
      <alignment horizontal="center"/>
    </xf>
    <xf numFmtId="0" fontId="83" fillId="0" borderId="0" xfId="6" applyFont="1" applyAlignment="1">
      <alignment horizontal="center"/>
    </xf>
    <xf numFmtId="4" fontId="83" fillId="0" borderId="0" xfId="6" applyNumberFormat="1" applyFont="1" applyAlignment="1">
      <alignment horizontal="center"/>
    </xf>
    <xf numFmtId="0" fontId="84" fillId="0" borderId="11" xfId="6" applyFont="1" applyBorder="1" applyAlignment="1">
      <alignment horizontal="center" vertical="center"/>
    </xf>
    <xf numFmtId="0" fontId="81" fillId="0" borderId="0" xfId="6" applyFont="1" applyAlignment="1">
      <alignment horizontal="center" vertical="center"/>
    </xf>
    <xf numFmtId="49" fontId="83" fillId="0" borderId="0" xfId="20" applyNumberFormat="1" applyFont="1" applyAlignment="1">
      <alignment horizontal="left" wrapText="1"/>
    </xf>
    <xf numFmtId="3" fontId="82" fillId="0" borderId="0" xfId="6" applyNumberFormat="1" applyFont="1" applyAlignment="1">
      <alignment horizontal="center"/>
    </xf>
    <xf numFmtId="4" fontId="83" fillId="0" borderId="0" xfId="1" applyNumberFormat="1" applyFont="1" applyBorder="1" applyAlignment="1" applyProtection="1">
      <alignment horizontal="left" wrapText="1"/>
    </xf>
    <xf numFmtId="49" fontId="81" fillId="0" borderId="2" xfId="20" applyNumberFormat="1" applyFont="1" applyBorder="1" applyAlignment="1">
      <alignment horizontal="center" vertical="top"/>
    </xf>
    <xf numFmtId="2" fontId="83" fillId="0" borderId="2" xfId="20" applyNumberFormat="1" applyFont="1" applyBorder="1" applyAlignment="1">
      <alignment horizontal="left" wrapText="1"/>
    </xf>
    <xf numFmtId="4" fontId="83" fillId="0" borderId="0" xfId="6" applyNumberFormat="1" applyFont="1" applyAlignment="1">
      <alignment horizontal="right"/>
    </xf>
    <xf numFmtId="0" fontId="81" fillId="0" borderId="0" xfId="6" applyFont="1" applyAlignment="1">
      <alignment vertical="center"/>
    </xf>
    <xf numFmtId="4" fontId="81" fillId="0" borderId="0" xfId="6" applyNumberFormat="1" applyFont="1" applyAlignment="1">
      <alignment vertical="center"/>
    </xf>
    <xf numFmtId="2" fontId="83" fillId="0" borderId="0" xfId="20" applyNumberFormat="1" applyFont="1" applyAlignment="1">
      <alignment horizontal="left" wrapText="1"/>
    </xf>
    <xf numFmtId="4" fontId="83" fillId="0" borderId="0" xfId="6" applyNumberFormat="1" applyFont="1" applyAlignment="1" applyProtection="1">
      <alignment horizontal="center"/>
      <protection locked="0"/>
    </xf>
    <xf numFmtId="4" fontId="81" fillId="0" borderId="0" xfId="6" applyNumberFormat="1" applyFont="1" applyAlignment="1" applyProtection="1">
      <alignment horizontal="center" vertical="center" wrapText="1"/>
      <protection locked="0"/>
    </xf>
    <xf numFmtId="49" fontId="81" fillId="0" borderId="0" xfId="20" applyNumberFormat="1" applyFont="1" applyAlignment="1">
      <alignment vertical="top" wrapText="1"/>
    </xf>
    <xf numFmtId="0" fontId="82" fillId="0" borderId="0" xfId="6" applyFont="1" applyAlignment="1">
      <alignment horizontal="left" wrapText="1"/>
    </xf>
    <xf numFmtId="4" fontId="82" fillId="0" borderId="0" xfId="6" applyNumberFormat="1" applyFont="1" applyAlignment="1">
      <alignment horizontal="right" wrapText="1"/>
    </xf>
    <xf numFmtId="0" fontId="81" fillId="0" borderId="0" xfId="6" applyFont="1" applyAlignment="1">
      <alignment vertical="top" wrapText="1"/>
    </xf>
    <xf numFmtId="4" fontId="82" fillId="0" borderId="0" xfId="6" applyNumberFormat="1" applyFont="1" applyAlignment="1">
      <alignment wrapText="1"/>
    </xf>
    <xf numFmtId="49" fontId="83" fillId="0" borderId="0" xfId="6" applyNumberFormat="1" applyFont="1" applyAlignment="1">
      <alignment horizontal="left" wrapText="1"/>
    </xf>
    <xf numFmtId="2" fontId="83" fillId="0" borderId="8" xfId="20" applyNumberFormat="1" applyFont="1" applyBorder="1" applyAlignment="1">
      <alignment horizontal="left" wrapText="1"/>
    </xf>
    <xf numFmtId="49" fontId="81" fillId="0" borderId="12" xfId="20" applyNumberFormat="1" applyFont="1" applyBorder="1" applyAlignment="1">
      <alignment horizontal="center" vertical="top"/>
    </xf>
    <xf numFmtId="2" fontId="85" fillId="0" borderId="12" xfId="20" applyNumberFormat="1" applyFont="1" applyBorder="1" applyAlignment="1">
      <alignment horizontal="left" wrapText="1"/>
    </xf>
    <xf numFmtId="0" fontId="86" fillId="0" borderId="0" xfId="20" applyFont="1" applyAlignment="1">
      <alignment horizontal="center" wrapText="1"/>
    </xf>
    <xf numFmtId="4" fontId="86" fillId="0" borderId="0" xfId="6" applyNumberFormat="1" applyFont="1" applyAlignment="1">
      <alignment horizontal="right"/>
    </xf>
    <xf numFmtId="49" fontId="86" fillId="0" borderId="0" xfId="6" applyNumberFormat="1" applyFont="1" applyAlignment="1">
      <alignment horizontal="left" wrapText="1"/>
    </xf>
    <xf numFmtId="0" fontId="86" fillId="0" borderId="0" xfId="6" applyFont="1" applyAlignment="1">
      <alignment horizontal="center" wrapText="1"/>
    </xf>
    <xf numFmtId="4" fontId="86" fillId="0" borderId="0" xfId="6" applyNumberFormat="1" applyFont="1" applyAlignment="1">
      <alignment wrapText="1"/>
    </xf>
    <xf numFmtId="49" fontId="87" fillId="0" borderId="0" xfId="6" applyNumberFormat="1" applyFont="1" applyAlignment="1">
      <alignment horizontal="center" vertical="top" wrapText="1"/>
    </xf>
    <xf numFmtId="49" fontId="87" fillId="0" borderId="0" xfId="6" applyNumberFormat="1" applyFont="1" applyAlignment="1">
      <alignment horizontal="left" wrapText="1"/>
    </xf>
    <xf numFmtId="0" fontId="87" fillId="0" borderId="0" xfId="6" applyFont="1" applyAlignment="1">
      <alignment horizontal="center" wrapText="1"/>
    </xf>
    <xf numFmtId="4" fontId="87" fillId="0" borderId="0" xfId="6" applyNumberFormat="1" applyFont="1" applyAlignment="1">
      <alignment wrapText="1"/>
    </xf>
    <xf numFmtId="0" fontId="87" fillId="0" borderId="0" xfId="6" applyFont="1"/>
    <xf numFmtId="4" fontId="87" fillId="0" borderId="0" xfId="6" applyNumberFormat="1" applyFont="1"/>
    <xf numFmtId="49" fontId="81" fillId="0" borderId="0" xfId="6" applyNumberFormat="1" applyFont="1" applyAlignment="1">
      <alignment horizontal="left" wrapText="1"/>
    </xf>
    <xf numFmtId="177" fontId="20" fillId="0" borderId="0" xfId="0" applyNumberFormat="1" applyFont="1" applyAlignment="1">
      <alignment horizontal="center"/>
    </xf>
    <xf numFmtId="0" fontId="20" fillId="0" borderId="0" xfId="0" applyFont="1" applyAlignment="1">
      <alignment horizontal="center"/>
    </xf>
    <xf numFmtId="177" fontId="0" fillId="0" borderId="0" xfId="0" applyNumberFormat="1" applyAlignment="1">
      <alignment horizontal="right" vertical="center"/>
    </xf>
    <xf numFmtId="177" fontId="20" fillId="0" borderId="0" xfId="0" applyNumberFormat="1" applyFont="1" applyAlignment="1">
      <alignment horizontal="right"/>
    </xf>
    <xf numFmtId="177" fontId="0" fillId="0" borderId="0" xfId="0" applyNumberFormat="1" applyAlignment="1">
      <alignment horizontal="center" vertical="center"/>
    </xf>
    <xf numFmtId="0" fontId="0" fillId="0" borderId="0" xfId="0" applyAlignment="1">
      <alignment horizontal="center" vertical="center"/>
    </xf>
    <xf numFmtId="49" fontId="87" fillId="0" borderId="0" xfId="6" applyNumberFormat="1" applyFont="1" applyAlignment="1">
      <alignment horizontal="left" vertical="center" wrapText="1"/>
    </xf>
    <xf numFmtId="0" fontId="87" fillId="0" borderId="0" xfId="6" applyFont="1" applyAlignment="1">
      <alignment horizontal="center"/>
    </xf>
    <xf numFmtId="177" fontId="87" fillId="0" borderId="0" xfId="0" applyNumberFormat="1" applyFont="1" applyAlignment="1">
      <alignment horizontal="center" vertical="center" wrapText="1"/>
    </xf>
    <xf numFmtId="177" fontId="87" fillId="0" borderId="0" xfId="0" applyNumberFormat="1" applyFont="1" applyAlignment="1">
      <alignment horizontal="center" vertical="center"/>
    </xf>
    <xf numFmtId="177" fontId="0" fillId="0" borderId="0" xfId="0" applyNumberFormat="1" applyAlignment="1">
      <alignment horizontal="center"/>
    </xf>
    <xf numFmtId="177" fontId="87" fillId="0" borderId="0" xfId="0" applyNumberFormat="1" applyFont="1" applyAlignment="1">
      <alignment horizontal="center"/>
    </xf>
    <xf numFmtId="177" fontId="0" fillId="0" borderId="0" xfId="0" applyNumberFormat="1" applyAlignment="1">
      <alignment horizontal="center" vertical="center" wrapText="1"/>
    </xf>
    <xf numFmtId="2" fontId="87" fillId="0" borderId="12" xfId="20" applyNumberFormat="1" applyFont="1" applyBorder="1" applyAlignment="1">
      <alignment horizontal="left" wrapText="1"/>
    </xf>
    <xf numFmtId="4" fontId="87" fillId="0" borderId="0" xfId="6" applyNumberFormat="1" applyFont="1" applyAlignment="1">
      <alignment horizontal="right"/>
    </xf>
    <xf numFmtId="0" fontId="36" fillId="0" borderId="0" xfId="0" applyFont="1" applyAlignment="1">
      <alignment vertical="center"/>
    </xf>
    <xf numFmtId="0" fontId="87" fillId="0" borderId="0" xfId="6" applyFont="1" applyAlignment="1">
      <alignment wrapText="1"/>
    </xf>
    <xf numFmtId="49" fontId="87" fillId="0" borderId="8" xfId="20" applyNumberFormat="1" applyFont="1" applyBorder="1" applyAlignment="1">
      <alignment horizontal="center" vertical="top"/>
    </xf>
    <xf numFmtId="2" fontId="88" fillId="0" borderId="8" xfId="20" applyNumberFormat="1" applyFont="1" applyBorder="1" applyAlignment="1">
      <alignment horizontal="left" wrapText="1"/>
    </xf>
    <xf numFmtId="0" fontId="88" fillId="0" borderId="0" xfId="6" applyFont="1" applyAlignment="1">
      <alignment horizontal="center"/>
    </xf>
    <xf numFmtId="4" fontId="88" fillId="0" borderId="0" xfId="6" applyNumberFormat="1" applyFont="1" applyAlignment="1">
      <alignment horizontal="right"/>
    </xf>
    <xf numFmtId="49" fontId="88" fillId="0" borderId="0" xfId="6" applyNumberFormat="1" applyFont="1" applyAlignment="1">
      <alignment horizontal="left" wrapText="1"/>
    </xf>
    <xf numFmtId="4" fontId="88" fillId="0" borderId="0" xfId="6" applyNumberFormat="1" applyFont="1"/>
    <xf numFmtId="4" fontId="88" fillId="0" borderId="0" xfId="6" applyNumberFormat="1" applyFont="1" applyAlignment="1">
      <alignment wrapText="1"/>
    </xf>
    <xf numFmtId="2" fontId="83" fillId="0" borderId="12" xfId="20" applyNumberFormat="1" applyFont="1" applyBorder="1" applyAlignment="1">
      <alignment horizontal="left" wrapText="1"/>
    </xf>
    <xf numFmtId="0" fontId="83" fillId="0" borderId="0" xfId="20" applyFont="1" applyAlignment="1">
      <alignment horizontal="center" wrapText="1"/>
    </xf>
    <xf numFmtId="4" fontId="83" fillId="0" borderId="0" xfId="6" applyNumberFormat="1" applyFont="1"/>
    <xf numFmtId="4" fontId="83" fillId="0" borderId="0" xfId="6" applyNumberFormat="1" applyFont="1" applyAlignment="1">
      <alignment wrapText="1"/>
    </xf>
    <xf numFmtId="0" fontId="81" fillId="0" borderId="0" xfId="6" applyFont="1" applyAlignment="1">
      <alignment horizontal="left" wrapText="1"/>
    </xf>
    <xf numFmtId="0" fontId="81" fillId="0" borderId="0" xfId="6" applyFont="1" applyAlignment="1">
      <alignment horizontal="center" wrapText="1"/>
    </xf>
    <xf numFmtId="4" fontId="81" fillId="0" borderId="0" xfId="6" applyNumberFormat="1" applyFont="1" applyAlignment="1">
      <alignment wrapText="1"/>
    </xf>
    <xf numFmtId="2" fontId="82" fillId="0" borderId="0" xfId="20" applyNumberFormat="1" applyFont="1" applyAlignment="1">
      <alignment horizontal="left" wrapText="1"/>
    </xf>
    <xf numFmtId="0" fontId="82" fillId="0" borderId="0" xfId="20" applyFont="1" applyAlignment="1">
      <alignment horizontal="center" wrapText="1"/>
    </xf>
    <xf numFmtId="0" fontId="81" fillId="0" borderId="0" xfId="6" applyFont="1" applyAlignment="1">
      <alignment horizontal="center"/>
    </xf>
    <xf numFmtId="0" fontId="81" fillId="0" borderId="13" xfId="6" applyFont="1" applyBorder="1" applyAlignment="1">
      <alignment horizontal="left" vertical="top" wrapText="1"/>
    </xf>
    <xf numFmtId="3" fontId="81" fillId="0" borderId="0" xfId="6" applyNumberFormat="1" applyFont="1" applyAlignment="1">
      <alignment horizontal="center"/>
    </xf>
    <xf numFmtId="4" fontId="81" fillId="0" borderId="0" xfId="6" applyNumberFormat="1" applyFont="1" applyAlignment="1">
      <alignment horizontal="right"/>
    </xf>
    <xf numFmtId="0" fontId="81" fillId="0" borderId="0" xfId="18" applyFont="1" applyAlignment="1">
      <alignment horizontal="left" vertical="top"/>
    </xf>
    <xf numFmtId="0" fontId="82" fillId="0" borderId="13" xfId="6" applyFont="1" applyBorder="1" applyAlignment="1">
      <alignment horizontal="left" vertical="top" wrapText="1"/>
    </xf>
    <xf numFmtId="0" fontId="82" fillId="0" borderId="0" xfId="6" applyFont="1" applyAlignment="1">
      <alignment horizontal="left" vertical="top" wrapText="1"/>
    </xf>
    <xf numFmtId="49" fontId="82" fillId="0" borderId="0" xfId="6" applyNumberFormat="1" applyFont="1" applyAlignment="1">
      <alignment horizontal="left" vertical="top" wrapText="1"/>
    </xf>
    <xf numFmtId="0" fontId="89" fillId="0" borderId="0" xfId="6" applyFont="1" applyAlignment="1">
      <alignment vertical="top" wrapText="1"/>
    </xf>
    <xf numFmtId="0" fontId="89" fillId="0" borderId="0" xfId="6" applyFont="1"/>
    <xf numFmtId="0" fontId="82" fillId="0" borderId="0" xfId="6" applyFont="1" applyAlignment="1">
      <alignment vertical="top" wrapText="1"/>
    </xf>
    <xf numFmtId="0" fontId="90" fillId="0" borderId="0" xfId="6" applyFont="1" applyAlignment="1">
      <alignment vertical="top" wrapText="1"/>
    </xf>
    <xf numFmtId="4" fontId="89" fillId="0" borderId="0" xfId="6" applyNumberFormat="1" applyFont="1"/>
    <xf numFmtId="49" fontId="91" fillId="0" borderId="0" xfId="20" applyNumberFormat="1" applyFont="1" applyAlignment="1">
      <alignment horizontal="center" vertical="top"/>
    </xf>
    <xf numFmtId="49" fontId="91" fillId="0" borderId="0" xfId="6" applyNumberFormat="1" applyFont="1" applyAlignment="1">
      <alignment horizontal="left" wrapText="1"/>
    </xf>
    <xf numFmtId="0" fontId="91" fillId="0" borderId="0" xfId="6" applyFont="1" applyAlignment="1">
      <alignment horizontal="center"/>
    </xf>
    <xf numFmtId="4" fontId="91" fillId="0" borderId="0" xfId="6" applyNumberFormat="1" applyFont="1"/>
    <xf numFmtId="0" fontId="91" fillId="0" borderId="0" xfId="6" applyFont="1"/>
    <xf numFmtId="0" fontId="83" fillId="0" borderId="0" xfId="6" applyFont="1" applyAlignment="1">
      <alignment wrapText="1"/>
    </xf>
    <xf numFmtId="0" fontId="83" fillId="0" borderId="0" xfId="6" applyFont="1" applyAlignment="1">
      <alignment horizontal="left" wrapText="1"/>
    </xf>
    <xf numFmtId="0" fontId="92" fillId="0" borderId="0" xfId="6" applyFont="1"/>
    <xf numFmtId="0" fontId="92" fillId="0" borderId="0" xfId="6" applyFont="1" applyAlignment="1">
      <alignment horizontal="left"/>
    </xf>
    <xf numFmtId="0" fontId="82" fillId="0" borderId="0" xfId="6" applyFont="1"/>
    <xf numFmtId="0" fontId="93" fillId="0" borderId="0" xfId="6" applyFont="1" applyAlignment="1">
      <alignment vertical="top" wrapText="1"/>
    </xf>
    <xf numFmtId="49" fontId="82" fillId="0" borderId="0" xfId="6" applyNumberFormat="1" applyFont="1" applyAlignment="1">
      <alignment vertical="top" wrapText="1"/>
    </xf>
    <xf numFmtId="49" fontId="90" fillId="0" borderId="0" xfId="6" applyNumberFormat="1" applyFont="1" applyAlignment="1">
      <alignment vertical="top" wrapText="1"/>
    </xf>
    <xf numFmtId="178" fontId="83" fillId="0" borderId="0" xfId="6" applyNumberFormat="1" applyFont="1" applyAlignment="1">
      <alignment horizontal="left" wrapText="1"/>
    </xf>
    <xf numFmtId="178" fontId="92" fillId="0" borderId="0" xfId="6" applyNumberFormat="1" applyFont="1" applyAlignment="1">
      <alignment horizontal="left"/>
    </xf>
    <xf numFmtId="178" fontId="92" fillId="0" borderId="0" xfId="6" applyNumberFormat="1" applyFont="1"/>
    <xf numFmtId="0" fontId="90" fillId="0" borderId="0" xfId="6" applyFont="1"/>
    <xf numFmtId="0" fontId="95" fillId="0" borderId="0" xfId="6" applyFont="1" applyAlignment="1">
      <alignment vertical="top" wrapText="1"/>
    </xf>
    <xf numFmtId="0" fontId="97" fillId="0" borderId="0" xfId="6" applyFont="1" applyAlignment="1">
      <alignment vertical="top" wrapText="1"/>
    </xf>
    <xf numFmtId="0" fontId="92" fillId="0" borderId="0" xfId="6" applyFont="1" applyAlignment="1">
      <alignment vertical="top" wrapText="1"/>
    </xf>
    <xf numFmtId="0" fontId="90" fillId="0" borderId="0" xfId="6" applyFont="1" applyAlignment="1">
      <alignment horizontal="left"/>
    </xf>
    <xf numFmtId="0" fontId="83" fillId="0" borderId="0" xfId="6" applyFont="1"/>
    <xf numFmtId="178" fontId="90" fillId="0" borderId="0" xfId="6" applyNumberFormat="1" applyFont="1"/>
    <xf numFmtId="0" fontId="99" fillId="0" borderId="0" xfId="6" applyFont="1" applyAlignment="1">
      <alignment horizontal="left" wrapText="1"/>
    </xf>
    <xf numFmtId="0" fontId="90" fillId="0" borderId="0" xfId="6" applyFont="1" applyAlignment="1">
      <alignment horizontal="left" vertical="top" wrapText="1"/>
    </xf>
    <xf numFmtId="49" fontId="83" fillId="0" borderId="0" xfId="6" applyNumberFormat="1" applyFont="1" applyAlignment="1">
      <alignment wrapText="1"/>
    </xf>
    <xf numFmtId="0" fontId="83" fillId="0" borderId="0" xfId="11" applyFont="1" applyAlignment="1">
      <alignment horizontal="left" wrapText="1"/>
    </xf>
    <xf numFmtId="0" fontId="101" fillId="0" borderId="0" xfId="6" applyFont="1" applyAlignment="1">
      <alignment vertical="top" wrapText="1"/>
    </xf>
    <xf numFmtId="0" fontId="90" fillId="0" borderId="0" xfId="6" applyFont="1" applyAlignment="1">
      <alignment horizontal="justify" vertical="top" wrapText="1"/>
    </xf>
    <xf numFmtId="0" fontId="102" fillId="0" borderId="0" xfId="6" applyFont="1" applyAlignment="1">
      <alignment horizontal="left" wrapText="1"/>
    </xf>
    <xf numFmtId="2" fontId="82" fillId="0" borderId="12" xfId="20" applyNumberFormat="1" applyFont="1" applyBorder="1" applyAlignment="1">
      <alignment horizontal="left" wrapText="1"/>
    </xf>
    <xf numFmtId="49" fontId="89" fillId="0" borderId="0" xfId="6" applyNumberFormat="1" applyFont="1" applyAlignment="1">
      <alignment horizontal="center" vertical="top"/>
    </xf>
    <xf numFmtId="2" fontId="82" fillId="0" borderId="12" xfId="20" applyNumberFormat="1" applyFont="1" applyBorder="1" applyAlignment="1">
      <alignment vertical="center" wrapText="1"/>
    </xf>
    <xf numFmtId="2" fontId="82" fillId="0" borderId="0" xfId="20" applyNumberFormat="1" applyFont="1" applyAlignment="1">
      <alignment vertical="center" wrapText="1"/>
    </xf>
    <xf numFmtId="0" fontId="81" fillId="0" borderId="5" xfId="18" applyFont="1" applyBorder="1" applyAlignment="1">
      <alignment horizontal="left" vertical="top"/>
    </xf>
    <xf numFmtId="0" fontId="82" fillId="0" borderId="14" xfId="6" applyFont="1" applyBorder="1" applyAlignment="1">
      <alignment vertical="top" wrapText="1"/>
    </xf>
    <xf numFmtId="4" fontId="82" fillId="0" borderId="0" xfId="6" applyNumberFormat="1" applyFont="1" applyAlignment="1">
      <alignment horizontal="right" vertical="top"/>
    </xf>
    <xf numFmtId="0" fontId="82" fillId="0" borderId="5" xfId="6" applyFont="1" applyBorder="1" applyAlignment="1">
      <alignment horizontal="left" vertical="top" wrapText="1"/>
    </xf>
    <xf numFmtId="0" fontId="13" fillId="0" borderId="5" xfId="6" applyFont="1" applyBorder="1" applyAlignment="1">
      <alignment horizontal="left" vertical="top" wrapText="1"/>
    </xf>
    <xf numFmtId="0" fontId="82" fillId="0" borderId="0" xfId="6" applyFont="1" applyAlignment="1">
      <alignment horizontal="center" vertical="top"/>
    </xf>
    <xf numFmtId="0" fontId="82" fillId="0" borderId="0" xfId="6" applyFont="1" applyAlignment="1">
      <alignment horizontal="right"/>
    </xf>
    <xf numFmtId="0" fontId="81" fillId="0" borderId="5" xfId="6" applyFont="1" applyBorder="1" applyAlignment="1">
      <alignment horizontal="left" vertical="top"/>
    </xf>
    <xf numFmtId="49" fontId="81" fillId="0" borderId="0" xfId="16" applyNumberFormat="1" applyFont="1" applyAlignment="1">
      <alignment horizontal="center" vertical="top"/>
    </xf>
    <xf numFmtId="0" fontId="82" fillId="0" borderId="0" xfId="16" applyFont="1" applyAlignment="1">
      <alignment horizontal="left" wrapText="1"/>
    </xf>
    <xf numFmtId="0" fontId="82" fillId="0" borderId="0" xfId="16" applyFont="1" applyAlignment="1">
      <alignment vertical="center"/>
    </xf>
    <xf numFmtId="3" fontId="82" fillId="0" borderId="0" xfId="16" applyNumberFormat="1" applyFont="1" applyAlignment="1">
      <alignment horizontal="center"/>
    </xf>
    <xf numFmtId="4" fontId="82" fillId="0" borderId="0" xfId="6" applyNumberFormat="1" applyFont="1" applyAlignment="1">
      <alignment vertical="center"/>
    </xf>
    <xf numFmtId="0" fontId="83" fillId="0" borderId="0" xfId="16" applyFont="1" applyAlignment="1">
      <alignment horizontal="left" wrapText="1"/>
    </xf>
    <xf numFmtId="0" fontId="82" fillId="0" borderId="0" xfId="16" applyFont="1" applyAlignment="1">
      <alignment horizontal="center" vertical="center"/>
    </xf>
    <xf numFmtId="0" fontId="83" fillId="0" borderId="0" xfId="6" applyFont="1" applyAlignment="1">
      <alignment vertical="center"/>
    </xf>
    <xf numFmtId="0" fontId="82" fillId="0" borderId="0" xfId="16" applyFont="1" applyAlignment="1">
      <alignment horizontal="left" vertical="top" wrapText="1"/>
    </xf>
    <xf numFmtId="0" fontId="82" fillId="0" borderId="0" xfId="16" applyFont="1" applyAlignment="1">
      <alignment horizontal="center"/>
    </xf>
    <xf numFmtId="0" fontId="86" fillId="0" borderId="0" xfId="0" applyFont="1" applyAlignment="1">
      <alignment vertical="top" wrapText="1"/>
    </xf>
    <xf numFmtId="0" fontId="81" fillId="0" borderId="0" xfId="16" applyFont="1" applyAlignment="1">
      <alignment horizontal="left" wrapText="1"/>
    </xf>
    <xf numFmtId="3" fontId="82" fillId="0" borderId="0" xfId="16" applyNumberFormat="1" applyFont="1" applyAlignment="1">
      <alignment horizontal="center" vertical="center"/>
    </xf>
    <xf numFmtId="171" fontId="82" fillId="0" borderId="0" xfId="6" applyNumberFormat="1" applyFont="1" applyAlignment="1">
      <alignment horizontal="center"/>
    </xf>
    <xf numFmtId="0" fontId="81" fillId="0" borderId="0" xfId="16" applyFont="1" applyAlignment="1">
      <alignment horizontal="center" vertical="top"/>
    </xf>
    <xf numFmtId="1" fontId="82" fillId="0" borderId="0" xfId="6" applyNumberFormat="1" applyFont="1" applyAlignment="1">
      <alignment horizontal="center"/>
    </xf>
    <xf numFmtId="0" fontId="82" fillId="0" borderId="0" xfId="6" applyFont="1" applyAlignment="1">
      <alignment horizontal="center" vertical="center"/>
    </xf>
    <xf numFmtId="171" fontId="81" fillId="0" borderId="0" xfId="6" applyNumberFormat="1" applyFont="1" applyAlignment="1">
      <alignment vertical="center"/>
    </xf>
    <xf numFmtId="3" fontId="82" fillId="0" borderId="0" xfId="16" applyNumberFormat="1" applyFont="1" applyAlignment="1">
      <alignment horizontal="center" vertical="top"/>
    </xf>
    <xf numFmtId="171" fontId="82" fillId="0" borderId="0" xfId="6" applyNumberFormat="1" applyFont="1" applyAlignment="1">
      <alignment vertical="top"/>
    </xf>
    <xf numFmtId="2" fontId="83" fillId="0" borderId="12" xfId="20" applyNumberFormat="1" applyFont="1" applyBorder="1" applyAlignment="1">
      <alignment vertical="center" wrapText="1"/>
    </xf>
    <xf numFmtId="49" fontId="82" fillId="0" borderId="0" xfId="6" applyNumberFormat="1" applyFont="1" applyAlignment="1">
      <alignment vertical="center" wrapText="1"/>
    </xf>
    <xf numFmtId="0" fontId="83" fillId="0" borderId="0" xfId="16" applyFont="1" applyAlignment="1">
      <alignment horizontal="justify" vertical="top" wrapText="1"/>
    </xf>
    <xf numFmtId="49" fontId="81" fillId="0" borderId="0" xfId="6" applyNumberFormat="1" applyFont="1" applyAlignment="1">
      <alignment vertical="top"/>
    </xf>
    <xf numFmtId="1" fontId="82" fillId="0" borderId="0" xfId="6" applyNumberFormat="1" applyFont="1" applyAlignment="1">
      <alignment horizontal="center" wrapText="1"/>
    </xf>
    <xf numFmtId="179" fontId="81" fillId="0" borderId="0" xfId="6" applyNumberFormat="1" applyFont="1"/>
    <xf numFmtId="0" fontId="83" fillId="0" borderId="0" xfId="6" applyFont="1" applyAlignment="1">
      <alignment vertical="top" wrapText="1"/>
    </xf>
    <xf numFmtId="2" fontId="82" fillId="0" borderId="0" xfId="6" applyNumberFormat="1" applyFont="1" applyAlignment="1">
      <alignment horizontal="center"/>
    </xf>
    <xf numFmtId="0" fontId="82" fillId="0" borderId="0" xfId="6" applyFont="1" applyAlignment="1">
      <alignment wrapText="1"/>
    </xf>
    <xf numFmtId="1" fontId="82" fillId="0" borderId="0" xfId="7" applyNumberFormat="1" applyFont="1" applyAlignment="1">
      <alignment horizontal="center"/>
    </xf>
    <xf numFmtId="0" fontId="82" fillId="0" borderId="0" xfId="12" applyFont="1" applyAlignment="1">
      <alignment horizontal="justify" vertical="top" wrapText="1"/>
    </xf>
    <xf numFmtId="0" fontId="82" fillId="0" borderId="0" xfId="7" applyFont="1" applyAlignment="1">
      <alignment horizontal="center"/>
    </xf>
    <xf numFmtId="0" fontId="82" fillId="0" borderId="0" xfId="6" applyFont="1" applyAlignment="1">
      <alignment horizontal="justify" vertical="top" wrapText="1"/>
    </xf>
    <xf numFmtId="0" fontId="83" fillId="0" borderId="0" xfId="6" applyFont="1" applyAlignment="1">
      <alignment horizontal="left" vertical="top" wrapText="1"/>
    </xf>
    <xf numFmtId="0" fontId="114" fillId="0" borderId="0" xfId="6" applyAlignment="1">
      <alignment vertical="center" wrapText="1"/>
    </xf>
    <xf numFmtId="49" fontId="89" fillId="0" borderId="0" xfId="6" applyNumberFormat="1" applyFont="1" applyAlignment="1">
      <alignment vertical="top"/>
    </xf>
    <xf numFmtId="0" fontId="82" fillId="0" borderId="0" xfId="6" applyFont="1" applyAlignment="1">
      <alignment vertical="center" wrapText="1"/>
    </xf>
    <xf numFmtId="0" fontId="82" fillId="0" borderId="0" xfId="16" applyFont="1" applyAlignment="1">
      <alignment horizontal="justify" vertical="center" wrapText="1"/>
    </xf>
    <xf numFmtId="1" fontId="82" fillId="0" borderId="0" xfId="16" applyNumberFormat="1" applyFont="1" applyAlignment="1">
      <alignment horizontal="center"/>
    </xf>
    <xf numFmtId="49" fontId="81" fillId="0" borderId="0" xfId="16" applyNumberFormat="1" applyFont="1" applyAlignment="1">
      <alignment vertical="top"/>
    </xf>
    <xf numFmtId="49" fontId="82" fillId="0" borderId="0" xfId="16" applyNumberFormat="1" applyFont="1" applyAlignment="1">
      <alignment vertical="top" wrapText="1"/>
    </xf>
    <xf numFmtId="49" fontId="82" fillId="0" borderId="0" xfId="16" applyNumberFormat="1" applyFont="1"/>
    <xf numFmtId="49" fontId="82" fillId="0" borderId="0" xfId="16" applyNumberFormat="1" applyFont="1" applyAlignment="1">
      <alignment horizontal="center"/>
    </xf>
    <xf numFmtId="4" fontId="82" fillId="0" borderId="0" xfId="16" applyNumberFormat="1" applyFont="1"/>
    <xf numFmtId="2" fontId="83" fillId="0" borderId="8" xfId="20" applyNumberFormat="1" applyFont="1" applyBorder="1" applyAlignment="1">
      <alignment vertical="center" wrapText="1"/>
    </xf>
    <xf numFmtId="0" fontId="84" fillId="0" borderId="0" xfId="6" applyFont="1"/>
    <xf numFmtId="49" fontId="81" fillId="0" borderId="15" xfId="20" applyNumberFormat="1" applyFont="1" applyBorder="1" applyAlignment="1">
      <alignment horizontal="center" vertical="top"/>
    </xf>
    <xf numFmtId="0" fontId="83" fillId="0" borderId="15" xfId="20" applyFont="1" applyBorder="1" applyAlignment="1">
      <alignment horizontal="left" wrapText="1"/>
    </xf>
    <xf numFmtId="4" fontId="83" fillId="0" borderId="0" xfId="20" applyNumberFormat="1" applyFont="1" applyAlignment="1">
      <alignment horizontal="center"/>
    </xf>
    <xf numFmtId="4" fontId="82" fillId="0" borderId="0" xfId="6" applyNumberFormat="1" applyFont="1" applyAlignment="1" applyProtection="1">
      <alignment horizontal="center"/>
      <protection locked="0"/>
    </xf>
    <xf numFmtId="4" fontId="81" fillId="0" borderId="0" xfId="6" applyNumberFormat="1" applyFont="1" applyAlignment="1">
      <alignment horizontal="center" vertical="center" wrapText="1"/>
    </xf>
    <xf numFmtId="0" fontId="82" fillId="0" borderId="0" xfId="20" applyFont="1" applyAlignment="1">
      <alignment horizontal="center"/>
    </xf>
    <xf numFmtId="4" fontId="84" fillId="0" borderId="0" xfId="6" applyNumberFormat="1" applyFont="1" applyAlignment="1" applyProtection="1">
      <alignment horizontal="center" vertical="center" wrapText="1"/>
      <protection locked="0"/>
    </xf>
    <xf numFmtId="49" fontId="81" fillId="0" borderId="12" xfId="6" applyNumberFormat="1" applyFont="1" applyBorder="1" applyAlignment="1">
      <alignment horizontal="center" vertical="top"/>
    </xf>
    <xf numFmtId="49" fontId="82" fillId="0" borderId="12" xfId="6" applyNumberFormat="1" applyFont="1" applyBorder="1" applyAlignment="1">
      <alignment horizontal="left" wrapText="1"/>
    </xf>
    <xf numFmtId="0" fontId="13" fillId="0" borderId="0" xfId="0" applyFont="1" applyAlignment="1">
      <alignment horizontal="right"/>
    </xf>
    <xf numFmtId="167" fontId="13" fillId="0" borderId="0" xfId="0" applyNumberFormat="1" applyFont="1" applyAlignment="1">
      <alignment horizontal="right"/>
    </xf>
    <xf numFmtId="4" fontId="13" fillId="0" borderId="0" xfId="0" applyNumberFormat="1" applyFont="1" applyAlignment="1">
      <alignment horizontal="right"/>
    </xf>
    <xf numFmtId="0" fontId="105" fillId="0" borderId="0" xfId="0" applyFont="1"/>
    <xf numFmtId="0" fontId="13" fillId="0" borderId="0" xfId="0" applyFont="1" applyAlignment="1">
      <alignment horizontal="center" vertical="top"/>
    </xf>
    <xf numFmtId="0" fontId="106" fillId="0" borderId="0" xfId="0" applyFont="1" applyAlignment="1">
      <alignment horizontal="right" vertical="top"/>
    </xf>
    <xf numFmtId="49" fontId="87" fillId="4" borderId="2" xfId="20" applyNumberFormat="1" applyFont="1" applyFill="1" applyBorder="1" applyAlignment="1">
      <alignment horizontal="center" vertical="center"/>
    </xf>
    <xf numFmtId="2" fontId="107" fillId="4" borderId="2" xfId="20" applyNumberFormat="1" applyFont="1" applyFill="1" applyBorder="1" applyAlignment="1">
      <alignment vertical="center"/>
    </xf>
    <xf numFmtId="0" fontId="34" fillId="4" borderId="2" xfId="6" applyFont="1" applyFill="1" applyBorder="1" applyAlignment="1">
      <alignment horizontal="right" vertical="center"/>
    </xf>
    <xf numFmtId="167" fontId="34" fillId="4" borderId="2" xfId="6" applyNumberFormat="1" applyFont="1" applyFill="1" applyBorder="1" applyAlignment="1">
      <alignment horizontal="right" vertical="center"/>
    </xf>
    <xf numFmtId="4" fontId="107" fillId="4" borderId="2" xfId="6" applyNumberFormat="1" applyFont="1" applyFill="1" applyBorder="1" applyAlignment="1">
      <alignment horizontal="right" vertical="center"/>
    </xf>
    <xf numFmtId="167" fontId="106" fillId="0" borderId="0" xfId="0" applyNumberFormat="1" applyFont="1" applyAlignment="1">
      <alignment horizontal="right" vertical="top"/>
    </xf>
    <xf numFmtId="0" fontId="13" fillId="0" borderId="0" xfId="0" applyFont="1" applyAlignment="1">
      <alignment horizontal="center"/>
    </xf>
    <xf numFmtId="0" fontId="13" fillId="0" borderId="0" xfId="0" applyFont="1" applyAlignment="1">
      <alignment horizontal="center" vertical="center" wrapText="1"/>
    </xf>
    <xf numFmtId="167" fontId="13" fillId="0" borderId="0" xfId="0" applyNumberFormat="1" applyFont="1" applyAlignment="1">
      <alignment horizontal="right" vertical="center"/>
    </xf>
    <xf numFmtId="4" fontId="13" fillId="0" borderId="0" xfId="0" applyNumberFormat="1" applyFont="1" applyAlignment="1">
      <alignment horizontal="right" vertical="center"/>
    </xf>
    <xf numFmtId="0" fontId="14" fillId="0" borderId="0" xfId="0" applyFont="1" applyAlignment="1">
      <alignment horizontal="center" vertical="top"/>
    </xf>
    <xf numFmtId="0" fontId="13" fillId="0" borderId="0" xfId="0" applyFont="1" applyAlignment="1">
      <alignment horizontal="right" vertical="top" wrapText="1"/>
    </xf>
    <xf numFmtId="0" fontId="13" fillId="0" borderId="0" xfId="0" applyFont="1" applyAlignment="1">
      <alignment horizontal="justify" vertical="center" wrapText="1"/>
    </xf>
    <xf numFmtId="0" fontId="13" fillId="0" borderId="0" xfId="0" applyFont="1" applyAlignment="1">
      <alignment horizontal="right" vertical="top"/>
    </xf>
    <xf numFmtId="4" fontId="14" fillId="0" borderId="8" xfId="0" applyNumberFormat="1" applyFont="1" applyBorder="1" applyAlignment="1">
      <alignment horizontal="center"/>
    </xf>
    <xf numFmtId="0" fontId="14" fillId="0" borderId="8" xfId="0" applyFont="1" applyBorder="1" applyAlignment="1">
      <alignment horizontal="justify" vertical="top" wrapText="1"/>
    </xf>
    <xf numFmtId="4" fontId="14" fillId="0" borderId="8" xfId="0" applyNumberFormat="1" applyFont="1" applyBorder="1" applyAlignment="1">
      <alignment horizontal="right"/>
    </xf>
    <xf numFmtId="167" fontId="14" fillId="0" borderId="8" xfId="0" applyNumberFormat="1" applyFont="1" applyBorder="1" applyAlignment="1">
      <alignment horizontal="right"/>
    </xf>
    <xf numFmtId="4" fontId="14" fillId="0" borderId="0" xfId="0" applyNumberFormat="1" applyFont="1" applyAlignment="1">
      <alignment horizontal="center"/>
    </xf>
    <xf numFmtId="4" fontId="14" fillId="0" borderId="0" xfId="0" applyNumberFormat="1" applyFont="1" applyAlignment="1">
      <alignment horizontal="right"/>
    </xf>
    <xf numFmtId="167" fontId="14" fillId="0" borderId="0" xfId="0" applyNumberFormat="1" applyFont="1" applyAlignment="1">
      <alignment horizontal="right"/>
    </xf>
    <xf numFmtId="4" fontId="14" fillId="0" borderId="2" xfId="0" applyNumberFormat="1" applyFont="1" applyBorder="1" applyAlignment="1">
      <alignment horizontal="center"/>
    </xf>
    <xf numFmtId="0" fontId="14" fillId="0" borderId="2" xfId="0" applyFont="1" applyBorder="1" applyAlignment="1">
      <alignment horizontal="justify" vertical="top" wrapText="1"/>
    </xf>
    <xf numFmtId="4" fontId="14" fillId="0" borderId="2" xfId="0" applyNumberFormat="1" applyFont="1" applyBorder="1" applyAlignment="1">
      <alignment horizontal="right"/>
    </xf>
    <xf numFmtId="167" fontId="14" fillId="0" borderId="2" xfId="0" applyNumberFormat="1" applyFont="1" applyBorder="1" applyAlignment="1">
      <alignment horizontal="right"/>
    </xf>
    <xf numFmtId="0" fontId="15" fillId="0" borderId="0" xfId="0" applyFont="1" applyAlignment="1">
      <alignment horizontal="center" vertical="top"/>
    </xf>
    <xf numFmtId="0" fontId="15" fillId="0" borderId="0" xfId="0" applyFont="1" applyAlignment="1">
      <alignment horizontal="right"/>
    </xf>
    <xf numFmtId="167" fontId="15" fillId="0" borderId="0" xfId="0" applyNumberFormat="1" applyFont="1" applyAlignment="1">
      <alignment horizontal="right"/>
    </xf>
    <xf numFmtId="4" fontId="15" fillId="0" borderId="0" xfId="0" applyNumberFormat="1" applyFont="1" applyAlignment="1">
      <alignment horizontal="right"/>
    </xf>
    <xf numFmtId="0" fontId="15" fillId="0" borderId="0" xfId="0" applyFont="1" applyAlignment="1">
      <alignment horizontal="right" vertical="top" wrapText="1"/>
    </xf>
    <xf numFmtId="167" fontId="13" fillId="0" borderId="0" xfId="0" applyNumberFormat="1" applyFont="1" applyAlignment="1">
      <alignment horizontal="right" vertical="top" wrapText="1"/>
    </xf>
    <xf numFmtId="0" fontId="14" fillId="0" borderId="2" xfId="0" applyFont="1" applyBorder="1" applyAlignment="1">
      <alignment horizontal="center" vertical="top"/>
    </xf>
    <xf numFmtId="0" fontId="14" fillId="0" borderId="2" xfId="0" applyFont="1" applyBorder="1" applyAlignment="1">
      <alignment vertical="top"/>
    </xf>
    <xf numFmtId="0" fontId="14" fillId="0" borderId="0" xfId="0" applyFont="1" applyAlignment="1">
      <alignment vertical="top"/>
    </xf>
    <xf numFmtId="0" fontId="14" fillId="0" borderId="0" xfId="0" applyFont="1" applyAlignment="1">
      <alignment horizontal="justify" vertical="top"/>
    </xf>
    <xf numFmtId="0" fontId="13" fillId="0" borderId="0" xfId="0" applyFont="1" applyAlignment="1">
      <alignment horizontal="right" vertical="center"/>
    </xf>
    <xf numFmtId="167" fontId="0" fillId="0" borderId="0" xfId="0" applyNumberFormat="1"/>
    <xf numFmtId="0" fontId="13" fillId="0" borderId="2" xfId="0" applyFont="1" applyBorder="1" applyAlignment="1">
      <alignment horizontal="center" vertical="top"/>
    </xf>
    <xf numFmtId="0" fontId="14" fillId="0" borderId="2" xfId="0" applyFont="1" applyBorder="1" applyAlignment="1">
      <alignment horizontal="right"/>
    </xf>
    <xf numFmtId="0" fontId="13" fillId="5" borderId="0" xfId="0" applyFont="1" applyFill="1" applyAlignment="1">
      <alignment vertical="top"/>
    </xf>
    <xf numFmtId="0" fontId="14" fillId="5" borderId="0" xfId="0" applyFont="1" applyFill="1" applyAlignment="1">
      <alignment horizontal="justify" vertical="top" wrapText="1"/>
    </xf>
    <xf numFmtId="4" fontId="17" fillId="5" borderId="0" xfId="0" applyNumberFormat="1" applyFont="1" applyFill="1" applyAlignment="1">
      <alignment horizontal="right"/>
    </xf>
    <xf numFmtId="167" fontId="13" fillId="5" borderId="0" xfId="0" applyNumberFormat="1" applyFont="1" applyFill="1" applyAlignment="1">
      <alignment horizontal="right"/>
    </xf>
    <xf numFmtId="4" fontId="13" fillId="5" borderId="0" xfId="0" applyNumberFormat="1" applyFont="1" applyFill="1" applyAlignment="1">
      <alignment horizontal="right"/>
    </xf>
    <xf numFmtId="0" fontId="13" fillId="5" borderId="0" xfId="0" applyFont="1" applyFill="1" applyAlignment="1">
      <alignment horizontal="right"/>
    </xf>
    <xf numFmtId="0" fontId="13" fillId="5" borderId="0" xfId="0" applyFont="1" applyFill="1" applyAlignment="1">
      <alignment horizontal="center" vertical="top"/>
    </xf>
    <xf numFmtId="0" fontId="13" fillId="5" borderId="0" xfId="0" applyFont="1" applyFill="1" applyAlignment="1">
      <alignment horizontal="justify" vertical="top" wrapText="1"/>
    </xf>
    <xf numFmtId="0" fontId="113" fillId="5" borderId="8" xfId="0" applyFont="1" applyFill="1" applyBorder="1" applyAlignment="1">
      <alignment horizontal="center" vertical="top"/>
    </xf>
    <xf numFmtId="0" fontId="113" fillId="5" borderId="8" xfId="0" applyFont="1" applyFill="1" applyBorder="1" applyAlignment="1">
      <alignment horizontal="justify" vertical="top" wrapText="1"/>
    </xf>
    <xf numFmtId="4" fontId="113" fillId="5" borderId="8" xfId="0" applyNumberFormat="1" applyFont="1" applyFill="1" applyBorder="1" applyAlignment="1">
      <alignment horizontal="right"/>
    </xf>
    <xf numFmtId="167" fontId="113" fillId="5" borderId="8" xfId="0" applyNumberFormat="1" applyFont="1" applyFill="1" applyBorder="1" applyAlignment="1">
      <alignment horizontal="right"/>
    </xf>
    <xf numFmtId="180" fontId="113" fillId="5" borderId="8" xfId="0" applyNumberFormat="1" applyFont="1" applyFill="1" applyBorder="1" applyAlignment="1">
      <alignment horizontal="right"/>
    </xf>
    <xf numFmtId="0" fontId="113" fillId="5" borderId="0" xfId="0" applyFont="1" applyFill="1" applyAlignment="1">
      <alignment horizontal="center" vertical="top"/>
    </xf>
    <xf numFmtId="0" fontId="113" fillId="5" borderId="0" xfId="0" applyFont="1" applyFill="1" applyAlignment="1">
      <alignment horizontal="justify" vertical="top" wrapText="1"/>
    </xf>
    <xf numFmtId="0" fontId="113" fillId="5" borderId="0" xfId="0" applyFont="1" applyFill="1" applyAlignment="1">
      <alignment horizontal="right"/>
    </xf>
    <xf numFmtId="167" fontId="113" fillId="5" borderId="0" xfId="0" applyNumberFormat="1" applyFont="1" applyFill="1" applyAlignment="1">
      <alignment horizontal="right"/>
    </xf>
    <xf numFmtId="4" fontId="113" fillId="5" borderId="0" xfId="0" applyNumberFormat="1" applyFont="1" applyFill="1" applyAlignment="1">
      <alignment horizontal="right"/>
    </xf>
    <xf numFmtId="180" fontId="113" fillId="5" borderId="0" xfId="0" applyNumberFormat="1" applyFont="1" applyFill="1" applyAlignment="1">
      <alignment horizontal="right"/>
    </xf>
    <xf numFmtId="0" fontId="14" fillId="5" borderId="2" xfId="0" applyFont="1" applyFill="1" applyBorder="1" applyAlignment="1">
      <alignment horizontal="justify" vertical="top" wrapText="1"/>
    </xf>
    <xf numFmtId="4" fontId="14" fillId="5" borderId="2" xfId="0" applyNumberFormat="1" applyFont="1" applyFill="1" applyBorder="1" applyAlignment="1">
      <alignment horizontal="right"/>
    </xf>
    <xf numFmtId="167" fontId="14" fillId="5" borderId="2" xfId="0" applyNumberFormat="1" applyFont="1" applyFill="1" applyBorder="1" applyAlignment="1">
      <alignment horizontal="right" vertical="top"/>
    </xf>
    <xf numFmtId="4" fontId="14" fillId="5" borderId="2" xfId="0" applyNumberFormat="1" applyFont="1" applyFill="1" applyBorder="1" applyAlignment="1">
      <alignment horizontal="right" vertical="top"/>
    </xf>
    <xf numFmtId="180" fontId="14" fillId="5" borderId="2" xfId="0" applyNumberFormat="1" applyFont="1" applyFill="1" applyBorder="1" applyAlignment="1">
      <alignment horizontal="right" vertical="top"/>
    </xf>
    <xf numFmtId="4" fontId="14" fillId="5" borderId="0" xfId="0" applyNumberFormat="1" applyFont="1" applyFill="1" applyAlignment="1">
      <alignment horizontal="right"/>
    </xf>
    <xf numFmtId="167" fontId="14" fillId="5" borderId="0" xfId="0" applyNumberFormat="1" applyFont="1" applyFill="1" applyAlignment="1">
      <alignment horizontal="right"/>
    </xf>
    <xf numFmtId="180" fontId="14" fillId="5" borderId="0" xfId="0" applyNumberFormat="1" applyFont="1" applyFill="1" applyAlignment="1">
      <alignment horizontal="right"/>
    </xf>
    <xf numFmtId="4" fontId="14" fillId="5" borderId="8" xfId="0" applyNumberFormat="1" applyFont="1" applyFill="1" applyBorder="1" applyAlignment="1">
      <alignment horizontal="right"/>
    </xf>
    <xf numFmtId="180" fontId="14" fillId="5" borderId="16" xfId="0" applyNumberFormat="1" applyFont="1" applyFill="1" applyBorder="1" applyAlignment="1">
      <alignment horizontal="right" vertical="top"/>
    </xf>
    <xf numFmtId="166" fontId="0" fillId="0" borderId="0" xfId="0" applyNumberFormat="1" applyAlignment="1">
      <alignment horizontal="left"/>
    </xf>
    <xf numFmtId="49" fontId="87" fillId="0" borderId="0" xfId="20" applyNumberFormat="1" applyFont="1" applyAlignment="1">
      <alignment horizontal="center" vertical="top"/>
    </xf>
    <xf numFmtId="0" fontId="13" fillId="0" borderId="0" xfId="20" applyFont="1" applyAlignment="1">
      <alignment horizontal="left" vertical="top" wrapText="1"/>
    </xf>
    <xf numFmtId="166" fontId="21" fillId="0" borderId="0" xfId="0" applyNumberFormat="1" applyFont="1" applyAlignment="1">
      <alignment horizontal="left"/>
    </xf>
    <xf numFmtId="0" fontId="116" fillId="0" borderId="0" xfId="6" applyFont="1" applyAlignment="1">
      <alignment horizontal="left" wrapText="1"/>
    </xf>
    <xf numFmtId="0" fontId="89" fillId="0" borderId="0" xfId="6" applyFont="1" applyAlignment="1">
      <alignment horizontal="center"/>
    </xf>
    <xf numFmtId="178" fontId="117" fillId="0" borderId="0" xfId="6" applyNumberFormat="1" applyFont="1"/>
    <xf numFmtId="0" fontId="118" fillId="0" borderId="0" xfId="6" applyFont="1" applyAlignment="1">
      <alignment horizontal="left" wrapText="1"/>
    </xf>
    <xf numFmtId="0" fontId="115" fillId="0" borderId="0" xfId="6" applyFont="1" applyAlignment="1">
      <alignment horizontal="center"/>
    </xf>
    <xf numFmtId="4" fontId="115" fillId="0" borderId="0" xfId="6" applyNumberFormat="1" applyFont="1"/>
    <xf numFmtId="0" fontId="119" fillId="0" borderId="0" xfId="6" applyFont="1" applyAlignment="1">
      <alignment horizontal="left" wrapText="1"/>
    </xf>
    <xf numFmtId="0" fontId="121" fillId="0" borderId="0" xfId="6" applyFont="1"/>
    <xf numFmtId="0" fontId="122" fillId="0" borderId="0" xfId="6" applyFont="1" applyAlignment="1">
      <alignment horizontal="left" wrapText="1"/>
    </xf>
    <xf numFmtId="0" fontId="123" fillId="0" borderId="0" xfId="6" applyFont="1"/>
    <xf numFmtId="0" fontId="124" fillId="0" borderId="0" xfId="0" applyFont="1" applyAlignment="1">
      <alignment vertical="top" wrapText="1"/>
    </xf>
    <xf numFmtId="0" fontId="124" fillId="0" borderId="0" xfId="0" applyFont="1" applyAlignment="1">
      <alignment horizontal="right" vertical="center"/>
    </xf>
    <xf numFmtId="2" fontId="124" fillId="0" borderId="0" xfId="0" applyNumberFormat="1" applyFont="1" applyAlignment="1">
      <alignment horizontal="center"/>
    </xf>
    <xf numFmtId="4" fontId="124" fillId="0" borderId="0" xfId="15" applyNumberFormat="1" applyFont="1" applyProtection="1">
      <protection locked="0"/>
    </xf>
    <xf numFmtId="4" fontId="124" fillId="0" borderId="0" xfId="0" applyNumberFormat="1" applyFont="1" applyAlignment="1">
      <alignment horizontal="right"/>
    </xf>
    <xf numFmtId="0" fontId="61" fillId="0" borderId="0" xfId="15" applyFont="1" applyAlignment="1">
      <alignment horizontal="right"/>
    </xf>
    <xf numFmtId="4" fontId="125" fillId="0" borderId="0" xfId="15" applyNumberFormat="1" applyFont="1" applyAlignment="1">
      <alignment horizontal="right" wrapText="1"/>
    </xf>
    <xf numFmtId="4" fontId="81" fillId="0" borderId="17" xfId="6" applyNumberFormat="1" applyFont="1" applyBorder="1" applyAlignment="1">
      <alignment horizontal="right"/>
    </xf>
    <xf numFmtId="0" fontId="81" fillId="0" borderId="18" xfId="6" applyFont="1" applyBorder="1" applyAlignment="1">
      <alignment horizontal="right"/>
    </xf>
    <xf numFmtId="4" fontId="89" fillId="0" borderId="0" xfId="6" applyNumberFormat="1" applyFont="1" applyAlignment="1">
      <alignment vertical="center"/>
    </xf>
    <xf numFmtId="4" fontId="81" fillId="0" borderId="0" xfId="6" applyNumberFormat="1" applyFont="1" applyAlignment="1">
      <alignment vertical="top"/>
    </xf>
    <xf numFmtId="4" fontId="81" fillId="0" borderId="0" xfId="6" applyNumberFormat="1" applyFont="1" applyAlignment="1">
      <alignment horizontal="right" wrapText="1"/>
    </xf>
    <xf numFmtId="4" fontId="81" fillId="0" borderId="0" xfId="7" applyNumberFormat="1" applyFont="1" applyAlignment="1">
      <alignment horizontal="right"/>
    </xf>
    <xf numFmtId="4" fontId="89" fillId="0" borderId="0" xfId="6" applyNumberFormat="1" applyFont="1" applyAlignment="1">
      <alignment horizontal="right"/>
    </xf>
    <xf numFmtId="4" fontId="81" fillId="0" borderId="0" xfId="16" applyNumberFormat="1" applyFont="1"/>
    <xf numFmtId="0" fontId="10" fillId="0" borderId="0" xfId="0" applyFont="1" applyAlignment="1">
      <alignment horizontal="left" vertical="top"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center" vertical="center" wrapText="1"/>
    </xf>
    <xf numFmtId="0" fontId="14"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justify" vertical="top" wrapText="1"/>
    </xf>
    <xf numFmtId="0" fontId="13" fillId="0" borderId="0" xfId="10" applyFont="1" applyAlignment="1">
      <alignment horizontal="left" vertical="top" wrapText="1"/>
    </xf>
    <xf numFmtId="49" fontId="13" fillId="0" borderId="0" xfId="10" applyNumberFormat="1" applyFont="1" applyAlignment="1">
      <alignment horizontal="left" vertical="top" wrapText="1"/>
    </xf>
    <xf numFmtId="0" fontId="14" fillId="0" borderId="0" xfId="0" applyFont="1" applyAlignment="1">
      <alignment horizontal="justify" vertical="top" wrapText="1"/>
    </xf>
    <xf numFmtId="0" fontId="13" fillId="0" borderId="0" xfId="0" applyFont="1" applyAlignment="1">
      <alignment wrapText="1"/>
    </xf>
    <xf numFmtId="0" fontId="13" fillId="0" borderId="0" xfId="0" applyFont="1" applyAlignment="1">
      <alignment horizontal="left" wrapText="1"/>
    </xf>
    <xf numFmtId="0" fontId="13" fillId="0" borderId="0" xfId="0" applyFont="1" applyAlignment="1">
      <alignment horizontal="left"/>
    </xf>
    <xf numFmtId="0" fontId="16" fillId="0" borderId="0" xfId="0" applyFont="1" applyAlignment="1">
      <alignment horizontal="left" vertical="top" wrapText="1"/>
    </xf>
    <xf numFmtId="0" fontId="19" fillId="2" borderId="0" xfId="0" applyFont="1" applyFill="1" applyAlignment="1">
      <alignment horizontal="left" vertical="top"/>
    </xf>
    <xf numFmtId="0" fontId="20" fillId="2" borderId="0" xfId="0" applyFont="1" applyFill="1" applyAlignment="1">
      <alignment horizontal="left" vertical="top"/>
    </xf>
    <xf numFmtId="0" fontId="20" fillId="0" borderId="0" xfId="0" applyFont="1" applyAlignment="1">
      <alignment horizontal="left" vertical="center" wrapText="1"/>
    </xf>
    <xf numFmtId="166" fontId="8" fillId="0" borderId="0" xfId="0" applyNumberFormat="1" applyFont="1" applyAlignment="1">
      <alignment horizontal="left" vertical="center"/>
    </xf>
    <xf numFmtId="0" fontId="22" fillId="2" borderId="0" xfId="0" applyFont="1" applyFill="1" applyAlignment="1">
      <alignment horizontal="left" vertical="top"/>
    </xf>
    <xf numFmtId="169" fontId="0" fillId="0" borderId="0" xfId="0" applyNumberFormat="1" applyAlignment="1">
      <alignment horizontal="left" vertical="center"/>
    </xf>
    <xf numFmtId="0" fontId="0" fillId="0" borderId="0" xfId="0" applyAlignment="1">
      <alignment horizontal="justify" vertical="top" wrapText="1"/>
    </xf>
    <xf numFmtId="169" fontId="19" fillId="2" borderId="0" xfId="0" applyNumberFormat="1" applyFont="1" applyFill="1" applyAlignment="1">
      <alignment horizontal="left" vertical="top" wrapText="1"/>
    </xf>
    <xf numFmtId="169" fontId="20" fillId="2" borderId="0" xfId="0" applyNumberFormat="1" applyFont="1" applyFill="1" applyAlignment="1">
      <alignment horizontal="left" vertical="top" wrapText="1"/>
    </xf>
    <xf numFmtId="169" fontId="20" fillId="0" borderId="0" xfId="0" applyNumberFormat="1" applyFont="1" applyAlignment="1">
      <alignment horizontal="left" vertical="center" wrapText="1"/>
    </xf>
    <xf numFmtId="0" fontId="27" fillId="3" borderId="0" xfId="0" applyFont="1" applyFill="1" applyAlignment="1">
      <alignment horizontal="center" vertical="center" wrapText="1"/>
    </xf>
    <xf numFmtId="0" fontId="25" fillId="0" borderId="0" xfId="0" applyFont="1" applyAlignment="1">
      <alignment vertical="top" wrapText="1"/>
    </xf>
    <xf numFmtId="0" fontId="29" fillId="0" borderId="5" xfId="15" applyFont="1" applyBorder="1" applyAlignment="1">
      <alignment horizontal="left" vertical="center" wrapText="1"/>
    </xf>
    <xf numFmtId="0" fontId="29" fillId="0" borderId="5" xfId="15" applyFont="1" applyBorder="1" applyAlignment="1">
      <alignment horizontal="center" vertical="center" wrapText="1"/>
    </xf>
    <xf numFmtId="0" fontId="25" fillId="0" borderId="0" xfId="15" applyFont="1" applyAlignment="1">
      <alignment horizontal="left" vertical="top" wrapText="1"/>
    </xf>
    <xf numFmtId="0" fontId="25" fillId="0" borderId="0" xfId="0" applyFont="1" applyAlignment="1">
      <alignment horizontal="left"/>
    </xf>
    <xf numFmtId="0" fontId="25" fillId="0" borderId="0" xfId="0" applyFont="1" applyAlignment="1">
      <alignment horizontal="center" vertical="center"/>
    </xf>
    <xf numFmtId="0" fontId="27" fillId="3" borderId="0" xfId="0" applyFont="1" applyFill="1" applyAlignment="1">
      <alignment vertical="center" wrapText="1"/>
    </xf>
    <xf numFmtId="0" fontId="31" fillId="0" borderId="0" xfId="0" applyFont="1" applyAlignment="1">
      <alignment horizontal="center" vertical="top" wrapText="1"/>
    </xf>
    <xf numFmtId="0" fontId="31" fillId="0" borderId="6" xfId="0" applyFont="1" applyBorder="1" applyAlignment="1">
      <alignment horizontal="right" vertical="center" wrapText="1"/>
    </xf>
    <xf numFmtId="0" fontId="83" fillId="0" borderId="0" xfId="20" applyFont="1" applyAlignment="1">
      <alignment wrapText="1"/>
    </xf>
    <xf numFmtId="0" fontId="106" fillId="0" borderId="0" xfId="0" applyFont="1" applyAlignment="1">
      <alignment horizontal="right" vertical="top"/>
    </xf>
    <xf numFmtId="0" fontId="108" fillId="0" borderId="0" xfId="0" applyFont="1" applyAlignment="1">
      <alignment horizontal="right" vertical="top"/>
    </xf>
    <xf numFmtId="166" fontId="20" fillId="2" borderId="0" xfId="0" applyNumberFormat="1" applyFont="1" applyFill="1" applyAlignment="1">
      <alignment horizontal="left" vertical="top"/>
    </xf>
    <xf numFmtId="43" fontId="0" fillId="0" borderId="0" xfId="22" applyFont="1"/>
    <xf numFmtId="0" fontId="8" fillId="0" borderId="0" xfId="0" applyFont="1" applyAlignment="1">
      <alignment horizontal="left" vertical="top" wrapText="1"/>
    </xf>
    <xf numFmtId="166" fontId="0" fillId="0" borderId="0" xfId="0" applyNumberFormat="1"/>
  </cellXfs>
  <cellStyles count="23">
    <cellStyle name="Comma_H.KORALJ  i RUBIN - Tender troškovnik za sobe Ver 01. -24.11.05" xfId="1" xr:uid="{00000000-0005-0000-0000-000006000000}"/>
    <cellStyle name="Excel Built-in Normal 2" xfId="21" xr:uid="{00000000-0005-0000-0000-00001A000000}"/>
    <cellStyle name="komadi" xfId="2" xr:uid="{00000000-0005-0000-0000-000007000000}"/>
    <cellStyle name="nabrajanje" xfId="3" xr:uid="{00000000-0005-0000-0000-000008000000}"/>
    <cellStyle name="napomene_2" xfId="4" xr:uid="{00000000-0005-0000-0000-000009000000}"/>
    <cellStyle name="Naslov" xfId="5" xr:uid="{00000000-0005-0000-0000-00000A000000}"/>
    <cellStyle name="Normal 10 2" xfId="6" xr:uid="{00000000-0005-0000-0000-00000B000000}"/>
    <cellStyle name="Normal 2" xfId="7" xr:uid="{00000000-0005-0000-0000-00000C000000}"/>
    <cellStyle name="Normal 3" xfId="8" xr:uid="{00000000-0005-0000-0000-00000D000000}"/>
    <cellStyle name="Normal 4" xfId="9" xr:uid="{00000000-0005-0000-0000-00000E000000}"/>
    <cellStyle name="Normal 4 10" xfId="10" xr:uid="{00000000-0005-0000-0000-00000F000000}"/>
    <cellStyle name="Normal 48" xfId="11" xr:uid="{00000000-0005-0000-0000-000010000000}"/>
    <cellStyle name="Normal 8 2" xfId="12" xr:uid="{00000000-0005-0000-0000-000011000000}"/>
    <cellStyle name="Normal_Sheet1" xfId="13" xr:uid="{00000000-0005-0000-0000-000012000000}"/>
    <cellStyle name="Normal_TROSKOVNIK-revizija2 2" xfId="14" xr:uid="{00000000-0005-0000-0000-000013000000}"/>
    <cellStyle name="Normalno" xfId="0" builtinId="0"/>
    <cellStyle name="Normalno 2" xfId="15" xr:uid="{00000000-0005-0000-0000-000014000000}"/>
    <cellStyle name="Obično 2 2" xfId="16" xr:uid="{00000000-0005-0000-0000-000015000000}"/>
    <cellStyle name="Obično_08.08.07-TROŠKOVNIK_STROJARSTVO_LAPAD" xfId="17" xr:uid="{00000000-0005-0000-0000-000016000000}"/>
    <cellStyle name="Obično_Špranca" xfId="18" xr:uid="{00000000-0005-0000-0000-000017000000}"/>
    <cellStyle name="Rezultat2" xfId="19" xr:uid="{00000000-0005-0000-0000-000018000000}"/>
    <cellStyle name="Style 1" xfId="20" xr:uid="{00000000-0005-0000-0000-000019000000}"/>
    <cellStyle name="Zarez" xfId="22" builtinId="3"/>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0A"/>
      <rgbColor rgb="FF808000"/>
      <rgbColor rgb="FF800080"/>
      <rgbColor rgb="FF008080"/>
      <rgbColor rgb="FFC0C0C0"/>
      <rgbColor rgb="FF808080"/>
      <rgbColor rgb="FF9999FF"/>
      <rgbColor rgb="FF993366"/>
      <rgbColor rgb="FFFFFFCC"/>
      <rgbColor rgb="FFDCE6F2"/>
      <rgbColor rgb="FF660066"/>
      <rgbColor rgb="FFFF8080"/>
      <rgbColor rgb="FF0070C0"/>
      <rgbColor rgb="FFD3D3D3"/>
      <rgbColor rgb="FF000080"/>
      <rgbColor rgb="FFFF00FF"/>
      <rgbColor rgb="FFFFFF00"/>
      <rgbColor rgb="FF00FFFF"/>
      <rgbColor rgb="FF800080"/>
      <rgbColor rgb="FF800000"/>
      <rgbColor rgb="FF008080"/>
      <rgbColor rgb="FF0000CC"/>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100440</xdr:colOff>
      <xdr:row>242</xdr:row>
      <xdr:rowOff>10080</xdr:rowOff>
    </xdr:from>
    <xdr:to>
      <xdr:col>9</xdr:col>
      <xdr:colOff>213120</xdr:colOff>
      <xdr:row>246</xdr:row>
      <xdr:rowOff>41400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100440" y="96374520"/>
          <a:ext cx="5359680" cy="678960"/>
        </a:xfrm>
        <a:custGeom>
          <a:avLst/>
          <a:gdLst>
            <a:gd name="textAreaLeft" fmla="*/ 0 w 5359680"/>
            <a:gd name="textAreaRight" fmla="*/ 5360760 w 5359680"/>
            <a:gd name="textAreaTop" fmla="*/ 0 h 678960"/>
            <a:gd name="textAreaBottom" fmla="*/ 680400 h 678960"/>
          </a:gdLst>
          <a:ahLst/>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0">
          <a:noFill/>
        </a:ln>
      </xdr:spPr>
      <xdr:style>
        <a:lnRef idx="0">
          <a:scrgbClr r="0" g="0" b="0"/>
        </a:lnRef>
        <a:fillRef idx="0">
          <a:scrgbClr r="0" g="0" b="0"/>
        </a:fillRef>
        <a:effectRef idx="0">
          <a:scrgbClr r="0" g="0" b="0"/>
        </a:effectRef>
        <a:fontRef idx="minor"/>
      </xdr:style>
      <xdr:txBody>
        <a:bodyPr lIns="0" tIns="22680" rIns="0" bIns="0" anchor="t">
          <a:noAutofit/>
        </a:bodyPr>
        <a:lstStyle/>
        <a:p>
          <a:pPr>
            <a:lnSpc>
              <a:spcPct val="100000"/>
            </a:lnSpc>
          </a:pPr>
          <a:r>
            <a:rPr lang="hr-HR" sz="1000" b="0" strike="noStrike" spc="-1">
              <a:solidFill>
                <a:srgbClr val="000000"/>
              </a:solidFill>
              <a:latin typeface="Arial"/>
              <a:ea typeface="DejaVu Sans"/>
            </a:rPr>
            <a:t>Obračun se vrši razvijanjem svih istaka, tako da se dobije stvarno uređena površina. Pravila kod obračuna radova:</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U cijenu stavki ulazi ugradnja svih potrebnih okapnih tipskih profila na istacima i prepustima fasade</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Otvori (npr. prozori) oko kojih postoje uložine (špalete) do 20 cm širine, odbijaju se na slijedeće načine:</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Otvori veličine do 3,0 m2 ne odbijaju se i njihove se uložine ne obračunavaju</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Kod otvora veličine 3,0 - 5,0 m2 odbija se površina preko 3,0 m2, a uložine se ne obračunavaju posebno</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Kod otvora veličine preko 5,0 m2 odbija se površina preko 3,0 m2, a uložine se obračunavaju posebno</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Ako su uložine šire od 20 cm onda se višak preko 20 cm obračunava posebno po m2.</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Fasadne površine, bilo da su obrađene umjetnim kamenom, plemenitom žbukom, plastičnom žbukom, fasadnom bojom s otapalima ili na bilo koji drugi način, obračunavaju se po m2, s tim što će se svi elementi na fasadi (udubine, istake, trake, vijenci, prozorske klupčice, brisoleji, međuprozorski stupci, grede, pilastri, utori i slično), bez obzira radi li se ručno ili kalupom, obračunavati u m i pretvarati u m2, na slijedeći način:</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do 12 cm, za 1,00 m računa se 0,35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12 do 18 cm, za 1,00 m računa se 0,50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18 do 25 cm, za 1,00 m računa se 0,75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25 do 50 cm, za 1,00 m računa se 1,00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50 do 75 cm, za 1,00 m računa se 1,25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75 do 100 cm, za 1,00 m računa se 1,50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50 do 75 cm, za 1,00 m računa se 1,25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75 do 100 cm, za 1,00 m računa se 1,50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100 do 125 cm, za 1,00 m računa se 1,75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Razvijene površine od 125 do 150 cm, za 1,00 m računa se 2,00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Utori razvijene širine do 5 cm, za 1,00 m računa se 0,25 m2</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Ovo proračunavanje vrijedi ukoliko postoje do 4 ruba. Ako ima više rubova, dodaje se za svaki rub 20 %, a najviše 40 % od gornjih vrijednosti. Svaka oblina računa se kao i rub.</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1" strike="noStrike" spc="-1">
              <a:solidFill>
                <a:srgbClr val="000000"/>
              </a:solidFill>
              <a:latin typeface="Arial"/>
              <a:ea typeface="DejaVu Sans"/>
            </a:rPr>
            <a:t>Izrada fasadne skele</a:t>
          </a:r>
          <a:endParaRPr lang="hr-HR" sz="1000" b="0" strike="noStrike" spc="-1">
            <a:latin typeface="Times New Roman"/>
          </a:endParaRPr>
        </a:p>
        <a:p>
          <a:pPr>
            <a:lnSpc>
              <a:spcPct val="100000"/>
            </a:lnSpc>
          </a:pP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Za izradu fasadne skele normativom vremena obuhvaćene su sve pomoćne radnje, te prijenos elemenata skele do 40 m horizontalno i prosječno 20 m vertikalno. Način obračuna fasadne skele:</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Horizontalno – na obje dužine zgrade (duža strana objekta) dodaje se po 1,20 m' na oba kraja za povezivanje sa bočnim stranama skele, dok se za bočne strane (kraće strane objekta) uzima čisti razmak između unutrašnjih vertikalnih stupova skele postavljene na uzdužnim stranama</a:t>
          </a:r>
          <a:endParaRPr lang="hr-HR" sz="1000" b="0" strike="noStrike" spc="-1">
            <a:latin typeface="Times New Roman"/>
          </a:endParaRPr>
        </a:p>
        <a:p>
          <a:pPr>
            <a:lnSpc>
              <a:spcPct val="100000"/>
            </a:lnSpc>
          </a:pPr>
          <a:r>
            <a:rPr lang="hr-HR" sz="1000" b="0" strike="noStrike" spc="-1">
              <a:solidFill>
                <a:srgbClr val="000000"/>
              </a:solidFill>
              <a:latin typeface="Arial"/>
              <a:ea typeface="DejaVu Sans"/>
            </a:rPr>
            <a:t>Vertikalno – računa se od kote terena do zadnje platforme plus 1 m', do visine zadnjeg gelendera (zaštitne ograde) Kod fasada koje imaju razne istake (npr. Balkoni) osnovnoj dužini objekta dodaju se bočne stranice balkona </a:t>
          </a:r>
          <a:endParaRPr lang="hr-HR" sz="1000" b="0" strike="noStrike" spc="-1">
            <a:latin typeface="Times New Roman"/>
          </a:endParaRPr>
        </a:p>
        <a:p>
          <a:pPr>
            <a:lnSpc>
              <a:spcPct val="100000"/>
            </a:lnSpc>
          </a:pPr>
          <a:endParaRPr lang="hr-HR" sz="10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885960</xdr:colOff>
      <xdr:row>1</xdr:row>
      <xdr:rowOff>271800</xdr:rowOff>
    </xdr:to>
    <xdr:pic>
      <xdr:nvPicPr>
        <xdr:cNvPr id="2" name="Slika 1" descr="mem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lum contrast="20000"/>
        </a:blip>
        <a:stretch/>
      </xdr:blipFill>
      <xdr:spPr>
        <a:xfrm>
          <a:off x="0" y="0"/>
          <a:ext cx="5678280" cy="900360"/>
        </a:xfrm>
        <a:prstGeom prst="rect">
          <a:avLst/>
        </a:prstGeom>
        <a:ln w="0">
          <a:noFill/>
        </a:ln>
      </xdr:spPr>
    </xdr:pic>
    <xdr:clientData/>
  </xdr:twoCellAnchor>
  <xdr:twoCellAnchor>
    <xdr:from>
      <xdr:col>5</xdr:col>
      <xdr:colOff>181080</xdr:colOff>
      <xdr:row>28</xdr:row>
      <xdr:rowOff>28080</xdr:rowOff>
    </xdr:from>
    <xdr:to>
      <xdr:col>6</xdr:col>
      <xdr:colOff>885960</xdr:colOff>
      <xdr:row>29</xdr:row>
      <xdr:rowOff>14040</xdr:rowOff>
    </xdr:to>
    <xdr:pic>
      <xdr:nvPicPr>
        <xdr:cNvPr id="3" name="Picture 54">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tretch/>
      </xdr:blipFill>
      <xdr:spPr>
        <a:xfrm>
          <a:off x="4174560" y="12458160"/>
          <a:ext cx="1503720" cy="862200"/>
        </a:xfrm>
        <a:prstGeom prst="rect">
          <a:avLst/>
        </a:prstGeom>
        <a:ln w="0">
          <a:noFill/>
        </a:ln>
      </xdr:spPr>
    </xdr:pic>
    <xdr:clientData/>
  </xdr:twoCellAnchor>
</xdr:wsDr>
</file>

<file path=xl/theme/theme1.xml><?xml version="1.0" encoding="utf-8"?>
<a:theme xmlns:a="http://schemas.openxmlformats.org/drawingml/2006/main" name="Tema sustava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5"/>
  <sheetViews>
    <sheetView zoomScale="90" zoomScaleNormal="90" workbookViewId="0">
      <selection activeCell="B10" sqref="B10"/>
    </sheetView>
  </sheetViews>
  <sheetFormatPr defaultColWidth="11.88671875" defaultRowHeight="13.2"/>
  <cols>
    <col min="1" max="1" width="8.6640625" customWidth="1"/>
    <col min="2" max="2" width="20.6640625" customWidth="1"/>
    <col min="3" max="4" width="14.44140625" customWidth="1"/>
    <col min="5" max="5" width="15.88671875" customWidth="1"/>
    <col min="6" max="6" width="8.6640625" customWidth="1"/>
  </cols>
  <sheetData>
    <row r="2" spans="2:5">
      <c r="B2" s="7" t="s">
        <v>0</v>
      </c>
      <c r="C2" s="8"/>
      <c r="D2" s="8"/>
      <c r="E2" s="8"/>
    </row>
    <row r="3" spans="2:5">
      <c r="B3" s="9"/>
      <c r="C3" s="10"/>
      <c r="D3" s="8"/>
      <c r="E3" s="8"/>
    </row>
    <row r="4" spans="2:5">
      <c r="B4" s="7" t="s">
        <v>1</v>
      </c>
      <c r="C4" s="8"/>
      <c r="D4" s="8"/>
      <c r="E4" s="11"/>
    </row>
    <row r="5" spans="2:5">
      <c r="C5" s="6"/>
      <c r="D5" s="6"/>
      <c r="E5" s="6"/>
    </row>
    <row r="6" spans="2:5">
      <c r="C6" s="6"/>
      <c r="D6" s="6"/>
      <c r="E6" s="6"/>
    </row>
    <row r="7" spans="2:5">
      <c r="C7" s="6"/>
      <c r="D7" s="6"/>
      <c r="E7" s="6"/>
    </row>
    <row r="8" spans="2:5">
      <c r="C8" s="6"/>
      <c r="D8" s="6"/>
      <c r="E8" s="6"/>
    </row>
    <row r="9" spans="2:5" ht="56.25" customHeight="1">
      <c r="B9" s="12" t="s">
        <v>2</v>
      </c>
      <c r="C9" s="744" t="s">
        <v>3</v>
      </c>
      <c r="D9" s="744"/>
      <c r="E9" s="744"/>
    </row>
    <row r="10" spans="2:5" ht="41.25" customHeight="1">
      <c r="B10" s="12" t="s">
        <v>4</v>
      </c>
      <c r="C10" s="745" t="s">
        <v>5</v>
      </c>
      <c r="D10" s="745"/>
      <c r="E10" s="745"/>
    </row>
    <row r="11" spans="2:5" ht="40.5" customHeight="1">
      <c r="B11" s="12" t="s">
        <v>6</v>
      </c>
      <c r="C11" s="745" t="s">
        <v>7</v>
      </c>
      <c r="D11" s="745"/>
      <c r="E11" s="745"/>
    </row>
    <row r="12" spans="2:5" ht="12" customHeight="1">
      <c r="B12" s="12" t="s">
        <v>8</v>
      </c>
      <c r="C12" s="746" t="s">
        <v>9</v>
      </c>
      <c r="D12" s="746"/>
      <c r="E12" s="746"/>
    </row>
    <row r="13" spans="2:5" ht="12" customHeight="1">
      <c r="B13" s="12" t="s">
        <v>10</v>
      </c>
      <c r="C13" s="746" t="s">
        <v>11</v>
      </c>
      <c r="D13" s="746"/>
      <c r="E13" s="746"/>
    </row>
    <row r="14" spans="2:5" ht="12" customHeight="1">
      <c r="B14" s="12" t="s">
        <v>12</v>
      </c>
      <c r="C14" s="746" t="s">
        <v>13</v>
      </c>
      <c r="D14" s="746"/>
      <c r="E14" s="746"/>
    </row>
    <row r="15" spans="2:5" ht="12" customHeight="1">
      <c r="B15" s="12" t="s">
        <v>14</v>
      </c>
      <c r="C15" s="746" t="s">
        <v>15</v>
      </c>
      <c r="D15" s="746"/>
      <c r="E15" s="746"/>
    </row>
    <row r="16" spans="2:5" ht="12" customHeight="1">
      <c r="B16" s="12" t="s">
        <v>16</v>
      </c>
      <c r="C16" s="746" t="s">
        <v>17</v>
      </c>
      <c r="D16" s="746"/>
      <c r="E16" s="746"/>
    </row>
    <row r="17" spans="2:6" ht="34.5" customHeight="1">
      <c r="B17" s="12" t="s">
        <v>18</v>
      </c>
      <c r="C17" s="746" t="s">
        <v>19</v>
      </c>
      <c r="D17" s="746"/>
      <c r="E17" s="746"/>
    </row>
    <row r="18" spans="2:6">
      <c r="C18" s="6"/>
      <c r="D18" s="6"/>
      <c r="E18" s="6"/>
    </row>
    <row r="19" spans="2:6">
      <c r="C19" s="6"/>
      <c r="D19" s="6"/>
      <c r="E19" s="6"/>
    </row>
    <row r="20" spans="2:6">
      <c r="C20" s="6"/>
      <c r="D20" s="6"/>
      <c r="E20" s="6"/>
    </row>
    <row r="21" spans="2:6">
      <c r="C21" s="6"/>
      <c r="D21" s="6"/>
      <c r="E21" s="6"/>
    </row>
    <row r="22" spans="2:6">
      <c r="C22" s="6"/>
      <c r="D22" s="6"/>
      <c r="E22" s="6"/>
    </row>
    <row r="23" spans="2:6" ht="12" customHeight="1">
      <c r="B23" s="13" t="s">
        <v>20</v>
      </c>
      <c r="C23" s="6"/>
      <c r="D23" s="6"/>
      <c r="E23" s="747" t="s">
        <v>21</v>
      </c>
      <c r="F23" s="747"/>
    </row>
    <row r="24" spans="2:6">
      <c r="B24" s="13"/>
      <c r="C24" s="6"/>
      <c r="D24" s="6"/>
      <c r="E24" s="6"/>
    </row>
    <row r="25" spans="2:6">
      <c r="B25" t="s">
        <v>22</v>
      </c>
      <c r="C25" s="6"/>
      <c r="D25" s="6"/>
      <c r="E25" s="6"/>
    </row>
  </sheetData>
  <mergeCells count="10">
    <mergeCell ref="C14:E14"/>
    <mergeCell ref="C15:E15"/>
    <mergeCell ref="C16:E16"/>
    <mergeCell ref="C17:E17"/>
    <mergeCell ref="E23:F23"/>
    <mergeCell ref="C9:E9"/>
    <mergeCell ref="C10:E10"/>
    <mergeCell ref="C11:E11"/>
    <mergeCell ref="C12:E12"/>
    <mergeCell ref="C13:E13"/>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Roman,Normalni"&amp;12&amp;A</oddHeader>
    <oddFooter>&amp;C&amp;"Times New Roman,Normalni"&amp;12Stranica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8"/>
  <sheetViews>
    <sheetView topLeftCell="A46" zoomScale="90" zoomScaleNormal="90" workbookViewId="0">
      <selection activeCell="B18" sqref="B18:J18"/>
    </sheetView>
  </sheetViews>
  <sheetFormatPr defaultColWidth="12.109375" defaultRowHeight="13.2"/>
  <cols>
    <col min="1" max="1" width="5.6640625" style="14" customWidth="1"/>
    <col min="2" max="2" width="11.5546875" style="2" customWidth="1"/>
    <col min="3" max="3" width="11.5546875" style="14" customWidth="1"/>
    <col min="4" max="4" width="7.5546875" style="14" customWidth="1"/>
    <col min="5" max="5" width="7.109375" style="14" customWidth="1"/>
    <col min="6" max="6" width="4.44140625" style="14" customWidth="1"/>
    <col min="7" max="7" width="11.5546875" style="14" customWidth="1"/>
    <col min="8" max="8" width="3.44140625" style="14" customWidth="1"/>
    <col min="9" max="10" width="11.5546875" style="14" customWidth="1"/>
  </cols>
  <sheetData>
    <row r="1" spans="1:10" ht="14.25" customHeight="1">
      <c r="A1" s="15" t="s">
        <v>23</v>
      </c>
      <c r="B1" s="748" t="s">
        <v>24</v>
      </c>
      <c r="C1" s="748"/>
      <c r="D1" s="748"/>
      <c r="E1" s="748"/>
      <c r="F1" s="748"/>
      <c r="G1" s="748"/>
      <c r="H1" s="748"/>
      <c r="I1" s="748"/>
      <c r="J1" s="748"/>
    </row>
    <row r="2" spans="1:10">
      <c r="A2" s="15"/>
      <c r="B2" s="16"/>
      <c r="C2" s="15"/>
      <c r="E2" s="1"/>
    </row>
    <row r="3" spans="1:10" ht="105.75" customHeight="1">
      <c r="A3" s="15"/>
      <c r="B3" s="749" t="s">
        <v>25</v>
      </c>
      <c r="C3" s="749"/>
      <c r="D3" s="749"/>
      <c r="E3" s="749"/>
      <c r="F3" s="749"/>
      <c r="G3" s="749"/>
      <c r="H3" s="749"/>
      <c r="I3" s="749"/>
      <c r="J3" s="749"/>
    </row>
    <row r="4" spans="1:10" ht="59.25" customHeight="1">
      <c r="A4" s="15"/>
      <c r="B4" s="749" t="s">
        <v>26</v>
      </c>
      <c r="C4" s="749"/>
      <c r="D4" s="749"/>
      <c r="E4" s="749"/>
      <c r="F4" s="749"/>
      <c r="G4" s="749"/>
      <c r="H4" s="749"/>
      <c r="I4" s="749"/>
      <c r="J4" s="749"/>
    </row>
    <row r="5" spans="1:10" ht="99" customHeight="1">
      <c r="A5" s="15"/>
      <c r="B5" s="749" t="s">
        <v>27</v>
      </c>
      <c r="C5" s="749"/>
      <c r="D5" s="749"/>
      <c r="E5" s="749"/>
      <c r="F5" s="749"/>
      <c r="G5" s="749"/>
      <c r="H5" s="749"/>
      <c r="I5" s="749"/>
      <c r="J5" s="749"/>
    </row>
    <row r="6" spans="1:10" ht="40.5" customHeight="1">
      <c r="A6" s="15"/>
      <c r="B6" s="749" t="s">
        <v>28</v>
      </c>
      <c r="C6" s="749"/>
      <c r="D6" s="749"/>
      <c r="E6" s="749"/>
      <c r="F6" s="749"/>
      <c r="G6" s="749"/>
      <c r="H6" s="749"/>
      <c r="I6" s="749"/>
      <c r="J6" s="749"/>
    </row>
    <row r="7" spans="1:10" ht="55.5" customHeight="1">
      <c r="A7" s="15"/>
      <c r="B7" s="749" t="s">
        <v>29</v>
      </c>
      <c r="C7" s="749"/>
      <c r="D7" s="749"/>
      <c r="E7" s="749"/>
      <c r="F7" s="749"/>
      <c r="G7" s="749"/>
      <c r="H7" s="749"/>
      <c r="I7" s="749"/>
      <c r="J7" s="749"/>
    </row>
    <row r="8" spans="1:10" ht="57" customHeight="1">
      <c r="A8" s="15"/>
      <c r="B8" s="749" t="s">
        <v>30</v>
      </c>
      <c r="C8" s="749"/>
      <c r="D8" s="749"/>
      <c r="E8" s="749"/>
      <c r="F8" s="749"/>
      <c r="G8" s="749"/>
      <c r="H8" s="749"/>
      <c r="I8" s="749"/>
      <c r="J8" s="749"/>
    </row>
    <row r="9" spans="1:10" ht="43.5" customHeight="1">
      <c r="A9" s="15"/>
      <c r="B9" s="749" t="s">
        <v>31</v>
      </c>
      <c r="C9" s="749"/>
      <c r="D9" s="749"/>
      <c r="E9" s="749"/>
      <c r="F9" s="749"/>
      <c r="G9" s="749"/>
      <c r="H9" s="749"/>
      <c r="I9" s="749"/>
      <c r="J9" s="749"/>
    </row>
    <row r="10" spans="1:10" ht="14.25" customHeight="1">
      <c r="A10" s="15"/>
      <c r="B10" s="749" t="s">
        <v>32</v>
      </c>
      <c r="C10" s="749"/>
      <c r="D10" s="749"/>
      <c r="E10" s="749"/>
      <c r="F10" s="749"/>
      <c r="G10" s="749"/>
      <c r="H10" s="749"/>
      <c r="I10" s="749"/>
      <c r="J10" s="749"/>
    </row>
    <row r="11" spans="1:10" ht="39.75" customHeight="1">
      <c r="A11" s="15"/>
      <c r="B11" s="749" t="s">
        <v>33</v>
      </c>
      <c r="C11" s="749"/>
      <c r="D11" s="749"/>
      <c r="E11" s="749"/>
      <c r="F11" s="749"/>
      <c r="G11" s="749"/>
      <c r="H11" s="749"/>
      <c r="I11" s="749"/>
      <c r="J11" s="749"/>
    </row>
    <row r="12" spans="1:10">
      <c r="A12" s="15"/>
      <c r="B12" s="5"/>
      <c r="C12" s="5"/>
      <c r="D12" s="5"/>
      <c r="E12" s="5"/>
      <c r="F12" s="5"/>
      <c r="G12" s="5"/>
      <c r="H12" s="5"/>
    </row>
    <row r="13" spans="1:10" ht="14.25" customHeight="1">
      <c r="A13" s="15"/>
      <c r="B13" s="749" t="s">
        <v>34</v>
      </c>
      <c r="C13" s="749"/>
      <c r="D13" s="749"/>
      <c r="E13" s="749"/>
      <c r="F13" s="749"/>
      <c r="G13" s="749"/>
      <c r="H13" s="749"/>
      <c r="I13" s="749"/>
      <c r="J13" s="749"/>
    </row>
    <row r="14" spans="1:10">
      <c r="A14" s="15"/>
      <c r="B14" s="749"/>
      <c r="C14" s="749"/>
      <c r="D14" s="749"/>
      <c r="E14" s="749"/>
      <c r="F14" s="749"/>
      <c r="G14" s="749"/>
      <c r="H14" s="749"/>
      <c r="I14" s="749"/>
      <c r="J14" s="749"/>
    </row>
    <row r="15" spans="1:10" ht="93" customHeight="1">
      <c r="A15" s="15"/>
      <c r="B15" s="749" t="s">
        <v>35</v>
      </c>
      <c r="C15" s="749"/>
      <c r="D15" s="749"/>
      <c r="E15" s="749"/>
      <c r="F15" s="749"/>
      <c r="G15" s="749"/>
      <c r="H15" s="749"/>
      <c r="I15" s="749"/>
      <c r="J15" s="749"/>
    </row>
    <row r="16" spans="1:10" ht="26.25" customHeight="1">
      <c r="A16" s="15"/>
      <c r="B16" s="749" t="s">
        <v>36</v>
      </c>
      <c r="C16" s="749"/>
      <c r="D16" s="749"/>
      <c r="E16" s="749"/>
      <c r="F16" s="749"/>
      <c r="G16" s="749"/>
      <c r="H16" s="749"/>
      <c r="I16" s="749"/>
      <c r="J16" s="749"/>
    </row>
    <row r="17" spans="1:10" ht="26.25" customHeight="1">
      <c r="A17" s="15"/>
      <c r="B17" s="749" t="s">
        <v>37</v>
      </c>
      <c r="C17" s="749"/>
      <c r="D17" s="749"/>
      <c r="E17" s="749"/>
      <c r="F17" s="749"/>
      <c r="G17" s="749"/>
      <c r="H17" s="749"/>
      <c r="I17" s="749"/>
      <c r="J17" s="749"/>
    </row>
    <row r="18" spans="1:10" ht="87.75" customHeight="1">
      <c r="A18" s="15"/>
      <c r="B18" s="749" t="s">
        <v>38</v>
      </c>
      <c r="C18" s="749"/>
      <c r="D18" s="749"/>
      <c r="E18" s="749"/>
      <c r="F18" s="749"/>
      <c r="G18" s="749"/>
      <c r="H18" s="749"/>
      <c r="I18" s="749"/>
      <c r="J18" s="749"/>
    </row>
    <row r="19" spans="1:10">
      <c r="B19" s="16" t="s">
        <v>39</v>
      </c>
      <c r="C19" s="15"/>
      <c r="D19" s="15"/>
      <c r="E19" s="15"/>
      <c r="F19" s="17"/>
      <c r="G19" s="15"/>
    </row>
    <row r="20" spans="1:10" ht="66" customHeight="1">
      <c r="B20" s="749" t="s">
        <v>40</v>
      </c>
      <c r="C20" s="749"/>
      <c r="D20" s="749"/>
      <c r="E20" s="749"/>
      <c r="F20" s="749"/>
      <c r="G20" s="749"/>
      <c r="H20" s="749"/>
      <c r="I20" s="749"/>
      <c r="J20" s="749"/>
    </row>
    <row r="21" spans="1:10" ht="101.25" customHeight="1">
      <c r="B21" s="749" t="s">
        <v>41</v>
      </c>
      <c r="C21" s="749"/>
      <c r="D21" s="749"/>
      <c r="E21" s="749"/>
      <c r="F21" s="749"/>
      <c r="G21" s="749"/>
      <c r="H21" s="749"/>
      <c r="I21" s="749"/>
      <c r="J21" s="749"/>
    </row>
    <row r="22" spans="1:10" ht="86.25" customHeight="1">
      <c r="B22" s="749" t="s">
        <v>42</v>
      </c>
      <c r="C22" s="749"/>
      <c r="D22" s="749"/>
      <c r="E22" s="749"/>
      <c r="F22" s="749"/>
      <c r="G22" s="749"/>
      <c r="H22" s="749"/>
      <c r="I22" s="749"/>
      <c r="J22" s="749"/>
    </row>
    <row r="23" spans="1:10" ht="68.25" customHeight="1">
      <c r="B23" s="749" t="s">
        <v>43</v>
      </c>
      <c r="C23" s="749"/>
      <c r="D23" s="749"/>
      <c r="E23" s="749"/>
      <c r="F23" s="749"/>
      <c r="G23" s="749"/>
      <c r="H23" s="749"/>
      <c r="I23" s="749"/>
      <c r="J23" s="749"/>
    </row>
    <row r="24" spans="1:10">
      <c r="B24" s="5"/>
      <c r="C24" s="5"/>
      <c r="D24" s="5"/>
      <c r="E24" s="5"/>
      <c r="F24" s="5"/>
      <c r="G24" s="5"/>
      <c r="H24" s="5"/>
      <c r="I24" s="5"/>
      <c r="J24" s="5"/>
    </row>
    <row r="25" spans="1:10">
      <c r="B25" s="16" t="s">
        <v>44</v>
      </c>
      <c r="C25" s="15"/>
      <c r="D25" s="15"/>
      <c r="E25" s="15"/>
      <c r="F25" s="17"/>
      <c r="G25" s="15"/>
    </row>
    <row r="26" spans="1:10" ht="120" customHeight="1">
      <c r="B26" s="749" t="s">
        <v>45</v>
      </c>
      <c r="C26" s="749"/>
      <c r="D26" s="749"/>
      <c r="E26" s="749"/>
      <c r="F26" s="749"/>
      <c r="G26" s="749"/>
      <c r="H26" s="749"/>
      <c r="I26" s="749"/>
      <c r="J26" s="749"/>
    </row>
    <row r="27" spans="1:10">
      <c r="B27" s="5"/>
      <c r="C27" s="5"/>
      <c r="D27" s="5"/>
      <c r="E27" s="5"/>
      <c r="F27" s="5"/>
      <c r="G27" s="5"/>
      <c r="H27" s="5"/>
      <c r="I27" s="5"/>
      <c r="J27" s="5"/>
    </row>
    <row r="28" spans="1:10" ht="12" customHeight="1">
      <c r="B28" s="748" t="s">
        <v>46</v>
      </c>
      <c r="C28" s="748"/>
      <c r="D28" s="748"/>
      <c r="E28" s="748"/>
      <c r="F28" s="748"/>
      <c r="G28" s="748"/>
      <c r="H28" s="748"/>
      <c r="I28" s="748"/>
      <c r="J28" s="748"/>
    </row>
    <row r="29" spans="1:10" ht="14.25" customHeight="1">
      <c r="A29" s="15"/>
      <c r="B29" s="750" t="s">
        <v>47</v>
      </c>
      <c r="C29" s="750"/>
      <c r="D29" s="750"/>
      <c r="E29" s="750"/>
      <c r="F29" s="750"/>
      <c r="G29" s="750"/>
      <c r="H29" s="750"/>
      <c r="I29" s="750"/>
      <c r="J29" s="750"/>
    </row>
    <row r="30" spans="1:10">
      <c r="A30" s="15"/>
      <c r="B30" s="750"/>
      <c r="C30" s="750"/>
      <c r="D30" s="750"/>
      <c r="E30" s="750"/>
      <c r="F30" s="750"/>
      <c r="G30" s="750"/>
      <c r="H30" s="750"/>
      <c r="I30" s="750"/>
      <c r="J30" s="750"/>
    </row>
    <row r="31" spans="1:10">
      <c r="A31" s="15"/>
      <c r="B31" s="750"/>
      <c r="C31" s="750"/>
      <c r="D31" s="750"/>
      <c r="E31" s="750"/>
      <c r="F31" s="750"/>
      <c r="G31" s="750"/>
      <c r="H31" s="750"/>
      <c r="I31" s="750"/>
      <c r="J31" s="750"/>
    </row>
    <row r="32" spans="1:10">
      <c r="A32" s="15"/>
      <c r="B32" s="750"/>
      <c r="C32" s="750"/>
      <c r="D32" s="750"/>
      <c r="E32" s="750"/>
      <c r="F32" s="750"/>
      <c r="G32" s="750"/>
      <c r="H32" s="750"/>
      <c r="I32" s="750"/>
      <c r="J32" s="750"/>
    </row>
    <row r="33" spans="1:10">
      <c r="A33" s="15"/>
      <c r="B33" s="750"/>
      <c r="C33" s="750"/>
      <c r="D33" s="750"/>
      <c r="E33" s="750"/>
      <c r="F33" s="750"/>
      <c r="G33" s="750"/>
      <c r="H33" s="750"/>
      <c r="I33" s="750"/>
      <c r="J33" s="750"/>
    </row>
    <row r="34" spans="1:10">
      <c r="A34" s="15"/>
      <c r="B34" s="750"/>
      <c r="C34" s="750"/>
      <c r="D34" s="750"/>
      <c r="E34" s="750"/>
      <c r="F34" s="750"/>
      <c r="G34" s="750"/>
      <c r="H34" s="750"/>
      <c r="I34" s="750"/>
      <c r="J34" s="750"/>
    </row>
    <row r="35" spans="1:10" ht="28.5" customHeight="1">
      <c r="A35" s="15"/>
      <c r="B35" s="750"/>
      <c r="C35" s="750"/>
      <c r="D35" s="750"/>
      <c r="E35" s="750"/>
      <c r="F35" s="750"/>
      <c r="G35" s="750"/>
      <c r="H35" s="750"/>
      <c r="I35" s="750"/>
      <c r="J35" s="750"/>
    </row>
    <row r="36" spans="1:10" ht="14.25" customHeight="1">
      <c r="A36" s="15"/>
      <c r="B36" s="749" t="s">
        <v>48</v>
      </c>
      <c r="C36" s="749"/>
      <c r="D36" s="749"/>
      <c r="E36" s="749"/>
      <c r="F36" s="749"/>
      <c r="G36" s="749"/>
      <c r="H36" s="749"/>
      <c r="I36" s="749"/>
      <c r="J36" s="749"/>
    </row>
    <row r="37" spans="1:10">
      <c r="A37" s="15"/>
      <c r="B37" s="749"/>
      <c r="C37" s="749"/>
      <c r="D37" s="749"/>
      <c r="E37" s="749"/>
      <c r="F37" s="749"/>
      <c r="G37" s="749"/>
      <c r="H37" s="749"/>
      <c r="I37" s="749"/>
      <c r="J37" s="749"/>
    </row>
    <row r="38" spans="1:10">
      <c r="A38" s="15"/>
      <c r="B38" s="749"/>
      <c r="C38" s="749"/>
      <c r="D38" s="749"/>
      <c r="E38" s="749"/>
      <c r="F38" s="749"/>
      <c r="G38" s="749"/>
      <c r="H38" s="749"/>
      <c r="I38" s="749"/>
      <c r="J38" s="749"/>
    </row>
    <row r="39" spans="1:10">
      <c r="A39" s="15"/>
      <c r="B39" s="749"/>
      <c r="C39" s="749"/>
      <c r="D39" s="749"/>
      <c r="E39" s="749"/>
      <c r="F39" s="749"/>
      <c r="G39" s="749"/>
      <c r="H39" s="749"/>
      <c r="I39" s="749"/>
      <c r="J39" s="749"/>
    </row>
    <row r="40" spans="1:10">
      <c r="A40" s="15"/>
      <c r="B40" s="749"/>
      <c r="C40" s="749"/>
      <c r="D40" s="749"/>
      <c r="E40" s="749"/>
      <c r="F40" s="749"/>
      <c r="G40" s="749"/>
      <c r="H40" s="749"/>
      <c r="I40" s="749"/>
      <c r="J40" s="749"/>
    </row>
    <row r="41" spans="1:10">
      <c r="B41" s="16" t="s">
        <v>49</v>
      </c>
      <c r="C41" s="15"/>
      <c r="D41" s="15"/>
      <c r="E41" s="15"/>
      <c r="F41" s="17"/>
      <c r="G41" s="15"/>
    </row>
    <row r="42" spans="1:10" ht="14.25" customHeight="1">
      <c r="A42" s="15"/>
      <c r="B42" s="750" t="s">
        <v>50</v>
      </c>
      <c r="C42" s="750"/>
      <c r="D42" s="750"/>
      <c r="E42" s="750"/>
      <c r="F42" s="750"/>
      <c r="G42" s="750"/>
      <c r="H42" s="750"/>
      <c r="I42" s="750"/>
      <c r="J42" s="750"/>
    </row>
    <row r="43" spans="1:10">
      <c r="A43" s="15"/>
      <c r="B43" s="750"/>
      <c r="C43" s="750"/>
      <c r="D43" s="750"/>
      <c r="E43" s="750"/>
      <c r="F43" s="750"/>
      <c r="G43" s="750"/>
      <c r="H43" s="750"/>
      <c r="I43" s="750"/>
      <c r="J43" s="750"/>
    </row>
    <row r="44" spans="1:10">
      <c r="A44" s="15"/>
      <c r="B44" s="750"/>
      <c r="C44" s="750"/>
      <c r="D44" s="750"/>
      <c r="E44" s="750"/>
      <c r="F44" s="750"/>
      <c r="G44" s="750"/>
      <c r="H44" s="750"/>
      <c r="I44" s="750"/>
      <c r="J44" s="750"/>
    </row>
    <row r="45" spans="1:10">
      <c r="A45" s="15"/>
      <c r="B45" s="750"/>
      <c r="C45" s="750"/>
      <c r="D45" s="750"/>
      <c r="E45" s="750"/>
      <c r="F45" s="750"/>
      <c r="G45" s="750"/>
      <c r="H45" s="750"/>
      <c r="I45" s="750"/>
      <c r="J45" s="750"/>
    </row>
    <row r="46" spans="1:10" ht="12" customHeight="1">
      <c r="A46" s="15"/>
      <c r="B46" s="748" t="s">
        <v>51</v>
      </c>
      <c r="C46" s="748"/>
      <c r="D46" s="748"/>
      <c r="E46" s="748"/>
      <c r="F46" s="748"/>
      <c r="G46" s="748"/>
      <c r="H46" s="748"/>
      <c r="I46" s="748"/>
      <c r="J46" s="748"/>
    </row>
    <row r="47" spans="1:10" ht="118.5" customHeight="1">
      <c r="A47" s="15"/>
      <c r="B47" s="750" t="s">
        <v>52</v>
      </c>
      <c r="C47" s="750"/>
      <c r="D47" s="750"/>
      <c r="E47" s="750"/>
      <c r="F47" s="750"/>
      <c r="G47" s="750"/>
      <c r="H47" s="750"/>
      <c r="I47" s="750"/>
      <c r="J47" s="750"/>
    </row>
    <row r="48" spans="1:10">
      <c r="A48" s="15"/>
      <c r="B48" s="4"/>
      <c r="C48" s="18"/>
      <c r="D48" s="18"/>
      <c r="E48" s="19"/>
      <c r="F48" s="20"/>
      <c r="G48" s="18"/>
      <c r="H48" s="18"/>
    </row>
    <row r="49" spans="1:10" ht="12" customHeight="1">
      <c r="A49" s="15"/>
      <c r="B49" s="748" t="s">
        <v>53</v>
      </c>
      <c r="C49" s="748"/>
      <c r="D49" s="748"/>
      <c r="E49" s="748"/>
      <c r="F49" s="748"/>
      <c r="G49" s="748"/>
      <c r="H49" s="748"/>
      <c r="I49" s="748"/>
      <c r="J49" s="748"/>
    </row>
    <row r="50" spans="1:10" ht="19.5" customHeight="1">
      <c r="A50" s="15"/>
      <c r="B50" s="750" t="s">
        <v>54</v>
      </c>
      <c r="C50" s="750"/>
      <c r="D50" s="750"/>
      <c r="E50" s="750"/>
      <c r="F50" s="750"/>
      <c r="G50" s="750"/>
      <c r="H50" s="750"/>
      <c r="I50" s="750"/>
      <c r="J50" s="750"/>
    </row>
    <row r="51" spans="1:10">
      <c r="A51" s="15"/>
      <c r="B51" s="750"/>
      <c r="C51" s="750"/>
      <c r="D51" s="750"/>
      <c r="E51" s="750"/>
      <c r="F51" s="750"/>
      <c r="G51" s="750"/>
      <c r="H51" s="750"/>
      <c r="I51" s="750"/>
      <c r="J51" s="750"/>
    </row>
    <row r="52" spans="1:10">
      <c r="A52" s="15"/>
      <c r="B52" s="750"/>
      <c r="C52" s="750"/>
      <c r="D52" s="750"/>
      <c r="E52" s="750"/>
      <c r="F52" s="750"/>
      <c r="G52" s="750"/>
      <c r="H52" s="750"/>
      <c r="I52" s="750"/>
      <c r="J52" s="750"/>
    </row>
    <row r="53" spans="1:10">
      <c r="A53" s="15"/>
      <c r="B53" s="750"/>
      <c r="C53" s="750"/>
      <c r="D53" s="750"/>
      <c r="E53" s="750"/>
      <c r="F53" s="750"/>
      <c r="G53" s="750"/>
      <c r="H53" s="750"/>
      <c r="I53" s="750"/>
      <c r="J53" s="750"/>
    </row>
    <row r="54" spans="1:10">
      <c r="A54" s="15"/>
      <c r="B54" s="750"/>
      <c r="C54" s="750"/>
      <c r="D54" s="750"/>
      <c r="E54" s="750"/>
      <c r="F54" s="750"/>
      <c r="G54" s="750"/>
      <c r="H54" s="750"/>
      <c r="I54" s="750"/>
      <c r="J54" s="750"/>
    </row>
    <row r="55" spans="1:10" ht="12" customHeight="1">
      <c r="A55" s="15"/>
      <c r="B55" s="748" t="s">
        <v>55</v>
      </c>
      <c r="C55" s="748"/>
      <c r="D55" s="748"/>
      <c r="E55" s="748"/>
      <c r="F55" s="748"/>
      <c r="G55" s="748"/>
      <c r="H55" s="748"/>
      <c r="I55" s="748"/>
      <c r="J55" s="748"/>
    </row>
    <row r="56" spans="1:10" ht="26.25" customHeight="1">
      <c r="A56" s="15"/>
      <c r="B56" s="750" t="s">
        <v>56</v>
      </c>
      <c r="C56" s="750"/>
      <c r="D56" s="750"/>
      <c r="E56" s="750"/>
      <c r="F56" s="750"/>
      <c r="G56" s="750"/>
      <c r="H56" s="750"/>
      <c r="I56" s="750"/>
      <c r="J56" s="750"/>
    </row>
    <row r="57" spans="1:10">
      <c r="A57" s="15"/>
      <c r="B57" s="21"/>
      <c r="C57" s="22"/>
      <c r="D57" s="22"/>
      <c r="E57" s="23"/>
      <c r="F57" s="24"/>
      <c r="G57" s="22"/>
      <c r="H57" s="22"/>
    </row>
    <row r="58" spans="1:10" ht="12" customHeight="1">
      <c r="A58" s="15"/>
      <c r="B58" s="748" t="s">
        <v>57</v>
      </c>
      <c r="C58" s="748"/>
      <c r="D58" s="748"/>
      <c r="E58" s="748"/>
      <c r="F58" s="748"/>
      <c r="G58" s="748"/>
      <c r="H58" s="748"/>
      <c r="I58" s="748"/>
      <c r="J58" s="748"/>
    </row>
    <row r="59" spans="1:10" ht="14.25" customHeight="1">
      <c r="A59" s="15"/>
      <c r="B59" s="750" t="s">
        <v>58</v>
      </c>
      <c r="C59" s="750"/>
      <c r="D59" s="750"/>
      <c r="E59" s="750"/>
      <c r="F59" s="750"/>
      <c r="G59" s="750"/>
      <c r="H59" s="750"/>
      <c r="I59" s="750"/>
      <c r="J59" s="750"/>
    </row>
    <row r="60" spans="1:10">
      <c r="A60" s="15"/>
      <c r="B60" s="750"/>
      <c r="C60" s="750"/>
      <c r="D60" s="750"/>
      <c r="E60" s="750"/>
      <c r="F60" s="750"/>
      <c r="G60" s="750"/>
      <c r="H60" s="750"/>
      <c r="I60" s="750"/>
      <c r="J60" s="750"/>
    </row>
    <row r="61" spans="1:10">
      <c r="A61" s="15"/>
      <c r="B61" s="750"/>
      <c r="C61" s="750"/>
      <c r="D61" s="750"/>
      <c r="E61" s="750"/>
      <c r="F61" s="750"/>
      <c r="G61" s="750"/>
      <c r="H61" s="750"/>
      <c r="I61" s="750"/>
      <c r="J61" s="750"/>
    </row>
    <row r="62" spans="1:10">
      <c r="A62" s="15"/>
      <c r="B62" s="750"/>
      <c r="C62" s="750"/>
      <c r="D62" s="750"/>
      <c r="E62" s="750"/>
      <c r="F62" s="750"/>
      <c r="G62" s="750"/>
      <c r="H62" s="750"/>
      <c r="I62" s="750"/>
      <c r="J62" s="750"/>
    </row>
    <row r="63" spans="1:10">
      <c r="A63" s="15"/>
      <c r="B63" s="750"/>
      <c r="C63" s="750"/>
      <c r="D63" s="750"/>
      <c r="E63" s="750"/>
      <c r="F63" s="750"/>
      <c r="G63" s="750"/>
      <c r="H63" s="750"/>
      <c r="I63" s="750"/>
      <c r="J63" s="750"/>
    </row>
    <row r="64" spans="1:10" ht="14.25" customHeight="1">
      <c r="A64" s="15"/>
      <c r="B64" s="750" t="s">
        <v>59</v>
      </c>
      <c r="C64" s="750"/>
      <c r="D64" s="750"/>
      <c r="E64" s="750"/>
      <c r="F64" s="750"/>
      <c r="G64" s="750"/>
      <c r="H64" s="750"/>
      <c r="I64" s="750"/>
      <c r="J64" s="750"/>
    </row>
    <row r="65" spans="1:10">
      <c r="A65" s="15"/>
      <c r="B65" s="750"/>
      <c r="C65" s="750"/>
      <c r="D65" s="750"/>
      <c r="E65" s="750"/>
      <c r="F65" s="750"/>
      <c r="G65" s="750"/>
      <c r="H65" s="750"/>
      <c r="I65" s="750"/>
      <c r="J65" s="750"/>
    </row>
    <row r="66" spans="1:10">
      <c r="A66" s="15"/>
      <c r="B66" s="750"/>
      <c r="C66" s="750"/>
      <c r="D66" s="750"/>
      <c r="E66" s="750"/>
      <c r="F66" s="750"/>
      <c r="G66" s="750"/>
      <c r="H66" s="750"/>
      <c r="I66" s="750"/>
      <c r="J66" s="750"/>
    </row>
    <row r="67" spans="1:10">
      <c r="A67" s="15"/>
      <c r="B67" s="750"/>
      <c r="C67" s="750"/>
      <c r="D67" s="750"/>
      <c r="E67" s="750"/>
      <c r="F67" s="750"/>
      <c r="G67" s="750"/>
      <c r="H67" s="750"/>
      <c r="I67" s="750"/>
      <c r="J67" s="750"/>
    </row>
    <row r="68" spans="1:10">
      <c r="A68" s="15"/>
      <c r="B68" s="750"/>
      <c r="C68" s="750"/>
      <c r="D68" s="750"/>
      <c r="E68" s="750"/>
      <c r="F68" s="750"/>
      <c r="G68" s="750"/>
      <c r="H68" s="750"/>
      <c r="I68" s="750"/>
      <c r="J68" s="750"/>
    </row>
    <row r="69" spans="1:10" ht="36.75" customHeight="1">
      <c r="A69" s="15"/>
      <c r="B69" s="750" t="s">
        <v>60</v>
      </c>
      <c r="C69" s="750"/>
      <c r="D69" s="750"/>
      <c r="E69" s="750"/>
      <c r="F69" s="750"/>
      <c r="G69" s="750"/>
      <c r="H69" s="750"/>
      <c r="I69" s="750"/>
      <c r="J69" s="750"/>
    </row>
    <row r="70" spans="1:10" ht="14.25" customHeight="1">
      <c r="A70" s="15"/>
      <c r="B70" s="750" t="s">
        <v>61</v>
      </c>
      <c r="C70" s="750"/>
      <c r="D70" s="750"/>
      <c r="E70" s="750"/>
      <c r="F70" s="750"/>
      <c r="G70" s="750"/>
      <c r="H70" s="750"/>
      <c r="I70" s="750"/>
      <c r="J70" s="750"/>
    </row>
    <row r="71" spans="1:10" ht="54" customHeight="1">
      <c r="A71" s="15"/>
      <c r="B71" s="750" t="s">
        <v>62</v>
      </c>
      <c r="C71" s="750"/>
      <c r="D71" s="750"/>
      <c r="E71" s="750"/>
      <c r="F71" s="750"/>
      <c r="G71" s="750"/>
      <c r="H71" s="750"/>
      <c r="I71" s="750"/>
      <c r="J71" s="750"/>
    </row>
    <row r="72" spans="1:10" ht="12" customHeight="1">
      <c r="A72" s="15"/>
      <c r="B72" s="748" t="s">
        <v>63</v>
      </c>
      <c r="C72" s="748"/>
      <c r="D72" s="748"/>
      <c r="E72" s="748"/>
      <c r="F72" s="748"/>
      <c r="G72" s="748"/>
      <c r="H72" s="748"/>
      <c r="I72" s="748"/>
      <c r="J72" s="748"/>
    </row>
    <row r="73" spans="1:10" ht="14.25" customHeight="1">
      <c r="A73" s="15"/>
      <c r="B73" s="750" t="s">
        <v>64</v>
      </c>
      <c r="C73" s="750"/>
      <c r="D73" s="750"/>
      <c r="E73" s="750"/>
      <c r="F73" s="750"/>
      <c r="G73" s="750"/>
      <c r="H73" s="750"/>
      <c r="I73" s="750"/>
      <c r="J73" s="750"/>
    </row>
    <row r="74" spans="1:10">
      <c r="A74" s="15"/>
      <c r="B74" s="750"/>
      <c r="C74" s="750"/>
      <c r="D74" s="750"/>
      <c r="E74" s="750"/>
      <c r="F74" s="750"/>
      <c r="G74" s="750"/>
      <c r="H74" s="750"/>
      <c r="I74" s="750"/>
      <c r="J74" s="750"/>
    </row>
    <row r="75" spans="1:10">
      <c r="A75" s="15"/>
      <c r="B75" s="750"/>
      <c r="C75" s="750"/>
      <c r="D75" s="750"/>
      <c r="E75" s="750"/>
      <c r="F75" s="750"/>
      <c r="G75" s="750"/>
      <c r="H75" s="750"/>
      <c r="I75" s="750"/>
      <c r="J75" s="750"/>
    </row>
    <row r="76" spans="1:10">
      <c r="A76" s="15"/>
      <c r="B76" s="750"/>
      <c r="C76" s="750"/>
      <c r="D76" s="750"/>
      <c r="E76" s="750"/>
      <c r="F76" s="750"/>
      <c r="G76" s="750"/>
      <c r="H76" s="750"/>
      <c r="I76" s="750"/>
      <c r="J76" s="750"/>
    </row>
    <row r="77" spans="1:10">
      <c r="A77" s="15"/>
      <c r="B77" s="750"/>
      <c r="C77" s="750"/>
      <c r="D77" s="750"/>
      <c r="E77" s="750"/>
      <c r="F77" s="750"/>
      <c r="G77" s="750"/>
      <c r="H77" s="750"/>
      <c r="I77" s="750"/>
      <c r="J77" s="750"/>
    </row>
    <row r="78" spans="1:10">
      <c r="A78" s="15"/>
      <c r="B78" s="750"/>
      <c r="C78" s="750"/>
      <c r="D78" s="750"/>
      <c r="E78" s="750"/>
      <c r="F78" s="750"/>
      <c r="G78" s="750"/>
      <c r="H78" s="750"/>
      <c r="I78" s="750"/>
      <c r="J78" s="750"/>
    </row>
    <row r="79" spans="1:10">
      <c r="A79" s="15"/>
      <c r="B79" s="750"/>
      <c r="C79" s="750"/>
      <c r="D79" s="750"/>
      <c r="E79" s="750"/>
      <c r="F79" s="750"/>
      <c r="G79" s="750"/>
      <c r="H79" s="750"/>
      <c r="I79" s="750"/>
      <c r="J79" s="750"/>
    </row>
    <row r="80" spans="1:10" ht="14.25" customHeight="1">
      <c r="A80" s="15"/>
      <c r="B80" s="750" t="s">
        <v>65</v>
      </c>
      <c r="C80" s="750"/>
      <c r="D80" s="750"/>
      <c r="E80" s="750"/>
      <c r="F80" s="750"/>
      <c r="G80" s="750"/>
      <c r="H80" s="750"/>
      <c r="I80" s="750"/>
      <c r="J80" s="750"/>
    </row>
    <row r="81" spans="1:10">
      <c r="A81" s="15"/>
      <c r="B81" s="750"/>
      <c r="C81" s="750"/>
      <c r="D81" s="750"/>
      <c r="E81" s="750"/>
      <c r="F81" s="750"/>
      <c r="G81" s="750"/>
      <c r="H81" s="750"/>
      <c r="I81" s="750"/>
      <c r="J81" s="750"/>
    </row>
    <row r="82" spans="1:10" ht="18" customHeight="1">
      <c r="A82" s="15"/>
      <c r="B82" s="750"/>
      <c r="C82" s="750"/>
      <c r="D82" s="750"/>
      <c r="E82" s="750"/>
      <c r="F82" s="750"/>
      <c r="G82" s="750"/>
      <c r="H82" s="750"/>
      <c r="I82" s="750"/>
      <c r="J82" s="750"/>
    </row>
    <row r="83" spans="1:10" ht="12" customHeight="1">
      <c r="A83" s="15"/>
      <c r="B83" s="748" t="s">
        <v>66</v>
      </c>
      <c r="C83" s="748"/>
      <c r="D83" s="748"/>
      <c r="E83" s="748"/>
      <c r="F83" s="748"/>
      <c r="G83" s="748"/>
      <c r="H83" s="748"/>
      <c r="I83" s="748"/>
      <c r="J83" s="748"/>
    </row>
    <row r="84" spans="1:10" ht="14.25" customHeight="1">
      <c r="A84" s="15"/>
      <c r="B84" s="750" t="s">
        <v>67</v>
      </c>
      <c r="C84" s="750"/>
      <c r="D84" s="750"/>
      <c r="E84" s="750"/>
      <c r="F84" s="750"/>
      <c r="G84" s="750"/>
      <c r="H84" s="750"/>
      <c r="I84" s="750"/>
      <c r="J84" s="750"/>
    </row>
    <row r="85" spans="1:10">
      <c r="A85" s="15"/>
      <c r="B85" s="750"/>
      <c r="C85" s="750"/>
      <c r="D85" s="750"/>
      <c r="E85" s="750"/>
      <c r="F85" s="750"/>
      <c r="G85" s="750"/>
      <c r="H85" s="750"/>
      <c r="I85" s="750"/>
      <c r="J85" s="750"/>
    </row>
    <row r="86" spans="1:10">
      <c r="A86" s="15"/>
      <c r="B86" s="750"/>
      <c r="C86" s="750"/>
      <c r="D86" s="750"/>
      <c r="E86" s="750"/>
      <c r="F86" s="750"/>
      <c r="G86" s="750"/>
      <c r="H86" s="750"/>
      <c r="I86" s="750"/>
      <c r="J86" s="750"/>
    </row>
    <row r="87" spans="1:10" ht="12" customHeight="1">
      <c r="A87" s="15"/>
      <c r="B87" s="748" t="s">
        <v>68</v>
      </c>
      <c r="C87" s="748"/>
      <c r="D87" s="748"/>
      <c r="E87" s="748"/>
      <c r="F87" s="748"/>
      <c r="G87" s="748"/>
      <c r="H87" s="748"/>
      <c r="I87" s="748"/>
      <c r="J87" s="748"/>
    </row>
    <row r="88" spans="1:10" ht="14.25" customHeight="1">
      <c r="A88" s="15"/>
      <c r="B88" s="750" t="s">
        <v>69</v>
      </c>
      <c r="C88" s="750"/>
      <c r="D88" s="750"/>
      <c r="E88" s="750"/>
      <c r="F88" s="750"/>
      <c r="G88" s="750"/>
      <c r="H88" s="750"/>
      <c r="I88" s="750"/>
      <c r="J88" s="750"/>
    </row>
    <row r="89" spans="1:10">
      <c r="A89" s="15"/>
      <c r="B89" s="750"/>
      <c r="C89" s="750"/>
      <c r="D89" s="750"/>
      <c r="E89" s="750"/>
      <c r="F89" s="750"/>
      <c r="G89" s="750"/>
      <c r="H89" s="750"/>
      <c r="I89" s="750"/>
      <c r="J89" s="750"/>
    </row>
    <row r="90" spans="1:10" ht="15" customHeight="1">
      <c r="A90" s="15"/>
      <c r="B90" s="750"/>
      <c r="C90" s="750"/>
      <c r="D90" s="750"/>
      <c r="E90" s="750"/>
      <c r="F90" s="750"/>
      <c r="G90" s="750"/>
      <c r="H90" s="750"/>
      <c r="I90" s="750"/>
      <c r="J90" s="750"/>
    </row>
    <row r="91" spans="1:10" ht="30" customHeight="1">
      <c r="A91" s="15"/>
      <c r="B91" s="750"/>
      <c r="C91" s="750"/>
      <c r="D91" s="750"/>
      <c r="E91" s="750"/>
      <c r="F91" s="750"/>
      <c r="G91" s="750"/>
      <c r="H91" s="750"/>
      <c r="I91" s="750"/>
      <c r="J91" s="750"/>
    </row>
    <row r="92" spans="1:10" ht="12" customHeight="1">
      <c r="A92" s="15"/>
      <c r="B92" s="748" t="s">
        <v>70</v>
      </c>
      <c r="C92" s="748"/>
      <c r="D92" s="748"/>
      <c r="E92" s="748"/>
      <c r="F92" s="748"/>
      <c r="G92" s="748"/>
      <c r="H92" s="748"/>
      <c r="I92" s="748"/>
      <c r="J92" s="748"/>
    </row>
    <row r="93" spans="1:10" ht="14.25" customHeight="1">
      <c r="A93" s="15"/>
      <c r="B93" s="749" t="s">
        <v>71</v>
      </c>
      <c r="C93" s="749"/>
      <c r="D93" s="749"/>
      <c r="E93" s="749"/>
      <c r="F93" s="749"/>
      <c r="G93" s="749"/>
      <c r="H93" s="749"/>
      <c r="I93" s="749"/>
      <c r="J93" s="749"/>
    </row>
    <row r="94" spans="1:10">
      <c r="A94" s="15"/>
      <c r="B94" s="749"/>
      <c r="C94" s="749"/>
      <c r="D94" s="749"/>
      <c r="E94" s="749"/>
      <c r="F94" s="749"/>
      <c r="G94" s="749"/>
      <c r="H94" s="749"/>
      <c r="I94" s="749"/>
      <c r="J94" s="749"/>
    </row>
    <row r="95" spans="1:10" ht="14.25" customHeight="1">
      <c r="A95" s="15"/>
      <c r="B95" s="749" t="s">
        <v>72</v>
      </c>
      <c r="C95" s="749"/>
      <c r="D95" s="749"/>
      <c r="E95" s="749"/>
      <c r="F95" s="749"/>
      <c r="G95" s="749"/>
      <c r="H95" s="749"/>
      <c r="I95" s="749"/>
      <c r="J95" s="749"/>
    </row>
    <row r="96" spans="1:10">
      <c r="A96" s="15"/>
      <c r="B96" s="749"/>
      <c r="C96" s="749"/>
      <c r="D96" s="749"/>
      <c r="E96" s="749"/>
      <c r="F96" s="749"/>
      <c r="G96" s="749"/>
      <c r="H96" s="749"/>
      <c r="I96" s="749"/>
      <c r="J96" s="749"/>
    </row>
    <row r="97" spans="1:10">
      <c r="A97" s="15"/>
      <c r="B97" s="749"/>
      <c r="C97" s="749"/>
      <c r="D97" s="749"/>
      <c r="E97" s="749"/>
      <c r="F97" s="749"/>
      <c r="G97" s="749"/>
      <c r="H97" s="749"/>
      <c r="I97" s="749"/>
      <c r="J97" s="749"/>
    </row>
    <row r="98" spans="1:10">
      <c r="A98" s="15"/>
      <c r="B98" s="749"/>
      <c r="C98" s="749"/>
      <c r="D98" s="749"/>
      <c r="E98" s="749"/>
      <c r="F98" s="749"/>
      <c r="G98" s="749"/>
      <c r="H98" s="749"/>
      <c r="I98" s="749"/>
      <c r="J98" s="749"/>
    </row>
    <row r="99" spans="1:10">
      <c r="A99" s="15"/>
      <c r="B99" s="749"/>
      <c r="C99" s="749"/>
      <c r="D99" s="749"/>
      <c r="E99" s="749"/>
      <c r="F99" s="749"/>
      <c r="G99" s="749"/>
      <c r="H99" s="749"/>
      <c r="I99" s="749"/>
      <c r="J99" s="749"/>
    </row>
    <row r="100" spans="1:10" ht="14.25" customHeight="1">
      <c r="A100" s="15"/>
      <c r="B100" s="750" t="s">
        <v>73</v>
      </c>
      <c r="C100" s="750"/>
      <c r="D100" s="750"/>
      <c r="E100" s="750"/>
      <c r="F100" s="750"/>
      <c r="G100" s="750"/>
      <c r="H100" s="750"/>
      <c r="I100" s="750"/>
      <c r="J100" s="750"/>
    </row>
    <row r="101" spans="1:10">
      <c r="A101" s="15"/>
      <c r="B101" s="750"/>
      <c r="C101" s="750"/>
      <c r="D101" s="750"/>
      <c r="E101" s="750"/>
      <c r="F101" s="750"/>
      <c r="G101" s="750"/>
      <c r="H101" s="750"/>
      <c r="I101" s="750"/>
      <c r="J101" s="750"/>
    </row>
    <row r="102" spans="1:10">
      <c r="A102" s="15"/>
      <c r="B102" s="750"/>
      <c r="C102" s="750"/>
      <c r="D102" s="750"/>
      <c r="E102" s="750"/>
      <c r="F102" s="750"/>
      <c r="G102" s="750"/>
      <c r="H102" s="750"/>
      <c r="I102" s="750"/>
      <c r="J102" s="750"/>
    </row>
    <row r="103" spans="1:10" ht="14.25" customHeight="1">
      <c r="A103" s="15"/>
      <c r="B103" s="749" t="s">
        <v>74</v>
      </c>
      <c r="C103" s="749"/>
      <c r="D103" s="749"/>
      <c r="E103" s="749"/>
      <c r="F103" s="749"/>
      <c r="G103" s="749"/>
      <c r="H103" s="749"/>
      <c r="I103" s="749"/>
      <c r="J103" s="749"/>
    </row>
    <row r="104" spans="1:10">
      <c r="A104" s="15"/>
      <c r="B104" s="749"/>
      <c r="C104" s="749"/>
      <c r="D104" s="749"/>
      <c r="E104" s="749"/>
      <c r="F104" s="749"/>
      <c r="G104" s="749"/>
      <c r="H104" s="749"/>
      <c r="I104" s="749"/>
      <c r="J104" s="749"/>
    </row>
    <row r="105" spans="1:10">
      <c r="A105" s="15"/>
      <c r="B105" s="749"/>
      <c r="C105" s="749"/>
      <c r="D105" s="749"/>
      <c r="E105" s="749"/>
      <c r="F105" s="749"/>
      <c r="G105" s="749"/>
      <c r="H105" s="749"/>
      <c r="I105" s="749"/>
      <c r="J105" s="749"/>
    </row>
    <row r="106" spans="1:10" ht="14.25" customHeight="1">
      <c r="A106" s="15"/>
      <c r="B106" s="749" t="s">
        <v>75</v>
      </c>
      <c r="C106" s="749"/>
      <c r="D106" s="749"/>
      <c r="E106" s="749"/>
      <c r="F106" s="749"/>
      <c r="G106" s="749"/>
      <c r="H106" s="749"/>
      <c r="I106" s="749"/>
      <c r="J106" s="749"/>
    </row>
    <row r="107" spans="1:10">
      <c r="A107" s="15"/>
      <c r="B107" s="749"/>
      <c r="C107" s="749"/>
      <c r="D107" s="749"/>
      <c r="E107" s="749"/>
      <c r="F107" s="749"/>
      <c r="G107" s="749"/>
      <c r="H107" s="749"/>
      <c r="I107" s="749"/>
      <c r="J107" s="749"/>
    </row>
    <row r="108" spans="1:10">
      <c r="A108" s="15"/>
      <c r="B108" s="749"/>
      <c r="C108" s="749"/>
      <c r="D108" s="749"/>
      <c r="E108" s="749"/>
      <c r="F108" s="749"/>
      <c r="G108" s="749"/>
      <c r="H108" s="749"/>
      <c r="I108" s="749"/>
      <c r="J108" s="749"/>
    </row>
    <row r="109" spans="1:10">
      <c r="A109" s="15"/>
      <c r="B109" s="749"/>
      <c r="C109" s="749"/>
      <c r="D109" s="749"/>
      <c r="E109" s="749"/>
      <c r="F109" s="749"/>
      <c r="G109" s="749"/>
      <c r="H109" s="749"/>
      <c r="I109" s="749"/>
      <c r="J109" s="749"/>
    </row>
    <row r="110" spans="1:10" ht="14.25" customHeight="1">
      <c r="A110" s="15"/>
      <c r="B110" s="750" t="s">
        <v>76</v>
      </c>
      <c r="C110" s="750"/>
      <c r="D110" s="750"/>
      <c r="E110" s="750"/>
      <c r="F110" s="750"/>
      <c r="G110" s="750"/>
      <c r="H110" s="750"/>
      <c r="I110" s="750"/>
      <c r="J110" s="750"/>
    </row>
    <row r="111" spans="1:10">
      <c r="A111" s="15"/>
      <c r="B111" s="750"/>
      <c r="C111" s="750"/>
      <c r="D111" s="750"/>
      <c r="E111" s="750"/>
      <c r="F111" s="750"/>
      <c r="G111" s="750"/>
      <c r="H111" s="750"/>
      <c r="I111" s="750"/>
      <c r="J111" s="750"/>
    </row>
    <row r="112" spans="1:10" ht="12" customHeight="1">
      <c r="A112" s="15"/>
      <c r="B112" s="748" t="s">
        <v>77</v>
      </c>
      <c r="C112" s="748"/>
      <c r="D112" s="748"/>
      <c r="E112" s="748"/>
      <c r="F112" s="748"/>
      <c r="G112" s="748"/>
      <c r="H112" s="748"/>
      <c r="I112" s="748"/>
      <c r="J112" s="748"/>
    </row>
    <row r="113" spans="1:10" ht="102" customHeight="1">
      <c r="A113" s="15"/>
      <c r="B113" s="749" t="s">
        <v>78</v>
      </c>
      <c r="C113" s="749"/>
      <c r="D113" s="749"/>
      <c r="E113" s="749"/>
      <c r="F113" s="749"/>
      <c r="G113" s="749"/>
      <c r="H113" s="749"/>
      <c r="I113" s="749"/>
      <c r="J113" s="749"/>
    </row>
    <row r="114" spans="1:10" ht="41.25" customHeight="1">
      <c r="A114" s="15"/>
      <c r="B114" s="749" t="s">
        <v>79</v>
      </c>
      <c r="C114" s="749"/>
      <c r="D114" s="749"/>
      <c r="E114" s="749"/>
      <c r="F114" s="749"/>
      <c r="G114" s="749"/>
      <c r="H114" s="749"/>
      <c r="I114" s="749"/>
      <c r="J114" s="749"/>
    </row>
    <row r="115" spans="1:10">
      <c r="A115" s="15"/>
      <c r="B115" s="5"/>
      <c r="C115" s="5"/>
      <c r="D115" s="5"/>
      <c r="E115" s="5"/>
      <c r="F115" s="5"/>
      <c r="G115" s="5"/>
      <c r="H115" s="5"/>
      <c r="I115" s="5"/>
      <c r="J115" s="5"/>
    </row>
    <row r="116" spans="1:10" ht="14.25" customHeight="1">
      <c r="A116" s="15"/>
      <c r="B116" s="751" t="s">
        <v>80</v>
      </c>
      <c r="C116" s="751"/>
      <c r="D116" s="751"/>
      <c r="E116" s="751"/>
      <c r="F116" s="751"/>
      <c r="G116" s="751"/>
      <c r="H116" s="751"/>
      <c r="I116" s="751"/>
      <c r="J116" s="751"/>
    </row>
    <row r="117" spans="1:10" ht="39" customHeight="1">
      <c r="A117" s="15"/>
      <c r="B117" s="751" t="s">
        <v>81</v>
      </c>
      <c r="C117" s="751"/>
      <c r="D117" s="751"/>
      <c r="E117" s="751"/>
      <c r="F117" s="751"/>
      <c r="G117" s="751"/>
      <c r="H117" s="751"/>
      <c r="I117" s="751"/>
      <c r="J117" s="751"/>
    </row>
    <row r="118" spans="1:10" ht="14.25" customHeight="1">
      <c r="A118" s="15"/>
      <c r="B118" s="751" t="s">
        <v>82</v>
      </c>
      <c r="C118" s="751"/>
      <c r="D118" s="751"/>
      <c r="E118" s="751"/>
      <c r="F118" s="751"/>
      <c r="G118" s="751"/>
      <c r="H118" s="751"/>
      <c r="I118" s="751"/>
      <c r="J118" s="751"/>
    </row>
    <row r="119" spans="1:10" ht="26.25" customHeight="1">
      <c r="A119" s="15"/>
      <c r="B119" s="751" t="s">
        <v>83</v>
      </c>
      <c r="C119" s="751"/>
      <c r="D119" s="751"/>
      <c r="E119" s="751"/>
      <c r="F119" s="751"/>
      <c r="G119" s="751"/>
      <c r="H119" s="751"/>
      <c r="I119" s="751"/>
      <c r="J119" s="751"/>
    </row>
    <row r="120" spans="1:10" ht="14.25" customHeight="1">
      <c r="A120" s="15"/>
      <c r="B120" s="751" t="s">
        <v>84</v>
      </c>
      <c r="C120" s="751"/>
      <c r="D120" s="751"/>
      <c r="E120" s="751"/>
      <c r="F120" s="751"/>
      <c r="G120" s="751"/>
      <c r="H120" s="751"/>
      <c r="I120" s="751"/>
      <c r="J120" s="751"/>
    </row>
    <row r="121" spans="1:10" ht="41.25" customHeight="1">
      <c r="A121" s="15"/>
      <c r="B121" s="751" t="s">
        <v>85</v>
      </c>
      <c r="C121" s="751"/>
      <c r="D121" s="751"/>
      <c r="E121" s="751"/>
      <c r="F121" s="751"/>
      <c r="G121" s="751"/>
      <c r="H121" s="751"/>
      <c r="I121" s="751"/>
      <c r="J121" s="751"/>
    </row>
    <row r="122" spans="1:10" ht="14.25" customHeight="1">
      <c r="A122" s="15"/>
      <c r="B122" s="751" t="s">
        <v>86</v>
      </c>
      <c r="C122" s="751"/>
      <c r="D122" s="751"/>
      <c r="E122" s="751"/>
      <c r="F122" s="751"/>
      <c r="G122" s="751"/>
      <c r="H122" s="751"/>
      <c r="I122" s="751"/>
      <c r="J122" s="751"/>
    </row>
    <row r="123" spans="1:10" ht="26.25" customHeight="1">
      <c r="A123" s="15"/>
      <c r="B123" s="751" t="s">
        <v>87</v>
      </c>
      <c r="C123" s="751"/>
      <c r="D123" s="751"/>
      <c r="E123" s="751"/>
      <c r="F123" s="751"/>
      <c r="G123" s="751"/>
      <c r="H123" s="751"/>
      <c r="I123" s="751"/>
      <c r="J123" s="751"/>
    </row>
    <row r="124" spans="1:10" ht="26.25" customHeight="1">
      <c r="A124" s="15"/>
      <c r="B124" s="751" t="s">
        <v>88</v>
      </c>
      <c r="C124" s="751"/>
      <c r="D124" s="751"/>
      <c r="E124" s="751"/>
      <c r="F124" s="751"/>
      <c r="G124" s="751"/>
      <c r="H124" s="751"/>
      <c r="I124" s="751"/>
      <c r="J124" s="751"/>
    </row>
    <row r="125" spans="1:10" ht="14.25" customHeight="1">
      <c r="A125" s="15"/>
      <c r="B125" s="751" t="s">
        <v>89</v>
      </c>
      <c r="C125" s="751"/>
      <c r="D125" s="751"/>
      <c r="E125" s="751"/>
      <c r="F125" s="751"/>
      <c r="G125" s="751"/>
      <c r="H125" s="751"/>
      <c r="I125" s="751"/>
      <c r="J125" s="751"/>
    </row>
    <row r="126" spans="1:10" ht="26.25" customHeight="1">
      <c r="A126" s="15"/>
      <c r="B126" s="751" t="s">
        <v>90</v>
      </c>
      <c r="C126" s="751"/>
      <c r="D126" s="751"/>
      <c r="E126" s="751"/>
      <c r="F126" s="751"/>
      <c r="G126" s="751"/>
      <c r="H126" s="751"/>
      <c r="I126" s="751"/>
      <c r="J126" s="751"/>
    </row>
    <row r="127" spans="1:10" ht="14.25" customHeight="1">
      <c r="A127" s="15"/>
      <c r="B127" s="751" t="s">
        <v>91</v>
      </c>
      <c r="C127" s="751"/>
      <c r="D127" s="751"/>
      <c r="E127" s="751"/>
      <c r="F127" s="751"/>
      <c r="G127" s="751"/>
      <c r="H127" s="751"/>
      <c r="I127" s="751"/>
      <c r="J127" s="751"/>
    </row>
    <row r="128" spans="1:10" ht="39.75" customHeight="1">
      <c r="A128" s="15"/>
      <c r="B128" s="752" t="s">
        <v>92</v>
      </c>
      <c r="C128" s="752"/>
      <c r="D128" s="752"/>
      <c r="E128" s="752"/>
      <c r="F128" s="752"/>
      <c r="G128" s="752"/>
      <c r="H128" s="752"/>
      <c r="I128" s="752"/>
      <c r="J128" s="752"/>
    </row>
    <row r="129" spans="1:10" ht="26.25" customHeight="1">
      <c r="A129" s="15"/>
      <c r="B129" s="751" t="s">
        <v>93</v>
      </c>
      <c r="C129" s="751"/>
      <c r="D129" s="751"/>
      <c r="E129" s="751"/>
      <c r="F129" s="751"/>
      <c r="G129" s="751"/>
      <c r="H129" s="751"/>
      <c r="I129" s="751"/>
      <c r="J129" s="751"/>
    </row>
    <row r="130" spans="1:10" ht="26.25" customHeight="1">
      <c r="A130" s="15"/>
      <c r="B130" s="752" t="s">
        <v>94</v>
      </c>
      <c r="C130" s="752"/>
      <c r="D130" s="752"/>
      <c r="E130" s="752"/>
      <c r="F130" s="752"/>
      <c r="G130" s="752"/>
      <c r="H130" s="752"/>
      <c r="I130" s="752"/>
      <c r="J130" s="752"/>
    </row>
    <row r="131" spans="1:10" ht="14.25" customHeight="1">
      <c r="A131" s="15"/>
      <c r="B131" s="751" t="s">
        <v>95</v>
      </c>
      <c r="C131" s="751"/>
      <c r="D131" s="751"/>
      <c r="E131" s="751"/>
      <c r="F131" s="751"/>
      <c r="G131" s="751"/>
      <c r="H131" s="751"/>
      <c r="I131" s="751"/>
      <c r="J131" s="751"/>
    </row>
    <row r="132" spans="1:10">
      <c r="A132" s="15"/>
      <c r="B132" s="751"/>
      <c r="C132" s="751"/>
      <c r="D132" s="751"/>
      <c r="E132" s="751"/>
      <c r="F132" s="751"/>
      <c r="G132" s="751"/>
      <c r="H132" s="751"/>
      <c r="I132" s="751"/>
      <c r="J132" s="751"/>
    </row>
    <row r="133" spans="1:10" ht="14.25" customHeight="1">
      <c r="A133" s="15"/>
      <c r="B133" s="750" t="s">
        <v>96</v>
      </c>
      <c r="C133" s="750"/>
      <c r="D133" s="750"/>
      <c r="E133" s="750"/>
      <c r="F133" s="750"/>
      <c r="G133" s="750"/>
      <c r="H133" s="750"/>
      <c r="I133" s="750"/>
      <c r="J133" s="750"/>
    </row>
    <row r="134" spans="1:10" ht="36.75" customHeight="1">
      <c r="A134" s="15"/>
      <c r="B134" s="750" t="s">
        <v>97</v>
      </c>
      <c r="C134" s="750"/>
      <c r="D134" s="750"/>
      <c r="E134" s="750"/>
      <c r="F134" s="750"/>
      <c r="G134" s="750"/>
      <c r="H134" s="750"/>
      <c r="I134" s="750"/>
      <c r="J134" s="750"/>
    </row>
    <row r="135" spans="1:10" ht="58.5" customHeight="1">
      <c r="A135" s="15"/>
      <c r="B135" s="750" t="s">
        <v>98</v>
      </c>
      <c r="C135" s="750"/>
      <c r="D135" s="750"/>
      <c r="E135" s="750"/>
      <c r="F135" s="750"/>
      <c r="G135" s="750"/>
      <c r="H135" s="750"/>
      <c r="I135" s="750"/>
      <c r="J135" s="750"/>
    </row>
    <row r="136" spans="1:10" ht="41.25" customHeight="1">
      <c r="A136" s="15"/>
      <c r="B136" s="750" t="s">
        <v>99</v>
      </c>
      <c r="C136" s="750"/>
      <c r="D136" s="750"/>
      <c r="E136" s="750"/>
      <c r="F136" s="750"/>
      <c r="G136" s="750"/>
      <c r="H136" s="750"/>
      <c r="I136" s="750"/>
      <c r="J136" s="750"/>
    </row>
    <row r="137" spans="1:10" ht="40.5" customHeight="1">
      <c r="A137" s="15"/>
      <c r="B137" s="750" t="s">
        <v>100</v>
      </c>
      <c r="C137" s="750"/>
      <c r="D137" s="750"/>
      <c r="E137" s="750"/>
      <c r="F137" s="750"/>
      <c r="G137" s="750"/>
      <c r="H137" s="750"/>
      <c r="I137" s="750"/>
      <c r="J137" s="750"/>
    </row>
    <row r="138" spans="1:10" ht="65.25" customHeight="1">
      <c r="A138" s="15"/>
      <c r="B138" s="750" t="s">
        <v>101</v>
      </c>
      <c r="C138" s="750"/>
      <c r="D138" s="750"/>
      <c r="E138" s="750"/>
      <c r="F138" s="750"/>
      <c r="G138" s="750"/>
      <c r="H138" s="750"/>
      <c r="I138" s="750"/>
      <c r="J138" s="750"/>
    </row>
    <row r="139" spans="1:10" ht="36.75" customHeight="1">
      <c r="A139" s="15"/>
      <c r="B139" s="750" t="s">
        <v>102</v>
      </c>
      <c r="C139" s="750"/>
      <c r="D139" s="750"/>
      <c r="E139" s="750"/>
      <c r="F139" s="750"/>
      <c r="G139" s="750"/>
      <c r="H139" s="750"/>
      <c r="I139" s="750"/>
      <c r="J139" s="750"/>
    </row>
    <row r="140" spans="1:10" ht="14.25" customHeight="1">
      <c r="A140" s="15"/>
      <c r="B140" s="750" t="s">
        <v>103</v>
      </c>
      <c r="C140" s="750"/>
      <c r="D140" s="750"/>
      <c r="E140" s="750"/>
      <c r="F140" s="750"/>
      <c r="G140" s="750"/>
      <c r="H140" s="750"/>
      <c r="I140" s="750"/>
      <c r="J140" s="750"/>
    </row>
    <row r="141" spans="1:10" ht="14.25" customHeight="1">
      <c r="A141" s="15"/>
      <c r="B141" s="750" t="s">
        <v>104</v>
      </c>
      <c r="C141" s="750"/>
      <c r="D141" s="750"/>
      <c r="E141" s="750"/>
      <c r="F141" s="750"/>
      <c r="G141" s="750"/>
      <c r="H141" s="750"/>
      <c r="I141" s="750"/>
      <c r="J141" s="750"/>
    </row>
    <row r="142" spans="1:10" ht="14.25" customHeight="1">
      <c r="A142" s="15"/>
      <c r="B142" s="750" t="s">
        <v>105</v>
      </c>
      <c r="C142" s="750"/>
      <c r="D142" s="750"/>
      <c r="E142" s="750"/>
      <c r="F142" s="750"/>
      <c r="G142" s="750"/>
      <c r="H142" s="750"/>
      <c r="I142" s="750"/>
      <c r="J142" s="750"/>
    </row>
    <row r="143" spans="1:10" ht="14.25" customHeight="1">
      <c r="A143" s="15"/>
      <c r="B143" s="750" t="s">
        <v>106</v>
      </c>
      <c r="C143" s="750"/>
      <c r="D143" s="750"/>
      <c r="E143" s="750"/>
      <c r="F143" s="750"/>
      <c r="G143" s="750"/>
      <c r="H143" s="750"/>
      <c r="I143" s="750"/>
      <c r="J143" s="750"/>
    </row>
    <row r="144" spans="1:10" ht="14.25" customHeight="1">
      <c r="A144" s="15"/>
      <c r="B144" s="750" t="s">
        <v>107</v>
      </c>
      <c r="C144" s="750"/>
      <c r="D144" s="750"/>
      <c r="E144" s="750"/>
      <c r="F144" s="750"/>
      <c r="G144" s="750"/>
      <c r="H144" s="750"/>
      <c r="I144" s="750"/>
      <c r="J144" s="750"/>
    </row>
    <row r="145" spans="1:10" ht="14.25" customHeight="1">
      <c r="A145" s="15"/>
      <c r="B145" s="750" t="s">
        <v>108</v>
      </c>
      <c r="C145" s="750"/>
      <c r="D145" s="750"/>
      <c r="E145" s="750"/>
      <c r="F145" s="750"/>
      <c r="G145" s="750"/>
      <c r="H145" s="750"/>
      <c r="I145" s="750"/>
      <c r="J145" s="750"/>
    </row>
    <row r="146" spans="1:10" ht="14.25" customHeight="1">
      <c r="A146" s="15"/>
      <c r="B146" s="750" t="s">
        <v>109</v>
      </c>
      <c r="C146" s="750"/>
      <c r="D146" s="750"/>
      <c r="E146" s="750"/>
      <c r="F146" s="750"/>
      <c r="G146" s="750"/>
      <c r="H146" s="750"/>
      <c r="I146" s="750"/>
      <c r="J146" s="750"/>
    </row>
    <row r="147" spans="1:10">
      <c r="A147" s="15"/>
      <c r="B147" s="753"/>
      <c r="C147" s="753"/>
      <c r="D147" s="753"/>
      <c r="E147" s="753"/>
      <c r="F147" s="753"/>
      <c r="G147" s="753"/>
      <c r="H147" s="753"/>
      <c r="I147" s="753"/>
      <c r="J147" s="753"/>
    </row>
    <row r="148" spans="1:10" ht="36" customHeight="1">
      <c r="A148" s="1"/>
      <c r="B148" s="750" t="s">
        <v>110</v>
      </c>
      <c r="C148" s="750"/>
      <c r="D148" s="750"/>
      <c r="E148" s="750"/>
      <c r="F148" s="750"/>
      <c r="G148" s="750"/>
      <c r="H148" s="750"/>
      <c r="I148" s="750"/>
      <c r="J148" s="750"/>
    </row>
    <row r="149" spans="1:10" ht="26.25" customHeight="1">
      <c r="A149" s="1"/>
      <c r="B149" s="750" t="s">
        <v>111</v>
      </c>
      <c r="C149" s="750"/>
      <c r="D149" s="750"/>
      <c r="E149" s="750"/>
      <c r="F149" s="750"/>
      <c r="G149" s="750"/>
      <c r="H149" s="750"/>
      <c r="I149" s="750"/>
      <c r="J149" s="750"/>
    </row>
    <row r="150" spans="1:10" ht="14.25" customHeight="1">
      <c r="A150" s="1"/>
      <c r="B150" s="750" t="s">
        <v>112</v>
      </c>
      <c r="C150" s="750"/>
      <c r="D150" s="750"/>
      <c r="E150" s="750"/>
      <c r="F150" s="750"/>
      <c r="G150" s="750"/>
      <c r="H150" s="750"/>
      <c r="I150" s="750"/>
      <c r="J150" s="750"/>
    </row>
    <row r="151" spans="1:10" ht="14.25" customHeight="1">
      <c r="A151" s="1"/>
      <c r="B151" s="750" t="s">
        <v>113</v>
      </c>
      <c r="C151" s="750"/>
      <c r="D151" s="750"/>
      <c r="E151" s="750"/>
      <c r="F151" s="750"/>
      <c r="G151" s="750"/>
      <c r="H151" s="750"/>
      <c r="I151" s="750"/>
      <c r="J151" s="750"/>
    </row>
    <row r="152" spans="1:10">
      <c r="A152" s="1"/>
      <c r="B152" s="4"/>
    </row>
    <row r="153" spans="1:10" ht="14.25" customHeight="1">
      <c r="A153" s="15"/>
      <c r="B153" s="750" t="s">
        <v>114</v>
      </c>
      <c r="C153" s="750"/>
      <c r="D153" s="750"/>
      <c r="E153" s="750"/>
      <c r="F153" s="750"/>
      <c r="G153" s="750"/>
      <c r="H153" s="750"/>
      <c r="I153" s="750"/>
      <c r="J153" s="750"/>
    </row>
    <row r="154" spans="1:10" ht="48" customHeight="1">
      <c r="A154" s="15"/>
      <c r="B154" s="750" t="s">
        <v>115</v>
      </c>
      <c r="C154" s="750"/>
      <c r="D154" s="750"/>
      <c r="E154" s="750"/>
      <c r="F154" s="750"/>
      <c r="G154" s="750"/>
      <c r="H154" s="750"/>
      <c r="I154" s="750"/>
      <c r="J154" s="750"/>
    </row>
    <row r="155" spans="1:10" ht="59.25" customHeight="1">
      <c r="A155" s="15"/>
      <c r="B155" s="750" t="s">
        <v>116</v>
      </c>
      <c r="C155" s="750"/>
      <c r="D155" s="750"/>
      <c r="E155" s="750"/>
      <c r="F155" s="750"/>
      <c r="G155" s="750"/>
      <c r="H155" s="750"/>
      <c r="I155" s="750"/>
      <c r="J155" s="750"/>
    </row>
    <row r="156" spans="1:10" ht="14.25" customHeight="1">
      <c r="A156" s="15"/>
      <c r="B156" s="751" t="s">
        <v>117</v>
      </c>
      <c r="C156" s="751"/>
      <c r="D156" s="751"/>
      <c r="E156" s="751"/>
      <c r="F156" s="751"/>
      <c r="G156" s="751"/>
      <c r="H156" s="751"/>
      <c r="I156" s="751"/>
      <c r="J156" s="751"/>
    </row>
    <row r="157" spans="1:10" ht="14.25" customHeight="1">
      <c r="A157" s="15"/>
      <c r="B157" s="750" t="s">
        <v>118</v>
      </c>
      <c r="C157" s="750"/>
      <c r="D157" s="750"/>
      <c r="E157" s="750"/>
      <c r="F157" s="750"/>
      <c r="G157" s="750"/>
      <c r="H157" s="750"/>
      <c r="I157" s="750"/>
      <c r="J157" s="750"/>
    </row>
    <row r="158" spans="1:10" ht="51.75" customHeight="1">
      <c r="A158" s="15"/>
      <c r="B158" s="750" t="s">
        <v>119</v>
      </c>
      <c r="C158" s="750"/>
      <c r="D158" s="750"/>
      <c r="E158" s="750"/>
      <c r="F158" s="750"/>
      <c r="G158" s="750"/>
      <c r="H158" s="750"/>
      <c r="I158" s="750"/>
      <c r="J158" s="750"/>
    </row>
    <row r="159" spans="1:10" ht="14.25" customHeight="1">
      <c r="A159" s="15"/>
      <c r="B159" s="750" t="s">
        <v>120</v>
      </c>
      <c r="C159" s="750"/>
      <c r="D159" s="750"/>
      <c r="E159" s="750"/>
      <c r="F159" s="750"/>
      <c r="G159" s="750"/>
      <c r="H159" s="750"/>
      <c r="I159" s="750"/>
      <c r="J159" s="750"/>
    </row>
    <row r="160" spans="1:10" ht="33.75" customHeight="1">
      <c r="A160" s="15"/>
      <c r="B160" s="750" t="s">
        <v>121</v>
      </c>
      <c r="C160" s="750"/>
      <c r="D160" s="750"/>
      <c r="E160" s="750"/>
      <c r="F160" s="750"/>
      <c r="G160" s="750"/>
      <c r="H160" s="750"/>
      <c r="I160" s="750"/>
      <c r="J160" s="750"/>
    </row>
    <row r="161" spans="1:10" ht="27.75" customHeight="1">
      <c r="A161" s="15"/>
      <c r="B161" s="750" t="s">
        <v>122</v>
      </c>
      <c r="C161" s="750"/>
      <c r="D161" s="750"/>
      <c r="E161" s="750"/>
      <c r="F161" s="750"/>
      <c r="G161" s="750"/>
      <c r="H161" s="750"/>
      <c r="I161" s="750"/>
      <c r="J161" s="750"/>
    </row>
    <row r="162" spans="1:10" ht="98.25" customHeight="1">
      <c r="A162" s="15"/>
      <c r="B162" s="750" t="s">
        <v>123</v>
      </c>
      <c r="C162" s="750"/>
      <c r="D162" s="750"/>
      <c r="E162" s="750"/>
      <c r="F162" s="750"/>
      <c r="G162" s="750"/>
      <c r="H162" s="750"/>
      <c r="I162" s="750"/>
      <c r="J162" s="750"/>
    </row>
    <row r="163" spans="1:10" ht="33" customHeight="1">
      <c r="A163" s="15"/>
      <c r="B163" s="750" t="s">
        <v>124</v>
      </c>
      <c r="C163" s="750"/>
      <c r="D163" s="750"/>
      <c r="E163" s="750"/>
      <c r="F163" s="750"/>
      <c r="G163" s="750"/>
      <c r="H163" s="750"/>
      <c r="I163" s="750"/>
      <c r="J163" s="750"/>
    </row>
    <row r="164" spans="1:10" ht="29.25" customHeight="1">
      <c r="A164" s="15"/>
      <c r="B164" s="750" t="s">
        <v>125</v>
      </c>
      <c r="C164" s="750"/>
      <c r="D164" s="750"/>
      <c r="E164" s="750"/>
      <c r="F164" s="750"/>
      <c r="G164" s="750"/>
      <c r="H164" s="750"/>
      <c r="I164" s="750"/>
      <c r="J164" s="750"/>
    </row>
    <row r="165" spans="1:10" ht="60" customHeight="1">
      <c r="A165" s="15"/>
      <c r="B165" s="750" t="s">
        <v>126</v>
      </c>
      <c r="C165" s="750"/>
      <c r="D165" s="750"/>
      <c r="E165" s="750"/>
      <c r="F165" s="750"/>
      <c r="G165" s="750"/>
      <c r="H165" s="750"/>
      <c r="I165" s="750"/>
      <c r="J165" s="750"/>
    </row>
    <row r="166" spans="1:10" ht="54" customHeight="1">
      <c r="A166" s="15"/>
      <c r="B166" s="750" t="s">
        <v>127</v>
      </c>
      <c r="C166" s="750"/>
      <c r="D166" s="750"/>
      <c r="E166" s="750"/>
      <c r="F166" s="750"/>
      <c r="G166" s="750"/>
      <c r="H166" s="750"/>
      <c r="I166" s="750"/>
      <c r="J166" s="750"/>
    </row>
    <row r="167" spans="1:10" ht="14.25" customHeight="1">
      <c r="A167" s="15"/>
      <c r="B167" s="750" t="s">
        <v>128</v>
      </c>
      <c r="C167" s="750"/>
      <c r="D167" s="750"/>
      <c r="E167" s="750"/>
      <c r="F167" s="750"/>
      <c r="G167" s="750"/>
      <c r="H167" s="750"/>
      <c r="I167" s="750"/>
      <c r="J167" s="750"/>
    </row>
    <row r="168" spans="1:10" ht="28.5" customHeight="1">
      <c r="A168" s="15"/>
      <c r="B168" s="750" t="s">
        <v>129</v>
      </c>
      <c r="C168" s="750"/>
      <c r="D168" s="750"/>
      <c r="E168" s="750"/>
      <c r="F168" s="750"/>
      <c r="G168" s="750"/>
      <c r="H168" s="750"/>
      <c r="I168" s="750"/>
      <c r="J168" s="750"/>
    </row>
    <row r="169" spans="1:10" ht="54.75" customHeight="1">
      <c r="A169" s="15"/>
      <c r="B169" s="750" t="s">
        <v>130</v>
      </c>
      <c r="C169" s="750"/>
      <c r="D169" s="750"/>
      <c r="E169" s="750"/>
      <c r="F169" s="750"/>
      <c r="G169" s="750"/>
      <c r="H169" s="750"/>
      <c r="I169" s="750"/>
      <c r="J169" s="750"/>
    </row>
    <row r="170" spans="1:10" ht="70.5" customHeight="1">
      <c r="A170" s="15"/>
      <c r="B170" s="750" t="s">
        <v>131</v>
      </c>
      <c r="C170" s="750"/>
      <c r="D170" s="750"/>
      <c r="E170" s="750"/>
      <c r="F170" s="750"/>
      <c r="G170" s="750"/>
      <c r="H170" s="750"/>
      <c r="I170" s="750"/>
      <c r="J170" s="750"/>
    </row>
    <row r="171" spans="1:10" ht="116.25" customHeight="1">
      <c r="A171" s="15"/>
      <c r="B171" s="750" t="s">
        <v>132</v>
      </c>
      <c r="C171" s="750"/>
      <c r="D171" s="750"/>
      <c r="E171" s="750"/>
      <c r="F171" s="750"/>
      <c r="G171" s="750"/>
      <c r="H171" s="750"/>
      <c r="I171" s="750"/>
      <c r="J171" s="750"/>
    </row>
    <row r="172" spans="1:10" ht="108.75" customHeight="1">
      <c r="A172" s="15"/>
      <c r="B172" s="750" t="s">
        <v>133</v>
      </c>
      <c r="C172" s="750"/>
      <c r="D172" s="750"/>
      <c r="E172" s="750"/>
      <c r="F172" s="750"/>
      <c r="G172" s="750"/>
      <c r="H172" s="750"/>
      <c r="I172" s="750"/>
      <c r="J172" s="750"/>
    </row>
    <row r="173" spans="1:10" ht="60" customHeight="1">
      <c r="A173" s="15"/>
      <c r="B173" s="750" t="s">
        <v>134</v>
      </c>
      <c r="C173" s="750"/>
      <c r="D173" s="750"/>
      <c r="E173" s="750"/>
      <c r="F173" s="750"/>
      <c r="G173" s="750"/>
      <c r="H173" s="750"/>
      <c r="I173" s="750"/>
      <c r="J173" s="750"/>
    </row>
    <row r="174" spans="1:10" ht="41.25" customHeight="1">
      <c r="A174" s="15"/>
      <c r="B174" s="750" t="s">
        <v>135</v>
      </c>
      <c r="C174" s="750"/>
      <c r="D174" s="750"/>
      <c r="E174" s="750"/>
      <c r="F174" s="750"/>
      <c r="G174" s="750"/>
      <c r="H174" s="750"/>
      <c r="I174" s="750"/>
      <c r="J174" s="750"/>
    </row>
    <row r="175" spans="1:10" ht="66" customHeight="1">
      <c r="A175" s="15"/>
      <c r="B175" s="750" t="s">
        <v>136</v>
      </c>
      <c r="C175" s="750"/>
      <c r="D175" s="750"/>
      <c r="E175" s="750"/>
      <c r="F175" s="750"/>
      <c r="G175" s="750"/>
      <c r="H175" s="750"/>
      <c r="I175" s="750"/>
      <c r="J175" s="750"/>
    </row>
    <row r="176" spans="1:10" ht="54.75" customHeight="1">
      <c r="A176" s="15"/>
      <c r="B176" s="750" t="s">
        <v>137</v>
      </c>
      <c r="C176" s="750"/>
      <c r="D176" s="750"/>
      <c r="E176" s="750"/>
      <c r="F176" s="750"/>
      <c r="G176" s="750"/>
      <c r="H176" s="750"/>
      <c r="I176" s="750"/>
      <c r="J176" s="750"/>
    </row>
    <row r="177" spans="1:10" ht="55.5" customHeight="1">
      <c r="A177" s="15"/>
      <c r="B177" s="750" t="s">
        <v>138</v>
      </c>
      <c r="C177" s="750"/>
      <c r="D177" s="750"/>
      <c r="E177" s="750"/>
      <c r="F177" s="750"/>
      <c r="G177" s="750"/>
      <c r="H177" s="750"/>
      <c r="I177" s="750"/>
      <c r="J177" s="750"/>
    </row>
    <row r="178" spans="1:10" ht="14.25" customHeight="1">
      <c r="A178" s="15"/>
      <c r="B178" s="750" t="s">
        <v>139</v>
      </c>
      <c r="C178" s="750"/>
      <c r="D178" s="750"/>
      <c r="E178" s="750"/>
      <c r="F178" s="750"/>
      <c r="G178" s="750"/>
      <c r="H178" s="750"/>
      <c r="I178" s="750"/>
      <c r="J178" s="750"/>
    </row>
    <row r="179" spans="1:10" ht="42" customHeight="1">
      <c r="A179" s="15"/>
      <c r="B179" s="750" t="s">
        <v>140</v>
      </c>
      <c r="C179" s="750"/>
      <c r="D179" s="750"/>
      <c r="E179" s="750"/>
      <c r="F179" s="750"/>
      <c r="G179" s="750"/>
      <c r="H179" s="750"/>
      <c r="I179" s="750"/>
      <c r="J179" s="750"/>
    </row>
    <row r="180" spans="1:10" ht="84" customHeight="1">
      <c r="A180" s="15"/>
      <c r="B180" s="750" t="s">
        <v>141</v>
      </c>
      <c r="C180" s="750"/>
      <c r="D180" s="750"/>
      <c r="E180" s="750"/>
      <c r="F180" s="750"/>
      <c r="G180" s="750"/>
      <c r="H180" s="750"/>
      <c r="I180" s="750"/>
      <c r="J180" s="750"/>
    </row>
    <row r="181" spans="1:10" ht="50.25" customHeight="1">
      <c r="A181" s="15"/>
      <c r="B181" s="750" t="s">
        <v>142</v>
      </c>
      <c r="C181" s="750"/>
      <c r="D181" s="750"/>
      <c r="E181" s="750"/>
      <c r="F181" s="750"/>
      <c r="G181" s="750"/>
      <c r="H181" s="750"/>
      <c r="I181" s="750"/>
      <c r="J181" s="750"/>
    </row>
    <row r="182" spans="1:10" ht="114.75" customHeight="1">
      <c r="A182" s="15"/>
      <c r="B182" s="750" t="s">
        <v>143</v>
      </c>
      <c r="C182" s="750"/>
      <c r="D182" s="750"/>
      <c r="E182" s="750"/>
      <c r="F182" s="750"/>
      <c r="G182" s="750"/>
      <c r="H182" s="750"/>
      <c r="I182" s="750"/>
      <c r="J182" s="750"/>
    </row>
    <row r="183" spans="1:10" ht="90" customHeight="1">
      <c r="A183" s="15"/>
      <c r="B183" s="750" t="s">
        <v>144</v>
      </c>
      <c r="C183" s="750"/>
      <c r="D183" s="750"/>
      <c r="E183" s="750"/>
      <c r="F183" s="750"/>
      <c r="G183" s="750"/>
      <c r="H183" s="750"/>
      <c r="I183" s="750"/>
      <c r="J183" s="750"/>
    </row>
    <row r="184" spans="1:10">
      <c r="A184" s="15"/>
      <c r="B184" s="4"/>
      <c r="C184" s="18"/>
      <c r="D184" s="18"/>
      <c r="E184" s="18"/>
      <c r="F184" s="18"/>
      <c r="G184" s="18"/>
      <c r="H184" s="18"/>
    </row>
    <row r="185" spans="1:10" ht="14.25" customHeight="1">
      <c r="A185" s="15"/>
      <c r="B185" s="750" t="s">
        <v>145</v>
      </c>
      <c r="C185" s="750"/>
      <c r="D185" s="750"/>
      <c r="E185" s="750"/>
      <c r="F185" s="750"/>
      <c r="G185" s="750"/>
      <c r="H185" s="750"/>
      <c r="I185" s="750"/>
      <c r="J185" s="750"/>
    </row>
    <row r="186" spans="1:10" ht="14.25" customHeight="1">
      <c r="A186" s="15"/>
      <c r="B186" s="750" t="s">
        <v>146</v>
      </c>
      <c r="C186" s="750"/>
      <c r="D186" s="750"/>
      <c r="E186" s="750"/>
      <c r="F186" s="750"/>
      <c r="G186" s="750"/>
      <c r="H186" s="750"/>
      <c r="I186" s="750"/>
      <c r="J186" s="750"/>
    </row>
    <row r="187" spans="1:10" ht="37.5" customHeight="1">
      <c r="A187" s="15"/>
      <c r="B187" s="750" t="s">
        <v>147</v>
      </c>
      <c r="C187" s="750"/>
      <c r="D187" s="750"/>
      <c r="E187" s="750"/>
      <c r="F187" s="750"/>
      <c r="G187" s="750"/>
      <c r="H187" s="750"/>
      <c r="I187" s="750"/>
      <c r="J187" s="750"/>
    </row>
    <row r="188" spans="1:10" ht="59.25" customHeight="1">
      <c r="A188" s="15"/>
      <c r="B188" s="750" t="s">
        <v>148</v>
      </c>
      <c r="C188" s="750"/>
      <c r="D188" s="750"/>
      <c r="E188" s="750"/>
      <c r="F188" s="750"/>
      <c r="G188" s="750"/>
      <c r="H188" s="750"/>
      <c r="I188" s="750"/>
      <c r="J188" s="750"/>
    </row>
    <row r="189" spans="1:10" ht="55.5" customHeight="1">
      <c r="A189" s="15"/>
      <c r="B189" s="750" t="s">
        <v>149</v>
      </c>
      <c r="C189" s="750"/>
      <c r="D189" s="750"/>
      <c r="E189" s="750"/>
      <c r="F189" s="750"/>
      <c r="G189" s="750"/>
      <c r="H189" s="750"/>
      <c r="I189" s="750"/>
      <c r="J189" s="750"/>
    </row>
    <row r="190" spans="1:10" ht="54.75" customHeight="1">
      <c r="B190" s="750" t="s">
        <v>150</v>
      </c>
      <c r="C190" s="750"/>
      <c r="D190" s="750"/>
      <c r="E190" s="750"/>
      <c r="F190" s="750"/>
      <c r="G190" s="750"/>
      <c r="H190" s="750"/>
      <c r="I190" s="750"/>
      <c r="J190" s="750"/>
    </row>
    <row r="191" spans="1:10">
      <c r="A191" s="15"/>
      <c r="B191" s="750"/>
      <c r="C191" s="750"/>
      <c r="D191" s="750"/>
      <c r="E191" s="750"/>
      <c r="F191" s="750"/>
      <c r="G191" s="750"/>
      <c r="H191" s="750"/>
      <c r="I191" s="750"/>
      <c r="J191" s="750"/>
    </row>
    <row r="192" spans="1:10" ht="14.25" customHeight="1">
      <c r="B192" s="750" t="s">
        <v>151</v>
      </c>
      <c r="C192" s="750"/>
      <c r="D192" s="750"/>
      <c r="E192" s="750"/>
      <c r="F192" s="750"/>
      <c r="G192" s="750"/>
      <c r="H192" s="750"/>
      <c r="I192" s="750"/>
      <c r="J192" s="750"/>
    </row>
    <row r="193" spans="1:10">
      <c r="B193" s="750"/>
      <c r="C193" s="750"/>
      <c r="D193" s="750"/>
      <c r="E193" s="750"/>
      <c r="F193" s="750"/>
      <c r="G193" s="750"/>
      <c r="H193" s="750"/>
      <c r="I193" s="750"/>
      <c r="J193" s="750"/>
    </row>
    <row r="194" spans="1:10">
      <c r="B194" s="750"/>
      <c r="C194" s="750"/>
      <c r="D194" s="750"/>
      <c r="E194" s="750"/>
      <c r="F194" s="750"/>
      <c r="G194" s="750"/>
      <c r="H194" s="750"/>
      <c r="I194" s="750"/>
      <c r="J194" s="750"/>
    </row>
    <row r="195" spans="1:10">
      <c r="B195" s="750"/>
      <c r="C195" s="750"/>
      <c r="D195" s="750"/>
      <c r="E195" s="750"/>
      <c r="F195" s="750"/>
      <c r="G195" s="750"/>
      <c r="H195" s="750"/>
      <c r="I195" s="750"/>
      <c r="J195" s="750"/>
    </row>
    <row r="196" spans="1:10">
      <c r="B196" s="750"/>
      <c r="C196" s="750"/>
      <c r="D196" s="750"/>
      <c r="E196" s="750"/>
      <c r="F196" s="750"/>
      <c r="G196" s="750"/>
      <c r="H196" s="750"/>
      <c r="I196" s="750"/>
      <c r="J196" s="750"/>
    </row>
    <row r="197" spans="1:10">
      <c r="B197" s="750"/>
      <c r="C197" s="750"/>
      <c r="D197" s="750"/>
      <c r="E197" s="750"/>
      <c r="F197" s="750"/>
      <c r="G197" s="750"/>
      <c r="H197" s="750"/>
      <c r="I197" s="750"/>
      <c r="J197" s="750"/>
    </row>
    <row r="198" spans="1:10">
      <c r="B198" s="4"/>
      <c r="C198" s="18"/>
      <c r="D198" s="18"/>
      <c r="E198" s="18"/>
      <c r="F198" s="18"/>
      <c r="G198" s="18"/>
      <c r="H198" s="18"/>
    </row>
    <row r="199" spans="1:10" ht="14.25" customHeight="1">
      <c r="A199" s="15"/>
      <c r="B199" s="750" t="s">
        <v>152</v>
      </c>
      <c r="C199" s="750"/>
      <c r="D199" s="750"/>
      <c r="E199" s="750"/>
      <c r="F199" s="750"/>
      <c r="G199" s="750"/>
      <c r="H199" s="750"/>
      <c r="I199" s="750"/>
      <c r="J199" s="750"/>
    </row>
    <row r="200" spans="1:10" ht="54.75" customHeight="1">
      <c r="A200" s="15"/>
      <c r="B200" s="750" t="s">
        <v>153</v>
      </c>
      <c r="C200" s="750"/>
      <c r="D200" s="750"/>
      <c r="E200" s="750"/>
      <c r="F200" s="750"/>
      <c r="G200" s="750"/>
      <c r="H200" s="750"/>
      <c r="I200" s="750"/>
      <c r="J200" s="750"/>
    </row>
    <row r="201" spans="1:10" ht="41.25" customHeight="1">
      <c r="A201" s="15"/>
      <c r="B201" s="750" t="s">
        <v>154</v>
      </c>
      <c r="C201" s="750"/>
      <c r="D201" s="750"/>
      <c r="E201" s="750"/>
      <c r="F201" s="750"/>
      <c r="G201" s="750"/>
      <c r="H201" s="750"/>
      <c r="I201" s="750"/>
      <c r="J201" s="750"/>
    </row>
    <row r="202" spans="1:10">
      <c r="A202" s="15"/>
      <c r="B202" s="750"/>
      <c r="C202" s="750"/>
      <c r="D202" s="750"/>
      <c r="E202" s="750"/>
      <c r="F202" s="750"/>
      <c r="G202" s="750"/>
      <c r="H202" s="750"/>
      <c r="I202" s="750"/>
      <c r="J202" s="750"/>
    </row>
    <row r="203" spans="1:10" ht="14.25" customHeight="1">
      <c r="A203" s="15"/>
      <c r="B203" s="750" t="s">
        <v>155</v>
      </c>
      <c r="C203" s="750"/>
      <c r="D203" s="750"/>
      <c r="E203" s="750"/>
      <c r="F203" s="750"/>
      <c r="G203" s="750"/>
      <c r="H203" s="750"/>
      <c r="I203" s="750"/>
      <c r="J203" s="750"/>
    </row>
    <row r="204" spans="1:10" ht="54.75" customHeight="1">
      <c r="A204" s="15"/>
      <c r="B204" s="750" t="s">
        <v>156</v>
      </c>
      <c r="C204" s="750"/>
      <c r="D204" s="750"/>
      <c r="E204" s="750"/>
      <c r="F204" s="750"/>
      <c r="G204" s="750"/>
      <c r="H204" s="750"/>
      <c r="I204" s="750"/>
      <c r="J204" s="750"/>
    </row>
    <row r="205" spans="1:10" ht="26.25" customHeight="1">
      <c r="A205" s="15"/>
      <c r="B205" s="750" t="s">
        <v>157</v>
      </c>
      <c r="C205" s="750"/>
      <c r="D205" s="750"/>
      <c r="E205" s="750"/>
      <c r="F205" s="750"/>
      <c r="G205" s="750"/>
      <c r="H205" s="750"/>
      <c r="I205" s="750"/>
      <c r="J205" s="750"/>
    </row>
    <row r="206" spans="1:10" ht="14.25" customHeight="1">
      <c r="A206" s="15"/>
      <c r="B206" s="750" t="s">
        <v>158</v>
      </c>
      <c r="C206" s="750"/>
      <c r="D206" s="750"/>
      <c r="E206" s="750"/>
      <c r="F206" s="750"/>
      <c r="G206" s="750"/>
      <c r="H206" s="750"/>
      <c r="I206" s="750"/>
      <c r="J206" s="750"/>
    </row>
    <row r="207" spans="1:10" ht="96.75" customHeight="1">
      <c r="B207" s="750" t="s">
        <v>159</v>
      </c>
      <c r="C207" s="750"/>
      <c r="D207" s="750"/>
      <c r="E207" s="750"/>
      <c r="F207" s="750"/>
      <c r="G207" s="750"/>
      <c r="H207" s="750"/>
      <c r="I207" s="750"/>
      <c r="J207" s="750"/>
    </row>
    <row r="208" spans="1:10" ht="81" customHeight="1">
      <c r="A208" s="15"/>
      <c r="B208" s="750" t="s">
        <v>160</v>
      </c>
      <c r="C208" s="750"/>
      <c r="D208" s="750"/>
      <c r="E208" s="750"/>
      <c r="F208" s="750"/>
      <c r="G208" s="750"/>
      <c r="H208" s="750"/>
      <c r="I208" s="750"/>
      <c r="J208" s="750"/>
    </row>
    <row r="209" spans="1:10">
      <c r="A209" s="15"/>
      <c r="B209" s="4"/>
      <c r="C209" s="18"/>
      <c r="D209" s="18"/>
      <c r="E209" s="18"/>
      <c r="F209" s="18"/>
      <c r="G209" s="18"/>
      <c r="H209" s="18"/>
    </row>
    <row r="210" spans="1:10" ht="14.25" customHeight="1">
      <c r="A210" s="15"/>
      <c r="B210" s="750" t="s">
        <v>161</v>
      </c>
      <c r="C210" s="750"/>
      <c r="D210" s="750"/>
      <c r="E210" s="750"/>
      <c r="F210" s="750"/>
      <c r="G210" s="750"/>
      <c r="H210" s="750"/>
      <c r="I210" s="750"/>
      <c r="J210" s="750"/>
    </row>
    <row r="211" spans="1:10" ht="128.25" customHeight="1">
      <c r="B211" s="750" t="s">
        <v>162</v>
      </c>
      <c r="C211" s="750"/>
      <c r="D211" s="750"/>
      <c r="E211" s="750"/>
      <c r="F211" s="750"/>
      <c r="G211" s="750"/>
      <c r="H211" s="750"/>
      <c r="I211" s="750"/>
      <c r="J211" s="750"/>
    </row>
    <row r="212" spans="1:10" ht="83.25" customHeight="1">
      <c r="A212" s="15"/>
      <c r="B212" s="750" t="s">
        <v>163</v>
      </c>
      <c r="C212" s="750"/>
      <c r="D212" s="750"/>
      <c r="E212" s="750"/>
      <c r="F212" s="750"/>
      <c r="G212" s="750"/>
      <c r="H212" s="750"/>
      <c r="I212" s="750"/>
      <c r="J212" s="750"/>
    </row>
    <row r="213" spans="1:10" ht="97.5" customHeight="1">
      <c r="A213" s="15"/>
      <c r="B213" s="750" t="s">
        <v>164</v>
      </c>
      <c r="C213" s="750"/>
      <c r="D213" s="750"/>
      <c r="E213" s="750"/>
      <c r="F213" s="750"/>
      <c r="G213" s="750"/>
      <c r="H213" s="750"/>
      <c r="I213" s="750"/>
      <c r="J213" s="750"/>
    </row>
    <row r="214" spans="1:10" ht="14.25" customHeight="1">
      <c r="B214" s="750" t="s">
        <v>165</v>
      </c>
      <c r="C214" s="750"/>
      <c r="D214" s="750"/>
      <c r="E214" s="750"/>
      <c r="F214" s="750"/>
      <c r="G214" s="750"/>
      <c r="H214" s="750"/>
      <c r="I214" s="750"/>
      <c r="J214" s="750"/>
    </row>
    <row r="215" spans="1:10">
      <c r="B215" s="750"/>
      <c r="C215" s="750"/>
      <c r="D215" s="750"/>
      <c r="E215" s="750"/>
      <c r="F215" s="750"/>
      <c r="G215" s="750"/>
      <c r="H215" s="750"/>
      <c r="I215" s="750"/>
      <c r="J215" s="750"/>
    </row>
    <row r="216" spans="1:10" ht="14.25" customHeight="1">
      <c r="A216" s="17"/>
      <c r="B216" s="750" t="s">
        <v>166</v>
      </c>
      <c r="C216" s="750"/>
      <c r="D216" s="750"/>
      <c r="E216" s="750"/>
      <c r="F216" s="750"/>
      <c r="G216" s="750"/>
      <c r="H216" s="750"/>
      <c r="I216" s="750"/>
      <c r="J216" s="750"/>
    </row>
    <row r="217" spans="1:10" ht="58.5" customHeight="1">
      <c r="B217" s="750" t="s">
        <v>167</v>
      </c>
      <c r="C217" s="750"/>
      <c r="D217" s="750"/>
      <c r="E217" s="750"/>
      <c r="F217" s="750"/>
      <c r="G217" s="750"/>
      <c r="H217" s="750"/>
      <c r="I217" s="750"/>
      <c r="J217" s="750"/>
    </row>
    <row r="218" spans="1:10" ht="41.25" customHeight="1">
      <c r="B218" s="750" t="s">
        <v>168</v>
      </c>
      <c r="C218" s="750"/>
      <c r="D218" s="750"/>
      <c r="E218" s="750"/>
      <c r="F218" s="750"/>
      <c r="G218" s="750"/>
      <c r="H218" s="750"/>
      <c r="I218" s="750"/>
      <c r="J218" s="750"/>
    </row>
    <row r="219" spans="1:10" ht="82.5" customHeight="1">
      <c r="B219" s="750" t="s">
        <v>169</v>
      </c>
      <c r="C219" s="750"/>
      <c r="D219" s="750"/>
      <c r="E219" s="750"/>
      <c r="F219" s="750"/>
      <c r="G219" s="750"/>
      <c r="H219" s="750"/>
      <c r="I219" s="750"/>
      <c r="J219" s="750"/>
    </row>
    <row r="220" spans="1:10" ht="58.5" customHeight="1">
      <c r="B220" s="750" t="s">
        <v>170</v>
      </c>
      <c r="C220" s="750"/>
      <c r="D220" s="750"/>
      <c r="E220" s="750"/>
      <c r="F220" s="750"/>
      <c r="G220" s="750"/>
      <c r="H220" s="750"/>
      <c r="I220" s="750"/>
      <c r="J220" s="750"/>
    </row>
    <row r="221" spans="1:10" ht="90" customHeight="1">
      <c r="B221" s="750" t="s">
        <v>171</v>
      </c>
      <c r="C221" s="750"/>
      <c r="D221" s="750"/>
      <c r="E221" s="750"/>
      <c r="F221" s="750"/>
      <c r="G221" s="750"/>
      <c r="H221" s="750"/>
      <c r="I221" s="750"/>
      <c r="J221" s="750"/>
    </row>
    <row r="222" spans="1:10" ht="72" customHeight="1">
      <c r="B222" s="750" t="s">
        <v>172</v>
      </c>
      <c r="C222" s="750"/>
      <c r="D222" s="750"/>
      <c r="E222" s="750"/>
      <c r="F222" s="750"/>
      <c r="G222" s="750"/>
      <c r="H222" s="750"/>
      <c r="I222" s="750"/>
      <c r="J222" s="750"/>
    </row>
    <row r="223" spans="1:10" ht="144.75" customHeight="1">
      <c r="B223" s="750" t="s">
        <v>173</v>
      </c>
      <c r="C223" s="750"/>
      <c r="D223" s="750"/>
      <c r="E223" s="750"/>
      <c r="F223" s="750"/>
      <c r="G223" s="750"/>
      <c r="H223" s="750"/>
      <c r="I223" s="750"/>
      <c r="J223" s="750"/>
    </row>
    <row r="224" spans="1:10" ht="69" customHeight="1">
      <c r="B224" s="750" t="s">
        <v>174</v>
      </c>
      <c r="C224" s="750"/>
      <c r="D224" s="750"/>
      <c r="E224" s="750"/>
      <c r="F224" s="750"/>
      <c r="G224" s="750"/>
      <c r="H224" s="750"/>
      <c r="I224" s="750"/>
      <c r="J224" s="750"/>
    </row>
    <row r="225" spans="1:10">
      <c r="B225" s="750"/>
      <c r="C225" s="750"/>
      <c r="D225" s="750"/>
      <c r="E225" s="750"/>
      <c r="F225" s="750"/>
      <c r="G225" s="750"/>
      <c r="H225" s="750"/>
      <c r="I225" s="750"/>
      <c r="J225" s="750"/>
    </row>
    <row r="226" spans="1:10" ht="14.25" customHeight="1">
      <c r="A226" s="17"/>
      <c r="B226" s="754" t="s">
        <v>175</v>
      </c>
      <c r="C226" s="754"/>
      <c r="D226" s="754"/>
      <c r="E226" s="754"/>
      <c r="F226" s="754"/>
      <c r="G226" s="754"/>
      <c r="H226" s="754"/>
      <c r="I226" s="754"/>
      <c r="J226" s="754"/>
    </row>
    <row r="227" spans="1:10" ht="41.25" customHeight="1">
      <c r="B227" s="749" t="s">
        <v>176</v>
      </c>
      <c r="C227" s="749"/>
      <c r="D227" s="749"/>
      <c r="E227" s="749"/>
      <c r="F227" s="749"/>
      <c r="G227" s="749"/>
      <c r="H227" s="749"/>
      <c r="I227" s="749"/>
      <c r="J227" s="749"/>
    </row>
    <row r="228" spans="1:10">
      <c r="B228" s="754"/>
      <c r="C228" s="754"/>
      <c r="D228" s="754"/>
      <c r="E228" s="754"/>
      <c r="F228" s="754"/>
      <c r="G228" s="754"/>
      <c r="H228" s="754"/>
      <c r="I228" s="754"/>
      <c r="J228" s="754"/>
    </row>
    <row r="229" spans="1:10" ht="14.25" customHeight="1">
      <c r="A229" s="17"/>
      <c r="B229" s="754" t="s">
        <v>177</v>
      </c>
      <c r="C229" s="754"/>
      <c r="D229" s="754"/>
      <c r="E229" s="754"/>
      <c r="F229" s="754"/>
      <c r="G229" s="754"/>
      <c r="H229" s="754"/>
      <c r="I229" s="754"/>
      <c r="J229" s="754"/>
    </row>
    <row r="230" spans="1:10" ht="45.75" customHeight="1">
      <c r="A230" s="19"/>
      <c r="B230" s="749" t="s">
        <v>178</v>
      </c>
      <c r="C230" s="749"/>
      <c r="D230" s="749"/>
      <c r="E230" s="749"/>
      <c r="F230" s="749"/>
      <c r="G230" s="749"/>
      <c r="H230" s="749"/>
      <c r="I230" s="749"/>
      <c r="J230" s="749"/>
    </row>
    <row r="231" spans="1:10" ht="14.25" customHeight="1">
      <c r="A231" s="19"/>
      <c r="B231" s="749" t="s">
        <v>179</v>
      </c>
      <c r="C231" s="749"/>
      <c r="D231" s="749"/>
      <c r="E231" s="749"/>
      <c r="F231" s="749"/>
      <c r="G231" s="749"/>
      <c r="H231" s="749"/>
      <c r="I231" s="749"/>
      <c r="J231" s="749"/>
    </row>
    <row r="232" spans="1:10" ht="14.25" customHeight="1">
      <c r="A232" s="19"/>
      <c r="B232" s="749" t="s">
        <v>180</v>
      </c>
      <c r="C232" s="749"/>
      <c r="D232" s="749"/>
      <c r="E232" s="749"/>
      <c r="F232" s="749"/>
      <c r="G232" s="749"/>
      <c r="H232" s="749"/>
      <c r="I232" s="749"/>
      <c r="J232" s="749"/>
    </row>
    <row r="233" spans="1:10">
      <c r="A233" s="19"/>
      <c r="B233" s="749"/>
      <c r="C233" s="749"/>
      <c r="D233" s="749"/>
      <c r="E233" s="749"/>
      <c r="F233" s="749"/>
      <c r="G233" s="749"/>
      <c r="H233" s="749"/>
      <c r="I233" s="749"/>
      <c r="J233" s="749"/>
    </row>
    <row r="234" spans="1:10" ht="81" customHeight="1">
      <c r="A234" s="19"/>
      <c r="B234" s="749" t="s">
        <v>181</v>
      </c>
      <c r="C234" s="749"/>
      <c r="D234" s="749"/>
      <c r="E234" s="749"/>
      <c r="F234" s="749"/>
      <c r="G234" s="749"/>
      <c r="H234" s="749"/>
      <c r="I234" s="749"/>
      <c r="J234" s="749"/>
    </row>
    <row r="235" spans="1:10" ht="41.25" customHeight="1">
      <c r="A235" s="19"/>
      <c r="B235" s="749" t="s">
        <v>182</v>
      </c>
      <c r="C235" s="749"/>
      <c r="D235" s="749"/>
      <c r="E235" s="749"/>
      <c r="F235" s="749"/>
      <c r="G235" s="749"/>
      <c r="H235" s="749"/>
      <c r="I235" s="749"/>
      <c r="J235" s="749"/>
    </row>
    <row r="236" spans="1:10" ht="59.25" customHeight="1">
      <c r="A236" s="19"/>
      <c r="B236" s="749" t="s">
        <v>183</v>
      </c>
      <c r="C236" s="749"/>
      <c r="D236" s="749"/>
      <c r="E236" s="749"/>
      <c r="F236" s="749"/>
      <c r="G236" s="749"/>
      <c r="H236" s="749"/>
      <c r="I236" s="749"/>
      <c r="J236" s="749"/>
    </row>
    <row r="237" spans="1:10" ht="90.75" customHeight="1">
      <c r="A237" s="19"/>
      <c r="B237" s="749" t="s">
        <v>184</v>
      </c>
      <c r="C237" s="749"/>
      <c r="D237" s="749"/>
      <c r="E237" s="749"/>
      <c r="F237" s="749"/>
      <c r="G237" s="749"/>
      <c r="H237" s="749"/>
      <c r="I237" s="749"/>
      <c r="J237" s="749"/>
    </row>
    <row r="238" spans="1:10">
      <c r="A238" s="19"/>
      <c r="B238" s="749"/>
      <c r="C238" s="749"/>
      <c r="D238" s="749"/>
      <c r="E238" s="749"/>
      <c r="F238" s="749"/>
      <c r="G238" s="749"/>
      <c r="H238" s="749"/>
      <c r="I238" s="749"/>
      <c r="J238" s="749"/>
    </row>
    <row r="239" spans="1:10" ht="14.25" customHeight="1">
      <c r="B239" s="754" t="s">
        <v>185</v>
      </c>
      <c r="C239" s="754"/>
      <c r="D239" s="754"/>
      <c r="E239" s="754"/>
      <c r="F239" s="754"/>
      <c r="G239" s="754"/>
      <c r="H239" s="754"/>
      <c r="I239" s="754"/>
      <c r="J239" s="754"/>
    </row>
    <row r="240" spans="1:10">
      <c r="A240" s="19"/>
      <c r="B240" s="749"/>
      <c r="C240" s="749"/>
      <c r="D240" s="749"/>
      <c r="E240" s="749"/>
      <c r="F240" s="749"/>
      <c r="G240" s="749"/>
      <c r="H240" s="749"/>
      <c r="I240" s="749"/>
      <c r="J240" s="749"/>
    </row>
    <row r="241" spans="1:10">
      <c r="A241" s="19"/>
      <c r="B241" s="749"/>
      <c r="C241" s="749"/>
      <c r="D241" s="749"/>
      <c r="E241" s="749"/>
      <c r="F241" s="749"/>
      <c r="G241" s="749"/>
      <c r="H241" s="749"/>
      <c r="I241" s="749"/>
      <c r="J241" s="749"/>
    </row>
    <row r="242" spans="1:10">
      <c r="A242" s="19"/>
      <c r="B242" s="749"/>
      <c r="C242" s="749"/>
      <c r="D242" s="749"/>
      <c r="E242" s="749"/>
      <c r="F242" s="749"/>
      <c r="G242" s="749"/>
      <c r="H242" s="749"/>
      <c r="I242" s="749"/>
      <c r="J242" s="749"/>
    </row>
    <row r="243" spans="1:10">
      <c r="A243" s="19"/>
      <c r="B243" s="749"/>
      <c r="C243" s="749"/>
      <c r="D243" s="749"/>
      <c r="E243" s="749"/>
      <c r="F243" s="749"/>
      <c r="G243" s="749"/>
      <c r="H243" s="749"/>
      <c r="I243" s="749"/>
      <c r="J243" s="749"/>
    </row>
    <row r="244" spans="1:10">
      <c r="A244" s="19"/>
      <c r="B244" s="749"/>
      <c r="C244" s="749"/>
      <c r="D244" s="749"/>
      <c r="E244" s="749"/>
      <c r="F244" s="749"/>
      <c r="G244" s="749"/>
      <c r="H244" s="749"/>
      <c r="I244" s="749"/>
      <c r="J244" s="749"/>
    </row>
    <row r="245" spans="1:10">
      <c r="A245" s="19"/>
      <c r="B245" s="749"/>
      <c r="C245" s="749"/>
      <c r="D245" s="749"/>
      <c r="E245" s="749"/>
      <c r="F245" s="749"/>
      <c r="G245" s="749"/>
      <c r="H245" s="749"/>
      <c r="I245" s="749"/>
      <c r="J245" s="749"/>
    </row>
    <row r="246" spans="1:10">
      <c r="A246" s="19"/>
      <c r="B246" s="749"/>
      <c r="C246" s="749"/>
      <c r="D246" s="749"/>
      <c r="E246" s="749"/>
      <c r="F246" s="749"/>
      <c r="G246" s="749"/>
      <c r="H246" s="749"/>
      <c r="I246" s="749"/>
      <c r="J246" s="749"/>
    </row>
    <row r="247" spans="1:10">
      <c r="A247" s="19"/>
      <c r="B247" s="749"/>
      <c r="C247" s="749"/>
      <c r="D247" s="749"/>
      <c r="E247" s="749"/>
      <c r="F247" s="749"/>
      <c r="G247" s="749"/>
      <c r="H247" s="749"/>
      <c r="I247" s="749"/>
      <c r="J247" s="749"/>
    </row>
    <row r="248" spans="1:10">
      <c r="A248" s="19"/>
      <c r="B248" s="749"/>
      <c r="C248" s="749"/>
      <c r="D248" s="749"/>
      <c r="E248" s="749"/>
      <c r="F248" s="749"/>
      <c r="G248" s="749"/>
      <c r="H248" s="749"/>
      <c r="I248" s="749"/>
      <c r="J248" s="749"/>
    </row>
    <row r="249" spans="1:10">
      <c r="A249" s="19"/>
      <c r="B249" s="749"/>
      <c r="C249" s="749"/>
      <c r="D249" s="749"/>
      <c r="E249" s="749"/>
      <c r="F249" s="749"/>
      <c r="G249" s="749"/>
      <c r="H249" s="749"/>
      <c r="I249" s="749"/>
      <c r="J249" s="749"/>
    </row>
    <row r="250" spans="1:10">
      <c r="A250" s="19"/>
      <c r="B250" s="749"/>
      <c r="C250" s="749"/>
      <c r="D250" s="749"/>
      <c r="E250" s="749"/>
      <c r="F250" s="749"/>
      <c r="G250" s="749"/>
      <c r="H250" s="749"/>
      <c r="I250" s="749"/>
      <c r="J250" s="749"/>
    </row>
    <row r="251" spans="1:10">
      <c r="A251" s="19"/>
      <c r="B251" s="749"/>
      <c r="C251" s="749"/>
      <c r="D251" s="749"/>
      <c r="E251" s="749"/>
      <c r="F251" s="749"/>
      <c r="G251" s="749"/>
      <c r="H251" s="749"/>
      <c r="I251" s="749"/>
      <c r="J251" s="749"/>
    </row>
    <row r="252" spans="1:10" ht="36" customHeight="1">
      <c r="A252" s="19"/>
      <c r="B252" s="5"/>
      <c r="C252" s="5"/>
      <c r="D252" s="5"/>
      <c r="E252" s="5"/>
      <c r="F252" s="5"/>
      <c r="G252" s="5"/>
      <c r="H252" s="5"/>
      <c r="I252" s="5"/>
      <c r="J252" s="5"/>
    </row>
    <row r="253" spans="1:10">
      <c r="A253" s="19"/>
      <c r="B253" s="749"/>
      <c r="C253" s="749"/>
      <c r="D253" s="749"/>
      <c r="E253" s="749"/>
      <c r="F253" s="749"/>
      <c r="G253" s="749"/>
      <c r="H253" s="749"/>
      <c r="I253" s="749"/>
      <c r="J253" s="749"/>
    </row>
    <row r="254" spans="1:10">
      <c r="A254" s="19"/>
      <c r="B254" s="749"/>
      <c r="C254" s="749"/>
      <c r="D254" s="749"/>
      <c r="E254" s="749"/>
      <c r="F254" s="749"/>
      <c r="G254" s="749"/>
      <c r="H254" s="749"/>
      <c r="I254" s="749"/>
      <c r="J254" s="749"/>
    </row>
    <row r="255" spans="1:10">
      <c r="A255" s="19"/>
      <c r="B255" s="749"/>
      <c r="C255" s="749"/>
      <c r="D255" s="749"/>
      <c r="E255" s="749"/>
      <c r="F255" s="749"/>
      <c r="G255" s="749"/>
      <c r="H255" s="749"/>
      <c r="I255" s="749"/>
      <c r="J255" s="749"/>
    </row>
    <row r="256" spans="1:10">
      <c r="A256" s="19"/>
      <c r="B256" s="5"/>
      <c r="C256" s="5"/>
      <c r="D256" s="5"/>
      <c r="E256" s="5"/>
      <c r="F256" s="5"/>
      <c r="G256" s="5"/>
      <c r="H256" s="5"/>
      <c r="I256" s="19"/>
      <c r="J256" s="19"/>
    </row>
    <row r="257" spans="1:10">
      <c r="A257" s="19"/>
      <c r="B257" s="5"/>
      <c r="C257" s="5"/>
      <c r="D257" s="5"/>
      <c r="E257" s="5"/>
      <c r="F257" s="5"/>
      <c r="G257" s="5"/>
      <c r="H257" s="5"/>
      <c r="I257" s="19"/>
      <c r="J257" s="19"/>
    </row>
    <row r="258" spans="1:10">
      <c r="A258" s="19"/>
      <c r="B258" s="5"/>
      <c r="C258" s="5"/>
      <c r="D258" s="5"/>
      <c r="E258" s="5"/>
      <c r="F258" s="5"/>
      <c r="G258" s="5"/>
      <c r="H258" s="5"/>
      <c r="I258" s="19"/>
      <c r="J258" s="19"/>
    </row>
    <row r="259" spans="1:10">
      <c r="A259" s="19"/>
      <c r="B259" s="5"/>
      <c r="C259" s="5"/>
      <c r="D259" s="5"/>
      <c r="E259" s="5"/>
      <c r="F259" s="5"/>
      <c r="G259" s="5"/>
      <c r="H259" s="5"/>
      <c r="I259" s="19"/>
      <c r="J259" s="19"/>
    </row>
    <row r="260" spans="1:10">
      <c r="A260" s="19"/>
      <c r="B260" s="5"/>
      <c r="C260" s="5"/>
      <c r="D260" s="5"/>
      <c r="E260" s="5"/>
      <c r="F260" s="5"/>
      <c r="G260" s="5"/>
      <c r="H260" s="5"/>
      <c r="I260" s="19"/>
      <c r="J260" s="19"/>
    </row>
    <row r="261" spans="1:10">
      <c r="A261" s="19"/>
      <c r="B261" s="5"/>
      <c r="C261" s="5"/>
      <c r="D261" s="5"/>
      <c r="E261" s="5"/>
      <c r="F261" s="5"/>
      <c r="G261" s="5"/>
      <c r="H261" s="5"/>
      <c r="I261" s="19"/>
      <c r="J261" s="19"/>
    </row>
    <row r="262" spans="1:10">
      <c r="A262" s="19"/>
      <c r="B262" s="5"/>
      <c r="C262" s="5"/>
      <c r="D262" s="5"/>
      <c r="E262" s="5"/>
      <c r="F262" s="5"/>
      <c r="G262" s="5"/>
      <c r="H262" s="5"/>
      <c r="I262" s="19"/>
      <c r="J262" s="19"/>
    </row>
    <row r="263" spans="1:10">
      <c r="A263" s="19"/>
      <c r="B263" s="5"/>
      <c r="C263" s="5"/>
      <c r="D263" s="5"/>
      <c r="E263" s="5"/>
      <c r="F263" s="5"/>
      <c r="G263" s="5"/>
      <c r="H263" s="5"/>
      <c r="I263" s="19"/>
      <c r="J263" s="19"/>
    </row>
    <row r="264" spans="1:10">
      <c r="A264" s="19"/>
      <c r="B264" s="5"/>
      <c r="C264" s="5"/>
      <c r="D264" s="5"/>
      <c r="E264" s="5"/>
      <c r="F264" s="5"/>
      <c r="G264" s="5"/>
      <c r="H264" s="5"/>
      <c r="I264" s="19"/>
      <c r="J264" s="19"/>
    </row>
    <row r="265" spans="1:10">
      <c r="A265" s="19"/>
      <c r="B265" s="5"/>
      <c r="C265" s="5"/>
      <c r="D265" s="5"/>
      <c r="E265" s="5"/>
      <c r="F265" s="5"/>
      <c r="G265" s="5"/>
      <c r="H265" s="5"/>
      <c r="I265" s="19"/>
      <c r="J265" s="19"/>
    </row>
    <row r="266" spans="1:10">
      <c r="A266" s="19"/>
      <c r="B266" s="5"/>
      <c r="C266" s="5"/>
      <c r="D266" s="5"/>
      <c r="E266" s="5"/>
      <c r="F266" s="5"/>
      <c r="G266" s="5"/>
      <c r="H266" s="5"/>
      <c r="I266" s="19"/>
      <c r="J266" s="19"/>
    </row>
    <row r="267" spans="1:10">
      <c r="A267" s="19"/>
      <c r="B267" s="5"/>
      <c r="C267" s="5"/>
      <c r="D267" s="5"/>
      <c r="E267" s="5"/>
      <c r="F267" s="5"/>
      <c r="G267" s="5"/>
      <c r="H267" s="5"/>
      <c r="I267" s="19"/>
      <c r="J267" s="19"/>
    </row>
    <row r="268" spans="1:10">
      <c r="A268" s="19"/>
      <c r="B268" s="5"/>
      <c r="C268" s="5"/>
      <c r="D268" s="5"/>
      <c r="E268" s="5"/>
      <c r="F268" s="5"/>
      <c r="G268" s="5"/>
      <c r="H268" s="5"/>
      <c r="I268" s="19"/>
      <c r="J268" s="19"/>
    </row>
    <row r="269" spans="1:10">
      <c r="A269" s="19"/>
      <c r="B269" s="5"/>
      <c r="C269" s="5"/>
      <c r="D269" s="5"/>
      <c r="E269" s="5"/>
      <c r="F269" s="5"/>
      <c r="G269" s="5"/>
      <c r="H269" s="5"/>
      <c r="I269" s="19"/>
      <c r="J269" s="19"/>
    </row>
    <row r="270" spans="1:10">
      <c r="A270" s="19"/>
      <c r="B270" s="5"/>
      <c r="C270" s="5"/>
      <c r="D270" s="5"/>
      <c r="E270" s="5"/>
      <c r="F270" s="5"/>
      <c r="G270" s="5"/>
      <c r="H270" s="5"/>
      <c r="I270" s="19"/>
      <c r="J270" s="19"/>
    </row>
    <row r="271" spans="1:10">
      <c r="A271" s="19"/>
      <c r="B271" s="5"/>
      <c r="C271" s="5"/>
      <c r="D271" s="5"/>
      <c r="E271" s="5"/>
      <c r="F271" s="5"/>
      <c r="G271" s="5"/>
      <c r="H271" s="5"/>
      <c r="I271" s="19"/>
      <c r="J271" s="19"/>
    </row>
    <row r="272" spans="1:10">
      <c r="A272" s="19"/>
      <c r="B272" s="5"/>
      <c r="C272" s="5"/>
      <c r="D272" s="5"/>
      <c r="E272" s="5"/>
      <c r="F272" s="5"/>
      <c r="G272" s="5"/>
      <c r="H272" s="5"/>
      <c r="I272" s="19"/>
      <c r="J272" s="19"/>
    </row>
    <row r="273" spans="1:10">
      <c r="A273" s="19"/>
      <c r="B273" s="5"/>
      <c r="C273" s="5"/>
      <c r="D273" s="5"/>
      <c r="E273" s="5"/>
      <c r="F273" s="5"/>
      <c r="G273" s="5"/>
      <c r="H273" s="5"/>
      <c r="I273" s="19"/>
      <c r="J273" s="19"/>
    </row>
    <row r="274" spans="1:10">
      <c r="A274" s="19"/>
      <c r="B274" s="5"/>
      <c r="C274" s="5"/>
      <c r="D274" s="5"/>
      <c r="E274" s="5"/>
      <c r="F274" s="5"/>
      <c r="G274" s="5"/>
      <c r="H274" s="5"/>
      <c r="I274" s="19"/>
      <c r="J274" s="19"/>
    </row>
    <row r="275" spans="1:10">
      <c r="A275" s="19"/>
      <c r="B275" s="5"/>
      <c r="C275" s="5"/>
      <c r="D275" s="5"/>
      <c r="E275" s="5"/>
      <c r="F275" s="5"/>
      <c r="G275" s="5"/>
      <c r="H275" s="5"/>
      <c r="I275" s="19"/>
      <c r="J275" s="19"/>
    </row>
    <row r="276" spans="1:10">
      <c r="A276" s="19"/>
      <c r="B276" s="5"/>
      <c r="C276" s="5"/>
      <c r="D276" s="5"/>
      <c r="E276" s="5"/>
      <c r="F276" s="5"/>
      <c r="G276" s="5"/>
      <c r="H276" s="5"/>
      <c r="I276" s="19"/>
      <c r="J276" s="19"/>
    </row>
    <row r="277" spans="1:10" ht="18" customHeight="1">
      <c r="A277" s="19"/>
      <c r="B277" s="5"/>
      <c r="C277" s="5"/>
      <c r="D277" s="5"/>
      <c r="E277" s="5"/>
      <c r="F277" s="5"/>
      <c r="G277" s="5"/>
      <c r="H277" s="5"/>
      <c r="I277" s="19"/>
      <c r="J277" s="19"/>
    </row>
    <row r="278" spans="1:10" ht="18.75" customHeight="1">
      <c r="A278" s="19"/>
      <c r="B278" s="5"/>
      <c r="C278" s="5"/>
      <c r="D278" s="5"/>
      <c r="E278" s="5"/>
      <c r="F278" s="5"/>
      <c r="G278" s="5"/>
      <c r="H278" s="5"/>
      <c r="I278" s="19"/>
      <c r="J278" s="19"/>
    </row>
    <row r="279" spans="1:10" ht="18.75" customHeight="1">
      <c r="A279" s="19"/>
      <c r="B279" s="5"/>
      <c r="C279" s="5"/>
      <c r="D279" s="5"/>
      <c r="E279" s="5"/>
      <c r="F279" s="5"/>
      <c r="G279" s="5"/>
      <c r="H279" s="5"/>
      <c r="I279" s="19"/>
      <c r="J279" s="19"/>
    </row>
    <row r="280" spans="1:10" ht="19.5" customHeight="1">
      <c r="A280" s="19"/>
      <c r="B280" s="5"/>
      <c r="C280" s="5"/>
      <c r="D280" s="5"/>
      <c r="E280" s="5"/>
      <c r="F280" s="5"/>
      <c r="G280" s="5"/>
      <c r="H280" s="5"/>
      <c r="I280" s="19"/>
      <c r="J280" s="19"/>
    </row>
    <row r="281" spans="1:10" ht="19.5" customHeight="1">
      <c r="A281" s="19"/>
      <c r="B281" s="5"/>
      <c r="C281" s="5"/>
      <c r="D281" s="5"/>
      <c r="E281" s="5"/>
      <c r="F281" s="5"/>
      <c r="G281" s="5"/>
      <c r="H281" s="5"/>
      <c r="I281" s="19"/>
      <c r="J281" s="19"/>
    </row>
    <row r="282" spans="1:10">
      <c r="A282" s="19"/>
      <c r="B282" s="5"/>
      <c r="C282" s="5"/>
      <c r="D282" s="5"/>
      <c r="E282" s="5"/>
      <c r="F282" s="5"/>
      <c r="G282" s="5"/>
      <c r="H282" s="5"/>
      <c r="I282" s="19"/>
      <c r="J282" s="19"/>
    </row>
    <row r="283" spans="1:10">
      <c r="B283" s="25" t="s">
        <v>186</v>
      </c>
    </row>
    <row r="284" spans="1:10" ht="91.5" customHeight="1">
      <c r="A284" s="755" t="s">
        <v>187</v>
      </c>
      <c r="B284" s="755"/>
      <c r="C284" s="755"/>
      <c r="D284" s="755"/>
      <c r="E284" s="755"/>
      <c r="F284" s="755"/>
      <c r="G284" s="755"/>
      <c r="H284" s="755"/>
      <c r="I284" s="755"/>
      <c r="J284" s="755"/>
    </row>
    <row r="285" spans="1:10" ht="91.5" customHeight="1">
      <c r="A285" s="755" t="s">
        <v>188</v>
      </c>
      <c r="B285" s="755"/>
      <c r="C285" s="755"/>
      <c r="D285" s="755"/>
      <c r="E285" s="755"/>
      <c r="F285" s="755"/>
      <c r="G285" s="755"/>
      <c r="H285" s="755"/>
      <c r="I285" s="755"/>
      <c r="J285" s="755"/>
    </row>
    <row r="286" spans="1:10" ht="75" customHeight="1">
      <c r="A286" s="755" t="s">
        <v>189</v>
      </c>
      <c r="B286" s="755"/>
      <c r="C286" s="755"/>
      <c r="D286" s="755"/>
      <c r="E286" s="755"/>
      <c r="F286" s="755"/>
      <c r="G286" s="755"/>
      <c r="H286" s="755"/>
      <c r="I286" s="755"/>
      <c r="J286" s="755"/>
    </row>
    <row r="287" spans="1:10" ht="49.5" customHeight="1">
      <c r="A287" s="755" t="s">
        <v>190</v>
      </c>
      <c r="B287" s="755"/>
      <c r="C287" s="755"/>
      <c r="D287" s="755"/>
      <c r="E287" s="755"/>
      <c r="F287" s="755"/>
      <c r="G287" s="755"/>
      <c r="H287" s="755"/>
      <c r="I287" s="755"/>
      <c r="J287" s="755"/>
    </row>
    <row r="288" spans="1:10" ht="56.25" customHeight="1">
      <c r="A288" s="755" t="s">
        <v>191</v>
      </c>
      <c r="B288" s="755"/>
      <c r="C288" s="755"/>
      <c r="D288" s="755"/>
      <c r="E288" s="755"/>
      <c r="F288" s="755"/>
      <c r="G288" s="755"/>
      <c r="H288" s="755"/>
      <c r="I288" s="755"/>
      <c r="J288" s="755"/>
    </row>
    <row r="289" spans="1:11" ht="45" customHeight="1">
      <c r="A289" s="749" t="s">
        <v>192</v>
      </c>
      <c r="B289" s="749"/>
      <c r="C289" s="749"/>
      <c r="D289" s="749"/>
      <c r="E289" s="749"/>
      <c r="F289" s="749"/>
      <c r="G289" s="749"/>
      <c r="H289" s="749"/>
      <c r="I289" s="749"/>
      <c r="J289" s="749"/>
    </row>
    <row r="290" spans="1:11" ht="70.5" customHeight="1">
      <c r="A290" s="755" t="s">
        <v>193</v>
      </c>
      <c r="B290" s="755"/>
      <c r="C290" s="755"/>
      <c r="D290" s="755"/>
      <c r="E290" s="755"/>
      <c r="F290" s="755"/>
      <c r="G290" s="755"/>
      <c r="H290" s="755"/>
      <c r="I290" s="755"/>
      <c r="J290" s="755"/>
    </row>
    <row r="291" spans="1:11" ht="68.25" customHeight="1">
      <c r="A291" s="755" t="s">
        <v>194</v>
      </c>
      <c r="B291" s="755"/>
      <c r="C291" s="755"/>
      <c r="D291" s="755"/>
      <c r="E291" s="755"/>
      <c r="F291" s="755"/>
      <c r="G291" s="755"/>
      <c r="H291" s="755"/>
      <c r="I291" s="755"/>
      <c r="J291" s="755"/>
    </row>
    <row r="292" spans="1:11" ht="75" customHeight="1">
      <c r="A292" s="755" t="s">
        <v>193</v>
      </c>
      <c r="B292" s="755"/>
      <c r="C292" s="755"/>
      <c r="D292" s="755"/>
      <c r="E292" s="755"/>
      <c r="F292" s="755"/>
      <c r="G292" s="755"/>
      <c r="H292" s="755"/>
      <c r="I292" s="755"/>
      <c r="J292" s="755"/>
    </row>
    <row r="293" spans="1:11" ht="54" customHeight="1">
      <c r="A293" s="755" t="s">
        <v>195</v>
      </c>
      <c r="B293" s="755"/>
      <c r="C293" s="755"/>
      <c r="D293" s="755"/>
      <c r="E293" s="755"/>
      <c r="F293" s="755"/>
      <c r="G293" s="755"/>
      <c r="H293" s="755"/>
      <c r="I293" s="755"/>
      <c r="J293" s="755"/>
    </row>
    <row r="295" spans="1:11">
      <c r="A295" s="756" t="s">
        <v>196</v>
      </c>
      <c r="B295" s="756"/>
      <c r="C295" s="756"/>
      <c r="D295" s="756"/>
      <c r="E295" s="756"/>
      <c r="F295" s="756"/>
      <c r="G295" s="756"/>
      <c r="H295" s="756"/>
      <c r="I295" s="756"/>
      <c r="J295" s="756"/>
      <c r="K295" s="756"/>
    </row>
    <row r="297" spans="1:11" ht="409.5" customHeight="1">
      <c r="A297" s="757" t="s">
        <v>197</v>
      </c>
      <c r="B297" s="757"/>
      <c r="C297" s="757"/>
      <c r="D297" s="757"/>
      <c r="E297" s="757"/>
      <c r="F297" s="757"/>
      <c r="G297" s="757"/>
      <c r="H297" s="757"/>
      <c r="I297" s="757"/>
      <c r="J297" s="757"/>
      <c r="K297" s="2"/>
    </row>
    <row r="299" spans="1:11" ht="11.25" customHeight="1"/>
    <row r="300" spans="1:11">
      <c r="A300" s="26" t="s">
        <v>198</v>
      </c>
      <c r="B300" s="27"/>
      <c r="C300" s="28"/>
      <c r="D300" s="29"/>
      <c r="E300" s="30"/>
      <c r="F300" s="30"/>
      <c r="G300" s="31"/>
      <c r="H300" s="31"/>
      <c r="I300" s="31"/>
      <c r="J300" s="31"/>
    </row>
    <row r="301" spans="1:11">
      <c r="A301" s="26" t="s">
        <v>199</v>
      </c>
      <c r="B301" s="27"/>
      <c r="C301" s="28"/>
      <c r="D301" s="29"/>
      <c r="E301" s="26"/>
      <c r="F301" s="26"/>
      <c r="G301" s="31"/>
      <c r="H301" s="31"/>
      <c r="I301" s="31"/>
      <c r="J301" s="31"/>
    </row>
    <row r="302" spans="1:11">
      <c r="A302" s="26" t="s">
        <v>200</v>
      </c>
      <c r="B302" s="27"/>
      <c r="C302" s="28"/>
      <c r="D302" s="29"/>
      <c r="E302" s="26"/>
      <c r="F302" s="26"/>
      <c r="G302" s="31"/>
      <c r="H302" s="31"/>
      <c r="I302" s="31"/>
      <c r="J302" s="31"/>
    </row>
    <row r="303" spans="1:11">
      <c r="A303" s="26" t="s">
        <v>201</v>
      </c>
      <c r="B303" s="27"/>
      <c r="C303" s="28"/>
      <c r="D303" s="29"/>
      <c r="E303" s="26"/>
      <c r="F303" s="26"/>
      <c r="G303" s="31"/>
      <c r="H303" s="31"/>
      <c r="I303" s="31"/>
      <c r="J303" s="31"/>
    </row>
    <row r="304" spans="1:11">
      <c r="A304" s="26" t="s">
        <v>202</v>
      </c>
      <c r="B304" s="27"/>
      <c r="C304" s="28"/>
      <c r="D304" s="29"/>
      <c r="E304" s="26"/>
      <c r="F304" s="26"/>
      <c r="G304" s="31"/>
      <c r="H304" s="31"/>
      <c r="I304" s="31"/>
      <c r="J304" s="31"/>
    </row>
    <row r="305" spans="1:10">
      <c r="A305" s="26" t="s">
        <v>203</v>
      </c>
      <c r="B305" s="27"/>
      <c r="C305" s="28"/>
      <c r="D305" s="29"/>
      <c r="E305" s="26"/>
      <c r="F305" s="26"/>
      <c r="G305" s="31"/>
      <c r="H305" s="31"/>
      <c r="I305" s="31"/>
      <c r="J305" s="31"/>
    </row>
    <row r="306" spans="1:10">
      <c r="A306" s="26" t="s">
        <v>204</v>
      </c>
      <c r="B306" s="27"/>
      <c r="C306" s="28"/>
      <c r="D306" s="29"/>
      <c r="E306" s="26"/>
      <c r="F306" s="26"/>
      <c r="G306" s="31"/>
      <c r="H306" s="31"/>
      <c r="I306" s="31"/>
      <c r="J306" s="31"/>
    </row>
    <row r="307" spans="1:10">
      <c r="A307" s="26" t="s">
        <v>205</v>
      </c>
      <c r="B307" s="27"/>
      <c r="C307" s="28"/>
      <c r="D307" s="29"/>
      <c r="E307" s="26"/>
      <c r="F307" s="26"/>
      <c r="G307" s="31"/>
      <c r="H307" s="31"/>
      <c r="I307" s="31"/>
      <c r="J307" s="31"/>
    </row>
    <row r="308" spans="1:10">
      <c r="A308" s="26" t="s">
        <v>206</v>
      </c>
      <c r="B308" s="27"/>
      <c r="C308" s="28"/>
      <c r="D308" s="29"/>
      <c r="E308" s="26"/>
      <c r="F308" s="26"/>
      <c r="G308" s="31"/>
      <c r="H308" s="31"/>
      <c r="I308" s="31"/>
      <c r="J308" s="31"/>
    </row>
    <row r="309" spans="1:10">
      <c r="A309" s="26" t="s">
        <v>207</v>
      </c>
      <c r="B309" s="27"/>
      <c r="C309" s="28"/>
      <c r="D309" s="29"/>
      <c r="E309" s="26"/>
      <c r="F309" s="26"/>
      <c r="G309" s="31"/>
      <c r="H309" s="31"/>
      <c r="I309" s="31"/>
      <c r="J309" s="31"/>
    </row>
    <row r="310" spans="1:10">
      <c r="A310" s="26" t="s">
        <v>208</v>
      </c>
      <c r="B310" s="27"/>
      <c r="C310" s="28"/>
      <c r="D310" s="29"/>
      <c r="E310" s="26"/>
      <c r="F310" s="26"/>
      <c r="G310" s="31"/>
      <c r="H310" s="31"/>
      <c r="I310" s="31"/>
      <c r="J310" s="31"/>
    </row>
    <row r="311" spans="1:10">
      <c r="A311" s="26" t="s">
        <v>209</v>
      </c>
      <c r="B311" s="27"/>
      <c r="C311" s="28"/>
      <c r="D311" s="29"/>
      <c r="E311" s="26"/>
      <c r="F311" s="26"/>
      <c r="G311" s="31"/>
      <c r="H311" s="31"/>
      <c r="I311" s="31"/>
      <c r="J311" s="31"/>
    </row>
    <row r="312" spans="1:10">
      <c r="A312" s="26" t="s">
        <v>210</v>
      </c>
      <c r="B312" s="27"/>
      <c r="C312" s="28"/>
      <c r="D312" s="29"/>
      <c r="E312" s="26"/>
      <c r="F312" s="26"/>
      <c r="G312" s="31"/>
      <c r="H312" s="31"/>
      <c r="I312" s="31"/>
      <c r="J312" s="31"/>
    </row>
    <row r="313" spans="1:10">
      <c r="A313" s="26" t="s">
        <v>211</v>
      </c>
      <c r="B313" s="27"/>
      <c r="C313" s="28"/>
      <c r="D313" s="29"/>
      <c r="E313" s="26"/>
      <c r="F313" s="26"/>
      <c r="G313" s="31"/>
      <c r="H313" s="31"/>
      <c r="I313" s="31"/>
      <c r="J313" s="31"/>
    </row>
    <row r="314" spans="1:10">
      <c r="A314" s="26" t="s">
        <v>212</v>
      </c>
      <c r="B314" s="27"/>
      <c r="C314" s="28"/>
      <c r="D314" s="29"/>
      <c r="E314" s="26"/>
      <c r="F314" s="26"/>
      <c r="G314" s="31"/>
      <c r="H314" s="31"/>
      <c r="I314" s="31"/>
      <c r="J314" s="31"/>
    </row>
    <row r="315" spans="1:10">
      <c r="A315" s="26" t="s">
        <v>213</v>
      </c>
      <c r="B315" s="27"/>
      <c r="C315" s="28"/>
      <c r="D315" s="29"/>
      <c r="E315" s="26"/>
      <c r="F315" s="26"/>
      <c r="G315" s="31"/>
      <c r="H315" s="31"/>
      <c r="I315" s="31"/>
      <c r="J315" s="31"/>
    </row>
    <row r="316" spans="1:10">
      <c r="A316" s="26" t="s">
        <v>214</v>
      </c>
      <c r="B316" s="27"/>
      <c r="C316" s="28"/>
      <c r="D316" s="29"/>
      <c r="E316" s="26"/>
      <c r="F316" s="26"/>
      <c r="G316" s="31"/>
      <c r="H316" s="31"/>
      <c r="I316" s="31"/>
      <c r="J316" s="31"/>
    </row>
    <row r="317" spans="1:10">
      <c r="A317" s="26" t="s">
        <v>215</v>
      </c>
      <c r="B317" s="27"/>
      <c r="C317" s="28"/>
      <c r="D317" s="29"/>
      <c r="E317" s="26"/>
      <c r="F317" s="26"/>
      <c r="G317" s="31"/>
      <c r="H317" s="31"/>
      <c r="I317" s="31"/>
      <c r="J317" s="31"/>
    </row>
    <row r="318" spans="1:10">
      <c r="A318" s="26" t="s">
        <v>216</v>
      </c>
      <c r="B318" s="27"/>
      <c r="C318" s="28"/>
      <c r="D318" s="29"/>
      <c r="E318" s="26"/>
      <c r="F318" s="26"/>
      <c r="G318" s="31"/>
      <c r="H318" s="31"/>
      <c r="I318" s="31"/>
      <c r="J318" s="31"/>
    </row>
  </sheetData>
  <mergeCells count="196">
    <mergeCell ref="A289:J289"/>
    <mergeCell ref="A290:J290"/>
    <mergeCell ref="A291:J291"/>
    <mergeCell ref="A292:J292"/>
    <mergeCell ref="A293:J293"/>
    <mergeCell ref="A295:K295"/>
    <mergeCell ref="A297:J297"/>
    <mergeCell ref="B251:J251"/>
    <mergeCell ref="B253:J253"/>
    <mergeCell ref="B254:J254"/>
    <mergeCell ref="B255:J255"/>
    <mergeCell ref="A284:J284"/>
    <mergeCell ref="A285:J285"/>
    <mergeCell ref="A286:J286"/>
    <mergeCell ref="A287:J287"/>
    <mergeCell ref="A288:J288"/>
    <mergeCell ref="B242:J242"/>
    <mergeCell ref="B243:J243"/>
    <mergeCell ref="B244:J244"/>
    <mergeCell ref="B245:J245"/>
    <mergeCell ref="B246:J246"/>
    <mergeCell ref="B247:J247"/>
    <mergeCell ref="B248:J248"/>
    <mergeCell ref="B249:J249"/>
    <mergeCell ref="B250:J250"/>
    <mergeCell ref="B233:J233"/>
    <mergeCell ref="B234:J234"/>
    <mergeCell ref="B235:J235"/>
    <mergeCell ref="B236:J236"/>
    <mergeCell ref="B237:J237"/>
    <mergeCell ref="B238:J238"/>
    <mergeCell ref="B239:J239"/>
    <mergeCell ref="B240:J240"/>
    <mergeCell ref="B241:J241"/>
    <mergeCell ref="B224:J224"/>
    <mergeCell ref="B225:J225"/>
    <mergeCell ref="B226:J226"/>
    <mergeCell ref="B227:J227"/>
    <mergeCell ref="B228:J228"/>
    <mergeCell ref="B229:J229"/>
    <mergeCell ref="B230:J230"/>
    <mergeCell ref="B231:J231"/>
    <mergeCell ref="B232:J232"/>
    <mergeCell ref="B215:J215"/>
    <mergeCell ref="B216:J216"/>
    <mergeCell ref="B217:J217"/>
    <mergeCell ref="B218:J218"/>
    <mergeCell ref="B219:J219"/>
    <mergeCell ref="B220:J220"/>
    <mergeCell ref="B221:J221"/>
    <mergeCell ref="B222:J222"/>
    <mergeCell ref="B223:J223"/>
    <mergeCell ref="B205:J205"/>
    <mergeCell ref="B206:J206"/>
    <mergeCell ref="B207:J207"/>
    <mergeCell ref="B208:J208"/>
    <mergeCell ref="B210:J210"/>
    <mergeCell ref="B211:J211"/>
    <mergeCell ref="B212:J212"/>
    <mergeCell ref="B213:J213"/>
    <mergeCell ref="B214:J214"/>
    <mergeCell ref="B190:J190"/>
    <mergeCell ref="B191:J191"/>
    <mergeCell ref="B192:J197"/>
    <mergeCell ref="B199:J199"/>
    <mergeCell ref="B200:J200"/>
    <mergeCell ref="B201:J201"/>
    <mergeCell ref="B202:J202"/>
    <mergeCell ref="B203:J203"/>
    <mergeCell ref="B204:J204"/>
    <mergeCell ref="B180:J180"/>
    <mergeCell ref="B181:J181"/>
    <mergeCell ref="B182:J182"/>
    <mergeCell ref="B183:J183"/>
    <mergeCell ref="B185:J185"/>
    <mergeCell ref="B186:J186"/>
    <mergeCell ref="B187:J187"/>
    <mergeCell ref="B188:J188"/>
    <mergeCell ref="B189:J189"/>
    <mergeCell ref="B171:J171"/>
    <mergeCell ref="B172:J172"/>
    <mergeCell ref="B173:J173"/>
    <mergeCell ref="B174:J174"/>
    <mergeCell ref="B175:J175"/>
    <mergeCell ref="B176:J176"/>
    <mergeCell ref="B177:J177"/>
    <mergeCell ref="B178:J178"/>
    <mergeCell ref="B179:J179"/>
    <mergeCell ref="B162:J162"/>
    <mergeCell ref="B163:J163"/>
    <mergeCell ref="B164:J164"/>
    <mergeCell ref="B165:J165"/>
    <mergeCell ref="B166:J166"/>
    <mergeCell ref="B167:J167"/>
    <mergeCell ref="B168:J168"/>
    <mergeCell ref="B169:J169"/>
    <mergeCell ref="B170:J170"/>
    <mergeCell ref="B153:J153"/>
    <mergeCell ref="B154:J154"/>
    <mergeCell ref="B155:J155"/>
    <mergeCell ref="B156:J156"/>
    <mergeCell ref="B157:J157"/>
    <mergeCell ref="B158:J158"/>
    <mergeCell ref="B159:J159"/>
    <mergeCell ref="B160:J160"/>
    <mergeCell ref="B161:J161"/>
    <mergeCell ref="B143:J143"/>
    <mergeCell ref="B144:J144"/>
    <mergeCell ref="B145:J145"/>
    <mergeCell ref="B146:J146"/>
    <mergeCell ref="B147:J147"/>
    <mergeCell ref="B148:J148"/>
    <mergeCell ref="B149:J149"/>
    <mergeCell ref="B150:J150"/>
    <mergeCell ref="B151:J151"/>
    <mergeCell ref="B134:J134"/>
    <mergeCell ref="B135:J135"/>
    <mergeCell ref="B136:J136"/>
    <mergeCell ref="B137:J137"/>
    <mergeCell ref="B138:J138"/>
    <mergeCell ref="B139:J139"/>
    <mergeCell ref="B140:J140"/>
    <mergeCell ref="B141:J141"/>
    <mergeCell ref="B142:J142"/>
    <mergeCell ref="B125:J125"/>
    <mergeCell ref="B126:J126"/>
    <mergeCell ref="B127:J127"/>
    <mergeCell ref="B128:J128"/>
    <mergeCell ref="B129:J129"/>
    <mergeCell ref="B130:J130"/>
    <mergeCell ref="B131:J131"/>
    <mergeCell ref="B132:J132"/>
    <mergeCell ref="B133:J133"/>
    <mergeCell ref="B116:J116"/>
    <mergeCell ref="B117:J117"/>
    <mergeCell ref="B118:J118"/>
    <mergeCell ref="B119:J119"/>
    <mergeCell ref="B120:J120"/>
    <mergeCell ref="B121:J121"/>
    <mergeCell ref="B122:J122"/>
    <mergeCell ref="B123:J123"/>
    <mergeCell ref="B124:J124"/>
    <mergeCell ref="B93:J94"/>
    <mergeCell ref="B95:J99"/>
    <mergeCell ref="B100:J102"/>
    <mergeCell ref="B103:J105"/>
    <mergeCell ref="B106:J109"/>
    <mergeCell ref="B110:J111"/>
    <mergeCell ref="B112:J112"/>
    <mergeCell ref="B113:J113"/>
    <mergeCell ref="B114:J114"/>
    <mergeCell ref="B71:J71"/>
    <mergeCell ref="B72:J72"/>
    <mergeCell ref="B73:J79"/>
    <mergeCell ref="B80:J82"/>
    <mergeCell ref="B83:J83"/>
    <mergeCell ref="B84:J86"/>
    <mergeCell ref="B87:J87"/>
    <mergeCell ref="B88:J91"/>
    <mergeCell ref="B92:J92"/>
    <mergeCell ref="B49:J49"/>
    <mergeCell ref="B50:J54"/>
    <mergeCell ref="B55:J55"/>
    <mergeCell ref="B56:J56"/>
    <mergeCell ref="B58:J58"/>
    <mergeCell ref="B59:J63"/>
    <mergeCell ref="B64:J68"/>
    <mergeCell ref="B69:J69"/>
    <mergeCell ref="B70:J70"/>
    <mergeCell ref="B22:J22"/>
    <mergeCell ref="B23:J23"/>
    <mergeCell ref="B26:J26"/>
    <mergeCell ref="B28:J28"/>
    <mergeCell ref="B29:J35"/>
    <mergeCell ref="B36:J40"/>
    <mergeCell ref="B42:J45"/>
    <mergeCell ref="B46:J46"/>
    <mergeCell ref="B47:J47"/>
    <mergeCell ref="B11:J11"/>
    <mergeCell ref="B13:J13"/>
    <mergeCell ref="B14:J14"/>
    <mergeCell ref="B15:J15"/>
    <mergeCell ref="B16:J16"/>
    <mergeCell ref="B17:J17"/>
    <mergeCell ref="B18:J18"/>
    <mergeCell ref="B20:J20"/>
    <mergeCell ref="B21:J21"/>
    <mergeCell ref="B1:J1"/>
    <mergeCell ref="B3:J3"/>
    <mergeCell ref="B4:J4"/>
    <mergeCell ref="B5:J5"/>
    <mergeCell ref="B6:J6"/>
    <mergeCell ref="B7:J7"/>
    <mergeCell ref="B8:J8"/>
    <mergeCell ref="B9:J9"/>
    <mergeCell ref="B10:J10"/>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Roman,Normalni"&amp;12&amp;A</oddHeader>
    <oddFooter>&amp;C&amp;"Times New Roman,Normalni"&amp;12Stranica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2"/>
  <sheetViews>
    <sheetView topLeftCell="A12" zoomScaleNormal="100" workbookViewId="0">
      <selection activeCell="E153" sqref="E153"/>
    </sheetView>
  </sheetViews>
  <sheetFormatPr defaultColWidth="11.88671875" defaultRowHeight="13.2"/>
  <cols>
    <col min="1" max="1" width="5.44140625" style="32" customWidth="1"/>
    <col min="2" max="2" width="56.33203125" style="33" customWidth="1"/>
    <col min="3" max="3" width="8.5546875" style="34" customWidth="1"/>
    <col min="4" max="4" width="10.109375" style="35" customWidth="1"/>
    <col min="5" max="6" width="11.5546875" style="36" customWidth="1"/>
    <col min="7" max="7" width="11.88671875" style="782"/>
  </cols>
  <sheetData>
    <row r="1" spans="1:6" ht="15.6">
      <c r="A1" s="758" t="s">
        <v>217</v>
      </c>
      <c r="B1" s="758"/>
      <c r="C1" s="758"/>
      <c r="D1" s="758"/>
      <c r="E1" s="758"/>
      <c r="F1" s="758"/>
    </row>
    <row r="3" spans="1:6">
      <c r="A3" s="32" t="s">
        <v>218</v>
      </c>
      <c r="B3" s="33" t="s">
        <v>219</v>
      </c>
      <c r="C3" s="34" t="s">
        <v>220</v>
      </c>
      <c r="D3" s="35" t="s">
        <v>221</v>
      </c>
      <c r="E3" s="36" t="s">
        <v>222</v>
      </c>
      <c r="F3" s="36" t="s">
        <v>223</v>
      </c>
    </row>
    <row r="5" spans="1:6">
      <c r="A5" s="759" t="s">
        <v>224</v>
      </c>
      <c r="B5" s="759"/>
      <c r="C5" s="759"/>
      <c r="D5" s="759"/>
      <c r="E5" s="759"/>
      <c r="F5" s="759"/>
    </row>
    <row r="7" spans="1:6" ht="26.4">
      <c r="A7" s="32" t="s">
        <v>225</v>
      </c>
      <c r="B7" s="33" t="s">
        <v>226</v>
      </c>
      <c r="C7" s="34" t="s">
        <v>227</v>
      </c>
      <c r="D7" s="35">
        <v>1</v>
      </c>
      <c r="E7" s="36">
        <v>1000</v>
      </c>
      <c r="F7" s="36">
        <f>E7*D7</f>
        <v>1000</v>
      </c>
    </row>
    <row r="9" spans="1:6" ht="39.6">
      <c r="A9" s="32" t="s">
        <v>228</v>
      </c>
      <c r="B9" s="783" t="s">
        <v>229</v>
      </c>
      <c r="C9" s="34" t="s">
        <v>227</v>
      </c>
      <c r="D9" s="35">
        <v>1</v>
      </c>
      <c r="E9" s="36">
        <v>2500</v>
      </c>
      <c r="F9" s="36">
        <f>E9*D9</f>
        <v>2500</v>
      </c>
    </row>
    <row r="11" spans="1:6" ht="409.6">
      <c r="A11" s="32" t="s">
        <v>230</v>
      </c>
      <c r="B11" s="39" t="s">
        <v>231</v>
      </c>
      <c r="C11" s="34" t="s">
        <v>227</v>
      </c>
      <c r="D11" s="35">
        <v>1</v>
      </c>
      <c r="E11" s="36">
        <v>3000</v>
      </c>
      <c r="F11" s="36">
        <f>E11*D11</f>
        <v>3000</v>
      </c>
    </row>
    <row r="13" spans="1:6" ht="26.4">
      <c r="A13" s="32" t="s">
        <v>232</v>
      </c>
      <c r="B13" s="33" t="s">
        <v>233</v>
      </c>
      <c r="C13" s="34" t="s">
        <v>227</v>
      </c>
      <c r="D13" s="35">
        <v>1</v>
      </c>
      <c r="E13" s="36">
        <v>7000</v>
      </c>
      <c r="F13" s="36">
        <f>E13*D13</f>
        <v>7000</v>
      </c>
    </row>
    <row r="15" spans="1:6" ht="26.4">
      <c r="A15" s="32" t="s">
        <v>234</v>
      </c>
      <c r="B15" s="33" t="s">
        <v>235</v>
      </c>
      <c r="C15" s="34" t="s">
        <v>227</v>
      </c>
      <c r="D15" s="36">
        <v>1</v>
      </c>
      <c r="E15" s="36">
        <v>2500</v>
      </c>
      <c r="F15" s="36">
        <f>E15*D15</f>
        <v>2500</v>
      </c>
    </row>
    <row r="17" spans="1:6">
      <c r="A17" s="32" t="s">
        <v>236</v>
      </c>
      <c r="B17" s="33" t="s">
        <v>237</v>
      </c>
      <c r="C17" s="34" t="s">
        <v>227</v>
      </c>
      <c r="D17" s="36">
        <v>1</v>
      </c>
      <c r="E17" s="36">
        <v>1500</v>
      </c>
      <c r="F17" s="36">
        <f>E17*D17</f>
        <v>1500</v>
      </c>
    </row>
    <row r="18" spans="1:6">
      <c r="A18" s="40"/>
      <c r="B18" s="41"/>
      <c r="C18" s="42"/>
      <c r="D18" s="43"/>
      <c r="E18" s="43"/>
      <c r="F18" s="43"/>
    </row>
    <row r="19" spans="1:6" ht="12" customHeight="1">
      <c r="B19" s="760" t="s">
        <v>238</v>
      </c>
      <c r="C19" s="760"/>
      <c r="D19" s="760"/>
      <c r="F19" s="44">
        <f>SUM(F7:F17)</f>
        <v>17500</v>
      </c>
    </row>
    <row r="21" spans="1:6">
      <c r="A21" s="759" t="s">
        <v>239</v>
      </c>
      <c r="B21" s="759"/>
      <c r="C21" s="759"/>
      <c r="D21" s="759"/>
      <c r="E21" s="759"/>
      <c r="F21" s="759"/>
    </row>
    <row r="22" spans="1:6">
      <c r="A22" s="45"/>
      <c r="B22" s="46"/>
      <c r="C22" s="45"/>
      <c r="D22" s="47"/>
      <c r="E22" s="45"/>
      <c r="F22" s="45"/>
    </row>
    <row r="23" spans="1:6">
      <c r="A23" s="32" t="s">
        <v>240</v>
      </c>
      <c r="B23" s="33" t="s">
        <v>241</v>
      </c>
      <c r="C23" s="34" t="s">
        <v>242</v>
      </c>
      <c r="D23" s="36">
        <v>300</v>
      </c>
      <c r="E23" s="36">
        <v>5</v>
      </c>
      <c r="F23" s="36">
        <f>E23*D23</f>
        <v>1500</v>
      </c>
    </row>
    <row r="25" spans="1:6" ht="66">
      <c r="A25" s="32" t="s">
        <v>243</v>
      </c>
      <c r="B25" s="39" t="s">
        <v>244</v>
      </c>
      <c r="C25" s="34" t="s">
        <v>242</v>
      </c>
      <c r="D25" s="36">
        <v>2213.6999999999998</v>
      </c>
      <c r="E25" s="36">
        <v>20</v>
      </c>
      <c r="F25" s="36">
        <f>E25*D25</f>
        <v>44274</v>
      </c>
    </row>
    <row r="27" spans="1:6" ht="39.6">
      <c r="A27" s="32" t="s">
        <v>245</v>
      </c>
      <c r="B27" s="33" t="s">
        <v>246</v>
      </c>
      <c r="C27" s="34" t="s">
        <v>242</v>
      </c>
      <c r="D27" s="35">
        <v>399.4</v>
      </c>
      <c r="E27" s="36">
        <v>60</v>
      </c>
      <c r="F27" s="36">
        <f>E27*D27</f>
        <v>23964</v>
      </c>
    </row>
    <row r="29" spans="1:6" ht="26.4">
      <c r="A29" s="32" t="s">
        <v>247</v>
      </c>
      <c r="B29" s="33" t="s">
        <v>248</v>
      </c>
      <c r="C29" s="34" t="s">
        <v>242</v>
      </c>
      <c r="D29" s="35">
        <v>85</v>
      </c>
      <c r="E29" s="36">
        <v>5</v>
      </c>
      <c r="F29" s="36">
        <f>E29*D29</f>
        <v>425</v>
      </c>
    </row>
    <row r="31" spans="1:6" ht="52.8">
      <c r="A31" s="32" t="s">
        <v>249</v>
      </c>
      <c r="B31" s="33" t="s">
        <v>250</v>
      </c>
      <c r="C31" s="34" t="s">
        <v>242</v>
      </c>
      <c r="D31" s="36">
        <v>36.5</v>
      </c>
      <c r="E31" s="36">
        <v>30</v>
      </c>
      <c r="F31" s="36">
        <f>E31*D31</f>
        <v>1095</v>
      </c>
    </row>
    <row r="33" spans="1:6" ht="26.4">
      <c r="A33" s="49" t="s">
        <v>251</v>
      </c>
      <c r="B33" s="37" t="s">
        <v>252</v>
      </c>
      <c r="C33" s="50" t="s">
        <v>242</v>
      </c>
      <c r="D33" s="35">
        <v>32.9</v>
      </c>
      <c r="E33" s="35">
        <v>60</v>
      </c>
      <c r="F33" s="36">
        <f>E33*D33</f>
        <v>1974</v>
      </c>
    </row>
    <row r="34" spans="1:6">
      <c r="A34" s="49"/>
      <c r="B34" s="37"/>
      <c r="C34" s="50"/>
      <c r="E34" s="35"/>
      <c r="F34" s="35"/>
    </row>
    <row r="35" spans="1:6" ht="39.6">
      <c r="A35" s="49" t="s">
        <v>253</v>
      </c>
      <c r="B35" s="37" t="s">
        <v>254</v>
      </c>
      <c r="C35" s="50" t="s">
        <v>242</v>
      </c>
      <c r="D35" s="35">
        <v>28</v>
      </c>
      <c r="E35" s="35">
        <v>60</v>
      </c>
      <c r="F35" s="36">
        <f>E35*D35</f>
        <v>1680</v>
      </c>
    </row>
    <row r="36" spans="1:6">
      <c r="A36" s="49"/>
      <c r="B36" s="37"/>
      <c r="C36" s="50"/>
      <c r="E36" s="35"/>
      <c r="F36" s="35"/>
    </row>
    <row r="37" spans="1:6" ht="39.6">
      <c r="A37" s="49" t="s">
        <v>255</v>
      </c>
      <c r="B37" s="783" t="s">
        <v>256</v>
      </c>
      <c r="C37" s="50" t="s">
        <v>257</v>
      </c>
      <c r="D37" s="35">
        <v>230.3</v>
      </c>
      <c r="E37" s="35">
        <v>10</v>
      </c>
      <c r="F37" s="36">
        <f>E37*D37</f>
        <v>2303</v>
      </c>
    </row>
    <row r="38" spans="1:6">
      <c r="A38" s="49"/>
      <c r="B38" s="37"/>
      <c r="C38" s="50"/>
      <c r="E38" s="35"/>
      <c r="F38" s="35"/>
    </row>
    <row r="39" spans="1:6" ht="66">
      <c r="A39" s="32" t="s">
        <v>258</v>
      </c>
      <c r="B39" s="39" t="s">
        <v>259</v>
      </c>
      <c r="C39" s="34" t="s">
        <v>257</v>
      </c>
      <c r="D39" s="36">
        <v>100</v>
      </c>
      <c r="E39" s="36">
        <v>1.5</v>
      </c>
      <c r="F39" s="36">
        <f>E39*D39</f>
        <v>150</v>
      </c>
    </row>
    <row r="40" spans="1:6">
      <c r="D40" s="36"/>
    </row>
    <row r="41" spans="1:6" ht="26.4">
      <c r="A41" s="32" t="s">
        <v>260</v>
      </c>
      <c r="B41" s="33" t="s">
        <v>261</v>
      </c>
      <c r="C41" s="34" t="s">
        <v>242</v>
      </c>
      <c r="D41" s="36">
        <v>10</v>
      </c>
      <c r="E41" s="36">
        <v>20</v>
      </c>
      <c r="F41" s="36">
        <f>E41*D41</f>
        <v>200</v>
      </c>
    </row>
    <row r="42" spans="1:6">
      <c r="A42" s="49"/>
      <c r="B42" s="37"/>
      <c r="C42" s="50"/>
      <c r="E42" s="35"/>
      <c r="F42" s="35"/>
    </row>
    <row r="43" spans="1:6" ht="12" customHeight="1">
      <c r="B43" s="760" t="s">
        <v>262</v>
      </c>
      <c r="C43" s="760"/>
      <c r="D43" s="760"/>
      <c r="F43" s="44">
        <f>SUM(F23:F41)</f>
        <v>77565</v>
      </c>
    </row>
    <row r="45" spans="1:6">
      <c r="A45" s="759" t="s">
        <v>263</v>
      </c>
      <c r="B45" s="759"/>
      <c r="C45" s="759"/>
      <c r="D45" s="759"/>
      <c r="E45" s="759"/>
      <c r="F45" s="759"/>
    </row>
    <row r="46" spans="1:6">
      <c r="A46" s="45"/>
    </row>
    <row r="47" spans="1:6" ht="26.4">
      <c r="A47" s="51" t="s">
        <v>264</v>
      </c>
      <c r="B47" s="33" t="s">
        <v>265</v>
      </c>
      <c r="C47" s="34" t="s">
        <v>242</v>
      </c>
      <c r="D47" s="35">
        <v>41.3</v>
      </c>
      <c r="E47" s="36">
        <v>200</v>
      </c>
      <c r="F47" s="36">
        <f>E47*D47</f>
        <v>8260</v>
      </c>
    </row>
    <row r="49" spans="1:6" ht="39.6">
      <c r="A49" s="52" t="s">
        <v>266</v>
      </c>
      <c r="B49" s="33" t="s">
        <v>267</v>
      </c>
      <c r="C49" s="34" t="s">
        <v>242</v>
      </c>
      <c r="D49" s="35">
        <v>3.5</v>
      </c>
      <c r="E49" s="36">
        <v>200</v>
      </c>
      <c r="F49" s="36">
        <f>E49*D49</f>
        <v>700</v>
      </c>
    </row>
    <row r="51" spans="1:6" ht="92.4">
      <c r="A51" s="32" t="s">
        <v>268</v>
      </c>
      <c r="B51" s="33" t="s">
        <v>269</v>
      </c>
    </row>
    <row r="52" spans="1:6">
      <c r="B52" s="33" t="s">
        <v>270</v>
      </c>
      <c r="C52" s="34" t="s">
        <v>242</v>
      </c>
      <c r="D52" s="35">
        <v>183.6</v>
      </c>
      <c r="E52" s="36">
        <v>245</v>
      </c>
      <c r="F52" s="36">
        <f>E52*D52</f>
        <v>44982</v>
      </c>
    </row>
    <row r="53" spans="1:6">
      <c r="B53" s="33" t="s">
        <v>271</v>
      </c>
      <c r="C53" s="34" t="s">
        <v>257</v>
      </c>
      <c r="D53" s="35">
        <v>429.4</v>
      </c>
      <c r="E53" s="36">
        <v>2</v>
      </c>
      <c r="F53" s="36">
        <f>E53*D53</f>
        <v>858.8</v>
      </c>
    </row>
    <row r="55" spans="1:6" ht="92.4">
      <c r="A55" s="32" t="s">
        <v>272</v>
      </c>
      <c r="B55" s="33" t="s">
        <v>273</v>
      </c>
    </row>
    <row r="56" spans="1:6">
      <c r="B56" s="33" t="s">
        <v>270</v>
      </c>
      <c r="C56" s="34" t="s">
        <v>242</v>
      </c>
      <c r="D56" s="35">
        <v>84</v>
      </c>
      <c r="E56" s="36">
        <v>205</v>
      </c>
      <c r="F56" s="36">
        <f>E56*D56</f>
        <v>17220</v>
      </c>
    </row>
    <row r="57" spans="1:6">
      <c r="B57" s="33" t="s">
        <v>271</v>
      </c>
      <c r="C57" s="34" t="s">
        <v>257</v>
      </c>
      <c r="D57" s="35">
        <v>107.7</v>
      </c>
      <c r="E57" s="36">
        <v>2</v>
      </c>
      <c r="F57" s="36">
        <f>E57*D57</f>
        <v>215.4</v>
      </c>
    </row>
    <row r="59" spans="1:6" ht="92.4">
      <c r="A59" s="32" t="s">
        <v>274</v>
      </c>
      <c r="B59" s="33" t="s">
        <v>275</v>
      </c>
    </row>
    <row r="60" spans="1:6">
      <c r="B60" s="33" t="s">
        <v>270</v>
      </c>
      <c r="C60" s="34" t="s">
        <v>242</v>
      </c>
      <c r="D60" s="35">
        <v>272.60000000000002</v>
      </c>
      <c r="E60" s="36">
        <v>2</v>
      </c>
      <c r="F60" s="36">
        <f>E60*D60</f>
        <v>545.20000000000005</v>
      </c>
    </row>
    <row r="61" spans="1:6">
      <c r="B61" s="33" t="s">
        <v>271</v>
      </c>
      <c r="C61" s="34" t="s">
        <v>257</v>
      </c>
      <c r="D61" s="35">
        <v>914.3</v>
      </c>
      <c r="E61" s="36">
        <v>70</v>
      </c>
      <c r="F61" s="36">
        <f>E61*D61</f>
        <v>64001</v>
      </c>
    </row>
    <row r="63" spans="1:6" ht="92.4">
      <c r="A63" s="32" t="s">
        <v>276</v>
      </c>
      <c r="B63" s="33" t="s">
        <v>277</v>
      </c>
    </row>
    <row r="64" spans="1:6">
      <c r="B64" s="33" t="s">
        <v>270</v>
      </c>
      <c r="C64" s="34" t="s">
        <v>242</v>
      </c>
      <c r="D64" s="53">
        <v>6</v>
      </c>
      <c r="E64" s="36">
        <v>200</v>
      </c>
      <c r="F64" s="36">
        <f>E64*D64</f>
        <v>1200</v>
      </c>
    </row>
    <row r="65" spans="1:6">
      <c r="B65" s="33" t="s">
        <v>271</v>
      </c>
      <c r="C65" s="34" t="s">
        <v>257</v>
      </c>
      <c r="D65" s="35">
        <v>53.5</v>
      </c>
      <c r="E65" s="36">
        <v>60</v>
      </c>
      <c r="F65" s="36">
        <f>E65*D65</f>
        <v>3210</v>
      </c>
    </row>
    <row r="67" spans="1:6" ht="92.4">
      <c r="A67" s="32" t="s">
        <v>278</v>
      </c>
      <c r="B67" s="33" t="s">
        <v>279</v>
      </c>
    </row>
    <row r="68" spans="1:6">
      <c r="B68" s="33" t="s">
        <v>270</v>
      </c>
      <c r="C68" s="34" t="s">
        <v>242</v>
      </c>
      <c r="D68" s="53">
        <v>1.5</v>
      </c>
      <c r="E68" s="36">
        <v>500</v>
      </c>
      <c r="F68" s="36">
        <f>E68*D68</f>
        <v>750</v>
      </c>
    </row>
    <row r="69" spans="1:6">
      <c r="B69" s="33" t="s">
        <v>271</v>
      </c>
      <c r="C69" s="34" t="s">
        <v>257</v>
      </c>
      <c r="D69" s="35">
        <v>4.3</v>
      </c>
      <c r="E69" s="36">
        <v>100</v>
      </c>
      <c r="F69" s="36">
        <f>E69*D69</f>
        <v>430</v>
      </c>
    </row>
    <row r="71" spans="1:6" ht="79.2">
      <c r="A71" s="32" t="s">
        <v>280</v>
      </c>
      <c r="B71" s="33" t="s">
        <v>281</v>
      </c>
      <c r="D71" s="36"/>
    </row>
    <row r="72" spans="1:6">
      <c r="B72" s="33" t="s">
        <v>270</v>
      </c>
      <c r="C72" s="34" t="s">
        <v>242</v>
      </c>
      <c r="D72" s="36">
        <v>167.7</v>
      </c>
      <c r="E72" s="36">
        <v>180</v>
      </c>
      <c r="F72" s="36">
        <f>E72*D72</f>
        <v>30185.999999999996</v>
      </c>
    </row>
    <row r="73" spans="1:6">
      <c r="B73" s="33" t="s">
        <v>271</v>
      </c>
      <c r="C73" s="34" t="s">
        <v>257</v>
      </c>
      <c r="D73" s="36">
        <v>30</v>
      </c>
      <c r="E73" s="36">
        <v>60</v>
      </c>
      <c r="F73" s="36">
        <f>E73*D73</f>
        <v>1800</v>
      </c>
    </row>
    <row r="75" spans="1:6" ht="92.4">
      <c r="A75" s="32" t="s">
        <v>282</v>
      </c>
      <c r="B75" s="33" t="s">
        <v>283</v>
      </c>
    </row>
    <row r="76" spans="1:6">
      <c r="B76" s="33" t="s">
        <v>270</v>
      </c>
      <c r="C76" s="34" t="s">
        <v>242</v>
      </c>
      <c r="D76" s="35">
        <v>456.9</v>
      </c>
      <c r="E76" s="36">
        <v>440</v>
      </c>
      <c r="F76" s="36">
        <f>E76*D76</f>
        <v>201036</v>
      </c>
    </row>
    <row r="77" spans="1:6">
      <c r="B77" s="33" t="s">
        <v>271</v>
      </c>
      <c r="C77" s="34" t="s">
        <v>257</v>
      </c>
      <c r="D77" s="35">
        <v>2672.7</v>
      </c>
      <c r="E77" s="87">
        <v>0.1</v>
      </c>
      <c r="F77" s="36">
        <f>E77*D77</f>
        <v>267.27</v>
      </c>
    </row>
    <row r="79" spans="1:6" ht="92.4">
      <c r="A79" s="32" t="s">
        <v>284</v>
      </c>
      <c r="B79" s="33" t="s">
        <v>285</v>
      </c>
    </row>
    <row r="80" spans="1:6">
      <c r="B80" s="33" t="s">
        <v>270</v>
      </c>
      <c r="C80" s="34" t="s">
        <v>242</v>
      </c>
      <c r="D80" s="35">
        <v>45.3</v>
      </c>
      <c r="E80" s="36">
        <v>460</v>
      </c>
      <c r="F80" s="36">
        <f>E80*D80</f>
        <v>20838</v>
      </c>
    </row>
    <row r="81" spans="1:6">
      <c r="B81" s="33" t="s">
        <v>271</v>
      </c>
      <c r="C81" s="34" t="s">
        <v>257</v>
      </c>
      <c r="D81" s="35">
        <v>453.1</v>
      </c>
      <c r="E81" s="36">
        <v>5</v>
      </c>
      <c r="F81" s="36">
        <f>E81*D81</f>
        <v>2265.5</v>
      </c>
    </row>
    <row r="83" spans="1:6" ht="92.4">
      <c r="A83" s="32" t="s">
        <v>286</v>
      </c>
      <c r="B83" s="33" t="s">
        <v>287</v>
      </c>
    </row>
    <row r="84" spans="1:6">
      <c r="B84" s="33" t="s">
        <v>270</v>
      </c>
      <c r="C84" s="34" t="s">
        <v>242</v>
      </c>
      <c r="D84" s="35">
        <v>258.10000000000002</v>
      </c>
      <c r="E84" s="36">
        <v>480</v>
      </c>
      <c r="F84" s="36">
        <f>E84*D84</f>
        <v>123888.00000000001</v>
      </c>
    </row>
    <row r="85" spans="1:6" ht="15" customHeight="1">
      <c r="B85" s="33" t="s">
        <v>271</v>
      </c>
      <c r="C85" s="34" t="s">
        <v>257</v>
      </c>
      <c r="D85" s="35">
        <v>3405.3</v>
      </c>
      <c r="E85" s="87">
        <v>0.1</v>
      </c>
      <c r="F85" s="36">
        <f>E85*D85</f>
        <v>340.53000000000003</v>
      </c>
    </row>
    <row r="87" spans="1:6" ht="101.25" customHeight="1">
      <c r="A87" s="32" t="s">
        <v>288</v>
      </c>
      <c r="B87" s="33" t="s">
        <v>289</v>
      </c>
      <c r="D87" s="36"/>
    </row>
    <row r="88" spans="1:6">
      <c r="B88" s="33" t="s">
        <v>270</v>
      </c>
      <c r="C88" s="34" t="s">
        <v>242</v>
      </c>
      <c r="D88" s="36">
        <v>16</v>
      </c>
      <c r="E88" s="36">
        <v>200</v>
      </c>
      <c r="F88" s="36">
        <f>E88*D88</f>
        <v>3200</v>
      </c>
    </row>
    <row r="89" spans="1:6">
      <c r="B89" s="33" t="s">
        <v>271</v>
      </c>
      <c r="C89" s="34" t="s">
        <v>257</v>
      </c>
      <c r="D89" s="36">
        <v>167.1</v>
      </c>
      <c r="E89" s="36">
        <v>40</v>
      </c>
      <c r="F89" s="36">
        <f>E89*D89</f>
        <v>6684</v>
      </c>
    </row>
    <row r="91" spans="1:6" ht="92.4">
      <c r="A91" s="32" t="s">
        <v>290</v>
      </c>
      <c r="B91" s="39" t="s">
        <v>291</v>
      </c>
    </row>
    <row r="92" spans="1:6">
      <c r="B92" s="33" t="s">
        <v>270</v>
      </c>
      <c r="C92" s="34" t="s">
        <v>242</v>
      </c>
      <c r="D92" s="35">
        <v>10.5</v>
      </c>
      <c r="E92" s="36">
        <v>250</v>
      </c>
      <c r="F92" s="36">
        <f>E92*D92</f>
        <v>2625</v>
      </c>
    </row>
    <row r="93" spans="1:6">
      <c r="B93" s="33" t="s">
        <v>271</v>
      </c>
      <c r="C93" s="34" t="s">
        <v>257</v>
      </c>
      <c r="D93" s="35">
        <v>90.4</v>
      </c>
      <c r="E93" s="36">
        <v>80</v>
      </c>
      <c r="F93" s="36">
        <f>E93*D93</f>
        <v>7232</v>
      </c>
    </row>
    <row r="95" spans="1:6" ht="92.4">
      <c r="A95" s="32" t="s">
        <v>292</v>
      </c>
      <c r="B95" s="33" t="s">
        <v>293</v>
      </c>
    </row>
    <row r="96" spans="1:6">
      <c r="B96" s="33" t="s">
        <v>270</v>
      </c>
      <c r="C96" s="34" t="s">
        <v>242</v>
      </c>
      <c r="D96" s="35">
        <v>4</v>
      </c>
      <c r="E96" s="36">
        <v>300</v>
      </c>
      <c r="F96" s="36">
        <f>E96*D96</f>
        <v>1200</v>
      </c>
    </row>
    <row r="97" spans="1:6">
      <c r="B97" s="33" t="s">
        <v>271</v>
      </c>
      <c r="C97" s="34" t="s">
        <v>257</v>
      </c>
      <c r="D97" s="35">
        <v>42</v>
      </c>
      <c r="E97" s="36">
        <v>100</v>
      </c>
      <c r="F97" s="36">
        <f>E97*D97</f>
        <v>4200</v>
      </c>
    </row>
    <row r="99" spans="1:6" ht="92.4">
      <c r="A99" s="32" t="s">
        <v>294</v>
      </c>
      <c r="B99" s="33" t="s">
        <v>295</v>
      </c>
    </row>
    <row r="100" spans="1:6">
      <c r="B100" s="33" t="s">
        <v>270</v>
      </c>
      <c r="C100" s="34" t="s">
        <v>242</v>
      </c>
      <c r="D100" s="35">
        <v>10.9</v>
      </c>
      <c r="E100" s="36">
        <v>1100</v>
      </c>
      <c r="F100" s="36">
        <f>E100*D100</f>
        <v>11990</v>
      </c>
    </row>
    <row r="101" spans="1:6">
      <c r="B101" s="33" t="s">
        <v>271</v>
      </c>
      <c r="C101" s="34" t="s">
        <v>257</v>
      </c>
      <c r="D101" s="35">
        <v>204.9</v>
      </c>
      <c r="E101" s="36">
        <v>1</v>
      </c>
      <c r="F101" s="36">
        <f>E101*D101</f>
        <v>204.9</v>
      </c>
    </row>
    <row r="103" spans="1:6" ht="92.4">
      <c r="A103" s="32" t="s">
        <v>296</v>
      </c>
      <c r="B103" s="33" t="s">
        <v>297</v>
      </c>
    </row>
    <row r="104" spans="1:6">
      <c r="B104" s="33" t="s">
        <v>270</v>
      </c>
      <c r="C104" s="34" t="s">
        <v>242</v>
      </c>
      <c r="D104" s="35">
        <v>16.5</v>
      </c>
      <c r="E104" s="36">
        <v>3</v>
      </c>
      <c r="F104" s="36">
        <f>E104*D104</f>
        <v>49.5</v>
      </c>
    </row>
    <row r="105" spans="1:6">
      <c r="B105" s="33" t="s">
        <v>271</v>
      </c>
      <c r="C105" s="34" t="s">
        <v>257</v>
      </c>
      <c r="D105" s="35">
        <v>73.2</v>
      </c>
      <c r="E105" s="36">
        <v>95</v>
      </c>
      <c r="F105" s="36">
        <f>E105*D105</f>
        <v>6954</v>
      </c>
    </row>
    <row r="107" spans="1:6" ht="92.4">
      <c r="A107" s="32" t="s">
        <v>298</v>
      </c>
      <c r="B107" s="33" t="s">
        <v>299</v>
      </c>
    </row>
    <row r="108" spans="1:6">
      <c r="B108" s="33" t="s">
        <v>270</v>
      </c>
      <c r="C108" s="34" t="s">
        <v>242</v>
      </c>
      <c r="D108" s="35">
        <v>16</v>
      </c>
      <c r="E108" s="36">
        <v>3</v>
      </c>
      <c r="F108" s="36">
        <f>E108*D108</f>
        <v>48</v>
      </c>
    </row>
    <row r="109" spans="1:6">
      <c r="B109" s="33" t="s">
        <v>271</v>
      </c>
      <c r="C109" s="34" t="s">
        <v>257</v>
      </c>
      <c r="D109" s="35">
        <v>85.8</v>
      </c>
      <c r="E109" s="36">
        <v>95</v>
      </c>
      <c r="F109" s="36">
        <f>E109*D109</f>
        <v>8151</v>
      </c>
    </row>
    <row r="111" spans="1:6" ht="92.4">
      <c r="A111" s="32" t="s">
        <v>300</v>
      </c>
      <c r="B111" s="33" t="s">
        <v>301</v>
      </c>
      <c r="D111" s="36"/>
    </row>
    <row r="112" spans="1:6">
      <c r="B112" s="33" t="s">
        <v>270</v>
      </c>
      <c r="C112" s="34" t="s">
        <v>242</v>
      </c>
      <c r="D112" s="36">
        <v>20.2</v>
      </c>
      <c r="E112" s="36">
        <v>600</v>
      </c>
      <c r="F112" s="36">
        <f>E112*D112</f>
        <v>12120</v>
      </c>
    </row>
    <row r="113" spans="1:6">
      <c r="B113" s="33" t="s">
        <v>271</v>
      </c>
      <c r="C113" s="34" t="s">
        <v>257</v>
      </c>
      <c r="D113" s="36">
        <v>269.10000000000002</v>
      </c>
      <c r="E113" s="36">
        <v>1</v>
      </c>
      <c r="F113" s="36">
        <f>E113*D113</f>
        <v>269.10000000000002</v>
      </c>
    </row>
    <row r="114" spans="1:6" hidden="1">
      <c r="B114" s="54"/>
      <c r="C114" s="55"/>
      <c r="D114" s="56"/>
      <c r="E114" s="56"/>
      <c r="F114" s="56"/>
    </row>
    <row r="115" spans="1:6" hidden="1">
      <c r="B115" s="54"/>
      <c r="C115" s="55"/>
      <c r="D115" s="56"/>
      <c r="E115" s="56"/>
      <c r="F115" s="56"/>
    </row>
    <row r="116" spans="1:6" hidden="1"/>
    <row r="118" spans="1:6" ht="107.25" customHeight="1">
      <c r="A118" s="32" t="s">
        <v>302</v>
      </c>
      <c r="B118" s="33" t="s">
        <v>303</v>
      </c>
      <c r="D118" s="36"/>
    </row>
    <row r="119" spans="1:6">
      <c r="B119" s="33" t="s">
        <v>270</v>
      </c>
      <c r="C119" s="34" t="s">
        <v>242</v>
      </c>
      <c r="D119" s="36">
        <v>4</v>
      </c>
      <c r="E119" s="36">
        <v>200</v>
      </c>
      <c r="F119" s="36">
        <f>E119*D119</f>
        <v>800</v>
      </c>
    </row>
    <row r="120" spans="1:6">
      <c r="B120" s="33" t="s">
        <v>271</v>
      </c>
      <c r="C120" s="34" t="s">
        <v>257</v>
      </c>
      <c r="D120" s="36">
        <v>20</v>
      </c>
      <c r="E120" s="36">
        <v>50</v>
      </c>
      <c r="F120" s="36">
        <f>E120*D120</f>
        <v>1000</v>
      </c>
    </row>
    <row r="122" spans="1:6" ht="92.4">
      <c r="A122" s="32" t="s">
        <v>304</v>
      </c>
      <c r="B122" s="33" t="s">
        <v>305</v>
      </c>
    </row>
    <row r="123" spans="1:6">
      <c r="B123" s="33" t="s">
        <v>270</v>
      </c>
      <c r="C123" s="34" t="s">
        <v>242</v>
      </c>
      <c r="D123" s="35">
        <v>10.9</v>
      </c>
      <c r="E123" s="36">
        <v>450</v>
      </c>
      <c r="F123" s="36">
        <f>E123*D123</f>
        <v>4905</v>
      </c>
    </row>
    <row r="124" spans="1:6">
      <c r="B124" s="33" t="s">
        <v>271</v>
      </c>
      <c r="C124" s="34" t="s">
        <v>257</v>
      </c>
      <c r="D124" s="35">
        <v>89</v>
      </c>
      <c r="E124" s="36">
        <v>1</v>
      </c>
      <c r="F124" s="36">
        <f>E124*D124</f>
        <v>89</v>
      </c>
    </row>
    <row r="126" spans="1:6" ht="92.4">
      <c r="A126" s="32" t="s">
        <v>306</v>
      </c>
      <c r="B126" s="33" t="s">
        <v>307</v>
      </c>
      <c r="D126" s="36"/>
    </row>
    <row r="127" spans="1:6">
      <c r="B127" s="33" t="s">
        <v>270</v>
      </c>
      <c r="C127" s="34" t="s">
        <v>242</v>
      </c>
      <c r="D127" s="36">
        <v>3.6</v>
      </c>
      <c r="E127" s="36">
        <v>180</v>
      </c>
      <c r="F127" s="36">
        <f>E127*D127</f>
        <v>648</v>
      </c>
    </row>
    <row r="128" spans="1:6">
      <c r="B128" s="33" t="s">
        <v>271</v>
      </c>
      <c r="C128" s="34" t="s">
        <v>257</v>
      </c>
      <c r="D128" s="36">
        <v>20.3</v>
      </c>
      <c r="E128" s="36">
        <v>100</v>
      </c>
      <c r="F128" s="36">
        <f>E128*D128</f>
        <v>2030</v>
      </c>
    </row>
    <row r="130" spans="1:6" ht="39.6">
      <c r="A130" s="32" t="s">
        <v>302</v>
      </c>
      <c r="B130" s="33" t="s">
        <v>308</v>
      </c>
    </row>
    <row r="131" spans="1:6">
      <c r="B131" s="33" t="s">
        <v>309</v>
      </c>
      <c r="C131" s="34" t="s">
        <v>310</v>
      </c>
      <c r="D131" s="35">
        <v>79650</v>
      </c>
      <c r="E131" s="36">
        <v>1.45</v>
      </c>
      <c r="F131" s="36">
        <f>E131*D131</f>
        <v>115492.5</v>
      </c>
    </row>
    <row r="132" spans="1:6">
      <c r="B132" s="33" t="s">
        <v>311</v>
      </c>
      <c r="C132" s="34" t="s">
        <v>310</v>
      </c>
      <c r="D132" s="35">
        <v>63720</v>
      </c>
      <c r="E132" s="36">
        <v>1.45</v>
      </c>
      <c r="F132" s="36">
        <f>E132*D132</f>
        <v>92394</v>
      </c>
    </row>
    <row r="134" spans="1:6" ht="12.75" customHeight="1">
      <c r="B134" s="760" t="s">
        <v>312</v>
      </c>
      <c r="C134" s="760"/>
      <c r="D134" s="760"/>
      <c r="F134" s="44">
        <f>SUM(F47:F132)</f>
        <v>805279.70000000007</v>
      </c>
    </row>
    <row r="135" spans="1:6">
      <c r="B135" s="6"/>
      <c r="D135" s="48"/>
    </row>
    <row r="136" spans="1:6">
      <c r="A136" s="759" t="s">
        <v>313</v>
      </c>
      <c r="B136" s="759"/>
      <c r="C136" s="759"/>
      <c r="D136" s="759"/>
      <c r="E136" s="759"/>
      <c r="F136" s="759"/>
    </row>
    <row r="138" spans="1:6" ht="39.6">
      <c r="A138" s="32" t="s">
        <v>314</v>
      </c>
      <c r="B138" s="33" t="s">
        <v>315</v>
      </c>
      <c r="C138" s="34" t="s">
        <v>316</v>
      </c>
      <c r="D138" s="35">
        <v>153</v>
      </c>
      <c r="E138" s="36">
        <v>10</v>
      </c>
      <c r="F138" s="36">
        <f>E138*D138</f>
        <v>1530</v>
      </c>
    </row>
    <row r="140" spans="1:6" ht="39.6">
      <c r="A140" s="32" t="s">
        <v>317</v>
      </c>
      <c r="B140" s="33" t="s">
        <v>318</v>
      </c>
      <c r="C140" s="34" t="s">
        <v>242</v>
      </c>
      <c r="D140" s="36">
        <v>354.2</v>
      </c>
      <c r="E140" s="36">
        <v>200</v>
      </c>
      <c r="F140" s="36">
        <f>E140*D140</f>
        <v>70840</v>
      </c>
    </row>
    <row r="142" spans="1:6" ht="39.6">
      <c r="A142" s="32" t="s">
        <v>319</v>
      </c>
      <c r="B142" s="33" t="s">
        <v>320</v>
      </c>
      <c r="C142" s="34" t="s">
        <v>242</v>
      </c>
      <c r="D142" s="35">
        <v>56.7</v>
      </c>
      <c r="E142" s="36">
        <v>250</v>
      </c>
      <c r="F142" s="36">
        <f>E142*D142</f>
        <v>14175</v>
      </c>
    </row>
    <row r="144" spans="1:6" ht="39.6">
      <c r="A144" s="32" t="s">
        <v>321</v>
      </c>
      <c r="B144" s="33" t="s">
        <v>322</v>
      </c>
      <c r="C144" s="34" t="s">
        <v>257</v>
      </c>
      <c r="D144" s="35">
        <v>21.4</v>
      </c>
      <c r="E144" s="36">
        <v>100</v>
      </c>
      <c r="F144" s="36">
        <f>E144*D144</f>
        <v>2140</v>
      </c>
    </row>
    <row r="145" spans="1:6">
      <c r="A145" s="32" t="s">
        <v>323</v>
      </c>
    </row>
    <row r="146" spans="1:6" ht="39.6">
      <c r="B146" s="33" t="s">
        <v>324</v>
      </c>
      <c r="C146" s="34" t="s">
        <v>257</v>
      </c>
      <c r="D146" s="35">
        <v>128.69999999999999</v>
      </c>
      <c r="E146" s="36">
        <v>60</v>
      </c>
      <c r="F146" s="36">
        <f>E146*D146</f>
        <v>7721.9999999999991</v>
      </c>
    </row>
    <row r="148" spans="1:6" ht="79.2">
      <c r="A148" s="32" t="s">
        <v>325</v>
      </c>
      <c r="B148" s="33" t="s">
        <v>326</v>
      </c>
      <c r="C148" s="34" t="s">
        <v>257</v>
      </c>
      <c r="D148" s="35">
        <v>1802.5</v>
      </c>
      <c r="E148" s="36">
        <v>22</v>
      </c>
      <c r="F148" s="36">
        <f>E148*D148</f>
        <v>39655</v>
      </c>
    </row>
    <row r="150" spans="1:6" ht="79.2">
      <c r="A150" s="32" t="s">
        <v>327</v>
      </c>
      <c r="B150" s="33" t="s">
        <v>328</v>
      </c>
      <c r="C150" s="34" t="s">
        <v>257</v>
      </c>
      <c r="D150" s="35">
        <v>99.8</v>
      </c>
      <c r="E150" s="36">
        <v>25</v>
      </c>
      <c r="F150" s="36">
        <f>E150*D150</f>
        <v>2495</v>
      </c>
    </row>
    <row r="152" spans="1:6" ht="26.4">
      <c r="A152" s="32" t="s">
        <v>329</v>
      </c>
      <c r="B152" s="33" t="s">
        <v>330</v>
      </c>
      <c r="C152" s="34" t="s">
        <v>257</v>
      </c>
      <c r="D152" s="35">
        <v>2002.3</v>
      </c>
      <c r="E152" s="36">
        <v>0.5</v>
      </c>
      <c r="F152" s="36">
        <f>E152*D152</f>
        <v>1001.15</v>
      </c>
    </row>
    <row r="154" spans="1:6" ht="26.4">
      <c r="A154" s="32" t="s">
        <v>331</v>
      </c>
      <c r="B154" s="33" t="s">
        <v>332</v>
      </c>
      <c r="C154" s="34" t="s">
        <v>257</v>
      </c>
      <c r="D154" s="35">
        <v>4914.7</v>
      </c>
      <c r="E154" s="36">
        <v>7</v>
      </c>
      <c r="F154" s="36">
        <f>E154*D154</f>
        <v>34402.9</v>
      </c>
    </row>
    <row r="156" spans="1:6" ht="39.6">
      <c r="A156" s="40" t="s">
        <v>333</v>
      </c>
      <c r="B156" s="41" t="s">
        <v>334</v>
      </c>
      <c r="C156" s="42" t="s">
        <v>257</v>
      </c>
      <c r="D156" s="43">
        <v>2670</v>
      </c>
      <c r="E156" s="43">
        <v>18</v>
      </c>
      <c r="F156" s="43">
        <f>E156*D156</f>
        <v>48060</v>
      </c>
    </row>
    <row r="158" spans="1:6" ht="39.6">
      <c r="A158" s="32" t="s">
        <v>335</v>
      </c>
      <c r="B158" s="33" t="s">
        <v>336</v>
      </c>
      <c r="C158" s="34" t="s">
        <v>257</v>
      </c>
      <c r="D158" s="35">
        <v>80</v>
      </c>
      <c r="E158" s="36">
        <v>60</v>
      </c>
      <c r="F158" s="36">
        <f>E158*D158</f>
        <v>4800</v>
      </c>
    </row>
    <row r="160" spans="1:6" ht="52.8">
      <c r="A160" s="32" t="s">
        <v>337</v>
      </c>
      <c r="B160" s="33" t="s">
        <v>338</v>
      </c>
      <c r="C160" s="34" t="s">
        <v>257</v>
      </c>
      <c r="D160" s="36">
        <v>24</v>
      </c>
      <c r="E160" s="36">
        <v>40</v>
      </c>
      <c r="F160" s="36">
        <f>E160*D160</f>
        <v>960</v>
      </c>
    </row>
    <row r="162" spans="1:6">
      <c r="A162" s="32" t="s">
        <v>339</v>
      </c>
      <c r="B162" s="33" t="s">
        <v>340</v>
      </c>
      <c r="C162" s="34" t="s">
        <v>341</v>
      </c>
      <c r="D162" s="35">
        <v>60</v>
      </c>
      <c r="E162" s="36">
        <v>20</v>
      </c>
      <c r="F162" s="36">
        <f>E162*D162</f>
        <v>1200</v>
      </c>
    </row>
    <row r="164" spans="1:6" ht="26.4">
      <c r="A164" s="57" t="s">
        <v>342</v>
      </c>
      <c r="B164" s="58" t="s">
        <v>343</v>
      </c>
      <c r="C164" s="59"/>
      <c r="D164" s="60"/>
      <c r="F164" s="60"/>
    </row>
    <row r="165" spans="1:6">
      <c r="B165" s="33" t="s">
        <v>344</v>
      </c>
      <c r="C165" s="34" t="s">
        <v>345</v>
      </c>
      <c r="D165" s="36">
        <v>8</v>
      </c>
      <c r="E165" s="36">
        <v>100</v>
      </c>
      <c r="F165" s="36">
        <f>E165*D165</f>
        <v>800</v>
      </c>
    </row>
    <row r="166" spans="1:6">
      <c r="B166" s="33" t="s">
        <v>346</v>
      </c>
      <c r="C166" s="34" t="s">
        <v>345</v>
      </c>
      <c r="D166" s="36">
        <v>4</v>
      </c>
      <c r="E166" s="36">
        <v>100</v>
      </c>
      <c r="F166" s="36">
        <f>E166*D166</f>
        <v>400</v>
      </c>
    </row>
    <row r="167" spans="1:6">
      <c r="B167" s="33" t="s">
        <v>347</v>
      </c>
      <c r="C167" s="34" t="s">
        <v>345</v>
      </c>
      <c r="D167" s="36">
        <v>3</v>
      </c>
      <c r="E167" s="36">
        <v>100</v>
      </c>
      <c r="F167" s="36">
        <f>E167*D167</f>
        <v>300</v>
      </c>
    </row>
    <row r="169" spans="1:6" ht="26.4">
      <c r="A169" s="32" t="s">
        <v>348</v>
      </c>
      <c r="B169" s="33" t="s">
        <v>349</v>
      </c>
      <c r="C169" s="34" t="s">
        <v>345</v>
      </c>
      <c r="D169" s="35">
        <v>15</v>
      </c>
      <c r="E169" s="36">
        <v>100</v>
      </c>
      <c r="F169" s="36">
        <f>E169*D169</f>
        <v>1500</v>
      </c>
    </row>
    <row r="171" spans="1:6" ht="12" customHeight="1">
      <c r="B171" s="760" t="s">
        <v>350</v>
      </c>
      <c r="C171" s="760"/>
      <c r="D171" s="760"/>
      <c r="F171" s="44">
        <f>SUM(F138:F169)</f>
        <v>231981.05</v>
      </c>
    </row>
    <row r="174" spans="1:6">
      <c r="B174" s="61" t="s">
        <v>351</v>
      </c>
      <c r="F174" s="44">
        <f>F171+F134+F43+F19</f>
        <v>1132325.75</v>
      </c>
    </row>
    <row r="180" spans="4:6">
      <c r="D180" s="62" t="s">
        <v>352</v>
      </c>
      <c r="E180" s="35"/>
      <c r="F180" s="35"/>
    </row>
    <row r="181" spans="4:6">
      <c r="E181" s="35"/>
      <c r="F181" s="35"/>
    </row>
    <row r="182" spans="4:6">
      <c r="D182" s="761" t="s">
        <v>353</v>
      </c>
      <c r="E182" s="761"/>
      <c r="F182" s="761"/>
    </row>
  </sheetData>
  <mergeCells count="10">
    <mergeCell ref="A45:F45"/>
    <mergeCell ref="B134:D134"/>
    <mergeCell ref="A136:F136"/>
    <mergeCell ref="B171:D171"/>
    <mergeCell ref="D182:F182"/>
    <mergeCell ref="A1:F1"/>
    <mergeCell ref="A5:F5"/>
    <mergeCell ref="B19:D19"/>
    <mergeCell ref="A21:F21"/>
    <mergeCell ref="B43:D43"/>
  </mergeCells>
  <pageMargins left="0.22013888888888899" right="0.17013888888888901" top="0.78749999999999998" bottom="0.78749999999999998" header="0.511811023622047" footer="0.511811023622047"/>
  <pageSetup paperSize="9" scale="97" orientation="portrait"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1"/>
  <sheetViews>
    <sheetView topLeftCell="A9" zoomScale="90" zoomScaleNormal="90" workbookViewId="0">
      <selection activeCell="E168" sqref="E168"/>
    </sheetView>
  </sheetViews>
  <sheetFormatPr defaultColWidth="11.88671875" defaultRowHeight="13.2"/>
  <cols>
    <col min="1" max="1" width="5.6640625" style="51" customWidth="1"/>
    <col min="2" max="2" width="33" style="6" customWidth="1"/>
    <col min="3" max="3" width="11.5546875" style="36" customWidth="1"/>
    <col min="4" max="4" width="11.5546875" style="63" customWidth="1"/>
    <col min="5" max="6" width="11.5546875" style="36" customWidth="1"/>
    <col min="11" max="11" width="45.6640625" customWidth="1"/>
  </cols>
  <sheetData>
    <row r="1" spans="1:6" ht="15.6">
      <c r="A1" s="758" t="s">
        <v>354</v>
      </c>
      <c r="B1" s="758"/>
      <c r="C1" s="758"/>
      <c r="D1" s="758"/>
      <c r="E1" s="758"/>
      <c r="F1" s="758"/>
    </row>
    <row r="2" spans="1:6">
      <c r="B2" s="33"/>
      <c r="D2" s="35"/>
    </row>
    <row r="3" spans="1:6">
      <c r="A3" s="51" t="s">
        <v>218</v>
      </c>
      <c r="B3" s="33" t="s">
        <v>219</v>
      </c>
      <c r="C3" s="36" t="s">
        <v>220</v>
      </c>
      <c r="D3" s="35" t="s">
        <v>221</v>
      </c>
      <c r="E3" s="36" t="s">
        <v>222</v>
      </c>
      <c r="F3" s="36" t="s">
        <v>223</v>
      </c>
    </row>
    <row r="4" spans="1:6">
      <c r="B4" s="33"/>
      <c r="D4" s="35"/>
    </row>
    <row r="5" spans="1:6">
      <c r="A5" s="759" t="s">
        <v>355</v>
      </c>
      <c r="B5" s="759"/>
      <c r="C5" s="759"/>
      <c r="D5" s="759"/>
      <c r="E5" s="759"/>
      <c r="F5" s="759"/>
    </row>
    <row r="6" spans="1:6">
      <c r="D6" s="35"/>
    </row>
    <row r="7" spans="1:6" ht="92.4">
      <c r="A7" s="51" t="s">
        <v>356</v>
      </c>
      <c r="B7" s="6" t="s">
        <v>357</v>
      </c>
      <c r="C7" s="36" t="s">
        <v>257</v>
      </c>
      <c r="D7" s="35">
        <v>947.5</v>
      </c>
      <c r="E7" s="36">
        <v>15</v>
      </c>
      <c r="F7" s="36">
        <f>E7*D7</f>
        <v>14212.5</v>
      </c>
    </row>
    <row r="8" spans="1:6">
      <c r="D8" s="35"/>
    </row>
    <row r="9" spans="1:6" ht="79.2">
      <c r="A9" s="51" t="s">
        <v>358</v>
      </c>
      <c r="B9" s="6" t="s">
        <v>359</v>
      </c>
      <c r="C9" s="36" t="s">
        <v>257</v>
      </c>
      <c r="D9" s="35">
        <v>947.5</v>
      </c>
      <c r="E9" s="36">
        <v>1.5</v>
      </c>
      <c r="F9" s="36">
        <f>E9*D9</f>
        <v>1421.25</v>
      </c>
    </row>
    <row r="10" spans="1:6">
      <c r="D10" s="35"/>
    </row>
    <row r="11" spans="1:6" ht="79.2">
      <c r="A11" s="51" t="s">
        <v>360</v>
      </c>
      <c r="B11" s="6" t="s">
        <v>361</v>
      </c>
      <c r="C11" s="36" t="s">
        <v>257</v>
      </c>
      <c r="D11" s="35">
        <v>947.5</v>
      </c>
      <c r="E11" s="36">
        <v>1</v>
      </c>
      <c r="F11" s="36">
        <f>E11*D11</f>
        <v>947.5</v>
      </c>
    </row>
    <row r="12" spans="1:6">
      <c r="D12" s="35"/>
    </row>
    <row r="13" spans="1:6" ht="92.4">
      <c r="A13" s="51" t="s">
        <v>362</v>
      </c>
      <c r="B13" s="6" t="s">
        <v>363</v>
      </c>
      <c r="C13" s="36" t="s">
        <v>257</v>
      </c>
      <c r="D13" s="35">
        <v>581.29999999999995</v>
      </c>
      <c r="E13" s="36">
        <v>130</v>
      </c>
      <c r="F13" s="36">
        <f>E13*D13</f>
        <v>75569</v>
      </c>
    </row>
    <row r="14" spans="1:6">
      <c r="D14" s="35"/>
    </row>
    <row r="15" spans="1:6" ht="82.5" customHeight="1">
      <c r="A15" s="51" t="s">
        <v>364</v>
      </c>
      <c r="B15" s="6" t="s">
        <v>365</v>
      </c>
      <c r="C15" s="36" t="s">
        <v>257</v>
      </c>
      <c r="D15" s="36">
        <v>443.2</v>
      </c>
      <c r="E15" s="36">
        <v>20</v>
      </c>
      <c r="F15" s="36">
        <f>E15*D15</f>
        <v>8864</v>
      </c>
    </row>
    <row r="17" spans="1:6" ht="79.2">
      <c r="A17" s="51" t="s">
        <v>366</v>
      </c>
      <c r="B17" s="6" t="s">
        <v>367</v>
      </c>
      <c r="C17" s="36" t="s">
        <v>257</v>
      </c>
      <c r="D17" s="36">
        <v>121.9</v>
      </c>
      <c r="E17" s="36">
        <v>25</v>
      </c>
      <c r="F17" s="36">
        <f>E17*D17</f>
        <v>3047.5</v>
      </c>
    </row>
    <row r="18" spans="1:6">
      <c r="D18" s="36"/>
    </row>
    <row r="19" spans="1:6" ht="66">
      <c r="A19" s="51" t="s">
        <v>368</v>
      </c>
      <c r="B19" s="6" t="s">
        <v>369</v>
      </c>
      <c r="C19" s="36" t="s">
        <v>257</v>
      </c>
      <c r="D19" s="36">
        <v>24</v>
      </c>
      <c r="E19" s="36">
        <v>30</v>
      </c>
      <c r="F19" s="36">
        <f>E19*D19</f>
        <v>720</v>
      </c>
    </row>
    <row r="20" spans="1:6">
      <c r="D20" s="35"/>
    </row>
    <row r="21" spans="1:6" ht="39.6">
      <c r="A21" s="51" t="s">
        <v>370</v>
      </c>
      <c r="B21" s="6" t="s">
        <v>371</v>
      </c>
      <c r="C21" s="36" t="s">
        <v>257</v>
      </c>
      <c r="D21" s="35">
        <f>D7</f>
        <v>947.5</v>
      </c>
      <c r="E21" s="36">
        <v>20</v>
      </c>
      <c r="F21" s="36">
        <f>E21*D21</f>
        <v>18950</v>
      </c>
    </row>
    <row r="22" spans="1:6">
      <c r="D22" s="35"/>
    </row>
    <row r="23" spans="1:6" ht="45.75" customHeight="1">
      <c r="A23" s="51" t="s">
        <v>372</v>
      </c>
      <c r="B23" s="6" t="s">
        <v>373</v>
      </c>
      <c r="C23" s="36" t="s">
        <v>257</v>
      </c>
      <c r="D23" s="35">
        <f>D19</f>
        <v>24</v>
      </c>
      <c r="E23" s="36">
        <v>20</v>
      </c>
      <c r="F23" s="36">
        <f>E23*D23</f>
        <v>480</v>
      </c>
    </row>
    <row r="24" spans="1:6">
      <c r="D24" s="35"/>
    </row>
    <row r="25" spans="1:6" ht="52.8">
      <c r="A25" s="51" t="s">
        <v>374</v>
      </c>
      <c r="B25" s="6" t="s">
        <v>375</v>
      </c>
      <c r="C25" s="36" t="s">
        <v>257</v>
      </c>
      <c r="D25" s="35">
        <v>254.4</v>
      </c>
      <c r="E25" s="36">
        <v>20</v>
      </c>
      <c r="F25" s="36">
        <f>E25*D25</f>
        <v>5088</v>
      </c>
    </row>
    <row r="26" spans="1:6">
      <c r="D26" s="35"/>
    </row>
    <row r="27" spans="1:6" ht="92.4">
      <c r="A27" s="51" t="s">
        <v>376</v>
      </c>
      <c r="B27" s="6" t="s">
        <v>377</v>
      </c>
      <c r="C27" s="36" t="s">
        <v>257</v>
      </c>
      <c r="D27" s="35">
        <v>1685.8</v>
      </c>
      <c r="E27" s="36">
        <v>50</v>
      </c>
      <c r="F27" s="36">
        <f>E27*D27</f>
        <v>84290</v>
      </c>
    </row>
    <row r="28" spans="1:6">
      <c r="D28" s="35"/>
    </row>
    <row r="29" spans="1:6" ht="66">
      <c r="A29" s="51" t="s">
        <v>378</v>
      </c>
      <c r="B29" s="6" t="s">
        <v>379</v>
      </c>
      <c r="C29" s="36" t="s">
        <v>257</v>
      </c>
      <c r="D29" s="35">
        <f>D9</f>
        <v>947.5</v>
      </c>
      <c r="E29" s="36">
        <v>1</v>
      </c>
      <c r="F29" s="36">
        <f>E29*D29</f>
        <v>947.5</v>
      </c>
    </row>
    <row r="30" spans="1:6">
      <c r="D30" s="35"/>
    </row>
    <row r="31" spans="1:6" ht="79.2">
      <c r="A31" s="51" t="s">
        <v>380</v>
      </c>
      <c r="B31" s="6" t="s">
        <v>381</v>
      </c>
      <c r="C31" s="36" t="s">
        <v>257</v>
      </c>
      <c r="D31" s="35">
        <v>199.2</v>
      </c>
      <c r="E31" s="36">
        <v>15</v>
      </c>
      <c r="F31" s="36">
        <f>E31*D31</f>
        <v>2988</v>
      </c>
    </row>
    <row r="33" spans="1:6" ht="52.8">
      <c r="A33" s="51" t="s">
        <v>382</v>
      </c>
      <c r="B33" s="6" t="s">
        <v>383</v>
      </c>
      <c r="C33" s="36" t="s">
        <v>345</v>
      </c>
      <c r="D33" s="35">
        <v>4</v>
      </c>
      <c r="E33" s="36">
        <v>200</v>
      </c>
      <c r="F33" s="36">
        <f>E33*D33</f>
        <v>800</v>
      </c>
    </row>
    <row r="34" spans="1:6">
      <c r="D34" s="35"/>
    </row>
    <row r="35" spans="1:6" ht="79.2">
      <c r="A35" s="51" t="s">
        <v>384</v>
      </c>
      <c r="B35" s="6" t="s">
        <v>385</v>
      </c>
      <c r="C35" s="36" t="s">
        <v>257</v>
      </c>
      <c r="D35" s="35">
        <v>288.39999999999998</v>
      </c>
      <c r="E35" s="36">
        <v>10</v>
      </c>
      <c r="F35" s="36">
        <f>E35*D35</f>
        <v>2884</v>
      </c>
    </row>
    <row r="36" spans="1:6">
      <c r="D36" s="35"/>
    </row>
    <row r="37" spans="1:6" ht="92.4">
      <c r="A37" s="51" t="s">
        <v>386</v>
      </c>
      <c r="B37" s="6" t="s">
        <v>387</v>
      </c>
      <c r="C37" s="36" t="s">
        <v>257</v>
      </c>
      <c r="D37" s="35">
        <v>92</v>
      </c>
      <c r="E37" s="36">
        <v>10</v>
      </c>
      <c r="F37" s="36">
        <f>E37*D37</f>
        <v>920</v>
      </c>
    </row>
    <row r="38" spans="1:6">
      <c r="D38" s="35"/>
    </row>
    <row r="39" spans="1:6" ht="92.4">
      <c r="A39" s="51" t="s">
        <v>388</v>
      </c>
      <c r="B39" s="6" t="s">
        <v>389</v>
      </c>
      <c r="C39" s="36" t="s">
        <v>257</v>
      </c>
      <c r="D39" s="35">
        <f>D25</f>
        <v>254.4</v>
      </c>
      <c r="E39" s="36">
        <v>25</v>
      </c>
      <c r="F39" s="36">
        <f>E39*D39</f>
        <v>6360</v>
      </c>
    </row>
    <row r="40" spans="1:6">
      <c r="D40" s="35"/>
    </row>
    <row r="41" spans="1:6" ht="39.6">
      <c r="A41" s="51" t="s">
        <v>390</v>
      </c>
      <c r="B41" s="6" t="s">
        <v>391</v>
      </c>
      <c r="C41" s="36" t="s">
        <v>257</v>
      </c>
      <c r="D41" s="35">
        <v>64.099999999999994</v>
      </c>
      <c r="E41" s="36">
        <v>20</v>
      </c>
      <c r="F41" s="36">
        <f>E41*D41</f>
        <v>1282</v>
      </c>
    </row>
    <row r="42" spans="1:6">
      <c r="D42" s="48"/>
    </row>
    <row r="43" spans="1:6" ht="92.4">
      <c r="A43" s="51" t="s">
        <v>392</v>
      </c>
      <c r="B43" s="6" t="s">
        <v>393</v>
      </c>
      <c r="C43" s="36" t="s">
        <v>316</v>
      </c>
      <c r="D43" s="35">
        <v>133</v>
      </c>
      <c r="E43" s="36">
        <v>10</v>
      </c>
      <c r="F43" s="36">
        <f>E43*D43</f>
        <v>1330</v>
      </c>
    </row>
    <row r="44" spans="1:6">
      <c r="D44" s="35"/>
    </row>
    <row r="45" spans="1:6" ht="52.8">
      <c r="A45" s="51" t="s">
        <v>394</v>
      </c>
      <c r="B45" s="6" t="s">
        <v>395</v>
      </c>
      <c r="C45" s="36" t="s">
        <v>257</v>
      </c>
      <c r="D45" s="35">
        <f>D39</f>
        <v>254.4</v>
      </c>
      <c r="E45" s="36">
        <v>5</v>
      </c>
      <c r="F45" s="36">
        <f>E45*D45</f>
        <v>1272</v>
      </c>
    </row>
    <row r="47" spans="1:6" ht="12" customHeight="1">
      <c r="B47" s="760" t="s">
        <v>396</v>
      </c>
      <c r="C47" s="760"/>
      <c r="D47" s="760"/>
      <c r="F47" s="44">
        <f>SUM(F7:F45)</f>
        <v>232373.25</v>
      </c>
    </row>
    <row r="49" spans="1:6">
      <c r="A49" s="759" t="s">
        <v>397</v>
      </c>
      <c r="B49" s="759"/>
      <c r="C49" s="759"/>
      <c r="D49" s="759"/>
      <c r="E49" s="759"/>
      <c r="F49" s="759"/>
    </row>
    <row r="51" spans="1:6" ht="184.8">
      <c r="A51" s="51" t="s">
        <v>398</v>
      </c>
      <c r="B51" s="6" t="s">
        <v>399</v>
      </c>
      <c r="C51" s="36" t="s">
        <v>257</v>
      </c>
      <c r="D51" s="35">
        <v>760.6</v>
      </c>
      <c r="E51" s="36">
        <v>70</v>
      </c>
      <c r="F51" s="36">
        <f>E51*D51</f>
        <v>53242</v>
      </c>
    </row>
    <row r="52" spans="1:6">
      <c r="D52" s="35"/>
    </row>
    <row r="53" spans="1:6" ht="52.8">
      <c r="A53" s="51" t="s">
        <v>400</v>
      </c>
      <c r="B53" s="6" t="s">
        <v>401</v>
      </c>
      <c r="C53" s="36" t="s">
        <v>257</v>
      </c>
      <c r="D53" s="35">
        <v>259.8</v>
      </c>
      <c r="E53" s="36">
        <v>20</v>
      </c>
      <c r="F53" s="36">
        <f>E53*D53</f>
        <v>5196</v>
      </c>
    </row>
    <row r="55" spans="1:6" ht="52.8">
      <c r="A55" s="51" t="s">
        <v>402</v>
      </c>
      <c r="B55" s="6" t="s">
        <v>403</v>
      </c>
      <c r="C55" s="36" t="s">
        <v>257</v>
      </c>
      <c r="D55" s="35">
        <v>1584.5</v>
      </c>
      <c r="E55" s="36">
        <v>10</v>
      </c>
      <c r="F55" s="36">
        <f>E55*D55</f>
        <v>15845</v>
      </c>
    </row>
    <row r="57" spans="1:6" ht="52.8">
      <c r="A57" s="51" t="s">
        <v>404</v>
      </c>
      <c r="B57" s="6" t="s">
        <v>405</v>
      </c>
      <c r="C57" s="36" t="s">
        <v>257</v>
      </c>
      <c r="D57" s="35">
        <f>D41</f>
        <v>64.099999999999994</v>
      </c>
      <c r="E57" s="36">
        <v>22</v>
      </c>
      <c r="F57" s="36">
        <f>E57*D57</f>
        <v>1410.1999999999998</v>
      </c>
    </row>
    <row r="59" spans="1:6" ht="118.8">
      <c r="A59" s="64" t="s">
        <v>406</v>
      </c>
      <c r="B59" s="65" t="s">
        <v>407</v>
      </c>
      <c r="C59" s="35" t="s">
        <v>257</v>
      </c>
      <c r="D59" s="35">
        <v>57.4</v>
      </c>
      <c r="E59" s="35">
        <v>600</v>
      </c>
      <c r="F59" s="35">
        <f>E59*D59</f>
        <v>34440</v>
      </c>
    </row>
    <row r="61" spans="1:6" ht="12" customHeight="1">
      <c r="B61" s="760" t="s">
        <v>408</v>
      </c>
      <c r="C61" s="760"/>
      <c r="D61" s="760"/>
      <c r="F61" s="44">
        <f>SUM(F51:F60)</f>
        <v>110133.2</v>
      </c>
    </row>
    <row r="63" spans="1:6">
      <c r="A63" s="759" t="s">
        <v>409</v>
      </c>
      <c r="B63" s="759"/>
      <c r="C63" s="759"/>
      <c r="D63" s="759"/>
      <c r="E63" s="759"/>
      <c r="F63" s="759"/>
    </row>
    <row r="65" spans="1:6" ht="158.4">
      <c r="A65" s="51" t="s">
        <v>410</v>
      </c>
      <c r="B65" s="6" t="s">
        <v>411</v>
      </c>
      <c r="C65" s="36" t="s">
        <v>257</v>
      </c>
      <c r="D65" s="35">
        <v>126</v>
      </c>
      <c r="E65" s="36">
        <v>55</v>
      </c>
      <c r="F65" s="36">
        <f>E65*D65</f>
        <v>6930</v>
      </c>
    </row>
    <row r="66" spans="1:6">
      <c r="D66" s="35"/>
    </row>
    <row r="67" spans="1:6" ht="118.8">
      <c r="A67" s="51" t="s">
        <v>412</v>
      </c>
      <c r="B67" s="6" t="s">
        <v>413</v>
      </c>
      <c r="C67" s="36" t="s">
        <v>257</v>
      </c>
      <c r="D67" s="35">
        <f>D35</f>
        <v>288.39999999999998</v>
      </c>
      <c r="E67" s="36">
        <v>50</v>
      </c>
      <c r="F67" s="36">
        <f>E67*D67</f>
        <v>14419.999999999998</v>
      </c>
    </row>
    <row r="69" spans="1:6" ht="145.19999999999999">
      <c r="A69" s="51" t="s">
        <v>414</v>
      </c>
      <c r="B69" s="6" t="s">
        <v>415</v>
      </c>
      <c r="C69" s="36" t="s">
        <v>257</v>
      </c>
      <c r="D69" s="35">
        <v>27.6</v>
      </c>
      <c r="E69" s="36">
        <v>50</v>
      </c>
      <c r="F69" s="36">
        <f>E69*D69</f>
        <v>1380</v>
      </c>
    </row>
    <row r="71" spans="1:6" ht="52.8">
      <c r="A71" s="51" t="s">
        <v>416</v>
      </c>
      <c r="B71" s="6" t="s">
        <v>417</v>
      </c>
      <c r="C71" s="36" t="s">
        <v>257</v>
      </c>
      <c r="D71" s="35">
        <v>1897.3</v>
      </c>
      <c r="E71" s="36">
        <v>35</v>
      </c>
      <c r="F71" s="36">
        <f>E71*D71</f>
        <v>66405.5</v>
      </c>
    </row>
    <row r="73" spans="1:6" ht="52.8">
      <c r="A73" s="51" t="s">
        <v>418</v>
      </c>
      <c r="B73" s="6" t="s">
        <v>419</v>
      </c>
      <c r="C73" s="36" t="s">
        <v>257</v>
      </c>
      <c r="D73" s="35">
        <v>77.2</v>
      </c>
      <c r="E73" s="36">
        <v>80</v>
      </c>
      <c r="F73" s="36">
        <f>E73*D73</f>
        <v>6176</v>
      </c>
    </row>
    <row r="75" spans="1:6" ht="12" customHeight="1">
      <c r="B75" s="760" t="s">
        <v>420</v>
      </c>
      <c r="C75" s="760"/>
      <c r="D75" s="760"/>
      <c r="F75" s="44">
        <f>SUM(F65:F73)</f>
        <v>95311.5</v>
      </c>
    </row>
    <row r="77" spans="1:6">
      <c r="A77" s="759" t="s">
        <v>421</v>
      </c>
      <c r="B77" s="759"/>
      <c r="C77" s="759"/>
      <c r="D77" s="759"/>
      <c r="E77" s="759"/>
      <c r="F77" s="759"/>
    </row>
    <row r="79" spans="1:6" ht="39.6">
      <c r="A79" s="51" t="s">
        <v>422</v>
      </c>
      <c r="B79" s="6" t="s">
        <v>423</v>
      </c>
      <c r="C79" s="36" t="s">
        <v>257</v>
      </c>
      <c r="D79" s="35">
        <f>D71+'GRAĐEVINSKI RADOVI'!D154+D67</f>
        <v>7100.4</v>
      </c>
      <c r="E79" s="36">
        <v>6</v>
      </c>
      <c r="F79" s="36">
        <f>E79*D79</f>
        <v>42602.399999999994</v>
      </c>
    </row>
    <row r="81" spans="1:6" ht="66">
      <c r="A81" s="51" t="s">
        <v>424</v>
      </c>
      <c r="B81" s="6" t="s">
        <v>425</v>
      </c>
      <c r="C81" s="36" t="s">
        <v>257</v>
      </c>
      <c r="D81" s="35">
        <f>D67</f>
        <v>288.39999999999998</v>
      </c>
      <c r="E81" s="36">
        <v>7</v>
      </c>
      <c r="F81" s="36">
        <f>E81*D81</f>
        <v>2018.7999999999997</v>
      </c>
    </row>
    <row r="82" spans="1:6">
      <c r="D82" s="35"/>
    </row>
    <row r="83" spans="1:6" ht="79.2">
      <c r="A83" s="51" t="s">
        <v>426</v>
      </c>
      <c r="B83" s="6" t="s">
        <v>427</v>
      </c>
      <c r="C83" s="36" t="s">
        <v>257</v>
      </c>
      <c r="D83" s="35">
        <f>'GRAĐEVINSKI RADOVI'!D128+'GRAĐEVINSKI RADOVI'!D124+'GRAĐEVINSKI RADOVI'!D120+'GRAĐEVINSKI RADOVI'!D85+'GRAĐEVINSKI RADOVI'!D89+'GRAĐEVINSKI RADOVI'!D101+'GRAĐEVINSKI RADOVI'!D97+'GRAĐEVINSKI RADOVI'!D77</f>
        <v>6621.3</v>
      </c>
      <c r="E83" s="36">
        <v>0.5</v>
      </c>
      <c r="F83" s="36">
        <f>E83*D83</f>
        <v>3310.65</v>
      </c>
    </row>
    <row r="85" spans="1:6" ht="12" customHeight="1">
      <c r="B85" s="760" t="s">
        <v>428</v>
      </c>
      <c r="C85" s="760"/>
      <c r="D85" s="760"/>
      <c r="F85" s="44">
        <f>SUM(F79:F84)</f>
        <v>47931.85</v>
      </c>
    </row>
    <row r="87" spans="1:6">
      <c r="A87" s="759" t="s">
        <v>429</v>
      </c>
      <c r="B87" s="759"/>
      <c r="C87" s="759"/>
      <c r="D87" s="759"/>
      <c r="E87" s="759"/>
      <c r="F87" s="759"/>
    </row>
    <row r="89" spans="1:6" ht="66">
      <c r="A89" s="51" t="s">
        <v>430</v>
      </c>
      <c r="B89" s="6" t="s">
        <v>431</v>
      </c>
      <c r="C89" s="36" t="s">
        <v>257</v>
      </c>
      <c r="D89" s="36">
        <v>597.5</v>
      </c>
      <c r="E89" s="36">
        <v>60</v>
      </c>
      <c r="F89" s="36">
        <f>E89*D89</f>
        <v>35850</v>
      </c>
    </row>
    <row r="90" spans="1:6">
      <c r="D90" s="36"/>
    </row>
    <row r="91" spans="1:6" ht="79.2">
      <c r="A91" s="51" t="s">
        <v>432</v>
      </c>
      <c r="B91" s="6" t="s">
        <v>433</v>
      </c>
      <c r="C91" s="36" t="s">
        <v>257</v>
      </c>
      <c r="D91" s="36">
        <v>341.2</v>
      </c>
      <c r="E91" s="36">
        <v>60</v>
      </c>
      <c r="F91" s="36">
        <f>E91*D91</f>
        <v>20472</v>
      </c>
    </row>
    <row r="92" spans="1:6">
      <c r="D92" s="36"/>
    </row>
    <row r="93" spans="1:6" ht="105.6">
      <c r="A93" s="51" t="s">
        <v>434</v>
      </c>
      <c r="B93" s="6" t="s">
        <v>435</v>
      </c>
      <c r="C93" s="36" t="s">
        <v>257</v>
      </c>
      <c r="D93" s="36">
        <f>D81*1.5</f>
        <v>432.59999999999997</v>
      </c>
      <c r="E93" s="36">
        <v>60</v>
      </c>
      <c r="F93" s="36">
        <f>E93*D93</f>
        <v>25955.999999999996</v>
      </c>
    </row>
    <row r="94" spans="1:6">
      <c r="D94" s="36"/>
    </row>
    <row r="95" spans="1:6" ht="66">
      <c r="A95" s="51" t="s">
        <v>436</v>
      </c>
      <c r="B95" s="6" t="s">
        <v>437</v>
      </c>
      <c r="C95" s="36" t="s">
        <v>316</v>
      </c>
      <c r="D95" s="36">
        <v>840.5</v>
      </c>
      <c r="E95" s="36">
        <v>10</v>
      </c>
      <c r="F95" s="36">
        <f>E95*D95</f>
        <v>8405</v>
      </c>
    </row>
    <row r="97" spans="1:6" ht="12" customHeight="1">
      <c r="B97" s="760" t="s">
        <v>438</v>
      </c>
      <c r="C97" s="760"/>
      <c r="D97" s="760"/>
      <c r="F97" s="44">
        <f>SUM(F89:F96)</f>
        <v>90683</v>
      </c>
    </row>
    <row r="99" spans="1:6">
      <c r="A99" s="759" t="s">
        <v>439</v>
      </c>
      <c r="B99" s="759"/>
      <c r="C99" s="759"/>
      <c r="D99" s="759"/>
      <c r="E99" s="759"/>
      <c r="F99" s="759"/>
    </row>
    <row r="101" spans="1:6" ht="66">
      <c r="A101" s="51" t="s">
        <v>440</v>
      </c>
      <c r="B101" s="6" t="s">
        <v>441</v>
      </c>
      <c r="C101" s="36" t="s">
        <v>316</v>
      </c>
      <c r="D101" s="35">
        <v>117.8</v>
      </c>
      <c r="E101" s="36">
        <v>40</v>
      </c>
      <c r="F101" s="36">
        <f>E101*D101</f>
        <v>4712</v>
      </c>
    </row>
    <row r="102" spans="1:6">
      <c r="D102" s="35"/>
    </row>
    <row r="103" spans="1:6" ht="79.2">
      <c r="A103" s="51" t="s">
        <v>442</v>
      </c>
      <c r="B103" s="6" t="s">
        <v>443</v>
      </c>
      <c r="C103" s="36" t="s">
        <v>257</v>
      </c>
      <c r="D103" s="66">
        <v>6.4</v>
      </c>
      <c r="E103" s="36">
        <v>65</v>
      </c>
      <c r="F103" s="36">
        <f>E103*D103</f>
        <v>416</v>
      </c>
    </row>
    <row r="104" spans="1:6">
      <c r="D104" s="35"/>
    </row>
    <row r="105" spans="1:6" ht="66">
      <c r="A105" s="51" t="s">
        <v>444</v>
      </c>
      <c r="B105" s="6" t="s">
        <v>445</v>
      </c>
      <c r="C105" s="36" t="s">
        <v>316</v>
      </c>
      <c r="D105" s="35">
        <v>216.4</v>
      </c>
      <c r="E105" s="36">
        <v>50</v>
      </c>
      <c r="F105" s="36">
        <f>E105*D105</f>
        <v>10820</v>
      </c>
    </row>
    <row r="107" spans="1:6" ht="39.6">
      <c r="A107" s="51" t="s">
        <v>446</v>
      </c>
      <c r="B107" s="6" t="s">
        <v>447</v>
      </c>
      <c r="C107" s="36" t="s">
        <v>316</v>
      </c>
      <c r="D107" s="35">
        <v>15</v>
      </c>
      <c r="E107" s="36">
        <v>35</v>
      </c>
      <c r="F107" s="36">
        <f>E107*D107</f>
        <v>525</v>
      </c>
    </row>
    <row r="109" spans="1:6" ht="12" customHeight="1">
      <c r="B109" s="760" t="s">
        <v>448</v>
      </c>
      <c r="C109" s="760"/>
      <c r="D109" s="760"/>
      <c r="F109" s="44">
        <f>SUM(F101:F108)</f>
        <v>16473</v>
      </c>
    </row>
    <row r="111" spans="1:6">
      <c r="A111" s="762" t="s">
        <v>449</v>
      </c>
      <c r="B111" s="762"/>
      <c r="C111" s="762"/>
      <c r="D111" s="762"/>
      <c r="E111" s="762"/>
      <c r="F111" s="762"/>
    </row>
    <row r="113" spans="1:8" ht="39.6">
      <c r="A113" s="51" t="s">
        <v>450</v>
      </c>
      <c r="B113" s="6" t="s">
        <v>451</v>
      </c>
      <c r="C113" s="36" t="s">
        <v>345</v>
      </c>
      <c r="D113" s="35">
        <v>1</v>
      </c>
      <c r="E113" s="36">
        <v>98300</v>
      </c>
      <c r="F113" s="36">
        <f>E113*D113</f>
        <v>98300</v>
      </c>
    </row>
    <row r="115" spans="1:8" ht="39.75" customHeight="1">
      <c r="A115" s="51" t="s">
        <v>452</v>
      </c>
      <c r="B115" s="6" t="s">
        <v>453</v>
      </c>
      <c r="C115" s="36" t="s">
        <v>345</v>
      </c>
      <c r="D115" s="35">
        <v>1</v>
      </c>
      <c r="E115" s="36">
        <v>59500</v>
      </c>
      <c r="F115" s="36">
        <f>E115*D115</f>
        <v>59500</v>
      </c>
    </row>
    <row r="116" spans="1:8" ht="13.5" customHeight="1"/>
    <row r="117" spans="1:8" ht="39.6">
      <c r="A117" s="51" t="s">
        <v>454</v>
      </c>
      <c r="B117" s="6" t="s">
        <v>455</v>
      </c>
      <c r="C117" s="36" t="s">
        <v>345</v>
      </c>
      <c r="D117" s="35">
        <v>1</v>
      </c>
      <c r="E117" s="36">
        <v>36600</v>
      </c>
      <c r="F117" s="36">
        <f>E117*D117</f>
        <v>36600</v>
      </c>
    </row>
    <row r="118" spans="1:8">
      <c r="D118" s="35"/>
    </row>
    <row r="119" spans="1:8" ht="39.6">
      <c r="A119" s="51" t="s">
        <v>456</v>
      </c>
      <c r="B119" s="6" t="s">
        <v>457</v>
      </c>
      <c r="C119" s="36" t="s">
        <v>345</v>
      </c>
      <c r="D119" s="35">
        <v>1</v>
      </c>
      <c r="E119" s="36">
        <v>38800</v>
      </c>
      <c r="F119" s="36">
        <f>E119*D119</f>
        <v>38800</v>
      </c>
      <c r="H119" s="784"/>
    </row>
    <row r="121" spans="1:8" ht="39.6">
      <c r="A121" s="51" t="s">
        <v>458</v>
      </c>
      <c r="B121" s="6" t="s">
        <v>459</v>
      </c>
      <c r="C121" s="36" t="s">
        <v>345</v>
      </c>
      <c r="D121" s="35">
        <v>1</v>
      </c>
      <c r="E121" s="36">
        <v>3500</v>
      </c>
      <c r="F121" s="36">
        <f>E121*D121</f>
        <v>3500</v>
      </c>
    </row>
    <row r="123" spans="1:8" ht="79.2">
      <c r="A123" s="51" t="s">
        <v>460</v>
      </c>
      <c r="B123" s="6" t="s">
        <v>461</v>
      </c>
      <c r="C123" s="36" t="s">
        <v>316</v>
      </c>
      <c r="D123" s="35">
        <v>38</v>
      </c>
      <c r="E123" s="36">
        <v>50</v>
      </c>
      <c r="F123" s="36">
        <f>E123*D123</f>
        <v>1900</v>
      </c>
    </row>
    <row r="125" spans="1:8" ht="52.8">
      <c r="A125" s="51" t="s">
        <v>462</v>
      </c>
      <c r="B125" s="6" t="s">
        <v>463</v>
      </c>
      <c r="C125" s="36" t="s">
        <v>345</v>
      </c>
      <c r="D125" s="35">
        <v>4</v>
      </c>
      <c r="E125" s="36">
        <v>3950</v>
      </c>
      <c r="F125" s="36">
        <f>E125*D125</f>
        <v>15800</v>
      </c>
    </row>
    <row r="127" spans="1:8" ht="48" customHeight="1">
      <c r="A127" s="51" t="s">
        <v>464</v>
      </c>
      <c r="B127" s="6" t="s">
        <v>465</v>
      </c>
      <c r="C127" s="36" t="s">
        <v>345</v>
      </c>
      <c r="D127" s="35">
        <v>2</v>
      </c>
      <c r="E127" s="36">
        <v>3620</v>
      </c>
      <c r="F127" s="36">
        <f>E127*D127</f>
        <v>7240</v>
      </c>
    </row>
    <row r="129" spans="1:6" ht="52.8">
      <c r="A129" s="51" t="s">
        <v>466</v>
      </c>
      <c r="B129" s="6" t="s">
        <v>467</v>
      </c>
      <c r="C129" s="36" t="s">
        <v>345</v>
      </c>
      <c r="D129" s="35">
        <v>1</v>
      </c>
      <c r="E129" s="36">
        <v>446.23</v>
      </c>
      <c r="F129" s="36">
        <f>E129*D129</f>
        <v>446.23</v>
      </c>
    </row>
    <row r="131" spans="1:6" ht="39.6">
      <c r="A131" s="51" t="s">
        <v>468</v>
      </c>
      <c r="B131" s="6" t="s">
        <v>469</v>
      </c>
      <c r="C131" s="36" t="s">
        <v>345</v>
      </c>
      <c r="D131" s="35">
        <v>1</v>
      </c>
      <c r="E131" s="36">
        <v>1734.23</v>
      </c>
      <c r="F131" s="36">
        <f>E131*D131</f>
        <v>1734.23</v>
      </c>
    </row>
    <row r="133" spans="1:6" ht="52.8">
      <c r="A133" s="51" t="s">
        <v>470</v>
      </c>
      <c r="B133" s="6" t="s">
        <v>471</v>
      </c>
      <c r="C133" s="36" t="s">
        <v>345</v>
      </c>
      <c r="D133" s="35">
        <v>1</v>
      </c>
      <c r="E133" s="36">
        <v>863.18</v>
      </c>
      <c r="F133" s="36">
        <f>E133*D133</f>
        <v>863.18</v>
      </c>
    </row>
    <row r="135" spans="1:6" ht="52.8">
      <c r="A135" s="51" t="s">
        <v>472</v>
      </c>
      <c r="B135" s="6" t="s">
        <v>473</v>
      </c>
      <c r="C135" s="36" t="s">
        <v>345</v>
      </c>
      <c r="D135" s="35">
        <v>1</v>
      </c>
      <c r="E135" s="36">
        <v>789</v>
      </c>
      <c r="F135" s="36">
        <f>E135*D135</f>
        <v>789</v>
      </c>
    </row>
    <row r="137" spans="1:6" ht="39.6">
      <c r="A137" s="51" t="s">
        <v>474</v>
      </c>
      <c r="B137" s="6" t="s">
        <v>475</v>
      </c>
      <c r="C137" s="36" t="s">
        <v>345</v>
      </c>
      <c r="D137" s="35">
        <v>1</v>
      </c>
      <c r="E137" s="36">
        <v>1232.22</v>
      </c>
      <c r="F137" s="36">
        <f>E137*D137</f>
        <v>1232.22</v>
      </c>
    </row>
    <row r="139" spans="1:6" ht="52.8">
      <c r="A139" s="51" t="s">
        <v>476</v>
      </c>
      <c r="B139" s="6" t="s">
        <v>477</v>
      </c>
      <c r="C139" s="36" t="s">
        <v>345</v>
      </c>
      <c r="D139" s="35">
        <v>16</v>
      </c>
      <c r="E139" s="36">
        <v>967.85</v>
      </c>
      <c r="F139" s="36">
        <f>E139*D139</f>
        <v>15485.6</v>
      </c>
    </row>
    <row r="141" spans="1:6" ht="52.8">
      <c r="A141" s="51" t="s">
        <v>478</v>
      </c>
      <c r="B141" s="6" t="s">
        <v>479</v>
      </c>
      <c r="C141" s="36" t="s">
        <v>345</v>
      </c>
      <c r="D141" s="35">
        <v>4</v>
      </c>
      <c r="E141" s="36">
        <v>1870.97</v>
      </c>
      <c r="F141" s="36">
        <f>E141*D141</f>
        <v>7483.88</v>
      </c>
    </row>
    <row r="143" spans="1:6" ht="52.8">
      <c r="A143" s="51" t="s">
        <v>480</v>
      </c>
      <c r="B143" s="6" t="s">
        <v>481</v>
      </c>
      <c r="C143" s="36" t="s">
        <v>345</v>
      </c>
      <c r="D143" s="35">
        <v>2</v>
      </c>
      <c r="E143" s="36">
        <v>1900.13</v>
      </c>
      <c r="F143" s="36">
        <f>E143*D143</f>
        <v>3800.26</v>
      </c>
    </row>
    <row r="145" spans="1:6" ht="52.8">
      <c r="A145" s="51" t="s">
        <v>482</v>
      </c>
      <c r="B145" s="6" t="s">
        <v>483</v>
      </c>
      <c r="C145" s="36" t="s">
        <v>345</v>
      </c>
      <c r="D145" s="35">
        <v>1</v>
      </c>
      <c r="E145" s="36">
        <v>3675.33</v>
      </c>
      <c r="F145" s="36">
        <f>E145*D145</f>
        <v>3675.33</v>
      </c>
    </row>
    <row r="147" spans="1:6" ht="39.6">
      <c r="A147" s="51" t="s">
        <v>484</v>
      </c>
      <c r="B147" s="6" t="s">
        <v>485</v>
      </c>
      <c r="C147" s="36" t="s">
        <v>345</v>
      </c>
      <c r="D147" s="35">
        <v>2</v>
      </c>
      <c r="E147" s="36">
        <v>7601.69</v>
      </c>
      <c r="F147" s="36">
        <f>E147*D147</f>
        <v>15203.38</v>
      </c>
    </row>
    <row r="149" spans="1:6" ht="52.8">
      <c r="A149" s="51" t="s">
        <v>486</v>
      </c>
      <c r="B149" s="6" t="s">
        <v>487</v>
      </c>
      <c r="C149" s="36" t="s">
        <v>345</v>
      </c>
      <c r="D149" s="35">
        <v>1</v>
      </c>
      <c r="E149" s="36">
        <v>1029.77</v>
      </c>
      <c r="F149" s="36">
        <f>E149*D149</f>
        <v>1029.77</v>
      </c>
    </row>
    <row r="151" spans="1:6" ht="52.8">
      <c r="A151" s="51" t="s">
        <v>488</v>
      </c>
      <c r="B151" s="6" t="s">
        <v>489</v>
      </c>
      <c r="C151" s="36" t="s">
        <v>345</v>
      </c>
      <c r="D151" s="35">
        <v>4</v>
      </c>
      <c r="E151" s="36">
        <v>2350</v>
      </c>
      <c r="F151" s="36">
        <f>E151*D151</f>
        <v>9400</v>
      </c>
    </row>
    <row r="153" spans="1:6" ht="46.5" customHeight="1">
      <c r="A153" s="51" t="s">
        <v>490</v>
      </c>
      <c r="B153" s="6" t="s">
        <v>491</v>
      </c>
      <c r="C153" s="36" t="s">
        <v>345</v>
      </c>
      <c r="D153" s="35">
        <v>1</v>
      </c>
      <c r="E153" s="36">
        <v>1880</v>
      </c>
      <c r="F153" s="36">
        <f>E153*D153</f>
        <v>1880</v>
      </c>
    </row>
    <row r="155" spans="1:6" ht="52.8">
      <c r="A155" s="51" t="s">
        <v>492</v>
      </c>
      <c r="B155" s="6" t="s">
        <v>493</v>
      </c>
      <c r="C155" s="36" t="s">
        <v>345</v>
      </c>
      <c r="D155" s="35">
        <v>1</v>
      </c>
      <c r="E155" s="36">
        <v>1225</v>
      </c>
      <c r="F155" s="36">
        <f>E155*D155</f>
        <v>1225</v>
      </c>
    </row>
    <row r="157" spans="1:6" ht="52.8">
      <c r="A157" s="51" t="s">
        <v>494</v>
      </c>
      <c r="B157" s="6" t="s">
        <v>495</v>
      </c>
      <c r="C157" s="36" t="s">
        <v>345</v>
      </c>
      <c r="D157" s="35">
        <v>1</v>
      </c>
      <c r="E157" s="36">
        <v>1225</v>
      </c>
      <c r="F157" s="36">
        <f>E157*D157</f>
        <v>1225</v>
      </c>
    </row>
    <row r="159" spans="1:6" ht="47.25" customHeight="1">
      <c r="A159" s="51" t="s">
        <v>496</v>
      </c>
      <c r="B159" s="6" t="s">
        <v>497</v>
      </c>
      <c r="C159" s="36" t="s">
        <v>345</v>
      </c>
      <c r="D159" s="35">
        <v>1</v>
      </c>
      <c r="E159" s="36">
        <v>1970</v>
      </c>
      <c r="F159" s="36">
        <f>E159*D159</f>
        <v>1970</v>
      </c>
    </row>
    <row r="161" spans="1:6" ht="52.8">
      <c r="A161" s="51" t="s">
        <v>498</v>
      </c>
      <c r="B161" s="6" t="s">
        <v>499</v>
      </c>
      <c r="C161" s="36" t="s">
        <v>345</v>
      </c>
      <c r="D161" s="35">
        <v>1</v>
      </c>
      <c r="E161" s="36">
        <v>2987.22</v>
      </c>
      <c r="F161" s="36">
        <f>E161*D161</f>
        <v>2987.22</v>
      </c>
    </row>
    <row r="163" spans="1:6" ht="39.6">
      <c r="A163" s="51" t="s">
        <v>500</v>
      </c>
      <c r="B163" s="6" t="s">
        <v>501</v>
      </c>
      <c r="C163" s="36" t="s">
        <v>345</v>
      </c>
      <c r="D163" s="36">
        <v>2</v>
      </c>
      <c r="E163" s="36">
        <v>1314.72</v>
      </c>
      <c r="F163" s="36">
        <f>E163*D163</f>
        <v>2629.44</v>
      </c>
    </row>
    <row r="165" spans="1:6" ht="52.8">
      <c r="A165" s="51" t="s">
        <v>502</v>
      </c>
      <c r="B165" s="6" t="s">
        <v>503</v>
      </c>
      <c r="C165" s="36" t="s">
        <v>345</v>
      </c>
      <c r="D165" s="35">
        <v>3</v>
      </c>
      <c r="E165" s="36">
        <v>1323.22</v>
      </c>
      <c r="F165" s="36">
        <f>E165*D165</f>
        <v>3969.66</v>
      </c>
    </row>
    <row r="167" spans="1:6" ht="52.8">
      <c r="A167" s="51" t="s">
        <v>504</v>
      </c>
      <c r="B167" s="6" t="s">
        <v>505</v>
      </c>
      <c r="C167" s="36" t="s">
        <v>345</v>
      </c>
      <c r="D167" s="35">
        <v>1</v>
      </c>
      <c r="E167" s="36">
        <v>650</v>
      </c>
      <c r="F167" s="36">
        <f>E167*D167</f>
        <v>650</v>
      </c>
    </row>
    <row r="169" spans="1:6" ht="105.6">
      <c r="A169" s="51" t="s">
        <v>506</v>
      </c>
      <c r="B169" s="6" t="s">
        <v>507</v>
      </c>
      <c r="C169" s="36" t="s">
        <v>310</v>
      </c>
      <c r="D169" s="35">
        <v>1650</v>
      </c>
      <c r="E169" s="36">
        <v>15</v>
      </c>
      <c r="F169" s="36">
        <f>E169*D169</f>
        <v>24750</v>
      </c>
    </row>
    <row r="171" spans="1:6" ht="118.8">
      <c r="A171" s="51" t="s">
        <v>508</v>
      </c>
      <c r="B171" s="6" t="s">
        <v>509</v>
      </c>
      <c r="C171" s="36" t="s">
        <v>257</v>
      </c>
      <c r="D171" s="36">
        <v>720</v>
      </c>
      <c r="E171" s="36">
        <v>55</v>
      </c>
      <c r="F171" s="36">
        <f>E171*D171</f>
        <v>39600</v>
      </c>
    </row>
    <row r="173" spans="1:6">
      <c r="B173" s="68" t="s">
        <v>510</v>
      </c>
      <c r="F173" s="44">
        <f>SUM(F113:F171)</f>
        <v>403669.39999999997</v>
      </c>
    </row>
    <row r="175" spans="1:6">
      <c r="A175" s="762" t="s">
        <v>511</v>
      </c>
      <c r="B175" s="762"/>
      <c r="C175" s="762"/>
      <c r="D175" s="762"/>
      <c r="E175" s="762"/>
      <c r="F175" s="762"/>
    </row>
    <row r="177" spans="1:6" ht="66">
      <c r="A177" s="51" t="s">
        <v>512</v>
      </c>
      <c r="B177" s="6" t="s">
        <v>513</v>
      </c>
    </row>
    <row r="178" spans="1:6">
      <c r="B178" s="67" t="s">
        <v>514</v>
      </c>
      <c r="C178" s="36" t="s">
        <v>345</v>
      </c>
      <c r="D178" s="35">
        <v>23</v>
      </c>
      <c r="E178" s="36">
        <v>550</v>
      </c>
      <c r="F178" s="36">
        <f>E178*D178</f>
        <v>12650</v>
      </c>
    </row>
    <row r="179" spans="1:6">
      <c r="B179" s="67" t="s">
        <v>515</v>
      </c>
      <c r="C179" s="36" t="s">
        <v>345</v>
      </c>
      <c r="D179" s="35">
        <v>26</v>
      </c>
      <c r="E179" s="36">
        <v>550</v>
      </c>
      <c r="F179" s="36">
        <f>E179*D179</f>
        <v>14300</v>
      </c>
    </row>
    <row r="181" spans="1:6" ht="105.6">
      <c r="A181" s="51" t="s">
        <v>516</v>
      </c>
      <c r="B181" s="6" t="s">
        <v>517</v>
      </c>
    </row>
    <row r="182" spans="1:6">
      <c r="B182" s="67" t="s">
        <v>514</v>
      </c>
      <c r="C182" s="36" t="s">
        <v>345</v>
      </c>
      <c r="D182" s="35">
        <v>3</v>
      </c>
      <c r="E182" s="36">
        <v>600</v>
      </c>
      <c r="F182" s="36">
        <f>E182*D182</f>
        <v>1800</v>
      </c>
    </row>
    <row r="183" spans="1:6">
      <c r="B183" s="67" t="s">
        <v>515</v>
      </c>
      <c r="C183" s="36" t="s">
        <v>345</v>
      </c>
      <c r="D183" s="35">
        <v>4</v>
      </c>
      <c r="E183" s="36">
        <v>600</v>
      </c>
      <c r="F183" s="36">
        <f>E183*D183</f>
        <v>2400</v>
      </c>
    </row>
    <row r="185" spans="1:6" ht="105.6">
      <c r="A185" s="51" t="s">
        <v>518</v>
      </c>
      <c r="B185" s="6" t="s">
        <v>519</v>
      </c>
    </row>
    <row r="186" spans="1:6">
      <c r="B186" s="67" t="s">
        <v>514</v>
      </c>
      <c r="C186" s="36" t="s">
        <v>345</v>
      </c>
      <c r="D186" s="35">
        <v>6</v>
      </c>
      <c r="E186" s="36">
        <v>500</v>
      </c>
      <c r="F186" s="36">
        <f>E186*D186</f>
        <v>3000</v>
      </c>
    </row>
    <row r="187" spans="1:6">
      <c r="B187" s="67" t="s">
        <v>515</v>
      </c>
      <c r="C187" s="36" t="s">
        <v>345</v>
      </c>
      <c r="D187" s="35">
        <v>8</v>
      </c>
      <c r="E187" s="36">
        <v>500</v>
      </c>
      <c r="F187" s="36">
        <f>E187*D187</f>
        <v>4000</v>
      </c>
    </row>
    <row r="189" spans="1:6" ht="79.2">
      <c r="A189" s="51" t="s">
        <v>520</v>
      </c>
      <c r="B189" s="6" t="s">
        <v>521</v>
      </c>
    </row>
    <row r="190" spans="1:6">
      <c r="B190" s="67" t="s">
        <v>514</v>
      </c>
      <c r="C190" s="36" t="s">
        <v>345</v>
      </c>
      <c r="D190" s="35">
        <v>5</v>
      </c>
      <c r="E190" s="36">
        <v>500</v>
      </c>
      <c r="F190" s="36">
        <f>E190*D190</f>
        <v>2500</v>
      </c>
    </row>
    <row r="191" spans="1:6">
      <c r="B191" s="67" t="s">
        <v>515</v>
      </c>
      <c r="C191" s="36" t="s">
        <v>345</v>
      </c>
      <c r="D191" s="35">
        <v>8</v>
      </c>
      <c r="E191" s="36">
        <v>500</v>
      </c>
      <c r="F191" s="36">
        <f>E191*D191</f>
        <v>4000</v>
      </c>
    </row>
    <row r="193" spans="1:6" ht="105.6">
      <c r="A193" s="51" t="s">
        <v>522</v>
      </c>
      <c r="B193" s="6" t="s">
        <v>523</v>
      </c>
      <c r="C193" s="36" t="s">
        <v>345</v>
      </c>
      <c r="D193" s="35">
        <v>1</v>
      </c>
      <c r="E193" s="36">
        <v>545</v>
      </c>
      <c r="F193" s="36">
        <f>E193*D193</f>
        <v>545</v>
      </c>
    </row>
    <row r="194" spans="1:6">
      <c r="B194" s="67"/>
      <c r="D194" s="35"/>
    </row>
    <row r="195" spans="1:6" ht="70.5" customHeight="1">
      <c r="A195" s="51" t="s">
        <v>524</v>
      </c>
      <c r="B195" s="6" t="s">
        <v>525</v>
      </c>
      <c r="C195" s="36" t="s">
        <v>345</v>
      </c>
      <c r="D195" s="35">
        <v>1</v>
      </c>
      <c r="E195" s="36">
        <v>530</v>
      </c>
      <c r="F195" s="36">
        <f>E195*D195</f>
        <v>530</v>
      </c>
    </row>
    <row r="196" spans="1:6">
      <c r="B196" s="67"/>
      <c r="D196" s="35"/>
    </row>
    <row r="197" spans="1:6" ht="72.75" customHeight="1">
      <c r="A197" s="51" t="s">
        <v>526</v>
      </c>
      <c r="B197" s="6" t="s">
        <v>527</v>
      </c>
      <c r="C197" s="36" t="s">
        <v>345</v>
      </c>
      <c r="D197" s="35">
        <v>1</v>
      </c>
      <c r="E197" s="36">
        <v>520</v>
      </c>
      <c r="F197" s="36">
        <f>E197*D197</f>
        <v>520</v>
      </c>
    </row>
    <row r="198" spans="1:6">
      <c r="B198" s="67"/>
      <c r="D198" s="35"/>
    </row>
    <row r="199" spans="1:6" ht="118.8">
      <c r="A199" s="51" t="s">
        <v>528</v>
      </c>
      <c r="B199" s="6" t="s">
        <v>529</v>
      </c>
      <c r="C199" s="36" t="s">
        <v>257</v>
      </c>
      <c r="D199" s="36">
        <v>18.5</v>
      </c>
      <c r="E199" s="36">
        <v>360</v>
      </c>
      <c r="F199" s="36">
        <f>E199*D199</f>
        <v>6660</v>
      </c>
    </row>
    <row r="200" spans="1:6">
      <c r="B200" s="67"/>
      <c r="D200" s="35"/>
    </row>
    <row r="201" spans="1:6" ht="12" customHeight="1">
      <c r="B201" s="760" t="s">
        <v>530</v>
      </c>
      <c r="C201" s="760"/>
      <c r="D201" s="760"/>
      <c r="F201" s="44">
        <f>SUM(F177:F200)</f>
        <v>52905</v>
      </c>
    </row>
    <row r="203" spans="1:6">
      <c r="A203" s="759" t="s">
        <v>531</v>
      </c>
      <c r="B203" s="759"/>
      <c r="C203" s="759"/>
      <c r="D203" s="759"/>
      <c r="E203" s="759"/>
      <c r="F203" s="759"/>
    </row>
    <row r="205" spans="1:6" ht="158.4">
      <c r="A205" s="51" t="s">
        <v>532</v>
      </c>
      <c r="B205" s="6" t="s">
        <v>533</v>
      </c>
      <c r="C205" s="36" t="s">
        <v>257</v>
      </c>
      <c r="D205" s="36">
        <f>D71-D89-D91</f>
        <v>958.59999999999991</v>
      </c>
      <c r="E205" s="36">
        <v>40</v>
      </c>
      <c r="F205" s="36">
        <f>E205*D205</f>
        <v>38344</v>
      </c>
    </row>
    <row r="206" spans="1:6">
      <c r="D206" s="36"/>
    </row>
    <row r="207" spans="1:6" ht="79.2">
      <c r="A207" s="51" t="s">
        <v>534</v>
      </c>
      <c r="B207" s="6" t="s">
        <v>535</v>
      </c>
      <c r="C207" s="36" t="s">
        <v>257</v>
      </c>
      <c r="D207" s="36">
        <v>76</v>
      </c>
      <c r="E207" s="36">
        <v>100</v>
      </c>
      <c r="F207" s="36">
        <f>E207*D207</f>
        <v>7600</v>
      </c>
    </row>
    <row r="209" spans="1:6" ht="52.8">
      <c r="A209" s="51" t="s">
        <v>536</v>
      </c>
      <c r="B209" s="6" t="s">
        <v>537</v>
      </c>
      <c r="C209" s="36" t="s">
        <v>316</v>
      </c>
      <c r="D209" s="35">
        <v>1432</v>
      </c>
      <c r="E209" s="36">
        <v>10</v>
      </c>
      <c r="F209" s="36">
        <f>E209*D209</f>
        <v>14320</v>
      </c>
    </row>
    <row r="211" spans="1:6" ht="12" customHeight="1">
      <c r="B211" s="760" t="s">
        <v>538</v>
      </c>
      <c r="C211" s="760"/>
      <c r="D211" s="760"/>
      <c r="F211" s="44">
        <f>SUM(F205:F209)</f>
        <v>60264</v>
      </c>
    </row>
    <row r="215" spans="1:6">
      <c r="B215" s="760"/>
      <c r="C215" s="760"/>
      <c r="D215" s="760"/>
    </row>
    <row r="217" spans="1:6">
      <c r="B217" s="68" t="s">
        <v>539</v>
      </c>
      <c r="F217" s="44">
        <f>F211+F201+F173+F109+F97+F85+F75+F61+F47</f>
        <v>1109744.1999999997</v>
      </c>
    </row>
    <row r="219" spans="1:6">
      <c r="C219" s="69" t="s">
        <v>352</v>
      </c>
    </row>
    <row r="220" spans="1:6">
      <c r="C220" s="70"/>
    </row>
    <row r="221" spans="1:6">
      <c r="C221" s="763" t="s">
        <v>353</v>
      </c>
      <c r="D221" s="763"/>
      <c r="E221" s="763"/>
    </row>
  </sheetData>
  <mergeCells count="20">
    <mergeCell ref="B201:D201"/>
    <mergeCell ref="A203:F203"/>
    <mergeCell ref="B211:D211"/>
    <mergeCell ref="B215:D215"/>
    <mergeCell ref="C221:E221"/>
    <mergeCell ref="B97:D97"/>
    <mergeCell ref="A99:F99"/>
    <mergeCell ref="B109:D109"/>
    <mergeCell ref="A111:F111"/>
    <mergeCell ref="A175:F175"/>
    <mergeCell ref="A63:F63"/>
    <mergeCell ref="B75:D75"/>
    <mergeCell ref="A77:F77"/>
    <mergeCell ref="B85:D85"/>
    <mergeCell ref="A87:F87"/>
    <mergeCell ref="A1:F1"/>
    <mergeCell ref="A5:F5"/>
    <mergeCell ref="B47:D47"/>
    <mergeCell ref="A49:F49"/>
    <mergeCell ref="B61:D61"/>
  </mergeCells>
  <pageMargins left="0.60972222222222205" right="0.44027777777777799" top="0.78749999999999998" bottom="0.78749999999999998"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topLeftCell="A7" zoomScale="90" zoomScaleNormal="90" workbookViewId="0">
      <selection activeCell="E8" sqref="E8"/>
    </sheetView>
  </sheetViews>
  <sheetFormatPr defaultColWidth="11.88671875" defaultRowHeight="13.2"/>
  <cols>
    <col min="1" max="1" width="6.88671875" customWidth="1"/>
    <col min="2" max="2" width="31.5546875" customWidth="1"/>
  </cols>
  <sheetData>
    <row r="1" spans="1:6" ht="15.6">
      <c r="A1" s="758" t="s">
        <v>540</v>
      </c>
      <c r="B1" s="758"/>
      <c r="C1" s="758"/>
      <c r="D1" s="758"/>
      <c r="E1" s="758"/>
      <c r="F1" s="758"/>
    </row>
    <row r="2" spans="1:6">
      <c r="A2" s="32"/>
      <c r="B2" s="33"/>
      <c r="C2" s="34"/>
      <c r="D2" s="70"/>
      <c r="E2" s="36"/>
      <c r="F2" s="36"/>
    </row>
    <row r="3" spans="1:6">
      <c r="A3" s="32" t="s">
        <v>218</v>
      </c>
      <c r="B3" s="33" t="s">
        <v>219</v>
      </c>
      <c r="C3" s="34" t="s">
        <v>220</v>
      </c>
      <c r="D3" s="70" t="s">
        <v>221</v>
      </c>
      <c r="E3" s="36" t="s">
        <v>222</v>
      </c>
      <c r="F3" s="36" t="s">
        <v>223</v>
      </c>
    </row>
    <row r="4" spans="1:6">
      <c r="A4" s="40"/>
      <c r="B4" s="41"/>
      <c r="C4" s="42"/>
      <c r="D4" s="71"/>
      <c r="E4" s="43"/>
      <c r="F4" s="43"/>
    </row>
    <row r="5" spans="1:6">
      <c r="A5" s="759" t="s">
        <v>541</v>
      </c>
      <c r="B5" s="759"/>
      <c r="C5" s="759"/>
      <c r="D5" s="759"/>
      <c r="E5" s="759"/>
      <c r="F5" s="759"/>
    </row>
    <row r="6" spans="1:6">
      <c r="A6" s="32"/>
      <c r="B6" s="33"/>
      <c r="C6" s="34"/>
      <c r="D6" s="70"/>
      <c r="E6" s="36"/>
      <c r="F6" s="36"/>
    </row>
    <row r="7" spans="1:6" ht="409.6">
      <c r="A7" s="32" t="s">
        <v>542</v>
      </c>
      <c r="B7" s="39" t="s">
        <v>543</v>
      </c>
      <c r="C7" s="34" t="s">
        <v>227</v>
      </c>
      <c r="D7" s="70">
        <v>1</v>
      </c>
      <c r="E7" s="36">
        <v>32000</v>
      </c>
      <c r="F7" s="36">
        <f>E7*D7</f>
        <v>32000</v>
      </c>
    </row>
    <row r="8" spans="1:6">
      <c r="B8" s="6"/>
    </row>
    <row r="9" spans="1:6">
      <c r="B9" s="6"/>
    </row>
    <row r="10" spans="1:6">
      <c r="B10" s="68" t="s">
        <v>544</v>
      </c>
      <c r="F10" s="72">
        <f>F7</f>
        <v>32000</v>
      </c>
    </row>
    <row r="11" spans="1:6">
      <c r="A11" s="38"/>
      <c r="B11" s="38"/>
      <c r="C11" s="38"/>
      <c r="D11" s="38"/>
      <c r="E11" s="38"/>
      <c r="F11" s="38"/>
    </row>
    <row r="13" spans="1:6">
      <c r="C13" s="69" t="s">
        <v>352</v>
      </c>
      <c r="D13" s="36"/>
      <c r="E13" s="36"/>
    </row>
    <row r="14" spans="1:6">
      <c r="C14" s="70"/>
      <c r="D14" s="36"/>
      <c r="E14" s="36"/>
    </row>
    <row r="15" spans="1:6">
      <c r="C15" s="763" t="s">
        <v>353</v>
      </c>
      <c r="D15" s="763"/>
      <c r="E15" s="763"/>
    </row>
  </sheetData>
  <mergeCells count="3">
    <mergeCell ref="A1:F1"/>
    <mergeCell ref="A5:F5"/>
    <mergeCell ref="C15:E15"/>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Roman,Normalni"&amp;12&amp;A</oddHeader>
    <oddFooter>&amp;C&amp;"Times New Roman,Normalni"&amp;12Stranica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84"/>
  <sheetViews>
    <sheetView topLeftCell="A51" zoomScale="90" zoomScaleNormal="90" workbookViewId="0">
      <selection activeCell="E38" sqref="E38"/>
    </sheetView>
  </sheetViews>
  <sheetFormatPr defaultColWidth="11.88671875" defaultRowHeight="13.2"/>
  <cols>
    <col min="1" max="1" width="5.6640625" style="73" customWidth="1"/>
    <col min="2" max="2" width="40.6640625" style="74" customWidth="1"/>
    <col min="3" max="3" width="9.33203125" style="75" customWidth="1"/>
    <col min="4" max="4" width="8.44140625" style="75" customWidth="1"/>
    <col min="5" max="5" width="9.33203125" style="75" customWidth="1"/>
    <col min="6" max="6" width="11.88671875" style="75"/>
    <col min="7" max="7" width="13.109375" style="74" customWidth="1"/>
    <col min="8" max="64" width="11.5546875" style="74" customWidth="1"/>
  </cols>
  <sheetData>
    <row r="1" spans="1:6" ht="15" customHeight="1">
      <c r="A1" s="765" t="s">
        <v>545</v>
      </c>
      <c r="B1" s="765"/>
      <c r="C1" s="765"/>
      <c r="D1" s="765"/>
      <c r="E1" s="765"/>
      <c r="F1" s="765"/>
    </row>
    <row r="2" spans="1:6">
      <c r="A2" s="76"/>
      <c r="B2" s="77"/>
    </row>
    <row r="3" spans="1:6">
      <c r="A3" s="76" t="s">
        <v>218</v>
      </c>
      <c r="B3" s="77" t="s">
        <v>219</v>
      </c>
      <c r="C3" s="75" t="s">
        <v>220</v>
      </c>
      <c r="D3" s="75" t="s">
        <v>221</v>
      </c>
      <c r="E3" s="75" t="s">
        <v>222</v>
      </c>
      <c r="F3" s="75" t="s">
        <v>223</v>
      </c>
    </row>
    <row r="4" spans="1:6">
      <c r="A4" s="76"/>
      <c r="B4" s="77"/>
    </row>
    <row r="5" spans="1:6" ht="12" customHeight="1">
      <c r="A5" s="766" t="s">
        <v>546</v>
      </c>
      <c r="B5" s="766"/>
      <c r="C5" s="766"/>
      <c r="D5" s="766"/>
      <c r="E5" s="766"/>
      <c r="F5" s="766"/>
    </row>
    <row r="7" spans="1:6" ht="63" customHeight="1">
      <c r="A7" s="73" t="s">
        <v>547</v>
      </c>
      <c r="B7" s="78" t="s">
        <v>548</v>
      </c>
      <c r="C7" s="75" t="s">
        <v>242</v>
      </c>
      <c r="D7" s="75">
        <v>7.9</v>
      </c>
      <c r="E7" s="75">
        <v>20</v>
      </c>
      <c r="F7" s="75">
        <f>E7*D7</f>
        <v>158</v>
      </c>
    </row>
    <row r="9" spans="1:6" ht="26.4">
      <c r="A9" s="73" t="s">
        <v>549</v>
      </c>
      <c r="B9" s="74" t="s">
        <v>550</v>
      </c>
      <c r="C9" s="75" t="s">
        <v>242</v>
      </c>
      <c r="D9" s="75">
        <v>4.5999999999999996</v>
      </c>
      <c r="E9" s="75">
        <v>100</v>
      </c>
      <c r="F9" s="75">
        <f>E9*D9</f>
        <v>459.99999999999994</v>
      </c>
    </row>
    <row r="11" spans="1:6" ht="26.4">
      <c r="A11" s="73" t="s">
        <v>551</v>
      </c>
      <c r="B11" s="74" t="s">
        <v>552</v>
      </c>
      <c r="C11" s="75" t="s">
        <v>242</v>
      </c>
      <c r="D11" s="75">
        <v>5</v>
      </c>
      <c r="E11" s="75">
        <v>100</v>
      </c>
      <c r="F11" s="75">
        <f>E11*D11</f>
        <v>500</v>
      </c>
    </row>
    <row r="13" spans="1:6" ht="39.6">
      <c r="A13" s="73" t="s">
        <v>553</v>
      </c>
      <c r="B13" s="74" t="s">
        <v>554</v>
      </c>
      <c r="C13" s="75" t="s">
        <v>242</v>
      </c>
      <c r="D13" s="75">
        <v>4.2</v>
      </c>
      <c r="E13" s="75">
        <v>100</v>
      </c>
      <c r="F13" s="75">
        <f>E13*D13</f>
        <v>420</v>
      </c>
    </row>
    <row r="15" spans="1:6" ht="66">
      <c r="A15" s="73" t="s">
        <v>555</v>
      </c>
      <c r="B15" s="74" t="s">
        <v>556</v>
      </c>
      <c r="C15" s="75" t="s">
        <v>242</v>
      </c>
      <c r="D15" s="75">
        <v>7.2</v>
      </c>
      <c r="E15" s="75">
        <v>20</v>
      </c>
      <c r="F15" s="75">
        <f>E15*D15</f>
        <v>144</v>
      </c>
    </row>
    <row r="17" spans="1:6" ht="39.6">
      <c r="A17" s="73" t="s">
        <v>557</v>
      </c>
      <c r="B17" s="78" t="s">
        <v>558</v>
      </c>
      <c r="C17" s="75" t="s">
        <v>242</v>
      </c>
      <c r="D17" s="75">
        <v>7.3</v>
      </c>
      <c r="E17" s="75">
        <v>20</v>
      </c>
      <c r="F17" s="75">
        <f>E17*D17</f>
        <v>146</v>
      </c>
    </row>
    <row r="19" spans="1:6">
      <c r="B19" s="79" t="s">
        <v>262</v>
      </c>
      <c r="F19" s="80">
        <f>SUM(F7:F18)</f>
        <v>1828</v>
      </c>
    </row>
    <row r="21" spans="1:6" ht="12" customHeight="1">
      <c r="A21" s="766" t="s">
        <v>559</v>
      </c>
      <c r="B21" s="766"/>
      <c r="C21" s="766"/>
      <c r="D21" s="766"/>
      <c r="E21" s="766"/>
      <c r="F21" s="766"/>
    </row>
    <row r="23" spans="1:6" ht="171.6">
      <c r="A23" s="73" t="s">
        <v>560</v>
      </c>
      <c r="B23" s="74" t="s">
        <v>561</v>
      </c>
      <c r="C23" s="75" t="s">
        <v>345</v>
      </c>
      <c r="D23" s="75">
        <v>1</v>
      </c>
      <c r="E23" s="75">
        <v>2500</v>
      </c>
      <c r="F23" s="75">
        <f>E23*D23</f>
        <v>2500</v>
      </c>
    </row>
    <row r="24" spans="1:6">
      <c r="B24" s="74" t="s">
        <v>562</v>
      </c>
    </row>
    <row r="25" spans="1:6" ht="105.6">
      <c r="A25" s="73" t="s">
        <v>563</v>
      </c>
      <c r="B25" s="74" t="s">
        <v>564</v>
      </c>
      <c r="C25" s="75" t="s">
        <v>345</v>
      </c>
      <c r="D25" s="75">
        <v>4</v>
      </c>
      <c r="E25" s="75">
        <v>100</v>
      </c>
      <c r="F25" s="75">
        <f>E25*D25</f>
        <v>400</v>
      </c>
    </row>
    <row r="27" spans="1:6">
      <c r="B27" s="79" t="s">
        <v>565</v>
      </c>
      <c r="F27" s="80">
        <f>SUM(F23:F26)</f>
        <v>2900</v>
      </c>
    </row>
    <row r="29" spans="1:6" ht="12" customHeight="1">
      <c r="A29" s="766" t="s">
        <v>566</v>
      </c>
      <c r="B29" s="766"/>
      <c r="C29" s="766"/>
      <c r="D29" s="766"/>
      <c r="E29" s="766"/>
      <c r="F29" s="766"/>
    </row>
    <row r="31" spans="1:6" ht="92.4">
      <c r="A31" s="73" t="s">
        <v>567</v>
      </c>
      <c r="B31" s="74" t="s">
        <v>568</v>
      </c>
    </row>
    <row r="32" spans="1:6">
      <c r="B32" s="74" t="s">
        <v>569</v>
      </c>
      <c r="C32" s="75" t="s">
        <v>316</v>
      </c>
      <c r="D32" s="75">
        <v>38</v>
      </c>
      <c r="E32" s="75">
        <v>55</v>
      </c>
      <c r="F32" s="75">
        <f>E32*D32</f>
        <v>2090</v>
      </c>
    </row>
    <row r="33" spans="1:6">
      <c r="B33" s="74" t="s">
        <v>570</v>
      </c>
      <c r="C33" s="75" t="s">
        <v>316</v>
      </c>
      <c r="D33" s="75">
        <v>1140</v>
      </c>
      <c r="E33" s="75">
        <v>18</v>
      </c>
      <c r="F33" s="75">
        <f>E33*D33</f>
        <v>20520</v>
      </c>
    </row>
    <row r="35" spans="1:6" ht="66">
      <c r="A35" s="73" t="s">
        <v>571</v>
      </c>
      <c r="B35" s="74" t="s">
        <v>572</v>
      </c>
    </row>
    <row r="36" spans="1:6">
      <c r="B36" s="74" t="s">
        <v>569</v>
      </c>
      <c r="C36" s="75" t="s">
        <v>316</v>
      </c>
      <c r="D36" s="75">
        <v>38</v>
      </c>
      <c r="E36" s="75">
        <v>10</v>
      </c>
      <c r="F36" s="75">
        <f>E36*D36</f>
        <v>380</v>
      </c>
    </row>
    <row r="37" spans="1:6">
      <c r="B37" s="74" t="s">
        <v>570</v>
      </c>
      <c r="C37" s="75" t="s">
        <v>316</v>
      </c>
      <c r="D37" s="75">
        <v>1140</v>
      </c>
      <c r="E37" s="75">
        <v>5</v>
      </c>
      <c r="F37" s="75">
        <f>E37*D37</f>
        <v>5700</v>
      </c>
    </row>
    <row r="39" spans="1:6" ht="39.6">
      <c r="A39" s="73" t="s">
        <v>573</v>
      </c>
      <c r="B39" s="74" t="s">
        <v>574</v>
      </c>
    </row>
    <row r="40" spans="1:6">
      <c r="B40" s="78" t="s">
        <v>575</v>
      </c>
      <c r="C40" s="82" t="s">
        <v>345</v>
      </c>
      <c r="D40" s="75">
        <v>20</v>
      </c>
      <c r="E40" s="75">
        <v>35</v>
      </c>
      <c r="F40" s="75">
        <f>E40*D40</f>
        <v>700</v>
      </c>
    </row>
    <row r="42" spans="1:6" ht="26.4">
      <c r="A42" s="73" t="s">
        <v>576</v>
      </c>
      <c r="B42" s="78" t="s">
        <v>577</v>
      </c>
    </row>
    <row r="43" spans="1:6">
      <c r="B43" s="78" t="s">
        <v>575</v>
      </c>
      <c r="C43" s="82" t="s">
        <v>345</v>
      </c>
      <c r="D43" s="83">
        <v>80</v>
      </c>
      <c r="E43" s="75">
        <v>30</v>
      </c>
      <c r="F43" s="75">
        <f>E43*D43</f>
        <v>2400</v>
      </c>
    </row>
    <row r="45" spans="1:6" ht="26.4">
      <c r="A45" s="73" t="s">
        <v>578</v>
      </c>
      <c r="B45" s="78" t="s">
        <v>579</v>
      </c>
      <c r="C45" s="75" t="s">
        <v>316</v>
      </c>
      <c r="D45" s="75">
        <f>D32+D33</f>
        <v>1178</v>
      </c>
      <c r="E45" s="75">
        <v>0.5</v>
      </c>
      <c r="F45" s="75">
        <f>E45*D45</f>
        <v>589</v>
      </c>
    </row>
    <row r="47" spans="1:6" ht="26.4">
      <c r="A47" s="73" t="s">
        <v>580</v>
      </c>
      <c r="B47" s="74" t="s">
        <v>581</v>
      </c>
      <c r="C47" s="75" t="s">
        <v>345</v>
      </c>
      <c r="D47" s="75">
        <v>4</v>
      </c>
      <c r="E47" s="75">
        <v>25</v>
      </c>
      <c r="F47" s="75">
        <f>E47*D47</f>
        <v>100</v>
      </c>
    </row>
    <row r="49" spans="1:6" ht="23.25" customHeight="1">
      <c r="A49" s="73" t="s">
        <v>582</v>
      </c>
      <c r="B49" s="74" t="s">
        <v>583</v>
      </c>
      <c r="C49" s="75" t="s">
        <v>316</v>
      </c>
      <c r="D49" s="75">
        <f>D45</f>
        <v>1178</v>
      </c>
      <c r="E49" s="75">
        <v>1</v>
      </c>
      <c r="F49" s="75">
        <f>E49*D49</f>
        <v>1178</v>
      </c>
    </row>
    <row r="51" spans="1:6" ht="39.6">
      <c r="A51" s="73" t="s">
        <v>584</v>
      </c>
      <c r="B51" s="74" t="s">
        <v>585</v>
      </c>
      <c r="C51" s="75" t="s">
        <v>227</v>
      </c>
      <c r="D51" s="75">
        <v>1</v>
      </c>
      <c r="E51" s="75">
        <v>1500</v>
      </c>
      <c r="F51" s="75">
        <f>E51*D51</f>
        <v>1500</v>
      </c>
    </row>
    <row r="53" spans="1:6" ht="39.6">
      <c r="A53" s="73" t="s">
        <v>586</v>
      </c>
      <c r="B53" s="74" t="s">
        <v>587</v>
      </c>
      <c r="C53" s="75" t="s">
        <v>227</v>
      </c>
      <c r="D53" s="75">
        <v>1</v>
      </c>
      <c r="E53" s="75">
        <v>550</v>
      </c>
      <c r="F53" s="75">
        <f>E53*D53</f>
        <v>550</v>
      </c>
    </row>
    <row r="55" spans="1:6" ht="26.4">
      <c r="A55" s="73" t="s">
        <v>588</v>
      </c>
      <c r="B55" s="74" t="s">
        <v>589</v>
      </c>
    </row>
    <row r="56" spans="1:6">
      <c r="B56" s="78" t="s">
        <v>590</v>
      </c>
      <c r="C56" s="75" t="s">
        <v>345</v>
      </c>
      <c r="D56" s="75">
        <v>4</v>
      </c>
      <c r="E56" s="75">
        <v>80</v>
      </c>
      <c r="F56" s="75">
        <f>E56*D56</f>
        <v>320</v>
      </c>
    </row>
    <row r="58" spans="1:6" ht="26.4">
      <c r="A58" s="73" t="s">
        <v>591</v>
      </c>
      <c r="B58" s="74" t="s">
        <v>592</v>
      </c>
      <c r="C58" s="75" t="s">
        <v>345</v>
      </c>
      <c r="D58" s="75">
        <v>20</v>
      </c>
      <c r="E58" s="75">
        <v>80</v>
      </c>
      <c r="F58" s="75">
        <f>E58*D58</f>
        <v>1600</v>
      </c>
    </row>
    <row r="60" spans="1:6" ht="39.6">
      <c r="A60" s="73" t="s">
        <v>593</v>
      </c>
      <c r="B60" s="74" t="s">
        <v>594</v>
      </c>
      <c r="C60" s="75" t="s">
        <v>345</v>
      </c>
      <c r="D60" s="75">
        <v>20</v>
      </c>
      <c r="E60" s="75">
        <v>38</v>
      </c>
      <c r="F60" s="75">
        <f>E60*D60</f>
        <v>760</v>
      </c>
    </row>
    <row r="62" spans="1:6" ht="39.6">
      <c r="A62" s="73" t="s">
        <v>595</v>
      </c>
      <c r="B62" s="74" t="s">
        <v>596</v>
      </c>
      <c r="C62" s="75" t="s">
        <v>345</v>
      </c>
      <c r="D62" s="75">
        <v>5</v>
      </c>
      <c r="E62" s="75">
        <v>380</v>
      </c>
      <c r="F62" s="75">
        <f>E62*D62</f>
        <v>1900</v>
      </c>
    </row>
    <row r="64" spans="1:6">
      <c r="B64" s="79" t="s">
        <v>597</v>
      </c>
      <c r="F64" s="80">
        <f>SUM(F32:F63)</f>
        <v>40287</v>
      </c>
    </row>
    <row r="66" spans="2:6">
      <c r="B66" s="79" t="s">
        <v>598</v>
      </c>
      <c r="F66" s="80">
        <f>F64+F27+F19</f>
        <v>45015</v>
      </c>
    </row>
    <row r="68" spans="2:6">
      <c r="D68" s="69" t="s">
        <v>352</v>
      </c>
      <c r="E68" s="36"/>
      <c r="F68" s="36"/>
    </row>
    <row r="69" spans="2:6">
      <c r="D69" s="70"/>
      <c r="E69" s="36"/>
      <c r="F69" s="36"/>
    </row>
    <row r="70" spans="2:6">
      <c r="D70" s="763" t="s">
        <v>353</v>
      </c>
      <c r="E70" s="763"/>
      <c r="F70" s="763"/>
    </row>
    <row r="75" spans="2:6">
      <c r="B75" s="764"/>
      <c r="C75" s="764"/>
    </row>
    <row r="76" spans="2:6">
      <c r="B76" s="78"/>
      <c r="C76" s="84"/>
    </row>
    <row r="77" spans="2:6">
      <c r="B77" s="78"/>
      <c r="C77" s="84"/>
    </row>
    <row r="78" spans="2:6">
      <c r="B78" s="764"/>
      <c r="C78" s="764"/>
    </row>
    <row r="81" spans="2:3">
      <c r="B81" s="764"/>
      <c r="C81" s="764"/>
    </row>
    <row r="82" spans="2:3">
      <c r="B82" s="78"/>
      <c r="C82" s="84"/>
    </row>
    <row r="83" spans="2:3">
      <c r="B83" s="78"/>
      <c r="C83" s="85"/>
    </row>
    <row r="84" spans="2:3">
      <c r="B84" s="764"/>
      <c r="C84" s="764"/>
    </row>
  </sheetData>
  <mergeCells count="9">
    <mergeCell ref="B75:C75"/>
    <mergeCell ref="B78:C78"/>
    <mergeCell ref="B81:C81"/>
    <mergeCell ref="B84:C84"/>
    <mergeCell ref="A1:F1"/>
    <mergeCell ref="A5:F5"/>
    <mergeCell ref="A21:F21"/>
    <mergeCell ref="A29:F29"/>
    <mergeCell ref="D70:F70"/>
  </mergeCells>
  <pageMargins left="0.78749999999999998" right="0.78749999999999998"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7"/>
  <sheetViews>
    <sheetView topLeftCell="A84" zoomScale="90" zoomScaleNormal="90" workbookViewId="0">
      <selection activeCell="E106" sqref="E106"/>
    </sheetView>
  </sheetViews>
  <sheetFormatPr defaultColWidth="11.88671875" defaultRowHeight="13.2"/>
  <cols>
    <col min="1" max="1" width="6.109375" style="86" customWidth="1"/>
    <col min="2" max="2" width="38.88671875" style="74" customWidth="1"/>
    <col min="3" max="4" width="9.44140625" style="75" customWidth="1"/>
    <col min="5" max="5" width="9.88671875" style="75" customWidth="1"/>
    <col min="6" max="6" width="11.5546875" style="75" customWidth="1"/>
    <col min="10" max="10" width="26.5546875" customWidth="1"/>
  </cols>
  <sheetData>
    <row r="1" spans="1:6" ht="15" customHeight="1">
      <c r="A1" s="765" t="s">
        <v>599</v>
      </c>
      <c r="B1" s="765"/>
      <c r="C1" s="765"/>
      <c r="D1" s="765"/>
      <c r="E1" s="765"/>
      <c r="F1" s="765"/>
    </row>
    <row r="2" spans="1:6">
      <c r="A2" s="76"/>
      <c r="B2" s="77"/>
    </row>
    <row r="3" spans="1:6">
      <c r="A3" s="76" t="s">
        <v>218</v>
      </c>
      <c r="B3" s="77" t="s">
        <v>219</v>
      </c>
      <c r="C3" s="75" t="s">
        <v>220</v>
      </c>
      <c r="D3" s="75" t="s">
        <v>221</v>
      </c>
      <c r="E3" s="75" t="s">
        <v>222</v>
      </c>
      <c r="F3" s="75" t="s">
        <v>223</v>
      </c>
    </row>
    <row r="5" spans="1:6" ht="12" customHeight="1">
      <c r="A5" s="766" t="s">
        <v>600</v>
      </c>
      <c r="B5" s="766"/>
      <c r="C5" s="766"/>
      <c r="D5" s="766"/>
      <c r="E5" s="766"/>
      <c r="F5" s="766"/>
    </row>
    <row r="7" spans="1:6" ht="92.4">
      <c r="A7" s="86" t="s">
        <v>601</v>
      </c>
      <c r="B7" s="74" t="s">
        <v>602</v>
      </c>
      <c r="C7" s="75" t="s">
        <v>242</v>
      </c>
      <c r="D7" s="75">
        <v>36.6</v>
      </c>
      <c r="E7" s="75">
        <v>20</v>
      </c>
      <c r="F7" s="75">
        <f>E7*D7</f>
        <v>732</v>
      </c>
    </row>
    <row r="9" spans="1:6" ht="39.6">
      <c r="A9" s="86" t="s">
        <v>603</v>
      </c>
      <c r="B9" s="74" t="s">
        <v>604</v>
      </c>
      <c r="C9" s="75" t="s">
        <v>242</v>
      </c>
      <c r="D9" s="75">
        <v>25.5</v>
      </c>
      <c r="E9" s="75">
        <v>30</v>
      </c>
      <c r="F9" s="75">
        <f>E9*D9</f>
        <v>765</v>
      </c>
    </row>
    <row r="11" spans="1:6" ht="26.4">
      <c r="A11" s="86" t="s">
        <v>605</v>
      </c>
      <c r="B11" s="74" t="s">
        <v>606</v>
      </c>
      <c r="C11" s="75" t="s">
        <v>242</v>
      </c>
      <c r="D11" s="75">
        <v>7.4</v>
      </c>
      <c r="E11" s="75">
        <v>100</v>
      </c>
      <c r="F11" s="75">
        <f>E11*D11</f>
        <v>740</v>
      </c>
    </row>
    <row r="13" spans="1:6" ht="39.6">
      <c r="A13" s="86" t="s">
        <v>607</v>
      </c>
      <c r="B13" s="74" t="s">
        <v>608</v>
      </c>
      <c r="C13" s="75" t="s">
        <v>242</v>
      </c>
      <c r="D13" s="75">
        <v>5</v>
      </c>
      <c r="E13" s="75">
        <v>80</v>
      </c>
      <c r="F13" s="75">
        <f>E13*D13</f>
        <v>400</v>
      </c>
    </row>
    <row r="15" spans="1:6" ht="44.25" customHeight="1">
      <c r="A15" s="86" t="s">
        <v>609</v>
      </c>
      <c r="B15" s="74" t="s">
        <v>610</v>
      </c>
      <c r="C15" s="75" t="s">
        <v>242</v>
      </c>
      <c r="D15" s="75">
        <v>12</v>
      </c>
      <c r="E15" s="75">
        <v>80</v>
      </c>
      <c r="F15" s="75">
        <f>E15*D15</f>
        <v>960</v>
      </c>
    </row>
    <row r="17" spans="1:6" ht="72" customHeight="1">
      <c r="A17" s="86" t="s">
        <v>611</v>
      </c>
      <c r="B17" s="74" t="s">
        <v>612</v>
      </c>
      <c r="C17" s="75" t="s">
        <v>242</v>
      </c>
      <c r="D17" s="75">
        <f>20</f>
        <v>20</v>
      </c>
      <c r="E17" s="75">
        <v>20</v>
      </c>
      <c r="F17" s="75">
        <f>E17*D17</f>
        <v>400</v>
      </c>
    </row>
    <row r="19" spans="1:6" ht="39.6">
      <c r="A19" s="86" t="s">
        <v>613</v>
      </c>
      <c r="B19" s="74" t="s">
        <v>614</v>
      </c>
      <c r="C19" s="75" t="s">
        <v>242</v>
      </c>
      <c r="D19" s="75">
        <v>20</v>
      </c>
      <c r="E19" s="75">
        <v>20</v>
      </c>
      <c r="F19" s="75">
        <f>E19*D19</f>
        <v>400</v>
      </c>
    </row>
    <row r="21" spans="1:6">
      <c r="B21" s="79" t="s">
        <v>262</v>
      </c>
      <c r="F21" s="80">
        <f>SUM(F7:F20)</f>
        <v>4397</v>
      </c>
    </row>
    <row r="23" spans="1:6" ht="12" customHeight="1">
      <c r="A23" s="766" t="s">
        <v>615</v>
      </c>
      <c r="B23" s="766"/>
      <c r="C23" s="766"/>
      <c r="D23" s="766"/>
      <c r="E23" s="766"/>
      <c r="F23" s="766"/>
    </row>
    <row r="25" spans="1:6" ht="250.8">
      <c r="A25" s="86" t="s">
        <v>616</v>
      </c>
      <c r="B25" s="74" t="s">
        <v>617</v>
      </c>
      <c r="C25" s="75" t="s">
        <v>345</v>
      </c>
      <c r="D25" s="75">
        <v>8</v>
      </c>
      <c r="E25" s="75">
        <v>1200</v>
      </c>
      <c r="F25" s="75">
        <f>E25*D25</f>
        <v>9600</v>
      </c>
    </row>
    <row r="26" spans="1:6" ht="12" customHeight="1"/>
    <row r="27" spans="1:6" ht="37.5" customHeight="1">
      <c r="A27" s="86" t="s">
        <v>618</v>
      </c>
      <c r="B27" s="74" t="s">
        <v>619</v>
      </c>
      <c r="C27" s="75" t="s">
        <v>345</v>
      </c>
      <c r="D27" s="75">
        <v>39</v>
      </c>
      <c r="E27" s="75">
        <v>20</v>
      </c>
      <c r="F27" s="75">
        <f>E27*D27</f>
        <v>780</v>
      </c>
    </row>
    <row r="29" spans="1:6" ht="39.6">
      <c r="A29" s="86" t="s">
        <v>620</v>
      </c>
      <c r="B29" s="74" t="s">
        <v>621</v>
      </c>
      <c r="C29" s="75" t="s">
        <v>345</v>
      </c>
      <c r="D29" s="75">
        <v>4</v>
      </c>
      <c r="E29" s="75">
        <v>50</v>
      </c>
      <c r="F29" s="75">
        <f>E29*D29</f>
        <v>200</v>
      </c>
    </row>
    <row r="31" spans="1:6">
      <c r="B31" s="79" t="s">
        <v>565</v>
      </c>
      <c r="F31" s="80">
        <f>SUM(F25:F30)</f>
        <v>10580</v>
      </c>
    </row>
    <row r="33" spans="1:6" ht="12" customHeight="1">
      <c r="A33" s="766" t="s">
        <v>622</v>
      </c>
      <c r="B33" s="766"/>
      <c r="C33" s="766"/>
      <c r="D33" s="766"/>
      <c r="E33" s="766"/>
      <c r="F33" s="766"/>
    </row>
    <row r="35" spans="1:6" ht="105.6">
      <c r="A35" s="86" t="s">
        <v>623</v>
      </c>
      <c r="B35" s="74" t="s">
        <v>624</v>
      </c>
    </row>
    <row r="36" spans="1:6">
      <c r="B36" s="78" t="s">
        <v>625</v>
      </c>
    </row>
    <row r="37" spans="1:6">
      <c r="B37" s="78" t="s">
        <v>626</v>
      </c>
      <c r="C37" s="75" t="s">
        <v>316</v>
      </c>
      <c r="D37" s="75">
        <v>65.2</v>
      </c>
      <c r="E37" s="75">
        <v>35</v>
      </c>
      <c r="F37" s="75">
        <f>E37*D37</f>
        <v>2282</v>
      </c>
    </row>
    <row r="39" spans="1:6" ht="66">
      <c r="A39" s="86" t="s">
        <v>627</v>
      </c>
      <c r="B39" s="74" t="s">
        <v>628</v>
      </c>
    </row>
    <row r="40" spans="1:6">
      <c r="B40" s="6" t="s">
        <v>629</v>
      </c>
      <c r="C40" s="34" t="s">
        <v>316</v>
      </c>
      <c r="D40" s="75">
        <v>95.2</v>
      </c>
      <c r="E40" s="75">
        <v>10</v>
      </c>
      <c r="F40" s="75">
        <f>E40*D40</f>
        <v>952</v>
      </c>
    </row>
    <row r="41" spans="1:6">
      <c r="B41" s="6" t="s">
        <v>630</v>
      </c>
      <c r="C41" s="34" t="s">
        <v>316</v>
      </c>
      <c r="D41" s="75">
        <v>119</v>
      </c>
      <c r="E41" s="75">
        <v>8</v>
      </c>
      <c r="F41" s="75">
        <f>E41*D41</f>
        <v>952</v>
      </c>
    </row>
    <row r="42" spans="1:6">
      <c r="B42" s="6" t="s">
        <v>631</v>
      </c>
      <c r="C42" s="34" t="s">
        <v>316</v>
      </c>
      <c r="D42" s="75">
        <v>40.1</v>
      </c>
      <c r="E42" s="75">
        <v>7</v>
      </c>
      <c r="F42" s="75">
        <f>E42*D42</f>
        <v>280.7</v>
      </c>
    </row>
    <row r="44" spans="1:6" ht="52.8">
      <c r="A44" s="86" t="s">
        <v>632</v>
      </c>
      <c r="B44" s="74" t="s">
        <v>633</v>
      </c>
    </row>
    <row r="45" spans="1:6">
      <c r="B45" s="78" t="s">
        <v>634</v>
      </c>
      <c r="C45" s="87"/>
      <c r="D45" s="88"/>
    </row>
    <row r="46" spans="1:6">
      <c r="B46" s="78" t="s">
        <v>635</v>
      </c>
      <c r="C46" s="87"/>
      <c r="D46" s="88"/>
    </row>
    <row r="47" spans="1:6">
      <c r="B47" s="78" t="s">
        <v>629</v>
      </c>
      <c r="C47" s="82" t="s">
        <v>345</v>
      </c>
      <c r="D47" s="83">
        <v>20</v>
      </c>
      <c r="E47" s="75">
        <v>14</v>
      </c>
      <c r="F47" s="75">
        <f>E47*D47</f>
        <v>280</v>
      </c>
    </row>
    <row r="48" spans="1:6">
      <c r="B48" s="78" t="s">
        <v>631</v>
      </c>
      <c r="C48" s="82" t="s">
        <v>345</v>
      </c>
      <c r="D48" s="83">
        <v>20</v>
      </c>
      <c r="E48" s="75">
        <v>7</v>
      </c>
      <c r="F48" s="75">
        <f>E48*D48</f>
        <v>140</v>
      </c>
    </row>
    <row r="49" spans="1:6">
      <c r="B49" s="78" t="s">
        <v>636</v>
      </c>
      <c r="C49" s="87"/>
      <c r="D49" s="88"/>
    </row>
    <row r="50" spans="1:6">
      <c r="B50" s="78" t="s">
        <v>637</v>
      </c>
      <c r="C50" s="87"/>
      <c r="D50" s="88"/>
    </row>
    <row r="51" spans="1:6">
      <c r="B51" s="78" t="s">
        <v>631</v>
      </c>
      <c r="C51" s="82" t="s">
        <v>345</v>
      </c>
      <c r="D51" s="83">
        <v>20</v>
      </c>
      <c r="E51" s="75">
        <v>14</v>
      </c>
      <c r="F51" s="75">
        <f>E51*D51</f>
        <v>280</v>
      </c>
    </row>
    <row r="52" spans="1:6">
      <c r="B52" s="78" t="s">
        <v>629</v>
      </c>
      <c r="C52" s="82" t="s">
        <v>345</v>
      </c>
      <c r="D52" s="83">
        <v>9</v>
      </c>
      <c r="E52" s="75">
        <v>7</v>
      </c>
      <c r="F52" s="75">
        <f>E52*D52</f>
        <v>63</v>
      </c>
    </row>
    <row r="53" spans="1:6">
      <c r="B53" s="78" t="s">
        <v>638</v>
      </c>
      <c r="C53" s="82"/>
      <c r="D53" s="83"/>
    </row>
    <row r="54" spans="1:6">
      <c r="B54" s="78" t="s">
        <v>639</v>
      </c>
      <c r="C54" s="82" t="s">
        <v>345</v>
      </c>
      <c r="D54" s="83">
        <v>16</v>
      </c>
      <c r="E54" s="75">
        <v>8</v>
      </c>
      <c r="F54" s="75">
        <f>E54*D54</f>
        <v>128</v>
      </c>
    </row>
    <row r="55" spans="1:6">
      <c r="B55" s="78" t="s">
        <v>640</v>
      </c>
      <c r="C55" s="82" t="s">
        <v>345</v>
      </c>
      <c r="D55" s="83">
        <v>20</v>
      </c>
      <c r="E55" s="75">
        <v>7</v>
      </c>
      <c r="F55" s="75">
        <f>E55*D55</f>
        <v>140</v>
      </c>
    </row>
    <row r="56" spans="1:6">
      <c r="B56" s="78" t="s">
        <v>641</v>
      </c>
      <c r="C56" s="82"/>
      <c r="D56" s="83"/>
    </row>
    <row r="57" spans="1:6">
      <c r="B57" s="78" t="s">
        <v>642</v>
      </c>
      <c r="C57" s="82" t="s">
        <v>345</v>
      </c>
      <c r="D57" s="83">
        <v>5</v>
      </c>
      <c r="E57" s="75">
        <v>14</v>
      </c>
      <c r="F57" s="75">
        <f>E57*D57</f>
        <v>70</v>
      </c>
    </row>
    <row r="58" spans="1:6">
      <c r="B58" s="78" t="s">
        <v>639</v>
      </c>
      <c r="C58" s="82" t="s">
        <v>345</v>
      </c>
      <c r="D58" s="83">
        <v>20</v>
      </c>
      <c r="E58" s="75">
        <v>8</v>
      </c>
      <c r="F58" s="75">
        <f>E58*D58</f>
        <v>160</v>
      </c>
    </row>
    <row r="59" spans="1:6">
      <c r="B59" s="78" t="s">
        <v>640</v>
      </c>
      <c r="C59" s="82" t="s">
        <v>345</v>
      </c>
      <c r="D59" s="83">
        <v>25</v>
      </c>
      <c r="E59" s="75">
        <v>7</v>
      </c>
      <c r="F59" s="75">
        <f>E59*D59</f>
        <v>175</v>
      </c>
    </row>
    <row r="60" spans="1:6">
      <c r="B60" s="74" t="s">
        <v>643</v>
      </c>
      <c r="C60" s="75" t="s">
        <v>345</v>
      </c>
      <c r="D60" s="75">
        <v>6</v>
      </c>
      <c r="E60" s="75">
        <v>9</v>
      </c>
      <c r="F60" s="75">
        <f>E60*D60</f>
        <v>54</v>
      </c>
    </row>
    <row r="61" spans="1:6">
      <c r="A61" s="89"/>
      <c r="B61" s="81"/>
      <c r="C61" s="90"/>
      <c r="D61" s="90"/>
      <c r="E61" s="90"/>
      <c r="F61" s="90"/>
    </row>
    <row r="62" spans="1:6" ht="39.6">
      <c r="A62" s="86" t="s">
        <v>644</v>
      </c>
      <c r="B62" s="74" t="s">
        <v>645</v>
      </c>
      <c r="C62" s="75" t="s">
        <v>316</v>
      </c>
      <c r="D62" s="75">
        <v>68.2</v>
      </c>
      <c r="E62" s="75">
        <v>15</v>
      </c>
      <c r="F62" s="75">
        <f>E62*D62</f>
        <v>1023</v>
      </c>
    </row>
    <row r="64" spans="1:6" ht="39.6">
      <c r="A64" s="86" t="s">
        <v>646</v>
      </c>
      <c r="B64" s="74" t="s">
        <v>647</v>
      </c>
      <c r="C64" s="75" t="s">
        <v>345</v>
      </c>
      <c r="D64" s="75">
        <v>20</v>
      </c>
      <c r="E64" s="75">
        <v>55</v>
      </c>
      <c r="F64" s="75">
        <f>E64*D64</f>
        <v>1100</v>
      </c>
    </row>
    <row r="66" spans="1:6" ht="39.6">
      <c r="A66" s="86" t="s">
        <v>648</v>
      </c>
      <c r="B66" s="74" t="s">
        <v>649</v>
      </c>
      <c r="C66" s="75" t="s">
        <v>227</v>
      </c>
      <c r="D66" s="75">
        <v>1</v>
      </c>
      <c r="E66" s="75">
        <v>500</v>
      </c>
      <c r="F66" s="75">
        <f>E66*D66</f>
        <v>500</v>
      </c>
    </row>
    <row r="68" spans="1:6" ht="52.8">
      <c r="A68" s="91" t="s">
        <v>650</v>
      </c>
      <c r="B68" s="92" t="s">
        <v>651</v>
      </c>
      <c r="C68" s="93" t="s">
        <v>345</v>
      </c>
      <c r="D68" s="93">
        <v>4</v>
      </c>
      <c r="E68" s="93">
        <v>46</v>
      </c>
      <c r="F68" s="93">
        <f>E68*D68</f>
        <v>184</v>
      </c>
    </row>
    <row r="70" spans="1:6" ht="26.4">
      <c r="A70" s="94" t="s">
        <v>652</v>
      </c>
      <c r="B70" s="74" t="s">
        <v>653</v>
      </c>
      <c r="C70" s="75" t="s">
        <v>345</v>
      </c>
      <c r="D70" s="75">
        <v>4</v>
      </c>
      <c r="E70" s="75">
        <v>289</v>
      </c>
      <c r="F70" s="75">
        <f>E70*D70</f>
        <v>1156</v>
      </c>
    </row>
    <row r="72" spans="1:6" ht="24.75" customHeight="1">
      <c r="B72" s="767" t="s">
        <v>654</v>
      </c>
      <c r="C72" s="767"/>
      <c r="D72" s="767"/>
      <c r="F72" s="80">
        <f>SUM(F36:F71)</f>
        <v>9919.7000000000007</v>
      </c>
    </row>
    <row r="74" spans="1:6" ht="12" customHeight="1">
      <c r="A74" s="766" t="s">
        <v>655</v>
      </c>
      <c r="B74" s="766"/>
      <c r="C74" s="766"/>
      <c r="D74" s="766"/>
      <c r="E74" s="766"/>
      <c r="F74" s="766"/>
    </row>
    <row r="76" spans="1:6" ht="66">
      <c r="A76" s="86" t="s">
        <v>656</v>
      </c>
      <c r="B76" s="92" t="s">
        <v>657</v>
      </c>
      <c r="C76" s="75" t="s">
        <v>345</v>
      </c>
      <c r="D76" s="75">
        <v>20</v>
      </c>
      <c r="E76" s="75">
        <v>400</v>
      </c>
      <c r="F76" s="75">
        <f>E76*D76</f>
        <v>8000</v>
      </c>
    </row>
    <row r="78" spans="1:6" ht="92.4">
      <c r="A78" s="86" t="s">
        <v>658</v>
      </c>
      <c r="B78" s="74" t="s">
        <v>659</v>
      </c>
      <c r="C78" s="75" t="s">
        <v>345</v>
      </c>
      <c r="D78" s="75">
        <v>20</v>
      </c>
      <c r="E78" s="75">
        <v>200</v>
      </c>
      <c r="F78" s="75">
        <f>E78*D78</f>
        <v>4000</v>
      </c>
    </row>
    <row r="80" spans="1:6" ht="118.8">
      <c r="A80" s="86" t="s">
        <v>660</v>
      </c>
      <c r="B80" s="74" t="s">
        <v>661</v>
      </c>
      <c r="C80" s="75" t="s">
        <v>345</v>
      </c>
      <c r="D80" s="75">
        <v>20</v>
      </c>
      <c r="E80" s="75">
        <v>325</v>
      </c>
      <c r="F80" s="75">
        <f>E80*D80</f>
        <v>6500</v>
      </c>
    </row>
    <row r="82" spans="1:6" ht="118.8">
      <c r="A82" s="86" t="s">
        <v>662</v>
      </c>
      <c r="B82" s="74" t="s">
        <v>663</v>
      </c>
      <c r="C82" s="75" t="s">
        <v>345</v>
      </c>
      <c r="D82" s="75">
        <v>20</v>
      </c>
      <c r="E82" s="75">
        <v>387</v>
      </c>
      <c r="F82" s="75">
        <f>E82*D82</f>
        <v>7740</v>
      </c>
    </row>
    <row r="84" spans="1:6" ht="26.4">
      <c r="A84" s="86" t="s">
        <v>664</v>
      </c>
      <c r="B84" s="74" t="s">
        <v>665</v>
      </c>
    </row>
    <row r="85" spans="1:6">
      <c r="B85" s="78" t="s">
        <v>666</v>
      </c>
      <c r="C85" s="82" t="s">
        <v>345</v>
      </c>
      <c r="D85" s="75">
        <v>20</v>
      </c>
      <c r="E85" s="75">
        <v>30</v>
      </c>
      <c r="F85" s="75">
        <f>E85*D85</f>
        <v>600</v>
      </c>
    </row>
    <row r="86" spans="1:6">
      <c r="B86" s="78" t="s">
        <v>667</v>
      </c>
      <c r="C86" s="82" t="s">
        <v>345</v>
      </c>
      <c r="D86" s="75">
        <v>20</v>
      </c>
      <c r="E86" s="75">
        <v>30</v>
      </c>
      <c r="F86" s="75">
        <f>E86*D86</f>
        <v>600</v>
      </c>
    </row>
    <row r="88" spans="1:6" ht="132">
      <c r="A88" s="86" t="s">
        <v>668</v>
      </c>
      <c r="B88" s="74" t="s">
        <v>669</v>
      </c>
      <c r="C88" s="75" t="s">
        <v>345</v>
      </c>
      <c r="D88" s="75">
        <v>20</v>
      </c>
      <c r="E88" s="75">
        <v>400</v>
      </c>
      <c r="F88" s="75">
        <f>E88*D88</f>
        <v>8000</v>
      </c>
    </row>
    <row r="90" spans="1:6">
      <c r="B90" s="79" t="s">
        <v>670</v>
      </c>
      <c r="F90" s="80">
        <f>SUM(F76:F89)</f>
        <v>35440</v>
      </c>
    </row>
    <row r="92" spans="1:6">
      <c r="B92" s="79" t="s">
        <v>671</v>
      </c>
      <c r="F92" s="80">
        <f>F90+F72+F31+F21</f>
        <v>60336.7</v>
      </c>
    </row>
    <row r="95" spans="1:6">
      <c r="D95" s="69" t="s">
        <v>352</v>
      </c>
      <c r="E95" s="36"/>
      <c r="F95" s="36"/>
    </row>
    <row r="97" spans="4:6">
      <c r="D97" s="763" t="s">
        <v>353</v>
      </c>
      <c r="E97" s="763"/>
      <c r="F97" s="763"/>
    </row>
  </sheetData>
  <mergeCells count="7">
    <mergeCell ref="A74:F74"/>
    <mergeCell ref="D97:F97"/>
    <mergeCell ref="A1:F1"/>
    <mergeCell ref="A5:F5"/>
    <mergeCell ref="A23:F23"/>
    <mergeCell ref="A33:F33"/>
    <mergeCell ref="B72:D72"/>
  </mergeCells>
  <pageMargins left="0.78749999999999998" right="0.78749999999999998" top="0.78749999999999998" bottom="0.78749999999999998"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9"/>
  <sheetViews>
    <sheetView zoomScale="90" zoomScaleNormal="90" workbookViewId="0">
      <selection activeCell="D43" sqref="D43"/>
    </sheetView>
  </sheetViews>
  <sheetFormatPr defaultColWidth="11.88671875" defaultRowHeight="13.2"/>
  <cols>
    <col min="1" max="1" width="6.33203125" style="86" customWidth="1"/>
    <col min="2" max="2" width="31.33203125" style="6" customWidth="1"/>
    <col min="3" max="6" width="11.5546875" style="75" customWidth="1"/>
  </cols>
  <sheetData>
    <row r="1" spans="1:6" ht="12" customHeight="1">
      <c r="A1" s="766" t="s">
        <v>672</v>
      </c>
      <c r="B1" s="766"/>
      <c r="C1" s="766"/>
      <c r="D1" s="766"/>
      <c r="E1" s="766"/>
      <c r="F1" s="766"/>
    </row>
    <row r="2" spans="1:6">
      <c r="A2" s="76"/>
      <c r="B2" s="77"/>
    </row>
    <row r="3" spans="1:6">
      <c r="A3" s="76" t="s">
        <v>218</v>
      </c>
      <c r="B3" s="77" t="s">
        <v>219</v>
      </c>
      <c r="C3" s="75" t="s">
        <v>220</v>
      </c>
      <c r="D3" s="75" t="s">
        <v>221</v>
      </c>
      <c r="E3" s="75" t="s">
        <v>222</v>
      </c>
      <c r="F3" s="75" t="s">
        <v>223</v>
      </c>
    </row>
    <row r="4" spans="1:6">
      <c r="B4" s="74"/>
    </row>
    <row r="5" spans="1:6" ht="12" customHeight="1">
      <c r="A5" s="766" t="s">
        <v>673</v>
      </c>
      <c r="B5" s="766"/>
      <c r="C5" s="766"/>
      <c r="D5" s="766"/>
      <c r="E5" s="766"/>
      <c r="F5" s="766"/>
    </row>
    <row r="7" spans="1:6" ht="104.25" customHeight="1">
      <c r="A7" s="86" t="s">
        <v>674</v>
      </c>
      <c r="B7" s="78" t="s">
        <v>675</v>
      </c>
      <c r="C7" s="75" t="s">
        <v>242</v>
      </c>
      <c r="D7" s="75">
        <v>4</v>
      </c>
      <c r="E7" s="75">
        <v>50</v>
      </c>
      <c r="F7" s="75">
        <f>E7*D7</f>
        <v>200</v>
      </c>
    </row>
    <row r="9" spans="1:6" ht="26.4">
      <c r="A9" s="86" t="s">
        <v>676</v>
      </c>
      <c r="B9" s="74" t="s">
        <v>552</v>
      </c>
      <c r="C9" s="75" t="s">
        <v>242</v>
      </c>
      <c r="D9" s="75">
        <v>0.5</v>
      </c>
      <c r="E9" s="75">
        <v>100</v>
      </c>
      <c r="F9" s="75">
        <f>E9*D9</f>
        <v>50</v>
      </c>
    </row>
    <row r="11" spans="1:6" ht="52.8">
      <c r="A11" s="86" t="s">
        <v>677</v>
      </c>
      <c r="B11" s="74" t="s">
        <v>678</v>
      </c>
      <c r="C11" s="75" t="s">
        <v>242</v>
      </c>
      <c r="D11" s="75">
        <v>0.5</v>
      </c>
      <c r="E11" s="75">
        <v>100</v>
      </c>
      <c r="F11" s="75">
        <f>E11*D11</f>
        <v>50</v>
      </c>
    </row>
    <row r="13" spans="1:6" ht="92.4">
      <c r="A13" s="86" t="s">
        <v>679</v>
      </c>
      <c r="B13" s="74" t="s">
        <v>556</v>
      </c>
      <c r="C13" s="75" t="s">
        <v>242</v>
      </c>
      <c r="D13" s="75">
        <v>3</v>
      </c>
      <c r="E13" s="75">
        <v>100</v>
      </c>
      <c r="F13" s="75">
        <f>E13*D13</f>
        <v>300</v>
      </c>
    </row>
    <row r="15" spans="1:6">
      <c r="B15" s="95" t="s">
        <v>262</v>
      </c>
      <c r="F15" s="80">
        <f>SUM(F7:F14)</f>
        <v>600</v>
      </c>
    </row>
    <row r="17" spans="1:6" ht="12" customHeight="1">
      <c r="A17" s="766" t="s">
        <v>680</v>
      </c>
      <c r="B17" s="766"/>
      <c r="C17" s="766"/>
      <c r="D17" s="766"/>
      <c r="E17" s="766"/>
      <c r="F17" s="766"/>
    </row>
    <row r="19" spans="1:6" ht="138" customHeight="1">
      <c r="A19" s="73" t="s">
        <v>681</v>
      </c>
      <c r="B19" s="74" t="s">
        <v>682</v>
      </c>
    </row>
    <row r="20" spans="1:6">
      <c r="A20" s="73"/>
      <c r="B20" s="74" t="s">
        <v>683</v>
      </c>
      <c r="C20" s="75" t="s">
        <v>316</v>
      </c>
      <c r="D20" s="75">
        <v>55.9</v>
      </c>
      <c r="E20" s="75">
        <v>55</v>
      </c>
      <c r="F20" s="75">
        <f>E20*D20</f>
        <v>3074.5</v>
      </c>
    </row>
    <row r="21" spans="1:6">
      <c r="A21" s="73"/>
      <c r="B21" s="74"/>
    </row>
    <row r="22" spans="1:6" ht="90" customHeight="1">
      <c r="A22" s="73" t="s">
        <v>684</v>
      </c>
      <c r="B22" s="74" t="s">
        <v>685</v>
      </c>
    </row>
    <row r="23" spans="1:6">
      <c r="A23" s="73"/>
      <c r="B23" s="74" t="s">
        <v>683</v>
      </c>
      <c r="C23" s="75" t="s">
        <v>316</v>
      </c>
      <c r="D23" s="75">
        <v>55.9</v>
      </c>
      <c r="E23" s="75">
        <v>10</v>
      </c>
      <c r="F23" s="75">
        <f>E23*D23</f>
        <v>559</v>
      </c>
    </row>
    <row r="24" spans="1:6">
      <c r="A24" s="73"/>
      <c r="B24" s="74"/>
    </row>
    <row r="25" spans="1:6" ht="52.8">
      <c r="A25" s="73" t="s">
        <v>686</v>
      </c>
      <c r="B25" s="74" t="s">
        <v>687</v>
      </c>
    </row>
    <row r="26" spans="1:6">
      <c r="A26" s="73"/>
      <c r="B26" s="78" t="s">
        <v>688</v>
      </c>
      <c r="C26" s="67" t="s">
        <v>345</v>
      </c>
      <c r="D26" s="75">
        <v>5</v>
      </c>
      <c r="E26" s="75">
        <v>88</v>
      </c>
      <c r="F26" s="75">
        <f>E26*D26</f>
        <v>440</v>
      </c>
    </row>
    <row r="27" spans="1:6">
      <c r="A27" s="73"/>
      <c r="B27" s="74"/>
    </row>
    <row r="28" spans="1:6" ht="41.25" customHeight="1">
      <c r="A28" s="73" t="s">
        <v>689</v>
      </c>
      <c r="B28" s="78" t="s">
        <v>579</v>
      </c>
      <c r="C28" s="75" t="s">
        <v>316</v>
      </c>
      <c r="D28" s="75">
        <v>55.9</v>
      </c>
      <c r="E28" s="75">
        <v>1</v>
      </c>
      <c r="F28" s="75">
        <f>E28*D28</f>
        <v>55.9</v>
      </c>
    </row>
    <row r="30" spans="1:6" ht="72.75" customHeight="1">
      <c r="A30" s="73" t="s">
        <v>690</v>
      </c>
      <c r="B30" s="78" t="s">
        <v>691</v>
      </c>
      <c r="C30" s="75" t="s">
        <v>345</v>
      </c>
      <c r="D30" s="75">
        <v>5</v>
      </c>
      <c r="E30" s="75">
        <v>198</v>
      </c>
      <c r="F30" s="75">
        <f>E30*D30</f>
        <v>990</v>
      </c>
    </row>
    <row r="32" spans="1:6" ht="26.4">
      <c r="A32" s="86" t="s">
        <v>692</v>
      </c>
      <c r="B32" s="96" t="s">
        <v>693</v>
      </c>
      <c r="C32" s="97"/>
      <c r="D32" s="98"/>
    </row>
    <row r="33" spans="1:6" ht="39.6">
      <c r="B33" s="96" t="s">
        <v>694</v>
      </c>
      <c r="C33" s="99" t="s">
        <v>345</v>
      </c>
      <c r="D33" s="98">
        <v>5</v>
      </c>
      <c r="E33" s="75">
        <v>50</v>
      </c>
      <c r="F33" s="75">
        <f>E33*D33</f>
        <v>250</v>
      </c>
    </row>
    <row r="34" spans="1:6">
      <c r="B34" s="96" t="s">
        <v>695</v>
      </c>
      <c r="C34" s="99"/>
      <c r="D34" s="98"/>
    </row>
    <row r="35" spans="1:6">
      <c r="B35" s="96" t="s">
        <v>696</v>
      </c>
      <c r="C35" s="99"/>
      <c r="D35" s="98"/>
    </row>
    <row r="36" spans="1:6">
      <c r="B36" s="96" t="s">
        <v>697</v>
      </c>
      <c r="C36" s="99"/>
      <c r="D36" s="98"/>
    </row>
    <row r="37" spans="1:6">
      <c r="B37" s="96" t="s">
        <v>698</v>
      </c>
      <c r="C37" s="99" t="s">
        <v>345</v>
      </c>
      <c r="D37" s="98">
        <v>5</v>
      </c>
      <c r="E37" s="75">
        <v>35</v>
      </c>
      <c r="F37" s="75">
        <f>E37*D37</f>
        <v>175</v>
      </c>
    </row>
    <row r="39" spans="1:6" ht="39.6">
      <c r="A39" s="100" t="s">
        <v>699</v>
      </c>
      <c r="B39" s="96" t="s">
        <v>700</v>
      </c>
      <c r="C39" s="97"/>
      <c r="D39" s="98"/>
    </row>
    <row r="40" spans="1:6">
      <c r="A40" s="101"/>
      <c r="B40" s="96" t="s">
        <v>701</v>
      </c>
      <c r="C40" s="99" t="s">
        <v>345</v>
      </c>
      <c r="D40" s="98">
        <v>5</v>
      </c>
      <c r="E40" s="75">
        <v>80</v>
      </c>
      <c r="F40" s="75">
        <f>E40*D40</f>
        <v>400</v>
      </c>
    </row>
    <row r="41" spans="1:6">
      <c r="A41" s="101"/>
      <c r="B41" s="96"/>
      <c r="C41" s="99"/>
      <c r="D41" s="98"/>
    </row>
    <row r="42" spans="1:6" ht="12" customHeight="1">
      <c r="B42" s="760" t="s">
        <v>702</v>
      </c>
      <c r="C42" s="760"/>
      <c r="F42" s="80">
        <f>SUM(F19:F41)</f>
        <v>5944.4</v>
      </c>
    </row>
    <row r="44" spans="1:6">
      <c r="B44" s="68" t="s">
        <v>703</v>
      </c>
      <c r="F44" s="80">
        <f>F42+F15</f>
        <v>6544.4</v>
      </c>
    </row>
    <row r="47" spans="1:6">
      <c r="D47" s="69" t="s">
        <v>352</v>
      </c>
      <c r="E47" s="36"/>
      <c r="F47" s="36"/>
    </row>
    <row r="49" spans="4:6">
      <c r="D49" s="763" t="s">
        <v>353</v>
      </c>
      <c r="E49" s="763"/>
      <c r="F49" s="763"/>
    </row>
  </sheetData>
  <mergeCells count="5">
    <mergeCell ref="A1:F1"/>
    <mergeCell ref="A5:F5"/>
    <mergeCell ref="A17:F17"/>
    <mergeCell ref="B42:C42"/>
    <mergeCell ref="D49:F49"/>
  </mergeCells>
  <pageMargins left="0.78749999999999998" right="0.78749999999999998" top="0.78749999999999998" bottom="0.78749999999999998"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AC1211"/>
  <sheetViews>
    <sheetView topLeftCell="A1166" zoomScale="90" zoomScaleNormal="90" workbookViewId="0">
      <selection activeCell="H1203" sqref="H1203"/>
    </sheetView>
  </sheetViews>
  <sheetFormatPr defaultColWidth="8.6640625" defaultRowHeight="13.2"/>
  <cols>
    <col min="1" max="1" width="6" style="102" customWidth="1"/>
    <col min="2" max="2" width="2.109375" style="103" customWidth="1"/>
    <col min="3" max="3" width="31.109375" style="104" customWidth="1"/>
    <col min="4" max="4" width="8.88671875" style="105" customWidth="1"/>
    <col min="5" max="5" width="8.5546875" style="106" customWidth="1"/>
    <col min="6" max="6" width="11.33203125" style="103" customWidth="1"/>
    <col min="7" max="7" width="12.6640625" style="103" customWidth="1"/>
    <col min="8" max="8" width="21.88671875" style="103" customWidth="1"/>
    <col min="9" max="705" width="8.6640625" style="103"/>
  </cols>
  <sheetData>
    <row r="3" spans="1:7" s="111" customFormat="1" ht="19.5" customHeight="1">
      <c r="A3" s="107" t="s">
        <v>704</v>
      </c>
      <c r="B3" s="108"/>
      <c r="C3" s="109" t="s">
        <v>705</v>
      </c>
      <c r="D3" s="110" t="s">
        <v>706</v>
      </c>
      <c r="E3" s="107" t="s">
        <v>221</v>
      </c>
      <c r="F3" s="107" t="s">
        <v>707</v>
      </c>
      <c r="G3" s="107" t="s">
        <v>708</v>
      </c>
    </row>
    <row r="4" spans="1:7" ht="26.25" customHeight="1">
      <c r="A4" s="112"/>
      <c r="C4" s="113"/>
      <c r="E4" s="114"/>
      <c r="F4" s="115"/>
      <c r="G4" s="102"/>
    </row>
    <row r="5" spans="1:7" ht="41.25" customHeight="1">
      <c r="A5" s="116"/>
      <c r="C5" s="768" t="s">
        <v>709</v>
      </c>
      <c r="D5" s="768"/>
      <c r="E5" s="768"/>
      <c r="F5" s="768"/>
      <c r="G5" s="768"/>
    </row>
    <row r="6" spans="1:7" ht="15" customHeight="1">
      <c r="A6" s="117"/>
      <c r="B6" s="769"/>
      <c r="C6" s="769"/>
      <c r="D6" s="769"/>
      <c r="E6" s="769"/>
    </row>
    <row r="7" spans="1:7" s="120" customFormat="1" ht="57" customHeight="1">
      <c r="A7" s="119"/>
      <c r="B7" s="770" t="s">
        <v>710</v>
      </c>
      <c r="C7" s="770"/>
      <c r="D7" s="771" t="s">
        <v>711</v>
      </c>
      <c r="E7" s="771"/>
      <c r="F7" s="771"/>
      <c r="G7" s="771"/>
    </row>
    <row r="8" spans="1:7" s="120" customFormat="1" ht="27.75" customHeight="1">
      <c r="A8" s="119"/>
      <c r="B8" s="770"/>
      <c r="C8" s="770"/>
      <c r="D8" s="771" t="s">
        <v>712</v>
      </c>
      <c r="E8" s="771"/>
      <c r="F8" s="771"/>
      <c r="G8" s="771"/>
    </row>
    <row r="9" spans="1:7" s="120" customFormat="1" ht="27.75" customHeight="1">
      <c r="A9" s="119"/>
      <c r="B9" s="770"/>
      <c r="C9" s="770"/>
      <c r="D9" s="771" t="s">
        <v>713</v>
      </c>
      <c r="E9" s="771"/>
      <c r="F9" s="771"/>
      <c r="G9" s="771"/>
    </row>
    <row r="10" spans="1:7" s="120" customFormat="1" ht="27.75" customHeight="1">
      <c r="A10" s="119"/>
      <c r="B10" s="770"/>
      <c r="C10" s="770"/>
      <c r="D10" s="771" t="s">
        <v>714</v>
      </c>
      <c r="E10" s="771"/>
      <c r="F10" s="771"/>
      <c r="G10" s="771"/>
    </row>
    <row r="11" spans="1:7" s="120" customFormat="1" ht="49.5" customHeight="1">
      <c r="A11" s="119"/>
      <c r="B11" s="770" t="s">
        <v>4</v>
      </c>
      <c r="C11" s="770"/>
      <c r="D11" s="771" t="s">
        <v>715</v>
      </c>
      <c r="E11" s="771"/>
      <c r="F11" s="771"/>
      <c r="G11" s="771"/>
    </row>
    <row r="12" spans="1:7" s="120" customFormat="1" ht="27.75" customHeight="1">
      <c r="A12" s="119"/>
      <c r="B12" s="770" t="s">
        <v>716</v>
      </c>
      <c r="C12" s="770"/>
      <c r="D12" s="771" t="s">
        <v>717</v>
      </c>
      <c r="E12" s="771"/>
      <c r="F12" s="771"/>
      <c r="G12" s="771"/>
    </row>
    <row r="13" spans="1:7" s="120" customFormat="1" ht="27.75" customHeight="1">
      <c r="A13" s="119"/>
      <c r="B13" s="770"/>
      <c r="C13" s="770"/>
      <c r="D13" s="771" t="s">
        <v>718</v>
      </c>
      <c r="E13" s="771"/>
      <c r="F13" s="771"/>
      <c r="G13" s="771"/>
    </row>
    <row r="14" spans="1:7" s="120" customFormat="1" ht="41.25" customHeight="1">
      <c r="A14" s="119"/>
      <c r="B14" s="770"/>
      <c r="C14" s="770"/>
      <c r="D14" s="771" t="s">
        <v>719</v>
      </c>
      <c r="E14" s="771"/>
      <c r="F14" s="771"/>
      <c r="G14" s="771"/>
    </row>
    <row r="15" spans="1:7" s="120" customFormat="1" ht="32.25" customHeight="1">
      <c r="A15" s="119"/>
      <c r="B15" s="770" t="s">
        <v>720</v>
      </c>
      <c r="C15" s="770"/>
      <c r="D15" s="771" t="s">
        <v>721</v>
      </c>
      <c r="E15" s="771"/>
      <c r="F15" s="771"/>
      <c r="G15" s="771"/>
    </row>
    <row r="16" spans="1:7" s="120" customFormat="1" ht="30.75" customHeight="1">
      <c r="A16" s="119"/>
      <c r="B16" s="770" t="s">
        <v>722</v>
      </c>
      <c r="C16" s="770"/>
      <c r="D16" s="771" t="s">
        <v>11</v>
      </c>
      <c r="E16" s="771"/>
      <c r="F16" s="771"/>
      <c r="G16" s="771"/>
    </row>
    <row r="17" spans="2:7" s="120" customFormat="1" ht="39.75" customHeight="1">
      <c r="B17" s="770" t="s">
        <v>723</v>
      </c>
      <c r="C17" s="770"/>
      <c r="D17" s="771" t="s">
        <v>724</v>
      </c>
      <c r="E17" s="771"/>
      <c r="F17" s="771"/>
      <c r="G17" s="771"/>
    </row>
    <row r="18" spans="2:7" s="120" customFormat="1" ht="54.75" customHeight="1">
      <c r="B18" s="770"/>
      <c r="C18" s="770"/>
      <c r="D18" s="771" t="s">
        <v>725</v>
      </c>
      <c r="E18" s="771"/>
      <c r="F18" s="771"/>
      <c r="G18" s="771"/>
    </row>
    <row r="19" spans="2:7" s="120" customFormat="1" ht="28.5" customHeight="1">
      <c r="B19" s="770" t="s">
        <v>726</v>
      </c>
      <c r="C19" s="770"/>
      <c r="D19" s="771" t="s">
        <v>727</v>
      </c>
      <c r="E19" s="771"/>
      <c r="F19" s="771"/>
      <c r="G19" s="771"/>
    </row>
    <row r="20" spans="2:7" s="120" customFormat="1" ht="19.5" customHeight="1">
      <c r="B20" s="121"/>
      <c r="C20" s="122"/>
      <c r="D20" s="123"/>
      <c r="E20" s="124"/>
      <c r="F20" s="125"/>
      <c r="G20" s="125"/>
    </row>
    <row r="21" spans="2:7" ht="21" customHeight="1">
      <c r="C21" s="126" t="s">
        <v>728</v>
      </c>
      <c r="E21" s="114"/>
    </row>
    <row r="22" spans="2:7" s="120" customFormat="1" ht="35.25" customHeight="1">
      <c r="B22" s="121"/>
      <c r="C22" s="772" t="s">
        <v>729</v>
      </c>
      <c r="D22" s="772"/>
      <c r="E22" s="772"/>
      <c r="F22" s="772"/>
      <c r="G22" s="772"/>
    </row>
    <row r="23" spans="2:7" s="120" customFormat="1" ht="48" customHeight="1">
      <c r="B23" s="121"/>
      <c r="C23" s="772" t="s">
        <v>730</v>
      </c>
      <c r="D23" s="772"/>
      <c r="E23" s="772"/>
      <c r="F23" s="772"/>
      <c r="G23" s="772"/>
    </row>
    <row r="24" spans="2:7" s="120" customFormat="1" ht="69" customHeight="1">
      <c r="B24" s="121"/>
      <c r="C24" s="772" t="s">
        <v>731</v>
      </c>
      <c r="D24" s="772"/>
      <c r="E24" s="772"/>
      <c r="F24" s="772"/>
      <c r="G24" s="772"/>
    </row>
    <row r="25" spans="2:7" s="120" customFormat="1" ht="46.5" customHeight="1">
      <c r="B25" s="121"/>
      <c r="C25" s="772" t="s">
        <v>732</v>
      </c>
      <c r="D25" s="772"/>
      <c r="E25" s="772"/>
      <c r="F25" s="772"/>
      <c r="G25" s="772"/>
    </row>
    <row r="26" spans="2:7" s="120" customFormat="1" ht="48" customHeight="1">
      <c r="B26" s="121"/>
      <c r="C26" s="772" t="s">
        <v>733</v>
      </c>
      <c r="D26" s="772"/>
      <c r="E26" s="772"/>
      <c r="F26" s="772"/>
      <c r="G26" s="772"/>
    </row>
    <row r="27" spans="2:7" s="120" customFormat="1" ht="31.5" customHeight="1">
      <c r="B27" s="121"/>
      <c r="C27" s="772" t="s">
        <v>734</v>
      </c>
      <c r="D27" s="772"/>
      <c r="E27" s="772"/>
      <c r="F27" s="772"/>
      <c r="G27" s="772"/>
    </row>
    <row r="28" spans="2:7">
      <c r="C28" s="118"/>
      <c r="E28" s="114"/>
      <c r="F28" s="773" t="s">
        <v>735</v>
      </c>
      <c r="G28" s="773"/>
    </row>
    <row r="29" spans="2:7" s="120" customFormat="1" ht="69" customHeight="1">
      <c r="B29" s="128"/>
      <c r="C29" s="129"/>
      <c r="D29" s="130"/>
      <c r="E29" s="131"/>
      <c r="F29" s="132"/>
      <c r="G29" s="132"/>
    </row>
    <row r="30" spans="2:7" s="120" customFormat="1" ht="15.75" customHeight="1">
      <c r="B30" s="128"/>
      <c r="C30" s="129"/>
      <c r="D30" s="130"/>
      <c r="E30" s="774" t="s">
        <v>736</v>
      </c>
      <c r="F30" s="774"/>
      <c r="G30" s="774"/>
    </row>
    <row r="33" spans="1:7" ht="28.5" customHeight="1">
      <c r="C33" s="135" t="s">
        <v>737</v>
      </c>
      <c r="D33" s="136"/>
      <c r="E33" s="137"/>
      <c r="F33" s="137"/>
      <c r="G33" s="136"/>
    </row>
    <row r="34" spans="1:7" ht="9" customHeight="1">
      <c r="C34" s="138"/>
      <c r="D34" s="139"/>
      <c r="E34" s="140"/>
      <c r="F34" s="140"/>
      <c r="G34" s="139"/>
    </row>
    <row r="35" spans="1:7" ht="21.75" customHeight="1">
      <c r="C35" s="142" t="s">
        <v>738</v>
      </c>
      <c r="E35" s="134"/>
      <c r="F35" s="115"/>
      <c r="G35" s="102"/>
    </row>
    <row r="36" spans="1:7" ht="10.5" customHeight="1">
      <c r="C36" s="118"/>
      <c r="E36" s="143"/>
      <c r="F36" s="134"/>
      <c r="G36" s="105"/>
    </row>
    <row r="37" spans="1:7" ht="79.8">
      <c r="A37" s="144" t="s">
        <v>739</v>
      </c>
      <c r="C37" s="118" t="s">
        <v>740</v>
      </c>
      <c r="E37" s="143"/>
      <c r="F37" s="134"/>
      <c r="G37" s="145"/>
    </row>
    <row r="38" spans="1:7" s="141" customFormat="1" ht="11.4">
      <c r="C38" s="141" t="s">
        <v>741</v>
      </c>
      <c r="D38" s="146" t="s">
        <v>345</v>
      </c>
      <c r="E38" s="147">
        <v>1</v>
      </c>
      <c r="F38" s="148">
        <v>150</v>
      </c>
      <c r="G38" s="148">
        <f>F38*E38</f>
        <v>150</v>
      </c>
    </row>
    <row r="39" spans="1:7" ht="12" customHeight="1">
      <c r="C39" s="118"/>
      <c r="E39" s="147"/>
      <c r="F39" s="148"/>
      <c r="G39" s="148"/>
    </row>
    <row r="40" spans="1:7" ht="48" customHeight="1">
      <c r="A40" s="112" t="s">
        <v>742</v>
      </c>
      <c r="C40" s="118" t="s">
        <v>743</v>
      </c>
      <c r="D40" s="146"/>
      <c r="E40" s="147"/>
      <c r="F40" s="148"/>
      <c r="G40" s="149"/>
    </row>
    <row r="41" spans="1:7" ht="18.75" customHeight="1">
      <c r="C41" s="141" t="s">
        <v>744</v>
      </c>
      <c r="D41" s="105" t="s">
        <v>345</v>
      </c>
      <c r="E41" s="147">
        <v>1</v>
      </c>
      <c r="F41" s="148">
        <v>100</v>
      </c>
      <c r="G41" s="148">
        <f>F41*E41</f>
        <v>100</v>
      </c>
    </row>
    <row r="42" spans="1:7" ht="12" customHeight="1">
      <c r="C42" s="118"/>
      <c r="E42" s="147"/>
      <c r="F42" s="148"/>
      <c r="G42" s="148"/>
    </row>
    <row r="43" spans="1:7" ht="79.8">
      <c r="A43" s="112" t="s">
        <v>745</v>
      </c>
      <c r="C43" s="118" t="s">
        <v>746</v>
      </c>
      <c r="E43" s="147"/>
      <c r="F43" s="148"/>
      <c r="G43" s="148"/>
    </row>
    <row r="44" spans="1:7" s="141" customFormat="1" ht="18.75" customHeight="1">
      <c r="C44" s="141" t="s">
        <v>747</v>
      </c>
      <c r="D44" s="146" t="s">
        <v>748</v>
      </c>
      <c r="E44" s="147">
        <v>30</v>
      </c>
      <c r="F44" s="148">
        <v>50</v>
      </c>
      <c r="G44" s="148">
        <f>F44*E44</f>
        <v>1500</v>
      </c>
    </row>
    <row r="45" spans="1:7" ht="12" customHeight="1">
      <c r="C45" s="118"/>
      <c r="E45" s="147"/>
      <c r="F45" s="148"/>
      <c r="G45" s="148"/>
    </row>
    <row r="46" spans="1:7" s="103" customFormat="1" ht="68.400000000000006">
      <c r="A46" s="112" t="s">
        <v>749</v>
      </c>
      <c r="C46" s="118" t="s">
        <v>750</v>
      </c>
      <c r="D46" s="102" t="s">
        <v>748</v>
      </c>
      <c r="E46" s="150">
        <v>35</v>
      </c>
      <c r="F46" s="148">
        <v>1</v>
      </c>
      <c r="G46" s="148">
        <f>F46*E46</f>
        <v>35</v>
      </c>
    </row>
    <row r="47" spans="1:7" ht="12" customHeight="1">
      <c r="C47" s="118"/>
      <c r="E47" s="147"/>
      <c r="F47" s="148"/>
      <c r="G47" s="148"/>
    </row>
    <row r="48" spans="1:7" s="103" customFormat="1" ht="141">
      <c r="A48" s="112" t="s">
        <v>751</v>
      </c>
      <c r="C48" s="118" t="s">
        <v>752</v>
      </c>
      <c r="D48" s="102" t="s">
        <v>748</v>
      </c>
      <c r="E48" s="150">
        <v>35</v>
      </c>
      <c r="F48" s="148">
        <v>2</v>
      </c>
      <c r="G48" s="148">
        <f>F48*E48</f>
        <v>70</v>
      </c>
    </row>
    <row r="50" spans="1:7" ht="57">
      <c r="A50" s="112" t="s">
        <v>753</v>
      </c>
      <c r="C50" s="118" t="s">
        <v>754</v>
      </c>
      <c r="E50" s="147"/>
      <c r="F50" s="148"/>
      <c r="G50" s="148"/>
    </row>
    <row r="51" spans="1:7" s="141" customFormat="1" ht="11.4">
      <c r="C51" s="141" t="s">
        <v>747</v>
      </c>
      <c r="D51" s="146" t="s">
        <v>345</v>
      </c>
      <c r="E51" s="147">
        <v>4</v>
      </c>
      <c r="F51" s="151">
        <v>150</v>
      </c>
      <c r="G51" s="148">
        <f>F51*E51</f>
        <v>600</v>
      </c>
    </row>
    <row r="52" spans="1:7" ht="12" customHeight="1">
      <c r="C52" s="118"/>
      <c r="E52" s="147"/>
      <c r="F52" s="148"/>
      <c r="G52" s="148"/>
    </row>
    <row r="53" spans="1:7" ht="34.200000000000003">
      <c r="A53" s="112" t="s">
        <v>755</v>
      </c>
      <c r="C53" s="118" t="s">
        <v>756</v>
      </c>
      <c r="E53" s="147"/>
      <c r="F53" s="148"/>
      <c r="G53" s="148"/>
    </row>
    <row r="54" spans="1:7" s="141" customFormat="1" ht="15.75" customHeight="1">
      <c r="C54" s="141" t="s">
        <v>757</v>
      </c>
      <c r="D54" s="146" t="s">
        <v>345</v>
      </c>
      <c r="E54" s="147">
        <v>1</v>
      </c>
      <c r="F54" s="151">
        <v>150</v>
      </c>
      <c r="G54" s="148">
        <f>F54*E54</f>
        <v>150</v>
      </c>
    </row>
    <row r="55" spans="1:7" ht="12" customHeight="1">
      <c r="C55" s="118"/>
      <c r="E55" s="147"/>
      <c r="F55" s="148"/>
      <c r="G55" s="148"/>
    </row>
    <row r="56" spans="1:7" ht="79.8">
      <c r="A56" s="112" t="s">
        <v>758</v>
      </c>
      <c r="C56" s="118" t="s">
        <v>759</v>
      </c>
      <c r="E56" s="147"/>
      <c r="F56" s="148"/>
      <c r="G56" s="148"/>
    </row>
    <row r="57" spans="1:7" s="141" customFormat="1" ht="18.75" customHeight="1">
      <c r="C57" s="141" t="s">
        <v>760</v>
      </c>
      <c r="D57" s="146" t="s">
        <v>748</v>
      </c>
      <c r="E57" s="147">
        <v>3</v>
      </c>
      <c r="F57" s="151">
        <v>50</v>
      </c>
      <c r="G57" s="148">
        <f>F57*E57</f>
        <v>150</v>
      </c>
    </row>
    <row r="58" spans="1:7" ht="12" customHeight="1">
      <c r="C58" s="118"/>
      <c r="E58" s="147"/>
      <c r="F58" s="148"/>
      <c r="G58" s="148"/>
    </row>
    <row r="59" spans="1:7" ht="102.6">
      <c r="A59" s="112" t="s">
        <v>761</v>
      </c>
      <c r="C59" s="118" t="s">
        <v>762</v>
      </c>
      <c r="E59" s="147"/>
      <c r="F59" s="148"/>
      <c r="G59" s="148"/>
    </row>
    <row r="60" spans="1:7">
      <c r="C60" s="104" t="s">
        <v>744</v>
      </c>
      <c r="D60" s="105" t="s">
        <v>345</v>
      </c>
      <c r="E60" s="147">
        <v>1</v>
      </c>
      <c r="F60" s="148">
        <v>1</v>
      </c>
      <c r="G60" s="148">
        <f>F60*E60</f>
        <v>1</v>
      </c>
    </row>
    <row r="61" spans="1:7" ht="24">
      <c r="C61" s="154" t="s">
        <v>763</v>
      </c>
      <c r="E61" s="147"/>
      <c r="F61" s="148"/>
      <c r="G61" s="148"/>
    </row>
    <row r="62" spans="1:7" ht="27.75" customHeight="1">
      <c r="E62" s="147"/>
      <c r="F62" s="148"/>
      <c r="G62" s="148"/>
    </row>
    <row r="63" spans="1:7" ht="64.5" customHeight="1">
      <c r="A63" s="155" t="s">
        <v>764</v>
      </c>
      <c r="B63" s="156"/>
      <c r="C63" s="118" t="s">
        <v>765</v>
      </c>
      <c r="D63" s="157" t="s">
        <v>766</v>
      </c>
      <c r="E63" s="158">
        <v>1</v>
      </c>
      <c r="F63" s="159">
        <v>1</v>
      </c>
      <c r="G63" s="159">
        <f>F63*E63</f>
        <v>1</v>
      </c>
    </row>
    <row r="64" spans="1:7" ht="24">
      <c r="A64" s="160"/>
      <c r="B64" s="156"/>
      <c r="C64" s="154" t="s">
        <v>763</v>
      </c>
      <c r="D64" s="157"/>
      <c r="E64" s="158"/>
      <c r="F64" s="159"/>
      <c r="G64" s="159"/>
    </row>
    <row r="66" spans="1:7" ht="43.5" customHeight="1">
      <c r="A66" s="155" t="s">
        <v>767</v>
      </c>
      <c r="B66" s="156"/>
      <c r="C66" s="161" t="s">
        <v>768</v>
      </c>
      <c r="D66" s="160" t="s">
        <v>766</v>
      </c>
      <c r="E66" s="162">
        <v>1</v>
      </c>
      <c r="F66" s="159">
        <v>1</v>
      </c>
      <c r="G66" s="159">
        <f>F66*E66</f>
        <v>1</v>
      </c>
    </row>
    <row r="67" spans="1:7" ht="24">
      <c r="A67" s="160"/>
      <c r="B67" s="156"/>
      <c r="C67" s="154" t="s">
        <v>763</v>
      </c>
      <c r="D67" s="160"/>
      <c r="E67" s="162"/>
      <c r="F67" s="159"/>
      <c r="G67" s="159"/>
    </row>
    <row r="68" spans="1:7" ht="12" customHeight="1">
      <c r="C68" s="118"/>
      <c r="D68" s="102"/>
      <c r="E68" s="150"/>
      <c r="F68" s="148"/>
      <c r="G68" s="148"/>
    </row>
    <row r="69" spans="1:7" ht="47.25" customHeight="1">
      <c r="A69" s="112" t="s">
        <v>769</v>
      </c>
      <c r="C69" s="118" t="s">
        <v>770</v>
      </c>
      <c r="D69" s="102" t="s">
        <v>766</v>
      </c>
      <c r="E69" s="150">
        <v>1</v>
      </c>
      <c r="F69" s="148">
        <v>100</v>
      </c>
      <c r="G69" s="148">
        <f>F69*E69</f>
        <v>100</v>
      </c>
    </row>
    <row r="70" spans="1:7" ht="12" customHeight="1">
      <c r="C70" s="118"/>
      <c r="E70" s="147"/>
      <c r="F70" s="148"/>
      <c r="G70" s="148"/>
    </row>
    <row r="71" spans="1:7">
      <c r="A71" s="112" t="s">
        <v>771</v>
      </c>
      <c r="C71" s="118" t="s">
        <v>772</v>
      </c>
      <c r="D71" s="102" t="s">
        <v>766</v>
      </c>
      <c r="E71" s="150">
        <v>1</v>
      </c>
      <c r="F71" s="148">
        <v>50</v>
      </c>
      <c r="G71" s="148">
        <f>F71*E71</f>
        <v>50</v>
      </c>
    </row>
    <row r="72" spans="1:7" ht="12" customHeight="1">
      <c r="C72" s="118"/>
      <c r="D72" s="102"/>
      <c r="E72" s="150"/>
      <c r="F72" s="148"/>
      <c r="G72" s="148"/>
    </row>
    <row r="73" spans="1:7" ht="22.8">
      <c r="A73" s="112" t="s">
        <v>773</v>
      </c>
      <c r="C73" s="118" t="s">
        <v>774</v>
      </c>
      <c r="D73" s="102" t="s">
        <v>766</v>
      </c>
      <c r="E73" s="150">
        <v>1</v>
      </c>
      <c r="F73" s="148">
        <v>500</v>
      </c>
      <c r="G73" s="148">
        <f>F73*E73</f>
        <v>500</v>
      </c>
    </row>
    <row r="74" spans="1:7" ht="9" customHeight="1">
      <c r="C74" s="133"/>
      <c r="E74" s="105"/>
      <c r="F74" s="115"/>
      <c r="G74" s="102"/>
    </row>
    <row r="75" spans="1:7" ht="24.75" customHeight="1">
      <c r="C75" s="163" t="s">
        <v>775</v>
      </c>
      <c r="D75" s="164"/>
      <c r="E75" s="165"/>
      <c r="F75" s="166"/>
      <c r="G75" s="167">
        <f>SUM(G38:G74)</f>
        <v>3408</v>
      </c>
    </row>
    <row r="76" spans="1:7" ht="45" customHeight="1">
      <c r="C76" s="142" t="s">
        <v>776</v>
      </c>
      <c r="E76" s="134"/>
      <c r="F76" s="115"/>
      <c r="G76" s="102"/>
    </row>
    <row r="77" spans="1:7" ht="21.75" customHeight="1">
      <c r="C77" s="142"/>
      <c r="E77" s="134"/>
      <c r="F77" s="115"/>
      <c r="G77" s="102"/>
    </row>
    <row r="78" spans="1:7" ht="47.25" customHeight="1">
      <c r="A78" s="112" t="s">
        <v>777</v>
      </c>
      <c r="C78" s="118" t="s">
        <v>778</v>
      </c>
      <c r="D78" s="146"/>
      <c r="E78" s="111"/>
    </row>
    <row r="79" spans="1:7" ht="33" customHeight="1">
      <c r="C79" s="118" t="s">
        <v>779</v>
      </c>
      <c r="D79" s="102" t="s">
        <v>780</v>
      </c>
      <c r="E79" s="168">
        <v>1</v>
      </c>
      <c r="F79" s="115">
        <v>1000</v>
      </c>
      <c r="G79" s="148">
        <f>F79*E79</f>
        <v>1000</v>
      </c>
    </row>
    <row r="81" spans="1:7" ht="33" customHeight="1">
      <c r="A81" s="112" t="s">
        <v>781</v>
      </c>
      <c r="C81" s="118" t="s">
        <v>782</v>
      </c>
      <c r="D81" s="133" t="s">
        <v>783</v>
      </c>
      <c r="E81" s="169">
        <v>1</v>
      </c>
      <c r="F81" s="115">
        <v>100</v>
      </c>
      <c r="G81" s="148">
        <f>F81*E81</f>
        <v>100</v>
      </c>
    </row>
    <row r="82" spans="1:7" ht="12" customHeight="1">
      <c r="C82" s="118"/>
      <c r="D82" s="102"/>
      <c r="E82" s="169"/>
      <c r="F82" s="115"/>
      <c r="G82" s="148"/>
    </row>
    <row r="83" spans="1:7" ht="48" customHeight="1">
      <c r="A83" s="112" t="s">
        <v>784</v>
      </c>
      <c r="C83" s="118" t="s">
        <v>785</v>
      </c>
      <c r="D83" s="133" t="s">
        <v>316</v>
      </c>
      <c r="E83" s="169">
        <v>35</v>
      </c>
      <c r="F83" s="115">
        <v>20</v>
      </c>
      <c r="G83" s="148">
        <f>F83*E83</f>
        <v>700</v>
      </c>
    </row>
    <row r="84" spans="1:7" ht="14.25" customHeight="1">
      <c r="A84" s="112"/>
      <c r="C84" s="118" t="s">
        <v>786</v>
      </c>
      <c r="D84" s="133" t="s">
        <v>316</v>
      </c>
      <c r="E84" s="169">
        <v>7</v>
      </c>
      <c r="F84" s="115">
        <v>100</v>
      </c>
      <c r="G84" s="148">
        <f>F84*E84</f>
        <v>700</v>
      </c>
    </row>
    <row r="85" spans="1:7" ht="14.25" customHeight="1">
      <c r="A85" s="112"/>
      <c r="C85" s="118" t="s">
        <v>787</v>
      </c>
      <c r="D85" s="133" t="s">
        <v>316</v>
      </c>
      <c r="E85" s="169">
        <v>28</v>
      </c>
      <c r="F85" s="115">
        <v>20</v>
      </c>
      <c r="G85" s="148">
        <f>F85*E85</f>
        <v>560</v>
      </c>
    </row>
    <row r="86" spans="1:7">
      <c r="C86" s="170"/>
      <c r="D86" s="171"/>
      <c r="E86" s="172"/>
      <c r="F86" s="173"/>
      <c r="G86" s="173"/>
    </row>
    <row r="87" spans="1:7" ht="22.8">
      <c r="A87" s="112" t="s">
        <v>788</v>
      </c>
      <c r="C87" s="118" t="s">
        <v>789</v>
      </c>
      <c r="D87" s="133" t="s">
        <v>790</v>
      </c>
      <c r="E87" s="115">
        <v>12</v>
      </c>
      <c r="F87" s="115">
        <v>20</v>
      </c>
      <c r="G87" s="148">
        <f>F87*E87</f>
        <v>240</v>
      </c>
    </row>
    <row r="88" spans="1:7" ht="12" customHeight="1">
      <c r="C88" s="118"/>
      <c r="D88" s="102"/>
      <c r="E88" s="169"/>
      <c r="F88" s="115"/>
      <c r="G88" s="148"/>
    </row>
    <row r="89" spans="1:7" ht="45.6">
      <c r="A89" s="112" t="s">
        <v>791</v>
      </c>
      <c r="C89" s="118" t="s">
        <v>792</v>
      </c>
      <c r="D89" s="133" t="s">
        <v>783</v>
      </c>
      <c r="E89" s="169">
        <v>2.5</v>
      </c>
      <c r="F89" s="115">
        <v>100</v>
      </c>
      <c r="G89" s="148">
        <f>F89*E89</f>
        <v>250</v>
      </c>
    </row>
    <row r="90" spans="1:7" ht="12" customHeight="1">
      <c r="C90" s="118"/>
      <c r="D90" s="102"/>
      <c r="E90" s="169"/>
      <c r="F90" s="115"/>
      <c r="G90" s="148"/>
    </row>
    <row r="91" spans="1:7" ht="79.8">
      <c r="A91" s="112" t="s">
        <v>793</v>
      </c>
      <c r="C91" s="118" t="s">
        <v>794</v>
      </c>
      <c r="D91" s="133" t="s">
        <v>783</v>
      </c>
      <c r="E91" s="169">
        <v>1.5</v>
      </c>
      <c r="F91" s="115">
        <v>100</v>
      </c>
      <c r="G91" s="148">
        <f>F91*E91</f>
        <v>150</v>
      </c>
    </row>
    <row r="92" spans="1:7" ht="12" customHeight="1">
      <c r="C92" s="118"/>
      <c r="D92" s="102"/>
      <c r="E92" s="169"/>
      <c r="F92" s="115"/>
      <c r="G92" s="102"/>
    </row>
    <row r="93" spans="1:7" ht="79.8">
      <c r="A93" s="112" t="s">
        <v>795</v>
      </c>
      <c r="C93" s="118" t="s">
        <v>796</v>
      </c>
      <c r="D93" s="133" t="s">
        <v>783</v>
      </c>
      <c r="E93" s="169">
        <v>6</v>
      </c>
      <c r="F93" s="115">
        <v>20</v>
      </c>
      <c r="G93" s="148">
        <f>F93*E93</f>
        <v>120</v>
      </c>
    </row>
    <row r="94" spans="1:7">
      <c r="C94" s="170"/>
      <c r="D94" s="171"/>
      <c r="E94" s="172"/>
      <c r="F94" s="173"/>
      <c r="G94" s="173"/>
    </row>
    <row r="95" spans="1:7" ht="34.200000000000003">
      <c r="A95" s="112" t="s">
        <v>797</v>
      </c>
      <c r="C95" s="118" t="s">
        <v>798</v>
      </c>
      <c r="D95" s="133" t="s">
        <v>766</v>
      </c>
      <c r="E95" s="115">
        <v>1</v>
      </c>
      <c r="F95" s="115">
        <v>500</v>
      </c>
      <c r="G95" s="148">
        <f>F95*E95</f>
        <v>500</v>
      </c>
    </row>
    <row r="97" spans="1:7" ht="34.200000000000003">
      <c r="A97" s="112" t="s">
        <v>799</v>
      </c>
      <c r="C97" s="118" t="s">
        <v>800</v>
      </c>
      <c r="D97" s="133" t="s">
        <v>790</v>
      </c>
      <c r="E97" s="115">
        <v>1.58</v>
      </c>
      <c r="F97" s="115">
        <v>300</v>
      </c>
      <c r="G97" s="148">
        <f>F97*E97</f>
        <v>474</v>
      </c>
    </row>
    <row r="98" spans="1:7" ht="12" customHeight="1">
      <c r="C98" s="118"/>
      <c r="D98" s="102"/>
      <c r="E98" s="169"/>
      <c r="F98" s="115"/>
      <c r="G98" s="102"/>
    </row>
    <row r="99" spans="1:7" ht="48" customHeight="1">
      <c r="A99" s="112" t="s">
        <v>801</v>
      </c>
      <c r="C99" s="118" t="s">
        <v>802</v>
      </c>
      <c r="D99" s="133" t="s">
        <v>790</v>
      </c>
      <c r="E99" s="169">
        <v>3</v>
      </c>
      <c r="F99" s="115">
        <v>100</v>
      </c>
      <c r="G99" s="148">
        <f>F99*E99</f>
        <v>300</v>
      </c>
    </row>
    <row r="100" spans="1:7" ht="12" customHeight="1">
      <c r="C100" s="118"/>
      <c r="D100" s="102"/>
      <c r="E100" s="169"/>
      <c r="F100" s="115"/>
      <c r="G100" s="102"/>
    </row>
    <row r="101" spans="1:7" ht="19.5" customHeight="1">
      <c r="A101" s="112" t="s">
        <v>803</v>
      </c>
      <c r="C101" s="118" t="s">
        <v>804</v>
      </c>
      <c r="D101" s="102" t="s">
        <v>780</v>
      </c>
      <c r="E101" s="168">
        <v>1</v>
      </c>
      <c r="F101" s="115">
        <v>100</v>
      </c>
      <c r="G101" s="148">
        <f>F101*E101</f>
        <v>100</v>
      </c>
    </row>
    <row r="102" spans="1:7" ht="12" customHeight="1">
      <c r="C102" s="118"/>
      <c r="D102" s="102"/>
      <c r="E102" s="169"/>
      <c r="F102" s="115"/>
      <c r="G102" s="102"/>
    </row>
    <row r="103" spans="1:7" ht="28.5" customHeight="1">
      <c r="A103" s="112" t="s">
        <v>805</v>
      </c>
      <c r="C103" s="118" t="s">
        <v>806</v>
      </c>
      <c r="D103" s="133" t="s">
        <v>790</v>
      </c>
      <c r="E103" s="169">
        <v>12</v>
      </c>
      <c r="F103" s="115">
        <v>20</v>
      </c>
      <c r="G103" s="148">
        <f>F103*E103</f>
        <v>240</v>
      </c>
    </row>
    <row r="104" spans="1:7" ht="15.75" customHeight="1">
      <c r="A104" s="112"/>
      <c r="C104" s="118"/>
      <c r="D104" s="146"/>
      <c r="E104" s="143"/>
      <c r="F104" s="115"/>
      <c r="G104" s="148"/>
    </row>
    <row r="105" spans="1:7" ht="24.75" customHeight="1">
      <c r="C105" s="163" t="s">
        <v>807</v>
      </c>
      <c r="D105" s="164"/>
      <c r="E105" s="165"/>
      <c r="F105" s="166"/>
      <c r="G105" s="167">
        <f>SUM(G79:G104)</f>
        <v>5434</v>
      </c>
    </row>
    <row r="106" spans="1:7" ht="28.5" customHeight="1">
      <c r="C106" s="118"/>
      <c r="E106" s="143"/>
      <c r="F106" s="134"/>
      <c r="G106" s="105"/>
    </row>
    <row r="107" spans="1:7" ht="28.5" customHeight="1">
      <c r="C107" s="768" t="s">
        <v>808</v>
      </c>
      <c r="D107" s="768"/>
      <c r="E107" s="768"/>
      <c r="F107" s="768"/>
      <c r="G107" s="768"/>
    </row>
    <row r="108" spans="1:7" ht="17.25" customHeight="1">
      <c r="C108" s="138"/>
      <c r="E108" s="111"/>
      <c r="F108" s="111"/>
      <c r="G108" s="111"/>
    </row>
    <row r="109" spans="1:7" ht="22.8">
      <c r="A109" s="112" t="s">
        <v>809</v>
      </c>
      <c r="C109" s="118" t="s">
        <v>810</v>
      </c>
      <c r="D109" s="146"/>
      <c r="E109" s="111"/>
      <c r="F109" s="115"/>
      <c r="G109" s="175"/>
    </row>
    <row r="110" spans="1:7">
      <c r="C110" s="176" t="s">
        <v>744</v>
      </c>
      <c r="D110" s="102" t="s">
        <v>345</v>
      </c>
      <c r="E110" s="103">
        <v>1</v>
      </c>
      <c r="F110" s="115">
        <v>50</v>
      </c>
      <c r="G110" s="148">
        <f>F110*E110</f>
        <v>50</v>
      </c>
    </row>
    <row r="111" spans="1:7" s="103" customFormat="1" ht="12" customHeight="1">
      <c r="A111" s="102"/>
      <c r="C111" s="118"/>
      <c r="D111" s="102"/>
      <c r="E111" s="169"/>
      <c r="F111" s="115"/>
      <c r="G111" s="102"/>
    </row>
    <row r="112" spans="1:7" s="111" customFormat="1" ht="45.6">
      <c r="A112" s="112" t="s">
        <v>811</v>
      </c>
      <c r="B112" s="103"/>
      <c r="C112" s="118" t="s">
        <v>812</v>
      </c>
      <c r="D112" s="133"/>
      <c r="E112" s="103"/>
      <c r="F112" s="103"/>
      <c r="G112" s="103"/>
    </row>
    <row r="113" spans="1:7" s="103" customFormat="1" ht="23.25" customHeight="1">
      <c r="A113" s="105"/>
      <c r="B113" s="111"/>
      <c r="C113" s="141" t="s">
        <v>813</v>
      </c>
      <c r="D113" s="102" t="s">
        <v>345</v>
      </c>
      <c r="E113" s="177">
        <v>1</v>
      </c>
      <c r="F113" s="115">
        <v>1</v>
      </c>
      <c r="G113" s="148">
        <f>F113*E113</f>
        <v>1</v>
      </c>
    </row>
    <row r="114" spans="1:7" ht="18" customHeight="1">
      <c r="A114" s="112"/>
      <c r="C114" s="141" t="s">
        <v>814</v>
      </c>
      <c r="D114" s="102"/>
      <c r="E114" s="103"/>
    </row>
    <row r="115" spans="1:7" ht="22.8">
      <c r="C115" s="118" t="s">
        <v>815</v>
      </c>
      <c r="D115" s="102"/>
      <c r="E115" s="150"/>
      <c r="F115" s="148"/>
      <c r="G115" s="148"/>
    </row>
    <row r="116" spans="1:7" s="103" customFormat="1" ht="12" customHeight="1">
      <c r="A116" s="102"/>
      <c r="C116" s="118"/>
      <c r="D116" s="102"/>
      <c r="E116" s="169"/>
      <c r="F116" s="115"/>
      <c r="G116" s="102"/>
    </row>
    <row r="117" spans="1:7" ht="57">
      <c r="A117" s="112" t="s">
        <v>816</v>
      </c>
      <c r="C117" s="118" t="s">
        <v>817</v>
      </c>
      <c r="D117" s="102"/>
      <c r="E117" s="103"/>
    </row>
    <row r="118" spans="1:7" ht="14.25" customHeight="1">
      <c r="A118" s="112"/>
      <c r="C118" s="178" t="s">
        <v>818</v>
      </c>
      <c r="D118" s="102" t="s">
        <v>748</v>
      </c>
      <c r="E118" s="103">
        <v>22</v>
      </c>
      <c r="F118" s="115">
        <v>60</v>
      </c>
      <c r="G118" s="148">
        <f>F118*E118</f>
        <v>1320</v>
      </c>
    </row>
    <row r="119" spans="1:7" ht="14.25" customHeight="1">
      <c r="A119" s="112"/>
      <c r="C119" s="178" t="s">
        <v>819</v>
      </c>
      <c r="D119" s="102" t="s">
        <v>748</v>
      </c>
      <c r="E119" s="103">
        <v>24</v>
      </c>
      <c r="F119" s="115">
        <v>50</v>
      </c>
      <c r="G119" s="148">
        <f>F119*E119</f>
        <v>1200</v>
      </c>
    </row>
    <row r="120" spans="1:7" ht="14.25" customHeight="1">
      <c r="A120" s="112"/>
      <c r="C120" s="178" t="s">
        <v>820</v>
      </c>
      <c r="D120" s="102" t="s">
        <v>748</v>
      </c>
      <c r="E120" s="103">
        <v>12</v>
      </c>
      <c r="F120" s="115">
        <v>40</v>
      </c>
      <c r="G120" s="148">
        <f>F120*E120</f>
        <v>480</v>
      </c>
    </row>
    <row r="121" spans="1:7" ht="12" customHeight="1">
      <c r="C121" s="118"/>
      <c r="D121" s="102"/>
      <c r="E121" s="169"/>
      <c r="F121" s="115"/>
      <c r="G121" s="102"/>
    </row>
    <row r="122" spans="1:7" ht="45.6">
      <c r="A122" s="112" t="s">
        <v>821</v>
      </c>
      <c r="C122" s="118" t="s">
        <v>822</v>
      </c>
      <c r="D122" s="102"/>
      <c r="E122" s="169"/>
    </row>
    <row r="123" spans="1:7" ht="33.75" customHeight="1">
      <c r="C123" s="118" t="s">
        <v>823</v>
      </c>
      <c r="D123" s="102" t="s">
        <v>780</v>
      </c>
      <c r="E123" s="168">
        <v>1</v>
      </c>
      <c r="F123" s="115">
        <v>1</v>
      </c>
      <c r="G123" s="148">
        <f>F123*E123</f>
        <v>1</v>
      </c>
    </row>
    <row r="124" spans="1:7" ht="22.8">
      <c r="C124" s="118" t="s">
        <v>815</v>
      </c>
      <c r="D124" s="102"/>
      <c r="E124" s="150"/>
      <c r="F124" s="148"/>
      <c r="G124" s="148"/>
    </row>
    <row r="125" spans="1:7" ht="12" customHeight="1">
      <c r="C125" s="118"/>
      <c r="D125" s="102"/>
      <c r="E125" s="169"/>
      <c r="F125" s="115"/>
      <c r="G125" s="102"/>
    </row>
    <row r="126" spans="1:7" s="141" customFormat="1" ht="44.25" customHeight="1">
      <c r="A126" s="112" t="s">
        <v>824</v>
      </c>
      <c r="B126" s="103"/>
      <c r="C126" s="118" t="s">
        <v>825</v>
      </c>
      <c r="D126" s="102" t="s">
        <v>780</v>
      </c>
      <c r="E126" s="168">
        <v>1</v>
      </c>
      <c r="F126" s="103">
        <v>250</v>
      </c>
      <c r="G126" s="148">
        <f>F126*E126</f>
        <v>250</v>
      </c>
    </row>
    <row r="127" spans="1:7" ht="12" customHeight="1">
      <c r="C127" s="118"/>
      <c r="D127" s="102"/>
      <c r="E127" s="169"/>
      <c r="F127" s="115"/>
      <c r="G127" s="102"/>
    </row>
    <row r="128" spans="1:7" ht="26.25" customHeight="1">
      <c r="A128" s="112" t="s">
        <v>826</v>
      </c>
      <c r="C128" s="118" t="s">
        <v>827</v>
      </c>
      <c r="D128" s="102"/>
      <c r="E128" s="168"/>
    </row>
    <row r="129" spans="1:7" s="141" customFormat="1" ht="18.75" customHeight="1">
      <c r="C129" s="141" t="s">
        <v>828</v>
      </c>
      <c r="D129" s="133" t="s">
        <v>345</v>
      </c>
      <c r="E129" s="179">
        <v>4</v>
      </c>
      <c r="F129" s="115">
        <v>80</v>
      </c>
      <c r="G129" s="148">
        <f>F129*E129</f>
        <v>320</v>
      </c>
    </row>
    <row r="130" spans="1:7" s="153" customFormat="1" ht="12" customHeight="1">
      <c r="A130" s="102"/>
      <c r="B130" s="103"/>
      <c r="C130" s="118"/>
      <c r="D130" s="102"/>
      <c r="E130" s="169"/>
      <c r="F130" s="115"/>
      <c r="G130" s="102"/>
    </row>
    <row r="131" spans="1:7" s="153" customFormat="1" ht="34.200000000000003">
      <c r="A131" s="112" t="s">
        <v>829</v>
      </c>
      <c r="B131" s="103"/>
      <c r="C131" s="118" t="s">
        <v>830</v>
      </c>
      <c r="D131" s="102"/>
      <c r="E131" s="168"/>
      <c r="F131" s="103"/>
      <c r="G131" s="103"/>
    </row>
    <row r="132" spans="1:7" s="152" customFormat="1" ht="18.75" customHeight="1">
      <c r="A132" s="141"/>
      <c r="B132" s="141"/>
      <c r="C132" s="141" t="s">
        <v>831</v>
      </c>
      <c r="D132" s="133" t="s">
        <v>345</v>
      </c>
      <c r="E132" s="179">
        <v>1</v>
      </c>
      <c r="F132" s="115">
        <v>250</v>
      </c>
      <c r="G132" s="148">
        <f>F132*E132</f>
        <v>250</v>
      </c>
    </row>
    <row r="133" spans="1:7" s="152" customFormat="1" ht="11.4">
      <c r="A133" s="122"/>
      <c r="B133" s="122"/>
      <c r="C133" s="122"/>
      <c r="D133" s="123"/>
      <c r="E133" s="121"/>
      <c r="F133" s="180"/>
      <c r="G133" s="122"/>
    </row>
    <row r="134" spans="1:7" s="152" customFormat="1" ht="149.4">
      <c r="A134" s="112" t="s">
        <v>832</v>
      </c>
      <c r="B134" s="181"/>
      <c r="C134" s="182" t="s">
        <v>833</v>
      </c>
      <c r="D134" s="123"/>
      <c r="E134" s="121"/>
      <c r="F134" s="180"/>
      <c r="G134" s="122"/>
    </row>
    <row r="135" spans="1:7" s="152" customFormat="1" ht="159.6">
      <c r="A135" s="181"/>
      <c r="B135" s="181"/>
      <c r="C135" s="182" t="s">
        <v>834</v>
      </c>
      <c r="D135" s="183"/>
      <c r="E135" s="184"/>
      <c r="F135" s="185"/>
      <c r="G135" s="185"/>
    </row>
    <row r="136" spans="1:7" s="152" customFormat="1" ht="79.8">
      <c r="A136" s="181"/>
      <c r="B136" s="181"/>
      <c r="C136" s="182" t="s">
        <v>835</v>
      </c>
      <c r="D136" s="183"/>
      <c r="E136" s="184"/>
      <c r="F136" s="185"/>
      <c r="G136" s="185"/>
    </row>
    <row r="137" spans="1:7" s="152" customFormat="1" ht="91.2">
      <c r="A137" s="181"/>
      <c r="B137" s="181"/>
      <c r="C137" s="182" t="s">
        <v>836</v>
      </c>
      <c r="D137" s="183"/>
      <c r="E137" s="184"/>
      <c r="F137" s="185"/>
      <c r="G137" s="185"/>
    </row>
    <row r="138" spans="1:7" s="152" customFormat="1" ht="18.75" customHeight="1">
      <c r="A138" s="181"/>
      <c r="B138" s="181"/>
      <c r="C138" s="182"/>
      <c r="D138" s="183"/>
      <c r="E138" s="184"/>
      <c r="F138" s="185"/>
      <c r="G138" s="185"/>
    </row>
    <row r="139" spans="1:7" s="152" customFormat="1" ht="102.6">
      <c r="A139" s="181"/>
      <c r="B139" s="181"/>
      <c r="C139" s="182" t="s">
        <v>837</v>
      </c>
      <c r="D139" s="183"/>
      <c r="E139" s="184"/>
      <c r="F139" s="185"/>
      <c r="G139" s="185"/>
    </row>
    <row r="140" spans="1:7" s="152" customFormat="1" ht="148.19999999999999">
      <c r="A140" s="181"/>
      <c r="B140" s="181"/>
      <c r="C140" s="182" t="s">
        <v>838</v>
      </c>
      <c r="D140" s="183"/>
      <c r="E140" s="184"/>
      <c r="F140" s="185"/>
      <c r="G140" s="185"/>
    </row>
    <row r="141" spans="1:7" s="152" customFormat="1" ht="148.19999999999999">
      <c r="A141" s="181"/>
      <c r="B141" s="181"/>
      <c r="C141" s="182" t="s">
        <v>839</v>
      </c>
      <c r="D141" s="183"/>
      <c r="E141" s="184"/>
      <c r="F141" s="185"/>
      <c r="G141" s="185"/>
    </row>
    <row r="142" spans="1:7" s="152" customFormat="1" ht="148.19999999999999">
      <c r="A142" s="181"/>
      <c r="B142" s="181"/>
      <c r="C142" s="182" t="s">
        <v>840</v>
      </c>
      <c r="D142" s="183"/>
      <c r="E142" s="184"/>
      <c r="F142" s="185"/>
      <c r="G142" s="185"/>
    </row>
    <row r="143" spans="1:7" s="152" customFormat="1" ht="102.6">
      <c r="A143" s="181"/>
      <c r="B143" s="181"/>
      <c r="C143" s="182" t="s">
        <v>841</v>
      </c>
      <c r="D143" s="183"/>
      <c r="E143" s="184"/>
      <c r="F143" s="185"/>
      <c r="G143" s="185"/>
    </row>
    <row r="144" spans="1:7" s="152" customFormat="1" ht="148.19999999999999">
      <c r="A144" s="181"/>
      <c r="B144" s="181"/>
      <c r="C144" s="182" t="s">
        <v>842</v>
      </c>
      <c r="D144" s="183"/>
      <c r="E144" s="184"/>
      <c r="F144" s="185"/>
      <c r="G144" s="185"/>
    </row>
    <row r="145" spans="3:7" s="152" customFormat="1" ht="114">
      <c r="C145" s="182" t="s">
        <v>843</v>
      </c>
      <c r="D145" s="186"/>
      <c r="E145" s="184"/>
      <c r="F145" s="185"/>
      <c r="G145" s="185"/>
    </row>
    <row r="146" spans="3:7" s="152" customFormat="1" ht="124.5" customHeight="1">
      <c r="C146" s="182" t="s">
        <v>844</v>
      </c>
      <c r="D146" s="183"/>
      <c r="E146" s="184"/>
      <c r="F146" s="185"/>
      <c r="G146" s="185"/>
    </row>
    <row r="147" spans="3:7" s="152" customFormat="1" ht="91.2">
      <c r="C147" s="182" t="s">
        <v>845</v>
      </c>
      <c r="D147" s="183"/>
      <c r="E147" s="184"/>
      <c r="F147" s="185"/>
      <c r="G147" s="185"/>
    </row>
    <row r="148" spans="3:7" s="152" customFormat="1" ht="45.6">
      <c r="C148" s="182" t="s">
        <v>846</v>
      </c>
      <c r="D148" s="183"/>
      <c r="E148" s="184"/>
      <c r="F148" s="185"/>
      <c r="G148" s="185"/>
    </row>
    <row r="149" spans="3:7" s="152" customFormat="1" ht="30.75" customHeight="1">
      <c r="C149" s="182"/>
      <c r="D149" s="183"/>
      <c r="E149" s="184"/>
      <c r="F149" s="185"/>
      <c r="G149" s="185"/>
    </row>
    <row r="150" spans="3:7" s="152" customFormat="1" ht="172.2">
      <c r="C150" s="188" t="s">
        <v>847</v>
      </c>
      <c r="D150" s="183"/>
      <c r="E150" s="184"/>
      <c r="F150" s="185"/>
      <c r="G150" s="185"/>
    </row>
    <row r="151" spans="3:7" s="152" customFormat="1" ht="207.75" customHeight="1">
      <c r="C151" s="182" t="s">
        <v>848</v>
      </c>
      <c r="D151" s="183"/>
      <c r="E151" s="184"/>
      <c r="F151" s="185"/>
      <c r="G151" s="185"/>
    </row>
    <row r="152" spans="3:7" s="153" customFormat="1" ht="207" customHeight="1">
      <c r="C152" s="182" t="s">
        <v>849</v>
      </c>
      <c r="D152" s="183"/>
      <c r="E152" s="184"/>
      <c r="F152" s="185"/>
      <c r="G152" s="185"/>
    </row>
    <row r="153" spans="3:7" s="189" customFormat="1" ht="107.25" customHeight="1">
      <c r="C153" s="182" t="s">
        <v>850</v>
      </c>
      <c r="D153" s="183"/>
      <c r="E153" s="184"/>
      <c r="F153" s="185"/>
      <c r="G153" s="185"/>
    </row>
    <row r="154" spans="3:7" s="153" customFormat="1" ht="11.4">
      <c r="C154" s="190" t="s">
        <v>851</v>
      </c>
      <c r="D154" s="183"/>
      <c r="E154" s="184"/>
      <c r="F154" s="185"/>
      <c r="G154" s="185"/>
    </row>
    <row r="155" spans="3:7" s="152" customFormat="1" ht="44.25" customHeight="1">
      <c r="C155" s="190" t="s">
        <v>852</v>
      </c>
      <c r="D155" s="191"/>
      <c r="E155" s="192"/>
      <c r="F155" s="120"/>
      <c r="G155" s="120"/>
    </row>
    <row r="156" spans="3:7" s="152" customFormat="1" ht="34.200000000000003">
      <c r="C156" s="190" t="s">
        <v>853</v>
      </c>
      <c r="D156" s="195"/>
      <c r="E156" s="184"/>
      <c r="F156" s="185"/>
      <c r="G156" s="185"/>
    </row>
    <row r="157" spans="3:7" s="122" customFormat="1" ht="18.75" customHeight="1">
      <c r="C157" s="182" t="s">
        <v>854</v>
      </c>
      <c r="D157" s="196"/>
      <c r="E157" s="197"/>
      <c r="F157" s="198"/>
      <c r="G157" s="198"/>
    </row>
    <row r="158" spans="3:7" s="152" customFormat="1" ht="11.4">
      <c r="C158" s="199"/>
      <c r="D158" s="183"/>
      <c r="E158" s="200"/>
    </row>
    <row r="159" spans="3:7" s="152" customFormat="1" ht="23.25" customHeight="1">
      <c r="C159" s="202" t="s">
        <v>855</v>
      </c>
      <c r="D159" s="130"/>
      <c r="E159" s="203"/>
      <c r="F159" s="204"/>
      <c r="G159" s="204"/>
    </row>
    <row r="160" spans="3:7" s="152" customFormat="1" ht="19.5" customHeight="1">
      <c r="C160" s="202" t="s">
        <v>856</v>
      </c>
      <c r="D160" s="186" t="s">
        <v>766</v>
      </c>
      <c r="E160" s="205">
        <v>1</v>
      </c>
      <c r="F160" s="206">
        <v>11000</v>
      </c>
      <c r="G160" s="148">
        <f>F160*E160</f>
        <v>11000</v>
      </c>
    </row>
    <row r="163" spans="1:7" s="152" customFormat="1" ht="171" customHeight="1">
      <c r="A163" s="112" t="s">
        <v>857</v>
      </c>
      <c r="B163" s="181"/>
      <c r="C163" s="182" t="s">
        <v>858</v>
      </c>
      <c r="D163" s="183"/>
      <c r="E163" s="184"/>
      <c r="F163" s="185"/>
      <c r="G163" s="185"/>
    </row>
    <row r="164" spans="1:7" s="152" customFormat="1" ht="64.5" customHeight="1">
      <c r="A164" s="181"/>
      <c r="B164" s="181"/>
      <c r="C164" s="182" t="s">
        <v>859</v>
      </c>
      <c r="D164" s="183"/>
      <c r="E164" s="184"/>
      <c r="F164" s="185"/>
      <c r="G164" s="185"/>
    </row>
    <row r="165" spans="1:7" s="152" customFormat="1" ht="250.8">
      <c r="A165" s="181"/>
      <c r="B165" s="181"/>
      <c r="C165" s="182" t="s">
        <v>860</v>
      </c>
      <c r="D165" s="209" t="s">
        <v>766</v>
      </c>
      <c r="E165" s="207">
        <v>1</v>
      </c>
      <c r="F165" s="185">
        <v>600</v>
      </c>
      <c r="G165" s="148">
        <f>F165*E165</f>
        <v>600</v>
      </c>
    </row>
    <row r="166" spans="1:7" s="152" customFormat="1" ht="11.4">
      <c r="A166" s="181"/>
      <c r="B166" s="181"/>
      <c r="C166" s="182"/>
      <c r="D166" s="186"/>
      <c r="E166" s="205"/>
      <c r="F166" s="185"/>
      <c r="G166" s="185"/>
    </row>
    <row r="167" spans="1:7" s="153" customFormat="1" ht="135" customHeight="1">
      <c r="A167" s="112" t="s">
        <v>861</v>
      </c>
      <c r="B167" s="181"/>
      <c r="C167" s="182" t="s">
        <v>862</v>
      </c>
      <c r="D167" s="186"/>
      <c r="E167" s="205"/>
      <c r="F167" s="185"/>
      <c r="G167" s="185"/>
    </row>
    <row r="168" spans="1:7" s="153" customFormat="1" ht="171">
      <c r="A168" s="181"/>
      <c r="B168" s="181"/>
      <c r="C168" s="182" t="s">
        <v>863</v>
      </c>
      <c r="D168" s="209" t="s">
        <v>766</v>
      </c>
      <c r="E168" s="207">
        <v>1</v>
      </c>
      <c r="F168" s="185">
        <v>1300</v>
      </c>
      <c r="G168" s="148">
        <f>F168*E168</f>
        <v>1300</v>
      </c>
    </row>
    <row r="169" spans="1:7" s="153" customFormat="1" ht="11.4">
      <c r="A169" s="181"/>
      <c r="B169" s="181"/>
      <c r="C169" s="182"/>
      <c r="D169" s="210"/>
      <c r="E169" s="185"/>
      <c r="F169" s="185"/>
      <c r="G169" s="185"/>
    </row>
    <row r="170" spans="1:7" ht="147" customHeight="1">
      <c r="A170" s="112" t="s">
        <v>864</v>
      </c>
      <c r="B170" s="211"/>
      <c r="C170" s="182" t="s">
        <v>865</v>
      </c>
      <c r="D170" s="210"/>
      <c r="E170" s="185"/>
      <c r="F170" s="185"/>
      <c r="G170" s="185"/>
    </row>
    <row r="171" spans="1:7" ht="103.2">
      <c r="A171" s="212"/>
      <c r="B171" s="211"/>
      <c r="C171" s="212" t="s">
        <v>866</v>
      </c>
      <c r="D171" s="210"/>
      <c r="E171" s="185"/>
      <c r="F171" s="185"/>
      <c r="G171" s="185"/>
    </row>
    <row r="172" spans="1:7" ht="51" customHeight="1">
      <c r="A172" s="181"/>
      <c r="B172" s="181"/>
      <c r="C172" s="182" t="s">
        <v>867</v>
      </c>
      <c r="D172" s="209" t="s">
        <v>766</v>
      </c>
      <c r="E172" s="207">
        <v>1</v>
      </c>
      <c r="F172" s="185">
        <v>1800</v>
      </c>
      <c r="G172" s="148">
        <f>F172*E172</f>
        <v>1800</v>
      </c>
    </row>
    <row r="173" spans="1:7" ht="23.25" customHeight="1">
      <c r="C173" s="118"/>
      <c r="E173" s="111"/>
      <c r="G173" s="175"/>
    </row>
    <row r="174" spans="1:7" ht="130.5" customHeight="1">
      <c r="A174" s="112" t="s">
        <v>868</v>
      </c>
      <c r="C174" s="118" t="s">
        <v>869</v>
      </c>
      <c r="E174" s="111"/>
      <c r="G174" s="102"/>
    </row>
    <row r="175" spans="1:7" ht="45.75" customHeight="1">
      <c r="C175" s="118" t="s">
        <v>870</v>
      </c>
      <c r="E175" s="111"/>
      <c r="G175" s="102"/>
    </row>
    <row r="176" spans="1:7" ht="21" customHeight="1">
      <c r="C176" s="118" t="s">
        <v>871</v>
      </c>
      <c r="D176" s="105" t="s">
        <v>780</v>
      </c>
      <c r="E176" s="207">
        <v>1</v>
      </c>
      <c r="F176" s="115">
        <v>3000</v>
      </c>
      <c r="G176" s="148">
        <f>F176*E176</f>
        <v>3000</v>
      </c>
    </row>
    <row r="178" spans="1:7">
      <c r="A178" s="112" t="s">
        <v>872</v>
      </c>
      <c r="C178" s="118" t="s">
        <v>873</v>
      </c>
      <c r="D178" s="105" t="s">
        <v>780</v>
      </c>
      <c r="E178" s="207">
        <v>1</v>
      </c>
      <c r="F178" s="115">
        <v>1500</v>
      </c>
      <c r="G178" s="148">
        <f>F178*E178</f>
        <v>1500</v>
      </c>
    </row>
    <row r="179" spans="1:7" ht="12" customHeight="1">
      <c r="C179" s="118"/>
      <c r="E179" s="207"/>
      <c r="F179" s="115"/>
      <c r="G179" s="102"/>
    </row>
    <row r="180" spans="1:7" s="141" customFormat="1" ht="114.6">
      <c r="A180" s="112" t="s">
        <v>874</v>
      </c>
      <c r="B180" s="103"/>
      <c r="C180" s="118" t="s">
        <v>875</v>
      </c>
      <c r="D180" s="102" t="s">
        <v>780</v>
      </c>
      <c r="E180" s="207">
        <v>2</v>
      </c>
      <c r="F180" s="115">
        <v>500</v>
      </c>
      <c r="G180" s="148">
        <f>F180*E180</f>
        <v>1000</v>
      </c>
    </row>
    <row r="181" spans="1:7" ht="12" customHeight="1">
      <c r="C181" s="118"/>
      <c r="E181" s="207"/>
      <c r="F181" s="115"/>
      <c r="G181" s="102"/>
    </row>
    <row r="182" spans="1:7" ht="22.8">
      <c r="A182" s="112" t="s">
        <v>876</v>
      </c>
      <c r="C182" s="118" t="s">
        <v>877</v>
      </c>
      <c r="E182" s="207"/>
      <c r="F182" s="115"/>
      <c r="G182" s="148"/>
    </row>
    <row r="183" spans="1:7" ht="27.75" customHeight="1">
      <c r="A183" s="141"/>
      <c r="B183" s="141"/>
      <c r="C183" s="118" t="s">
        <v>878</v>
      </c>
      <c r="D183" s="146" t="s">
        <v>345</v>
      </c>
      <c r="E183" s="207">
        <v>2</v>
      </c>
      <c r="F183" s="115">
        <v>50</v>
      </c>
      <c r="G183" s="148">
        <f>F183*E183</f>
        <v>100</v>
      </c>
    </row>
    <row r="184" spans="1:7" ht="12" customHeight="1">
      <c r="C184" s="118"/>
      <c r="E184" s="207"/>
      <c r="F184" s="115"/>
      <c r="G184" s="102"/>
    </row>
    <row r="185" spans="1:7" ht="75" customHeight="1">
      <c r="A185" s="112" t="s">
        <v>879</v>
      </c>
      <c r="C185" s="118" t="s">
        <v>880</v>
      </c>
      <c r="D185" s="102" t="s">
        <v>780</v>
      </c>
      <c r="E185" s="207">
        <v>1</v>
      </c>
      <c r="F185" s="115">
        <v>250</v>
      </c>
      <c r="G185" s="148">
        <f>F185*E185</f>
        <v>250</v>
      </c>
    </row>
    <row r="186" spans="1:7" ht="12" customHeight="1">
      <c r="C186" s="118"/>
      <c r="E186" s="207"/>
      <c r="F186" s="115"/>
      <c r="G186" s="102"/>
    </row>
    <row r="187" spans="1:7" ht="22.8">
      <c r="A187" s="112" t="s">
        <v>881</v>
      </c>
      <c r="C187" s="118" t="s">
        <v>882</v>
      </c>
      <c r="D187" s="102"/>
      <c r="E187" s="214"/>
      <c r="F187" s="115"/>
      <c r="G187" s="148"/>
    </row>
    <row r="188" spans="1:7" ht="12" customHeight="1">
      <c r="C188" s="118" t="s">
        <v>883</v>
      </c>
      <c r="D188" s="105" t="s">
        <v>345</v>
      </c>
      <c r="E188" s="207">
        <v>20</v>
      </c>
      <c r="F188" s="115">
        <v>30</v>
      </c>
      <c r="G188" s="148">
        <f>F188*E188</f>
        <v>600</v>
      </c>
    </row>
    <row r="189" spans="1:7" ht="12" customHeight="1">
      <c r="C189" s="118" t="s">
        <v>884</v>
      </c>
      <c r="D189" s="105" t="s">
        <v>345</v>
      </c>
      <c r="E189" s="207">
        <v>10</v>
      </c>
      <c r="F189" s="115">
        <v>100</v>
      </c>
      <c r="G189" s="148">
        <f>F189*E189</f>
        <v>1000</v>
      </c>
    </row>
    <row r="190" spans="1:7" ht="12" customHeight="1">
      <c r="C190" s="118" t="s">
        <v>885</v>
      </c>
      <c r="D190" s="105" t="s">
        <v>345</v>
      </c>
      <c r="E190" s="207">
        <v>5</v>
      </c>
      <c r="F190" s="115">
        <v>250</v>
      </c>
      <c r="G190" s="148">
        <f>F190*E190</f>
        <v>1250</v>
      </c>
    </row>
    <row r="191" spans="1:7" ht="12" customHeight="1">
      <c r="C191" s="118"/>
      <c r="E191" s="207"/>
      <c r="F191" s="115"/>
      <c r="G191" s="102"/>
    </row>
    <row r="192" spans="1:7" ht="45.6">
      <c r="A192" s="112" t="s">
        <v>886</v>
      </c>
      <c r="C192" s="118" t="s">
        <v>887</v>
      </c>
      <c r="F192" s="148"/>
      <c r="G192" s="148"/>
    </row>
    <row r="193" spans="1:7" ht="15" customHeight="1">
      <c r="A193" s="112"/>
      <c r="C193" s="178" t="s">
        <v>888</v>
      </c>
      <c r="D193" s="102" t="s">
        <v>780</v>
      </c>
      <c r="E193" s="207">
        <v>2</v>
      </c>
      <c r="F193" s="148">
        <v>50</v>
      </c>
      <c r="G193" s="148">
        <f>F193*E193</f>
        <v>100</v>
      </c>
    </row>
    <row r="194" spans="1:7" ht="15" customHeight="1">
      <c r="A194" s="112"/>
      <c r="C194" s="178" t="s">
        <v>889</v>
      </c>
      <c r="D194" s="102" t="s">
        <v>780</v>
      </c>
      <c r="E194" s="207">
        <v>1</v>
      </c>
      <c r="F194" s="148">
        <v>50</v>
      </c>
      <c r="G194" s="148">
        <f>F194*E194</f>
        <v>50</v>
      </c>
    </row>
    <row r="195" spans="1:7" ht="12" customHeight="1">
      <c r="C195" s="118"/>
      <c r="E195" s="207"/>
      <c r="F195" s="115"/>
      <c r="G195" s="102"/>
    </row>
    <row r="196" spans="1:7" ht="91.2">
      <c r="A196" s="112" t="s">
        <v>890</v>
      </c>
      <c r="C196" s="118" t="s">
        <v>891</v>
      </c>
      <c r="D196" s="102" t="s">
        <v>780</v>
      </c>
      <c r="E196" s="207">
        <v>1</v>
      </c>
      <c r="F196" s="148">
        <v>250</v>
      </c>
      <c r="G196" s="148">
        <f>F196*E196</f>
        <v>250</v>
      </c>
    </row>
    <row r="197" spans="1:7" ht="12" customHeight="1">
      <c r="C197" s="118"/>
      <c r="E197" s="207"/>
      <c r="F197" s="115"/>
      <c r="G197" s="102"/>
    </row>
    <row r="198" spans="1:7" ht="45" customHeight="1">
      <c r="A198" s="112" t="s">
        <v>892</v>
      </c>
      <c r="C198" s="118" t="s">
        <v>893</v>
      </c>
      <c r="D198" s="102" t="s">
        <v>780</v>
      </c>
      <c r="E198" s="207">
        <v>1</v>
      </c>
      <c r="F198" s="148">
        <v>500</v>
      </c>
      <c r="G198" s="148">
        <f>F198*E198</f>
        <v>500</v>
      </c>
    </row>
    <row r="199" spans="1:7" ht="12" customHeight="1">
      <c r="C199" s="118"/>
      <c r="E199" s="207"/>
      <c r="F199" s="115"/>
      <c r="G199" s="102"/>
    </row>
    <row r="200" spans="1:7" ht="62.25" customHeight="1">
      <c r="A200" s="112" t="s">
        <v>894</v>
      </c>
      <c r="C200" s="118" t="s">
        <v>895</v>
      </c>
      <c r="D200" s="102" t="s">
        <v>780</v>
      </c>
      <c r="E200" s="207">
        <v>1</v>
      </c>
      <c r="F200" s="115">
        <v>500</v>
      </c>
      <c r="G200" s="148">
        <f>F200*E200</f>
        <v>500</v>
      </c>
    </row>
    <row r="201" spans="1:7" ht="11.25" customHeight="1">
      <c r="E201" s="207"/>
      <c r="G201" s="175"/>
    </row>
    <row r="202" spans="1:7" ht="42" customHeight="1">
      <c r="A202" s="112" t="s">
        <v>896</v>
      </c>
      <c r="C202" s="118" t="s">
        <v>897</v>
      </c>
      <c r="D202" s="105" t="s">
        <v>898</v>
      </c>
      <c r="E202" s="207">
        <v>25</v>
      </c>
      <c r="F202" s="115">
        <v>25</v>
      </c>
      <c r="G202" s="148">
        <f>F202*E202</f>
        <v>625</v>
      </c>
    </row>
    <row r="203" spans="1:7" ht="19.5" customHeight="1">
      <c r="E203" s="207"/>
      <c r="G203" s="175"/>
    </row>
    <row r="204" spans="1:7">
      <c r="A204" s="112" t="s">
        <v>899</v>
      </c>
      <c r="C204" s="118" t="s">
        <v>772</v>
      </c>
      <c r="D204" s="105" t="s">
        <v>780</v>
      </c>
      <c r="E204" s="207">
        <v>1</v>
      </c>
      <c r="F204" s="115">
        <v>150</v>
      </c>
      <c r="G204" s="148">
        <f>F204*E204</f>
        <v>150</v>
      </c>
    </row>
    <row r="205" spans="1:7" ht="12" customHeight="1">
      <c r="C205" s="118"/>
      <c r="E205" s="207"/>
      <c r="F205" s="115"/>
      <c r="G205" s="102"/>
    </row>
    <row r="206" spans="1:7" ht="22.8">
      <c r="A206" s="112" t="s">
        <v>900</v>
      </c>
      <c r="C206" s="118" t="s">
        <v>901</v>
      </c>
      <c r="D206" s="105" t="s">
        <v>780</v>
      </c>
      <c r="E206" s="207">
        <v>1</v>
      </c>
      <c r="F206" s="115">
        <v>500</v>
      </c>
      <c r="G206" s="148">
        <f>F206*E206</f>
        <v>500</v>
      </c>
    </row>
    <row r="207" spans="1:7" ht="12" customHeight="1">
      <c r="C207" s="118"/>
      <c r="E207" s="207"/>
      <c r="F207" s="115"/>
      <c r="G207" s="102"/>
    </row>
    <row r="208" spans="1:7" ht="22.8">
      <c r="A208" s="112" t="s">
        <v>902</v>
      </c>
      <c r="C208" s="118" t="s">
        <v>774</v>
      </c>
      <c r="D208" s="102" t="s">
        <v>780</v>
      </c>
      <c r="E208" s="207">
        <v>1</v>
      </c>
      <c r="F208" s="115">
        <v>500</v>
      </c>
      <c r="G208" s="148">
        <f>F208*E208</f>
        <v>500</v>
      </c>
    </row>
    <row r="210" spans="1:7" ht="24.75" customHeight="1">
      <c r="C210" s="163" t="s">
        <v>903</v>
      </c>
      <c r="D210" s="164"/>
      <c r="E210" s="165"/>
      <c r="F210" s="166"/>
      <c r="G210" s="167">
        <f>SUM(G109:G209)</f>
        <v>30447</v>
      </c>
    </row>
    <row r="211" spans="1:7" s="174" customFormat="1" ht="23.25" customHeight="1">
      <c r="A211" s="102"/>
      <c r="B211" s="103"/>
      <c r="C211" s="118"/>
      <c r="D211" s="105"/>
      <c r="E211" s="215"/>
      <c r="F211" s="216"/>
      <c r="G211" s="216"/>
    </row>
    <row r="212" spans="1:7" s="153" customFormat="1" ht="40.5" customHeight="1">
      <c r="A212" s="112"/>
      <c r="B212" s="103"/>
      <c r="C212" s="113"/>
      <c r="D212" s="105"/>
      <c r="E212" s="114"/>
      <c r="F212" s="115"/>
      <c r="G212" s="102"/>
    </row>
    <row r="213" spans="1:7" s="153" customFormat="1" ht="28.5" customHeight="1">
      <c r="A213" s="112"/>
      <c r="B213" s="103"/>
      <c r="C213" s="775" t="s">
        <v>904</v>
      </c>
      <c r="D213" s="775"/>
      <c r="E213" s="775"/>
      <c r="F213" s="217"/>
      <c r="G213" s="171"/>
    </row>
    <row r="214" spans="1:7" s="174" customFormat="1" ht="27.75" customHeight="1">
      <c r="A214" s="112"/>
      <c r="B214" s="103"/>
      <c r="C214" s="118"/>
      <c r="D214" s="218"/>
      <c r="E214" s="219"/>
      <c r="F214" s="148"/>
      <c r="G214" s="148"/>
    </row>
    <row r="215" spans="1:7" s="174" customFormat="1" ht="57">
      <c r="A215" s="112" t="s">
        <v>905</v>
      </c>
      <c r="B215" s="181"/>
      <c r="C215" s="118" t="s">
        <v>906</v>
      </c>
      <c r="D215" s="153"/>
      <c r="E215" s="153"/>
      <c r="F215" s="220"/>
      <c r="G215" s="213"/>
    </row>
    <row r="216" spans="1:7" s="174" customFormat="1" ht="11.4">
      <c r="A216" s="153"/>
      <c r="B216" s="181"/>
      <c r="C216" s="118"/>
      <c r="D216" s="102" t="s">
        <v>766</v>
      </c>
      <c r="E216" s="207">
        <v>1</v>
      </c>
      <c r="F216" s="221">
        <v>100</v>
      </c>
      <c r="G216" s="148">
        <f>F216*E216</f>
        <v>100</v>
      </c>
    </row>
    <row r="217" spans="1:7" s="174" customFormat="1" ht="24.75" customHeight="1">
      <c r="A217" s="102"/>
      <c r="B217" s="103"/>
      <c r="C217" s="118"/>
      <c r="D217" s="102"/>
      <c r="E217" s="207"/>
      <c r="F217" s="134"/>
      <c r="G217" s="145"/>
    </row>
    <row r="218" spans="1:7" s="153" customFormat="1" ht="45.6">
      <c r="A218" s="112" t="s">
        <v>907</v>
      </c>
      <c r="B218" s="103"/>
      <c r="C218" s="118" t="s">
        <v>908</v>
      </c>
      <c r="D218" s="105"/>
      <c r="E218" s="145"/>
      <c r="F218" s="148"/>
      <c r="G218" s="148"/>
    </row>
    <row r="219" spans="1:7" s="153" customFormat="1" ht="11.4">
      <c r="A219" s="112"/>
      <c r="B219" s="103"/>
      <c r="C219" s="118"/>
      <c r="D219" s="102" t="s">
        <v>345</v>
      </c>
      <c r="E219" s="115">
        <v>2</v>
      </c>
      <c r="F219" s="148">
        <v>50</v>
      </c>
      <c r="G219" s="148">
        <f>F219*E219</f>
        <v>100</v>
      </c>
    </row>
    <row r="220" spans="1:7" s="153" customFormat="1" ht="24.75" customHeight="1">
      <c r="A220" s="102"/>
      <c r="B220" s="103"/>
      <c r="C220" s="118"/>
      <c r="D220" s="102"/>
      <c r="E220" s="207"/>
      <c r="F220" s="134"/>
      <c r="G220" s="145"/>
    </row>
    <row r="221" spans="1:7" s="174" customFormat="1" ht="102.6">
      <c r="A221" s="112" t="s">
        <v>909</v>
      </c>
      <c r="B221" s="181"/>
      <c r="C221" s="118" t="s">
        <v>910</v>
      </c>
      <c r="D221" s="102"/>
      <c r="E221" s="207"/>
      <c r="F221" s="221"/>
      <c r="G221" s="221"/>
    </row>
    <row r="222" spans="1:7" s="152" customFormat="1" ht="11.4">
      <c r="A222" s="112"/>
      <c r="B222" s="181"/>
      <c r="C222" s="118"/>
      <c r="D222" s="102"/>
      <c r="E222" s="207"/>
      <c r="F222" s="221"/>
      <c r="G222" s="221"/>
    </row>
    <row r="223" spans="1:7" s="152" customFormat="1" ht="52.8">
      <c r="A223" s="153"/>
      <c r="B223" s="222"/>
      <c r="C223" s="223" t="s">
        <v>911</v>
      </c>
      <c r="D223" s="102" t="s">
        <v>345</v>
      </c>
      <c r="E223" s="207">
        <v>1</v>
      </c>
      <c r="F223" s="120">
        <v>30</v>
      </c>
      <c r="G223" s="148">
        <f>F223*E223</f>
        <v>30</v>
      </c>
    </row>
    <row r="225" spans="1:7" s="152" customFormat="1" ht="150.75" customHeight="1">
      <c r="A225" s="112" t="s">
        <v>912</v>
      </c>
      <c r="B225" s="225"/>
      <c r="C225" s="118" t="s">
        <v>913</v>
      </c>
      <c r="D225" s="102"/>
      <c r="E225" s="207"/>
      <c r="F225" s="185"/>
      <c r="G225" s="185"/>
    </row>
    <row r="226" spans="1:7" s="153" customFormat="1" ht="11.4">
      <c r="A226" s="152"/>
      <c r="B226" s="225"/>
      <c r="C226" s="118" t="s">
        <v>914</v>
      </c>
      <c r="D226" s="102"/>
      <c r="E226" s="207"/>
      <c r="F226" s="185"/>
      <c r="G226" s="185"/>
    </row>
    <row r="227" spans="1:7" s="189" customFormat="1" ht="68.400000000000006">
      <c r="A227" s="224"/>
      <c r="B227" s="225"/>
      <c r="C227" s="118" t="s">
        <v>915</v>
      </c>
      <c r="D227" s="102"/>
      <c r="E227" s="207"/>
      <c r="F227" s="185"/>
      <c r="G227" s="185"/>
    </row>
    <row r="228" spans="1:7" s="152" customFormat="1" ht="11.4">
      <c r="A228" s="224"/>
      <c r="B228" s="225"/>
      <c r="C228" s="118" t="s">
        <v>916</v>
      </c>
      <c r="D228" s="102"/>
      <c r="E228" s="207"/>
      <c r="F228" s="185"/>
      <c r="G228" s="185"/>
    </row>
    <row r="229" spans="1:7" s="122" customFormat="1" ht="11.4">
      <c r="A229" s="120"/>
      <c r="B229" s="120"/>
      <c r="C229" s="118" t="s">
        <v>917</v>
      </c>
      <c r="D229" s="102"/>
      <c r="E229" s="207"/>
      <c r="F229" s="120"/>
      <c r="G229" s="120"/>
    </row>
    <row r="230" spans="1:7" s="122" customFormat="1" ht="11.4">
      <c r="A230" s="212"/>
      <c r="B230" s="211"/>
      <c r="C230" s="118"/>
      <c r="D230" s="102"/>
      <c r="E230" s="207"/>
      <c r="F230" s="185"/>
      <c r="G230" s="185"/>
    </row>
    <row r="231" spans="1:7" s="174" customFormat="1" ht="24.75" customHeight="1">
      <c r="A231" s="194"/>
      <c r="B231" s="201"/>
      <c r="C231" s="118" t="s">
        <v>855</v>
      </c>
      <c r="D231" s="102"/>
      <c r="E231" s="207"/>
      <c r="F231" s="204"/>
      <c r="G231" s="204"/>
    </row>
    <row r="232" spans="1:7" ht="24.75" customHeight="1">
      <c r="A232" s="194"/>
      <c r="B232" s="201"/>
      <c r="C232" s="118" t="s">
        <v>856</v>
      </c>
      <c r="D232" s="122"/>
      <c r="E232" s="122"/>
      <c r="F232" s="204"/>
      <c r="G232" s="204"/>
    </row>
    <row r="233" spans="1:7" ht="19.5" customHeight="1">
      <c r="A233" s="194"/>
      <c r="B233" s="201"/>
      <c r="C233" s="118"/>
      <c r="D233" s="102" t="s">
        <v>766</v>
      </c>
      <c r="E233" s="207">
        <v>1</v>
      </c>
      <c r="F233" s="204">
        <v>500</v>
      </c>
      <c r="G233" s="148">
        <f>F233*E233</f>
        <v>500</v>
      </c>
    </row>
    <row r="234" spans="1:7" s="152" customFormat="1" ht="15.75" customHeight="1">
      <c r="A234" s="102"/>
      <c r="B234" s="103"/>
      <c r="C234" s="118"/>
      <c r="D234" s="102"/>
      <c r="E234" s="207"/>
      <c r="F234" s="134"/>
      <c r="G234" s="145"/>
    </row>
    <row r="235" spans="1:7" s="122" customFormat="1" ht="59.25" customHeight="1">
      <c r="A235" s="112" t="s">
        <v>918</v>
      </c>
      <c r="B235" s="118"/>
      <c r="C235" s="118" t="s">
        <v>919</v>
      </c>
      <c r="D235" s="105"/>
      <c r="E235" s="145"/>
      <c r="F235" s="115"/>
      <c r="G235" s="148"/>
    </row>
    <row r="236" spans="1:7" s="174" customFormat="1" ht="11.4">
      <c r="A236" s="112"/>
      <c r="B236" s="118"/>
      <c r="C236" s="118"/>
      <c r="D236" s="102"/>
      <c r="E236" s="148"/>
      <c r="F236" s="115"/>
      <c r="G236" s="148"/>
    </row>
    <row r="237" spans="1:7" s="152" customFormat="1" ht="24.75" customHeight="1">
      <c r="A237" s="194"/>
      <c r="B237" s="201"/>
      <c r="C237" s="118" t="s">
        <v>855</v>
      </c>
      <c r="D237" s="102"/>
      <c r="E237" s="207"/>
      <c r="F237" s="204"/>
      <c r="G237" s="204"/>
    </row>
    <row r="238" spans="1:7" s="174" customFormat="1" ht="24.75" customHeight="1">
      <c r="A238" s="194"/>
      <c r="B238" s="201"/>
      <c r="C238" s="118" t="s">
        <v>856</v>
      </c>
      <c r="D238" s="122"/>
      <c r="E238" s="122"/>
      <c r="F238" s="204"/>
      <c r="G238" s="204"/>
    </row>
    <row r="239" spans="1:7" s="174" customFormat="1" ht="11.4">
      <c r="A239" s="102"/>
      <c r="B239" s="103"/>
      <c r="C239" s="118"/>
      <c r="D239" s="102" t="s">
        <v>766</v>
      </c>
      <c r="E239" s="207">
        <v>1</v>
      </c>
      <c r="F239" s="134">
        <v>850</v>
      </c>
      <c r="G239" s="148">
        <f>F239*E239</f>
        <v>850</v>
      </c>
    </row>
    <row r="241" spans="1:3" s="174" customFormat="1" ht="46.8">
      <c r="A241" s="112" t="s">
        <v>920</v>
      </c>
      <c r="B241" s="103"/>
      <c r="C241" s="227" t="s">
        <v>921</v>
      </c>
    </row>
    <row r="242" spans="1:3" s="174" customFormat="1" ht="11.4">
      <c r="A242" s="112"/>
      <c r="B242" s="103"/>
      <c r="C242" s="141" t="s">
        <v>922</v>
      </c>
    </row>
    <row r="243" spans="1:3" s="174" customFormat="1" ht="68.400000000000006">
      <c r="A243" s="112"/>
      <c r="B243" s="103"/>
      <c r="C243" s="141" t="s">
        <v>923</v>
      </c>
    </row>
    <row r="244" spans="1:3" s="174" customFormat="1" ht="22.8">
      <c r="A244" s="112"/>
      <c r="B244" s="103"/>
      <c r="C244" s="141" t="s">
        <v>924</v>
      </c>
    </row>
    <row r="245" spans="1:3" s="174" customFormat="1" ht="11.4">
      <c r="A245" s="112"/>
      <c r="B245" s="103"/>
      <c r="C245" s="141" t="s">
        <v>925</v>
      </c>
    </row>
    <row r="246" spans="1:3" s="174" customFormat="1" ht="11.4">
      <c r="A246" s="112"/>
      <c r="B246" s="103"/>
      <c r="C246" s="141" t="s">
        <v>926</v>
      </c>
    </row>
    <row r="247" spans="1:3" s="174" customFormat="1" ht="22.8">
      <c r="A247" s="112"/>
      <c r="B247" s="103"/>
      <c r="C247" s="141" t="s">
        <v>927</v>
      </c>
    </row>
    <row r="248" spans="1:3" s="174" customFormat="1" ht="22.8">
      <c r="A248" s="112"/>
      <c r="B248" s="103"/>
      <c r="C248" s="228" t="s">
        <v>928</v>
      </c>
    </row>
    <row r="249" spans="1:3" s="174" customFormat="1" ht="11.4">
      <c r="A249" s="112"/>
      <c r="B249" s="103"/>
      <c r="C249" s="229" t="s">
        <v>929</v>
      </c>
    </row>
    <row r="250" spans="1:3" s="174" customFormat="1" ht="11.4">
      <c r="A250" s="112"/>
      <c r="B250" s="103"/>
      <c r="C250" s="141" t="s">
        <v>930</v>
      </c>
    </row>
    <row r="251" spans="1:3" s="174" customFormat="1" ht="15.75" customHeight="1">
      <c r="A251" s="112"/>
      <c r="B251" s="103"/>
      <c r="C251" s="141" t="s">
        <v>931</v>
      </c>
    </row>
    <row r="252" spans="1:3" s="174" customFormat="1" ht="11.4">
      <c r="A252" s="112"/>
      <c r="B252" s="103"/>
      <c r="C252" s="141" t="s">
        <v>932</v>
      </c>
    </row>
    <row r="253" spans="1:3" s="174" customFormat="1" ht="24" customHeight="1">
      <c r="A253" s="112"/>
      <c r="B253" s="103"/>
      <c r="C253" s="141" t="s">
        <v>933</v>
      </c>
    </row>
    <row r="254" spans="1:3">
      <c r="A254" s="112"/>
      <c r="C254" s="141" t="s">
        <v>934</v>
      </c>
    </row>
    <row r="255" spans="1:3" s="152" customFormat="1" ht="15.75" customHeight="1">
      <c r="A255" s="112"/>
      <c r="B255" s="103"/>
      <c r="C255" s="141" t="s">
        <v>935</v>
      </c>
    </row>
    <row r="256" spans="1:3" s="122" customFormat="1" ht="22.8">
      <c r="A256" s="112"/>
      <c r="B256" s="103"/>
      <c r="C256" s="141" t="s">
        <v>936</v>
      </c>
    </row>
    <row r="258" spans="1:7" s="103" customFormat="1" ht="24.75" customHeight="1">
      <c r="A258" s="194"/>
      <c r="B258" s="201"/>
      <c r="C258" s="118" t="s">
        <v>855</v>
      </c>
      <c r="D258" s="102"/>
      <c r="E258" s="207"/>
      <c r="F258" s="204"/>
      <c r="G258" s="204"/>
    </row>
    <row r="259" spans="1:7" s="187" customFormat="1" ht="24.75" customHeight="1">
      <c r="A259" s="194"/>
      <c r="B259" s="201"/>
      <c r="C259" s="118" t="s">
        <v>856</v>
      </c>
      <c r="D259" s="122"/>
      <c r="E259" s="122"/>
      <c r="F259" s="204"/>
      <c r="G259" s="204"/>
    </row>
    <row r="260" spans="1:7" s="187" customFormat="1" ht="11.4">
      <c r="A260" s="102"/>
      <c r="B260" s="103"/>
      <c r="C260" s="118"/>
      <c r="D260" s="102" t="s">
        <v>766</v>
      </c>
      <c r="E260" s="207">
        <v>1</v>
      </c>
      <c r="F260" s="134">
        <v>1500</v>
      </c>
      <c r="G260" s="148">
        <f>F260*E260</f>
        <v>1500</v>
      </c>
    </row>
    <row r="261" spans="1:7" s="187" customFormat="1" ht="11.4">
      <c r="A261" s="112"/>
      <c r="B261" s="118"/>
      <c r="C261" s="118"/>
      <c r="D261" s="103"/>
      <c r="E261" s="115"/>
      <c r="F261" s="103"/>
      <c r="G261" s="103"/>
    </row>
    <row r="262" spans="1:7" s="187" customFormat="1" ht="68.400000000000006">
      <c r="A262" s="112" t="s">
        <v>937</v>
      </c>
      <c r="B262" s="230"/>
      <c r="C262" s="118" t="s">
        <v>938</v>
      </c>
      <c r="D262" s="102"/>
      <c r="E262" s="207"/>
      <c r="F262" s="231"/>
      <c r="G262" s="185"/>
    </row>
    <row r="263" spans="1:7" s="187" customFormat="1" ht="11.4">
      <c r="A263" s="152"/>
      <c r="B263" s="230"/>
      <c r="C263" s="118" t="s">
        <v>939</v>
      </c>
      <c r="D263" s="102"/>
      <c r="E263" s="207"/>
      <c r="F263" s="231"/>
      <c r="G263" s="185"/>
    </row>
    <row r="264" spans="1:7" s="187" customFormat="1" ht="11.4">
      <c r="A264" s="152"/>
      <c r="B264" s="230"/>
      <c r="C264" s="118" t="s">
        <v>940</v>
      </c>
      <c r="D264" s="102"/>
      <c r="E264" s="207"/>
      <c r="F264" s="231"/>
      <c r="G264" s="185"/>
    </row>
    <row r="265" spans="1:7" s="187" customFormat="1" ht="11.4">
      <c r="A265" s="152"/>
      <c r="B265" s="230"/>
      <c r="C265" s="118" t="s">
        <v>941</v>
      </c>
      <c r="D265" s="102"/>
      <c r="E265" s="207"/>
      <c r="F265" s="231"/>
      <c r="G265" s="185"/>
    </row>
    <row r="266" spans="1:7" s="193" customFormat="1" ht="11.4">
      <c r="A266" s="152"/>
      <c r="B266" s="230"/>
      <c r="C266" s="118" t="s">
        <v>942</v>
      </c>
      <c r="D266" s="102"/>
      <c r="E266" s="207"/>
      <c r="F266" s="231"/>
      <c r="G266" s="185"/>
    </row>
    <row r="267" spans="1:7" s="187" customFormat="1" ht="114">
      <c r="A267" s="152"/>
      <c r="B267" s="230"/>
      <c r="C267" s="118" t="s">
        <v>943</v>
      </c>
      <c r="D267" s="102"/>
      <c r="E267" s="207"/>
      <c r="F267" s="231"/>
      <c r="G267" s="185"/>
    </row>
    <row r="268" spans="1:7" s="187" customFormat="1" ht="11.4">
      <c r="A268" s="152"/>
      <c r="B268" s="230"/>
      <c r="C268" s="118"/>
      <c r="D268" s="102" t="s">
        <v>766</v>
      </c>
      <c r="E268" s="207">
        <v>1</v>
      </c>
      <c r="F268" s="221">
        <v>550</v>
      </c>
      <c r="G268" s="148">
        <f>F268*E268</f>
        <v>550</v>
      </c>
    </row>
    <row r="269" spans="1:7" s="187" customFormat="1" ht="11.4">
      <c r="A269" s="194"/>
      <c r="B269" s="201"/>
      <c r="C269" s="118"/>
      <c r="D269" s="102"/>
      <c r="E269" s="207"/>
      <c r="F269" s="221"/>
      <c r="G269" s="204"/>
    </row>
    <row r="270" spans="1:7" s="187" customFormat="1" ht="68.400000000000006">
      <c r="A270" s="112" t="s">
        <v>944</v>
      </c>
      <c r="B270" s="230"/>
      <c r="C270" s="118" t="s">
        <v>945</v>
      </c>
      <c r="D270" s="102"/>
      <c r="E270" s="207"/>
      <c r="F270" s="231"/>
      <c r="G270" s="185"/>
    </row>
    <row r="271" spans="1:7" s="187" customFormat="1" ht="11.4">
      <c r="A271" s="152"/>
      <c r="B271" s="230"/>
      <c r="C271" s="118" t="s">
        <v>939</v>
      </c>
      <c r="D271" s="102"/>
      <c r="E271" s="207"/>
      <c r="F271" s="231"/>
      <c r="G271" s="185"/>
    </row>
    <row r="272" spans="1:7" s="187" customFormat="1" ht="11.4">
      <c r="A272" s="152"/>
      <c r="B272" s="230"/>
      <c r="C272" s="118" t="s">
        <v>940</v>
      </c>
      <c r="D272" s="102"/>
      <c r="E272" s="207"/>
      <c r="F272" s="231"/>
      <c r="G272" s="185"/>
    </row>
    <row r="273" spans="1:7" s="187" customFormat="1" ht="11.4">
      <c r="A273" s="152"/>
      <c r="B273" s="230"/>
      <c r="C273" s="118" t="s">
        <v>941</v>
      </c>
      <c r="D273" s="102"/>
      <c r="E273" s="207"/>
      <c r="F273" s="231"/>
      <c r="G273" s="185"/>
    </row>
    <row r="274" spans="1:7" s="153" customFormat="1" ht="11.4">
      <c r="A274" s="152"/>
      <c r="B274" s="230"/>
      <c r="C274" s="118" t="s">
        <v>942</v>
      </c>
      <c r="D274" s="102"/>
      <c r="E274" s="207"/>
      <c r="F274" s="231"/>
      <c r="G274" s="185"/>
    </row>
    <row r="275" spans="1:7" s="153" customFormat="1" ht="102.6">
      <c r="A275" s="152"/>
      <c r="B275" s="230"/>
      <c r="C275" s="118" t="s">
        <v>946</v>
      </c>
      <c r="D275" s="102"/>
      <c r="E275" s="207"/>
      <c r="F275" s="221"/>
      <c r="G275" s="185"/>
    </row>
    <row r="276" spans="1:7" s="152" customFormat="1" ht="11.4">
      <c r="B276" s="230"/>
      <c r="C276" s="118"/>
      <c r="D276" s="102" t="s">
        <v>766</v>
      </c>
      <c r="E276" s="207">
        <v>1</v>
      </c>
      <c r="F276" s="221">
        <v>550</v>
      </c>
      <c r="G276" s="148">
        <f>F276*E276</f>
        <v>550</v>
      </c>
    </row>
    <row r="277" spans="1:7" s="152" customFormat="1" ht="11.4">
      <c r="A277" s="224"/>
      <c r="B277" s="230"/>
      <c r="C277" s="118"/>
      <c r="D277" s="102"/>
      <c r="E277" s="207"/>
      <c r="F277" s="232"/>
      <c r="G277" s="185"/>
    </row>
    <row r="278" spans="1:7" s="152" customFormat="1" ht="11.4">
      <c r="A278" s="224"/>
      <c r="B278" s="230"/>
      <c r="C278" s="118"/>
      <c r="D278" s="102"/>
      <c r="E278" s="207"/>
      <c r="F278" s="232"/>
      <c r="G278" s="185"/>
    </row>
    <row r="279" spans="1:7" s="152" customFormat="1" ht="92.25" customHeight="1">
      <c r="A279" s="112" t="s">
        <v>947</v>
      </c>
      <c r="B279" s="230"/>
      <c r="C279" s="118" t="s">
        <v>948</v>
      </c>
      <c r="D279" s="105"/>
      <c r="E279" s="207"/>
      <c r="F279" s="226"/>
    </row>
    <row r="280" spans="1:7" s="152" customFormat="1" ht="11.4">
      <c r="B280" s="230"/>
      <c r="C280" s="118" t="s">
        <v>949</v>
      </c>
      <c r="D280" s="105"/>
      <c r="E280" s="207"/>
      <c r="F280" s="226"/>
    </row>
    <row r="281" spans="1:7" s="152" customFormat="1" ht="11.4">
      <c r="B281" s="230"/>
      <c r="C281" s="118" t="s">
        <v>950</v>
      </c>
      <c r="D281" s="105"/>
      <c r="E281" s="207"/>
      <c r="F281" s="226"/>
    </row>
    <row r="282" spans="1:7" s="152" customFormat="1" ht="11.4">
      <c r="B282" s="230"/>
      <c r="C282" s="118" t="s">
        <v>951</v>
      </c>
      <c r="D282" s="105"/>
      <c r="E282" s="207"/>
      <c r="F282" s="226"/>
      <c r="G282" s="193"/>
    </row>
    <row r="283" spans="1:7" s="152" customFormat="1" ht="11.4">
      <c r="B283" s="230"/>
      <c r="C283" s="118" t="s">
        <v>952</v>
      </c>
      <c r="D283" s="105"/>
      <c r="E283" s="207"/>
      <c r="F283" s="226"/>
      <c r="G283" s="193"/>
    </row>
    <row r="284" spans="1:7" s="122" customFormat="1" ht="11.4">
      <c r="A284" s="152"/>
      <c r="B284" s="230"/>
      <c r="C284" s="118" t="s">
        <v>953</v>
      </c>
      <c r="D284" s="105"/>
      <c r="E284" s="207"/>
      <c r="F284" s="226"/>
      <c r="G284" s="193"/>
    </row>
    <row r="285" spans="1:7" s="152" customFormat="1" ht="11.4">
      <c r="A285" s="194"/>
      <c r="B285" s="194"/>
      <c r="C285" s="199"/>
      <c r="D285" s="105"/>
      <c r="E285" s="207"/>
      <c r="F285" s="231"/>
      <c r="G285" s="193"/>
    </row>
    <row r="286" spans="1:7" s="193" customFormat="1" ht="24.75" customHeight="1">
      <c r="A286" s="194"/>
      <c r="B286" s="201"/>
      <c r="C286" s="118" t="s">
        <v>855</v>
      </c>
      <c r="D286" s="102"/>
      <c r="E286" s="207"/>
      <c r="F286" s="204"/>
      <c r="G286" s="204"/>
    </row>
    <row r="287" spans="1:7" s="152" customFormat="1" ht="24.75" customHeight="1">
      <c r="A287" s="194"/>
      <c r="B287" s="201"/>
      <c r="C287" s="118" t="s">
        <v>856</v>
      </c>
      <c r="D287" s="122"/>
      <c r="E287" s="122"/>
      <c r="F287" s="204"/>
      <c r="G287" s="204"/>
    </row>
    <row r="288" spans="1:7" s="152" customFormat="1" ht="11.4">
      <c r="B288" s="230"/>
      <c r="C288" s="146" t="s">
        <v>954</v>
      </c>
      <c r="D288" s="105" t="s">
        <v>345</v>
      </c>
      <c r="E288" s="207">
        <v>2</v>
      </c>
      <c r="F288" s="226">
        <v>1200</v>
      </c>
      <c r="G288" s="148">
        <f>F288*E288</f>
        <v>2400</v>
      </c>
    </row>
    <row r="290" spans="1:7" s="152" customFormat="1" ht="90.75" customHeight="1">
      <c r="A290" s="112" t="s">
        <v>955</v>
      </c>
      <c r="B290" s="230"/>
      <c r="C290" s="118" t="s">
        <v>956</v>
      </c>
      <c r="D290" s="105"/>
      <c r="E290" s="207"/>
      <c r="F290" s="226"/>
    </row>
    <row r="291" spans="1:7" s="152" customFormat="1" ht="11.4">
      <c r="B291" s="230"/>
      <c r="C291" s="118" t="s">
        <v>949</v>
      </c>
      <c r="D291" s="105"/>
      <c r="E291" s="207"/>
      <c r="F291" s="226"/>
    </row>
    <row r="292" spans="1:7" s="152" customFormat="1" ht="11.4">
      <c r="B292" s="230"/>
      <c r="C292" s="118" t="s">
        <v>950</v>
      </c>
      <c r="D292" s="105"/>
      <c r="E292" s="207"/>
      <c r="F292" s="226"/>
    </row>
    <row r="293" spans="1:7" s="152" customFormat="1" ht="11.4">
      <c r="B293" s="230"/>
      <c r="C293" s="118" t="s">
        <v>951</v>
      </c>
      <c r="D293" s="105"/>
      <c r="E293" s="207"/>
      <c r="F293" s="226"/>
      <c r="G293" s="193"/>
    </row>
    <row r="294" spans="1:7" s="152" customFormat="1" ht="11.4">
      <c r="B294" s="230"/>
      <c r="C294" s="118" t="s">
        <v>952</v>
      </c>
      <c r="D294" s="105"/>
      <c r="E294" s="207"/>
      <c r="F294" s="226"/>
      <c r="G294" s="193"/>
    </row>
    <row r="295" spans="1:7" s="122" customFormat="1" ht="11.4">
      <c r="A295" s="152"/>
      <c r="B295" s="230"/>
      <c r="C295" s="118" t="s">
        <v>953</v>
      </c>
      <c r="D295" s="105"/>
      <c r="E295" s="207"/>
      <c r="F295" s="226"/>
      <c r="G295" s="193"/>
    </row>
    <row r="296" spans="1:7" s="152" customFormat="1" ht="11.4">
      <c r="A296" s="194"/>
      <c r="B296" s="194"/>
      <c r="C296" s="118"/>
      <c r="D296" s="234"/>
      <c r="E296" s="207"/>
      <c r="F296" s="231"/>
      <c r="G296" s="193"/>
    </row>
    <row r="297" spans="1:7" s="152" customFormat="1" ht="24.75" customHeight="1">
      <c r="A297" s="194"/>
      <c r="B297" s="201"/>
      <c r="C297" s="118" t="s">
        <v>855</v>
      </c>
      <c r="D297" s="102"/>
      <c r="E297" s="207"/>
      <c r="F297" s="204"/>
      <c r="G297" s="204"/>
    </row>
    <row r="298" spans="1:7" s="152" customFormat="1" ht="24.75" customHeight="1">
      <c r="A298" s="194"/>
      <c r="B298" s="201"/>
      <c r="C298" s="118" t="s">
        <v>856</v>
      </c>
      <c r="D298" s="122"/>
      <c r="E298" s="122"/>
      <c r="F298" s="204"/>
      <c r="G298" s="204"/>
    </row>
    <row r="299" spans="1:7" s="152" customFormat="1" ht="11.4">
      <c r="B299" s="230"/>
      <c r="C299" s="146" t="s">
        <v>954</v>
      </c>
      <c r="D299" s="105" t="s">
        <v>345</v>
      </c>
      <c r="E299" s="207">
        <v>2</v>
      </c>
      <c r="F299" s="226">
        <v>1200</v>
      </c>
      <c r="G299" s="148">
        <f>F299*E299</f>
        <v>2400</v>
      </c>
    </row>
    <row r="300" spans="1:7" s="152" customFormat="1" ht="11.4">
      <c r="B300" s="230"/>
      <c r="C300" s="118"/>
      <c r="D300" s="105"/>
      <c r="E300" s="235"/>
      <c r="F300" s="226"/>
      <c r="G300" s="226"/>
    </row>
    <row r="301" spans="1:7" s="152" customFormat="1" ht="91.5" customHeight="1">
      <c r="A301" s="112" t="s">
        <v>957</v>
      </c>
      <c r="B301" s="230"/>
      <c r="C301" s="118" t="s">
        <v>958</v>
      </c>
      <c r="D301" s="105"/>
      <c r="E301" s="235"/>
      <c r="F301" s="226"/>
    </row>
    <row r="302" spans="1:7" s="152" customFormat="1" ht="11.4">
      <c r="B302" s="230"/>
      <c r="C302" s="118" t="s">
        <v>959</v>
      </c>
      <c r="D302" s="105"/>
      <c r="E302" s="235"/>
      <c r="F302" s="226"/>
    </row>
    <row r="303" spans="1:7" s="152" customFormat="1" ht="11.4">
      <c r="B303" s="230"/>
      <c r="C303" s="118" t="s">
        <v>960</v>
      </c>
      <c r="D303" s="105"/>
      <c r="E303" s="235"/>
      <c r="F303" s="226"/>
    </row>
    <row r="304" spans="1:7" s="152" customFormat="1" ht="11.4">
      <c r="B304" s="230"/>
      <c r="C304" s="118" t="s">
        <v>961</v>
      </c>
      <c r="D304" s="105"/>
      <c r="E304" s="207"/>
      <c r="F304" s="226"/>
      <c r="G304" s="193"/>
    </row>
    <row r="305" spans="1:7" s="152" customFormat="1" ht="11.4">
      <c r="B305" s="230"/>
      <c r="C305" s="118" t="s">
        <v>952</v>
      </c>
      <c r="D305" s="105"/>
      <c r="E305" s="207"/>
      <c r="F305" s="226"/>
      <c r="G305" s="193"/>
    </row>
    <row r="306" spans="1:7" s="122" customFormat="1" ht="11.4">
      <c r="A306" s="152"/>
      <c r="B306" s="230"/>
      <c r="C306" s="118" t="s">
        <v>953</v>
      </c>
      <c r="D306" s="105"/>
      <c r="E306" s="207"/>
      <c r="F306" s="226"/>
      <c r="G306" s="193"/>
    </row>
    <row r="307" spans="1:7" s="152" customFormat="1" ht="11.4">
      <c r="A307" s="194"/>
      <c r="B307" s="194"/>
      <c r="C307" s="118"/>
      <c r="D307" s="105"/>
      <c r="E307" s="207"/>
      <c r="F307" s="231"/>
      <c r="G307" s="193"/>
    </row>
    <row r="308" spans="1:7" s="152" customFormat="1" ht="24.75" customHeight="1">
      <c r="A308" s="194"/>
      <c r="B308" s="201"/>
      <c r="C308" s="118" t="s">
        <v>855</v>
      </c>
      <c r="D308" s="105"/>
      <c r="E308" s="207"/>
      <c r="F308" s="204"/>
      <c r="G308" s="204"/>
    </row>
    <row r="309" spans="1:7" s="152" customFormat="1" ht="24.75" customHeight="1">
      <c r="A309" s="194"/>
      <c r="B309" s="201"/>
      <c r="C309" s="118" t="s">
        <v>856</v>
      </c>
      <c r="D309" s="105"/>
      <c r="E309" s="207"/>
      <c r="F309" s="204"/>
      <c r="G309" s="204"/>
    </row>
    <row r="310" spans="1:7" s="152" customFormat="1" ht="11.4">
      <c r="B310" s="230"/>
      <c r="C310" s="146" t="s">
        <v>954</v>
      </c>
      <c r="D310" s="105" t="s">
        <v>345</v>
      </c>
      <c r="E310" s="207">
        <v>2</v>
      </c>
      <c r="F310" s="226">
        <v>700</v>
      </c>
      <c r="G310" s="148">
        <f>F310*E310</f>
        <v>1400</v>
      </c>
    </row>
    <row r="311" spans="1:7" s="152" customFormat="1" ht="11.4">
      <c r="B311" s="230"/>
      <c r="C311" s="118"/>
      <c r="D311" s="105"/>
      <c r="E311" s="207"/>
      <c r="F311" s="226"/>
      <c r="G311" s="226"/>
    </row>
    <row r="312" spans="1:7" s="152" customFormat="1" ht="93" customHeight="1">
      <c r="A312" s="112" t="s">
        <v>962</v>
      </c>
      <c r="B312" s="230"/>
      <c r="C312" s="118" t="s">
        <v>963</v>
      </c>
      <c r="D312" s="105"/>
      <c r="E312" s="207"/>
      <c r="F312" s="226"/>
    </row>
    <row r="313" spans="1:7" s="152" customFormat="1" ht="11.4">
      <c r="B313" s="230"/>
      <c r="C313" s="118" t="s">
        <v>959</v>
      </c>
      <c r="D313" s="105"/>
      <c r="E313" s="207"/>
      <c r="F313" s="226"/>
    </row>
    <row r="314" spans="1:7" s="152" customFormat="1" ht="11.4">
      <c r="B314" s="230"/>
      <c r="C314" s="118" t="s">
        <v>960</v>
      </c>
      <c r="D314" s="105"/>
      <c r="E314" s="207"/>
      <c r="F314" s="226"/>
    </row>
    <row r="315" spans="1:7" s="152" customFormat="1" ht="11.4">
      <c r="B315" s="230"/>
      <c r="C315" s="118" t="s">
        <v>961</v>
      </c>
      <c r="D315" s="105"/>
      <c r="E315" s="207"/>
      <c r="F315" s="226"/>
      <c r="G315" s="193"/>
    </row>
    <row r="316" spans="1:7" s="152" customFormat="1" ht="11.4">
      <c r="B316" s="230"/>
      <c r="C316" s="118" t="s">
        <v>952</v>
      </c>
      <c r="D316" s="105"/>
      <c r="E316" s="207"/>
      <c r="F316" s="226"/>
      <c r="G316" s="193"/>
    </row>
    <row r="317" spans="1:7" s="122" customFormat="1" ht="11.4">
      <c r="A317" s="152"/>
      <c r="B317" s="230"/>
      <c r="C317" s="118" t="s">
        <v>964</v>
      </c>
      <c r="D317" s="105"/>
      <c r="E317" s="207"/>
      <c r="F317" s="226"/>
      <c r="G317" s="193"/>
    </row>
    <row r="318" spans="1:7" s="152" customFormat="1" ht="11.4">
      <c r="A318" s="194"/>
      <c r="B318" s="194"/>
      <c r="C318" s="118"/>
      <c r="D318" s="105"/>
      <c r="E318" s="207"/>
      <c r="F318" s="231"/>
      <c r="G318" s="193"/>
    </row>
    <row r="319" spans="1:7" s="193" customFormat="1" ht="24.75" customHeight="1">
      <c r="A319" s="194"/>
      <c r="B319" s="201"/>
      <c r="C319" s="118" t="s">
        <v>855</v>
      </c>
      <c r="D319" s="105"/>
      <c r="E319" s="207"/>
      <c r="F319" s="204"/>
      <c r="G319" s="204"/>
    </row>
    <row r="320" spans="1:7" s="152" customFormat="1" ht="24.75" customHeight="1">
      <c r="A320" s="194"/>
      <c r="B320" s="201"/>
      <c r="C320" s="118" t="s">
        <v>856</v>
      </c>
      <c r="D320" s="105"/>
      <c r="E320" s="207"/>
      <c r="F320" s="204"/>
      <c r="G320" s="204"/>
    </row>
    <row r="321" spans="1:7" s="152" customFormat="1" ht="11.4">
      <c r="B321" s="230"/>
      <c r="C321" s="146"/>
      <c r="D321" s="105" t="s">
        <v>345</v>
      </c>
      <c r="E321" s="207">
        <v>1</v>
      </c>
      <c r="F321" s="226">
        <v>800</v>
      </c>
      <c r="G321" s="148">
        <f>F321*E321</f>
        <v>800</v>
      </c>
    </row>
    <row r="322" spans="1:7" s="152" customFormat="1" ht="28.5" customHeight="1">
      <c r="A322" s="194"/>
      <c r="B322" s="201"/>
      <c r="C322" s="118"/>
      <c r="D322" s="105"/>
      <c r="E322" s="207"/>
      <c r="F322" s="231"/>
      <c r="G322" s="204"/>
    </row>
    <row r="323" spans="1:7" s="152" customFormat="1" ht="102" customHeight="1">
      <c r="A323" s="112" t="s">
        <v>965</v>
      </c>
      <c r="B323" s="230"/>
      <c r="C323" s="118" t="s">
        <v>966</v>
      </c>
      <c r="D323" s="105"/>
      <c r="E323" s="207"/>
      <c r="F323" s="226"/>
    </row>
    <row r="324" spans="1:7" s="152" customFormat="1" ht="11.4">
      <c r="B324" s="230"/>
      <c r="C324" s="118" t="s">
        <v>967</v>
      </c>
      <c r="D324" s="105"/>
      <c r="E324" s="207"/>
      <c r="F324" s="226"/>
    </row>
    <row r="325" spans="1:7" s="152" customFormat="1" ht="11.4">
      <c r="B325" s="230"/>
      <c r="C325" s="118" t="s">
        <v>968</v>
      </c>
      <c r="D325" s="105"/>
      <c r="E325" s="207"/>
      <c r="F325" s="226"/>
    </row>
    <row r="326" spans="1:7" s="152" customFormat="1" ht="11.4">
      <c r="B326" s="230"/>
      <c r="C326" s="118" t="s">
        <v>969</v>
      </c>
      <c r="D326" s="105"/>
      <c r="E326" s="207"/>
      <c r="F326" s="226"/>
      <c r="G326" s="193"/>
    </row>
    <row r="327" spans="1:7" s="152" customFormat="1" ht="11.4">
      <c r="B327" s="230"/>
      <c r="C327" s="118" t="s">
        <v>952</v>
      </c>
      <c r="D327" s="105"/>
      <c r="E327" s="207"/>
      <c r="F327" s="226"/>
      <c r="G327" s="193"/>
    </row>
    <row r="328" spans="1:7" s="122" customFormat="1" ht="11.4">
      <c r="A328" s="152"/>
      <c r="B328" s="230"/>
      <c r="C328" s="118" t="s">
        <v>970</v>
      </c>
      <c r="D328" s="105"/>
      <c r="E328" s="207"/>
      <c r="F328" s="226"/>
      <c r="G328" s="193"/>
    </row>
    <row r="329" spans="1:7" s="152" customFormat="1" ht="11.4">
      <c r="A329" s="194"/>
      <c r="B329" s="194"/>
      <c r="C329" s="118"/>
      <c r="D329" s="105"/>
      <c r="E329" s="207"/>
      <c r="F329" s="231"/>
      <c r="G329" s="193"/>
    </row>
    <row r="330" spans="1:7" s="152" customFormat="1" ht="24.75" customHeight="1">
      <c r="A330" s="194"/>
      <c r="B330" s="201"/>
      <c r="C330" s="118" t="s">
        <v>855</v>
      </c>
      <c r="D330" s="105"/>
      <c r="E330" s="207"/>
      <c r="F330" s="204"/>
      <c r="G330" s="204"/>
    </row>
    <row r="331" spans="1:7" s="152" customFormat="1" ht="24.75" customHeight="1">
      <c r="A331" s="194"/>
      <c r="B331" s="201"/>
      <c r="C331" s="118" t="s">
        <v>856</v>
      </c>
      <c r="D331" s="105"/>
      <c r="E331" s="207"/>
      <c r="F331" s="204"/>
      <c r="G331" s="204"/>
    </row>
    <row r="332" spans="1:7" s="224" customFormat="1" ht="11.4">
      <c r="A332" s="152"/>
      <c r="B332" s="230"/>
      <c r="C332" s="146"/>
      <c r="D332" s="105" t="s">
        <v>345</v>
      </c>
      <c r="E332" s="207">
        <v>1</v>
      </c>
      <c r="F332" s="226">
        <v>500</v>
      </c>
      <c r="G332" s="148">
        <f>F332*E332</f>
        <v>500</v>
      </c>
    </row>
    <row r="333" spans="1:7" s="224" customFormat="1" ht="11.4">
      <c r="A333" s="152"/>
      <c r="B333" s="230"/>
      <c r="C333" s="118"/>
      <c r="D333" s="105"/>
      <c r="E333" s="207"/>
      <c r="F333" s="226"/>
      <c r="G333" s="226"/>
    </row>
    <row r="334" spans="1:7" s="224" customFormat="1" ht="34.200000000000003">
      <c r="A334" s="112" t="s">
        <v>971</v>
      </c>
      <c r="B334" s="230"/>
      <c r="C334" s="118" t="s">
        <v>972</v>
      </c>
      <c r="D334" s="105"/>
      <c r="E334" s="207"/>
      <c r="F334" s="185"/>
      <c r="G334" s="231"/>
    </row>
    <row r="335" spans="1:7" s="152" customFormat="1" ht="11.4">
      <c r="A335" s="224"/>
      <c r="B335" s="120"/>
      <c r="C335" s="118" t="s">
        <v>973</v>
      </c>
      <c r="D335" s="105" t="s">
        <v>345</v>
      </c>
      <c r="E335" s="207">
        <v>12</v>
      </c>
      <c r="F335" s="185">
        <v>40</v>
      </c>
      <c r="G335" s="148">
        <f>F335*E335</f>
        <v>480</v>
      </c>
    </row>
    <row r="336" spans="1:7" s="153" customFormat="1" ht="11.4">
      <c r="A336" s="224"/>
      <c r="B336" s="120"/>
      <c r="C336" s="118" t="s">
        <v>974</v>
      </c>
      <c r="D336" s="105" t="s">
        <v>345</v>
      </c>
      <c r="E336" s="207">
        <v>4</v>
      </c>
      <c r="F336" s="185">
        <v>30</v>
      </c>
      <c r="G336" s="148">
        <f>F336*E336</f>
        <v>120</v>
      </c>
    </row>
    <row r="337" spans="1:7" s="153" customFormat="1" ht="11.4">
      <c r="A337" s="224"/>
      <c r="B337" s="120"/>
      <c r="C337" s="118" t="s">
        <v>975</v>
      </c>
      <c r="D337" s="105" t="s">
        <v>345</v>
      </c>
      <c r="E337" s="207">
        <v>4</v>
      </c>
      <c r="F337" s="185">
        <v>20</v>
      </c>
      <c r="G337" s="148">
        <f>F337*E337</f>
        <v>80</v>
      </c>
    </row>
    <row r="338" spans="1:7" s="153" customFormat="1" ht="11.4">
      <c r="A338" s="152"/>
      <c r="B338" s="225"/>
      <c r="C338" s="118"/>
      <c r="D338" s="105"/>
      <c r="E338" s="207"/>
      <c r="F338" s="226"/>
      <c r="G338" s="231"/>
    </row>
    <row r="339" spans="1:7" s="153" customFormat="1" ht="79.8">
      <c r="A339" s="112" t="s">
        <v>976</v>
      </c>
      <c r="B339" s="236"/>
      <c r="C339" s="118" t="s">
        <v>977</v>
      </c>
      <c r="D339" s="105"/>
      <c r="E339" s="207"/>
      <c r="F339" s="185"/>
      <c r="G339" s="185"/>
    </row>
    <row r="340" spans="1:7" s="153" customFormat="1" ht="11.4">
      <c r="A340" s="212"/>
      <c r="B340" s="236"/>
      <c r="C340" s="118" t="s">
        <v>978</v>
      </c>
      <c r="D340" s="105"/>
      <c r="E340" s="207"/>
      <c r="F340" s="185"/>
      <c r="G340" s="185"/>
    </row>
    <row r="341" spans="1:7" s="153" customFormat="1" ht="11.4">
      <c r="A341" s="212"/>
      <c r="B341" s="236"/>
      <c r="C341" s="118" t="s">
        <v>979</v>
      </c>
      <c r="D341" s="105"/>
      <c r="E341" s="207"/>
      <c r="F341" s="185"/>
      <c r="G341" s="185"/>
    </row>
    <row r="342" spans="1:7" s="153" customFormat="1" ht="11.4">
      <c r="A342" s="212"/>
      <c r="B342" s="236"/>
      <c r="C342" s="118" t="s">
        <v>980</v>
      </c>
      <c r="D342" s="105"/>
      <c r="E342" s="207"/>
      <c r="F342" s="185"/>
      <c r="G342" s="185"/>
    </row>
    <row r="343" spans="1:7" s="153" customFormat="1" ht="11.4">
      <c r="A343" s="212"/>
      <c r="B343" s="236"/>
      <c r="C343" s="118" t="s">
        <v>981</v>
      </c>
      <c r="D343" s="105" t="s">
        <v>766</v>
      </c>
      <c r="E343" s="207">
        <v>2</v>
      </c>
      <c r="F343" s="185">
        <v>550</v>
      </c>
      <c r="G343" s="148">
        <f>F343*E343</f>
        <v>1100</v>
      </c>
    </row>
    <row r="344" spans="1:7" s="153" customFormat="1" ht="11.4">
      <c r="A344" s="212"/>
      <c r="B344" s="211"/>
      <c r="C344" s="118"/>
      <c r="F344" s="185"/>
      <c r="G344" s="231"/>
    </row>
    <row r="345" spans="1:7" s="153" customFormat="1" ht="82.5" customHeight="1">
      <c r="A345" s="112" t="s">
        <v>982</v>
      </c>
      <c r="B345" s="236"/>
      <c r="C345" s="118" t="s">
        <v>983</v>
      </c>
      <c r="D345" s="234"/>
      <c r="E345" s="235"/>
      <c r="F345" s="185"/>
      <c r="G345" s="185"/>
    </row>
    <row r="346" spans="1:7" s="153" customFormat="1" ht="11.4">
      <c r="A346" s="212"/>
      <c r="B346" s="236"/>
      <c r="C346" s="118" t="s">
        <v>984</v>
      </c>
      <c r="D346" s="234"/>
      <c r="E346" s="235"/>
      <c r="F346" s="185"/>
      <c r="G346" s="185"/>
    </row>
    <row r="347" spans="1:7" s="224" customFormat="1" ht="11.4">
      <c r="A347" s="212"/>
      <c r="B347" s="236"/>
      <c r="C347" s="118" t="s">
        <v>979</v>
      </c>
      <c r="D347" s="105"/>
      <c r="E347" s="207"/>
      <c r="F347" s="185"/>
      <c r="G347" s="185"/>
    </row>
    <row r="348" spans="1:7">
      <c r="A348" s="212"/>
      <c r="B348" s="236"/>
      <c r="C348" s="118" t="s">
        <v>985</v>
      </c>
      <c r="E348" s="207"/>
      <c r="F348" s="185"/>
      <c r="G348" s="185"/>
    </row>
    <row r="349" spans="1:7">
      <c r="A349" s="212"/>
      <c r="B349" s="236"/>
      <c r="C349" s="118" t="s">
        <v>986</v>
      </c>
      <c r="D349" s="105" t="s">
        <v>766</v>
      </c>
      <c r="E349" s="207">
        <v>1</v>
      </c>
      <c r="F349" s="185">
        <v>350</v>
      </c>
      <c r="G349" s="148">
        <f>F349*E349</f>
        <v>350</v>
      </c>
    </row>
    <row r="350" spans="1:7">
      <c r="A350" s="152"/>
      <c r="B350" s="230"/>
      <c r="C350" s="118"/>
      <c r="E350" s="207"/>
      <c r="F350" s="185"/>
      <c r="G350" s="185"/>
    </row>
    <row r="351" spans="1:7" ht="45.6">
      <c r="A351" s="112" t="s">
        <v>987</v>
      </c>
      <c r="C351" s="118" t="s">
        <v>988</v>
      </c>
      <c r="E351" s="215"/>
      <c r="F351" s="148"/>
      <c r="G351" s="102"/>
    </row>
    <row r="352" spans="1:7">
      <c r="A352" s="112"/>
      <c r="C352" s="141" t="s">
        <v>989</v>
      </c>
      <c r="E352" s="215"/>
      <c r="F352" s="148"/>
      <c r="G352" s="102"/>
    </row>
    <row r="353" spans="1:7" s="224" customFormat="1" ht="11.4">
      <c r="A353" s="112"/>
      <c r="B353" s="103"/>
      <c r="C353" s="141" t="s">
        <v>990</v>
      </c>
      <c r="D353" s="105" t="s">
        <v>780</v>
      </c>
      <c r="E353" s="207">
        <v>2</v>
      </c>
      <c r="F353" s="148">
        <v>50</v>
      </c>
      <c r="G353" s="148">
        <f>F353*E353</f>
        <v>100</v>
      </c>
    </row>
    <row r="354" spans="1:7">
      <c r="A354" s="112"/>
      <c r="C354" s="141" t="s">
        <v>991</v>
      </c>
      <c r="E354" s="207"/>
      <c r="F354" s="148"/>
      <c r="G354" s="102"/>
    </row>
    <row r="355" spans="1:7">
      <c r="A355" s="112"/>
      <c r="C355" s="141" t="s">
        <v>992</v>
      </c>
      <c r="D355" s="105" t="s">
        <v>780</v>
      </c>
      <c r="E355" s="207">
        <v>1</v>
      </c>
      <c r="F355" s="148">
        <v>50</v>
      </c>
      <c r="G355" s="148">
        <f>F355*E355</f>
        <v>50</v>
      </c>
    </row>
    <row r="356" spans="1:7" s="152" customFormat="1" ht="11.4">
      <c r="B356" s="230"/>
      <c r="C356" s="118"/>
      <c r="D356" s="105"/>
      <c r="E356" s="207"/>
      <c r="F356" s="185"/>
      <c r="G356" s="185"/>
    </row>
    <row r="357" spans="1:7" s="152" customFormat="1" ht="22.8">
      <c r="A357" s="112" t="s">
        <v>993</v>
      </c>
      <c r="B357" s="103"/>
      <c r="C357" s="118" t="s">
        <v>994</v>
      </c>
      <c r="D357" s="105"/>
      <c r="E357" s="207"/>
      <c r="F357" s="148"/>
      <c r="G357" s="102"/>
    </row>
    <row r="358" spans="1:7" s="121" customFormat="1" ht="11.4">
      <c r="A358" s="103"/>
      <c r="B358" s="103"/>
      <c r="C358" s="178" t="s">
        <v>995</v>
      </c>
      <c r="D358" s="105" t="s">
        <v>345</v>
      </c>
      <c r="E358" s="207">
        <v>3</v>
      </c>
      <c r="F358" s="148">
        <v>150</v>
      </c>
      <c r="G358" s="148">
        <f>F358*E358</f>
        <v>450</v>
      </c>
    </row>
    <row r="359" spans="1:7" s="189" customFormat="1" ht="11.4">
      <c r="A359" s="152"/>
      <c r="B359" s="225"/>
      <c r="C359" s="118"/>
      <c r="D359" s="105"/>
      <c r="E359" s="207"/>
      <c r="F359" s="226"/>
      <c r="G359" s="231"/>
    </row>
    <row r="360" spans="1:7" s="152" customFormat="1" ht="22.8">
      <c r="A360" s="112" t="s">
        <v>996</v>
      </c>
      <c r="B360" s="230"/>
      <c r="C360" s="118" t="s">
        <v>997</v>
      </c>
      <c r="D360" s="105"/>
      <c r="E360" s="207"/>
      <c r="F360" s="185"/>
      <c r="G360" s="185"/>
    </row>
    <row r="361" spans="1:7" s="152" customFormat="1" ht="91.2">
      <c r="B361" s="230"/>
      <c r="C361" s="118" t="s">
        <v>998</v>
      </c>
      <c r="D361" s="102" t="s">
        <v>345</v>
      </c>
      <c r="E361" s="207">
        <v>10</v>
      </c>
      <c r="F361" s="185">
        <v>150</v>
      </c>
      <c r="G361" s="148">
        <f>F361*E361</f>
        <v>1500</v>
      </c>
    </row>
    <row r="362" spans="1:7" s="152" customFormat="1" ht="11.4">
      <c r="B362" s="230"/>
      <c r="C362" s="118"/>
      <c r="D362" s="105"/>
      <c r="E362" s="207"/>
      <c r="F362" s="185"/>
      <c r="G362" s="185"/>
    </row>
    <row r="363" spans="1:7" s="174" customFormat="1" ht="57">
      <c r="A363" s="112" t="s">
        <v>999</v>
      </c>
      <c r="B363" s="230"/>
      <c r="C363" s="118" t="s">
        <v>1000</v>
      </c>
      <c r="D363" s="105"/>
      <c r="E363" s="207"/>
      <c r="F363" s="185"/>
      <c r="G363" s="185"/>
    </row>
    <row r="364" spans="1:7" s="174" customFormat="1" ht="11.4">
      <c r="A364" s="152"/>
      <c r="B364" s="230"/>
      <c r="C364" s="118"/>
      <c r="D364" s="105" t="s">
        <v>345</v>
      </c>
      <c r="E364" s="207">
        <v>12</v>
      </c>
      <c r="F364" s="185">
        <v>100</v>
      </c>
      <c r="G364" s="148">
        <f>F364*E364</f>
        <v>1200</v>
      </c>
    </row>
    <row r="365" spans="1:7" s="174" customFormat="1" ht="20.25" customHeight="1">
      <c r="A365" s="152"/>
      <c r="B365" s="230"/>
      <c r="C365" s="118"/>
      <c r="D365" s="105"/>
      <c r="E365" s="207"/>
      <c r="F365" s="185"/>
      <c r="G365" s="185"/>
    </row>
    <row r="366" spans="1:7" s="152" customFormat="1" ht="91.2">
      <c r="A366" s="112" t="s">
        <v>1001</v>
      </c>
      <c r="B366" s="103"/>
      <c r="C366" s="118" t="s">
        <v>1002</v>
      </c>
      <c r="D366" s="103"/>
      <c r="E366" s="148"/>
      <c r="F366" s="115"/>
      <c r="G366" s="102"/>
    </row>
    <row r="367" spans="1:7" s="122" customFormat="1" ht="18" customHeight="1">
      <c r="A367" s="112"/>
      <c r="B367" s="103"/>
      <c r="C367" s="141" t="s">
        <v>1003</v>
      </c>
      <c r="D367" s="103"/>
      <c r="E367" s="148"/>
      <c r="F367" s="115"/>
      <c r="G367" s="102"/>
    </row>
    <row r="368" spans="1:7" s="174" customFormat="1" ht="33" customHeight="1">
      <c r="A368" s="112"/>
      <c r="B368" s="103"/>
      <c r="C368" s="141" t="s">
        <v>1004</v>
      </c>
      <c r="D368" s="102"/>
      <c r="E368" s="148"/>
      <c r="F368" s="115"/>
      <c r="G368" s="148"/>
    </row>
    <row r="369" spans="1:7" s="174" customFormat="1" ht="24.75" customHeight="1">
      <c r="A369" s="194"/>
      <c r="B369" s="201"/>
      <c r="C369" s="118" t="s">
        <v>855</v>
      </c>
      <c r="D369" s="105"/>
      <c r="E369" s="207"/>
      <c r="F369" s="204"/>
      <c r="G369" s="204"/>
    </row>
    <row r="370" spans="1:7" s="174" customFormat="1" ht="19.5" customHeight="1">
      <c r="A370" s="194"/>
      <c r="B370" s="201"/>
      <c r="C370" s="118" t="s">
        <v>856</v>
      </c>
      <c r="D370" s="102" t="s">
        <v>766</v>
      </c>
      <c r="E370" s="207">
        <v>1</v>
      </c>
      <c r="F370" s="204">
        <v>300</v>
      </c>
      <c r="G370" s="148">
        <f>F370*E370</f>
        <v>300</v>
      </c>
    </row>
    <row r="371" spans="1:7" s="174" customFormat="1" ht="12" customHeight="1">
      <c r="A371" s="112"/>
      <c r="B371" s="103"/>
      <c r="C371" s="141"/>
      <c r="D371" s="103"/>
      <c r="E371" s="115"/>
      <c r="F371" s="115"/>
      <c r="G371" s="103"/>
    </row>
    <row r="372" spans="1:7" s="153" customFormat="1" ht="68.400000000000006">
      <c r="A372" s="112" t="s">
        <v>1005</v>
      </c>
      <c r="B372" s="103"/>
      <c r="C372" s="118" t="s">
        <v>1006</v>
      </c>
      <c r="D372" s="103"/>
      <c r="E372" s="148"/>
      <c r="F372" s="115"/>
      <c r="G372" s="102"/>
    </row>
    <row r="373" spans="1:7" s="153" customFormat="1" ht="11.4">
      <c r="A373" s="112"/>
      <c r="B373" s="103"/>
      <c r="C373" s="141" t="s">
        <v>1003</v>
      </c>
      <c r="D373" s="102" t="s">
        <v>345</v>
      </c>
      <c r="E373" s="148">
        <v>2</v>
      </c>
      <c r="F373" s="115">
        <v>300</v>
      </c>
      <c r="G373" s="148">
        <f>F373*E373</f>
        <v>600</v>
      </c>
    </row>
    <row r="374" spans="1:7" s="153" customFormat="1" ht="12" customHeight="1">
      <c r="A374" s="112"/>
      <c r="B374" s="103"/>
      <c r="C374" s="141"/>
      <c r="D374" s="103"/>
      <c r="E374" s="115"/>
      <c r="F374" s="115"/>
      <c r="G374" s="103"/>
    </row>
    <row r="375" spans="1:7" s="153" customFormat="1" ht="57">
      <c r="A375" s="112" t="s">
        <v>1007</v>
      </c>
      <c r="B375" s="222"/>
      <c r="C375" s="118" t="s">
        <v>1008</v>
      </c>
      <c r="D375" s="105"/>
      <c r="E375" s="207"/>
      <c r="F375" s="221"/>
      <c r="G375" s="221"/>
    </row>
    <row r="376" spans="1:7" s="174" customFormat="1" ht="11.4">
      <c r="A376" s="189"/>
      <c r="B376" s="222"/>
      <c r="C376" s="118" t="s">
        <v>1009</v>
      </c>
      <c r="D376" s="105" t="s">
        <v>345</v>
      </c>
      <c r="E376" s="207">
        <v>2</v>
      </c>
      <c r="F376" s="185">
        <v>50</v>
      </c>
      <c r="G376" s="148">
        <f>F376*E376</f>
        <v>100</v>
      </c>
    </row>
    <row r="377" spans="1:7" s="153" customFormat="1" ht="11.4">
      <c r="A377" s="189"/>
      <c r="B377" s="222"/>
      <c r="C377" s="118" t="s">
        <v>1010</v>
      </c>
      <c r="D377" s="105" t="s">
        <v>345</v>
      </c>
      <c r="E377" s="207">
        <v>1</v>
      </c>
      <c r="F377" s="185">
        <v>40</v>
      </c>
      <c r="G377" s="148">
        <f>F377*E377</f>
        <v>40</v>
      </c>
    </row>
    <row r="378" spans="1:7" s="153" customFormat="1" ht="11.4">
      <c r="A378" s="189"/>
      <c r="B378" s="222"/>
      <c r="C378" s="118" t="s">
        <v>1011</v>
      </c>
      <c r="D378" s="105" t="s">
        <v>345</v>
      </c>
      <c r="E378" s="207">
        <v>1</v>
      </c>
      <c r="F378" s="185">
        <v>30</v>
      </c>
      <c r="G378" s="148">
        <f>F378*E378</f>
        <v>30</v>
      </c>
    </row>
    <row r="379" spans="1:7" s="153" customFormat="1" ht="12" customHeight="1">
      <c r="A379" s="112"/>
      <c r="B379" s="103"/>
      <c r="C379" s="141"/>
      <c r="D379" s="103"/>
      <c r="E379" s="115"/>
      <c r="F379" s="115"/>
      <c r="G379" s="103"/>
    </row>
    <row r="380" spans="1:7" s="153" customFormat="1" ht="45.6">
      <c r="A380" s="112" t="s">
        <v>1012</v>
      </c>
      <c r="B380" s="222"/>
      <c r="C380" s="118" t="s">
        <v>1013</v>
      </c>
      <c r="D380" s="105"/>
      <c r="E380" s="207"/>
      <c r="F380" s="221"/>
      <c r="G380" s="221"/>
    </row>
    <row r="381" spans="1:7" s="153" customFormat="1" ht="11.4">
      <c r="A381" s="189"/>
      <c r="B381" s="222"/>
      <c r="C381" s="118" t="s">
        <v>1014</v>
      </c>
      <c r="D381" s="105" t="s">
        <v>345</v>
      </c>
      <c r="E381" s="207">
        <v>11</v>
      </c>
      <c r="F381" s="221">
        <v>50</v>
      </c>
      <c r="G381" s="148">
        <f>F381*E381</f>
        <v>550</v>
      </c>
    </row>
    <row r="382" spans="1:7" s="174" customFormat="1" ht="11.4">
      <c r="A382" s="189"/>
      <c r="B382" s="222"/>
      <c r="C382" s="118" t="s">
        <v>1015</v>
      </c>
      <c r="D382" s="105" t="s">
        <v>345</v>
      </c>
      <c r="E382" s="207">
        <v>8</v>
      </c>
      <c r="F382" s="185">
        <v>40</v>
      </c>
      <c r="G382" s="148">
        <f>F382*E382</f>
        <v>320</v>
      </c>
    </row>
    <row r="383" spans="1:7" s="189" customFormat="1" ht="11.4">
      <c r="B383" s="222"/>
      <c r="C383" s="118" t="s">
        <v>1016</v>
      </c>
      <c r="D383" s="105" t="s">
        <v>345</v>
      </c>
      <c r="E383" s="207">
        <v>3</v>
      </c>
      <c r="F383" s="185">
        <v>30</v>
      </c>
      <c r="G383" s="148">
        <f>F383*E383</f>
        <v>90</v>
      </c>
    </row>
    <row r="384" spans="1:7" s="153" customFormat="1" ht="11.4">
      <c r="A384" s="189"/>
      <c r="B384" s="222"/>
      <c r="C384" s="118" t="s">
        <v>1011</v>
      </c>
      <c r="D384" s="105" t="s">
        <v>345</v>
      </c>
      <c r="E384" s="207">
        <v>4</v>
      </c>
      <c r="F384" s="185">
        <v>25</v>
      </c>
      <c r="G384" s="148">
        <f>F384*E384</f>
        <v>100</v>
      </c>
    </row>
    <row r="386" spans="1:7" s="153" customFormat="1" ht="45.6">
      <c r="A386" s="112" t="s">
        <v>1017</v>
      </c>
      <c r="B386" s="230"/>
      <c r="C386" s="118" t="s">
        <v>1018</v>
      </c>
      <c r="D386" s="105"/>
      <c r="E386" s="207"/>
      <c r="F386" s="185"/>
      <c r="G386" s="185"/>
    </row>
    <row r="387" spans="1:7" s="174" customFormat="1" ht="11.4">
      <c r="A387" s="189"/>
      <c r="B387" s="222"/>
      <c r="C387" s="118" t="s">
        <v>1009</v>
      </c>
      <c r="D387" s="105" t="s">
        <v>345</v>
      </c>
      <c r="E387" s="207">
        <v>2</v>
      </c>
      <c r="F387" s="185">
        <v>300</v>
      </c>
      <c r="G387" s="148">
        <f>F387*E387</f>
        <v>600</v>
      </c>
    </row>
    <row r="388" spans="1:7">
      <c r="A388" s="189"/>
      <c r="B388" s="222"/>
      <c r="C388" s="118" t="s">
        <v>1010</v>
      </c>
      <c r="D388" s="105" t="s">
        <v>345</v>
      </c>
      <c r="E388" s="207">
        <v>1</v>
      </c>
      <c r="F388" s="185">
        <v>25</v>
      </c>
      <c r="G388" s="148">
        <f>F388*E388</f>
        <v>25</v>
      </c>
    </row>
    <row r="389" spans="1:7" s="153" customFormat="1" ht="11.4">
      <c r="A389" s="189"/>
      <c r="B389" s="222"/>
      <c r="C389" s="118" t="s">
        <v>1011</v>
      </c>
      <c r="D389" s="105" t="s">
        <v>345</v>
      </c>
      <c r="E389" s="207">
        <v>1</v>
      </c>
      <c r="F389" s="185">
        <v>200</v>
      </c>
      <c r="G389" s="148">
        <f>F389*E389</f>
        <v>200</v>
      </c>
    </row>
    <row r="390" spans="1:7" s="153" customFormat="1" ht="12" customHeight="1">
      <c r="A390" s="112"/>
      <c r="B390" s="103"/>
      <c r="C390" s="141"/>
      <c r="D390" s="103"/>
      <c r="E390" s="115"/>
      <c r="F390" s="115"/>
      <c r="G390" s="103"/>
    </row>
    <row r="391" spans="1:7" s="153" customFormat="1" ht="57.75" customHeight="1">
      <c r="A391" s="112" t="s">
        <v>1019</v>
      </c>
      <c r="B391" s="103"/>
      <c r="C391" s="178" t="s">
        <v>1020</v>
      </c>
      <c r="D391" s="105"/>
      <c r="E391" s="237"/>
      <c r="F391" s="102"/>
      <c r="G391" s="149"/>
    </row>
    <row r="392" spans="1:7" s="174" customFormat="1" ht="11.4">
      <c r="A392" s="189"/>
      <c r="B392" s="222"/>
      <c r="C392" s="118" t="s">
        <v>1009</v>
      </c>
      <c r="D392" s="105" t="s">
        <v>345</v>
      </c>
      <c r="E392" s="207">
        <v>4</v>
      </c>
      <c r="F392" s="185">
        <v>40</v>
      </c>
      <c r="G392" s="148">
        <f>F392*E392</f>
        <v>160</v>
      </c>
    </row>
    <row r="393" spans="1:7">
      <c r="A393" s="189"/>
      <c r="B393" s="222"/>
      <c r="C393" s="118" t="s">
        <v>1010</v>
      </c>
      <c r="D393" s="105" t="s">
        <v>345</v>
      </c>
      <c r="E393" s="207">
        <v>1</v>
      </c>
      <c r="F393" s="185">
        <v>30</v>
      </c>
      <c r="G393" s="148">
        <f>F393*E393</f>
        <v>30</v>
      </c>
    </row>
    <row r="394" spans="1:7">
      <c r="A394" s="189"/>
      <c r="B394" s="222"/>
      <c r="C394" s="118" t="s">
        <v>1011</v>
      </c>
      <c r="D394" s="105" t="s">
        <v>345</v>
      </c>
      <c r="E394" s="207">
        <v>1</v>
      </c>
      <c r="F394" s="185">
        <v>20</v>
      </c>
      <c r="G394" s="148">
        <f>F394*E394</f>
        <v>20</v>
      </c>
    </row>
    <row r="395" spans="1:7" ht="12" customHeight="1">
      <c r="A395" s="112"/>
      <c r="C395" s="141"/>
      <c r="D395" s="103"/>
      <c r="E395" s="115"/>
      <c r="F395" s="115"/>
    </row>
    <row r="396" spans="1:7" ht="22.8">
      <c r="A396" s="112" t="s">
        <v>1021</v>
      </c>
      <c r="C396" s="118" t="s">
        <v>1022</v>
      </c>
      <c r="E396" s="114"/>
      <c r="F396" s="238"/>
      <c r="G396" s="239"/>
    </row>
    <row r="397" spans="1:7" s="174" customFormat="1" ht="11.4">
      <c r="A397" s="112"/>
      <c r="B397" s="103"/>
      <c r="C397" s="118" t="s">
        <v>1023</v>
      </c>
      <c r="D397" s="105" t="s">
        <v>345</v>
      </c>
      <c r="E397" s="114">
        <v>2</v>
      </c>
      <c r="F397" s="148">
        <v>500</v>
      </c>
      <c r="G397" s="148">
        <f>F397*E397</f>
        <v>1000</v>
      </c>
    </row>
    <row r="398" spans="1:7" s="152" customFormat="1" ht="11.4">
      <c r="A398" s="112"/>
      <c r="B398" s="103"/>
      <c r="C398" s="118" t="s">
        <v>1024</v>
      </c>
      <c r="D398" s="105" t="s">
        <v>345</v>
      </c>
      <c r="E398" s="114">
        <v>1</v>
      </c>
      <c r="F398" s="148">
        <v>400</v>
      </c>
      <c r="G398" s="148">
        <f>F398*E398</f>
        <v>400</v>
      </c>
    </row>
    <row r="399" spans="1:7" s="152" customFormat="1" ht="11.4">
      <c r="A399" s="112"/>
      <c r="B399" s="103"/>
      <c r="C399" s="118" t="s">
        <v>1025</v>
      </c>
      <c r="D399" s="105" t="s">
        <v>345</v>
      </c>
      <c r="E399" s="114">
        <v>1</v>
      </c>
      <c r="F399" s="148">
        <v>300</v>
      </c>
      <c r="G399" s="148">
        <f>F399*E399</f>
        <v>300</v>
      </c>
    </row>
    <row r="401" spans="1:7" s="152" customFormat="1" ht="68.400000000000006">
      <c r="A401" s="112" t="s">
        <v>1026</v>
      </c>
      <c r="B401" s="230"/>
      <c r="C401" s="118" t="s">
        <v>1027</v>
      </c>
      <c r="D401" s="105"/>
      <c r="E401" s="207"/>
      <c r="F401" s="185"/>
      <c r="G401" s="185"/>
    </row>
    <row r="402" spans="1:7" s="152" customFormat="1" ht="11.4">
      <c r="B402" s="230"/>
      <c r="C402" s="118" t="s">
        <v>1028</v>
      </c>
      <c r="D402" s="105" t="s">
        <v>345</v>
      </c>
      <c r="E402" s="207">
        <v>10</v>
      </c>
      <c r="F402" s="185">
        <v>50</v>
      </c>
      <c r="G402" s="148">
        <f>F402*E402</f>
        <v>500</v>
      </c>
    </row>
    <row r="403" spans="1:7" s="174" customFormat="1" ht="12" customHeight="1">
      <c r="A403" s="112"/>
      <c r="B403" s="103"/>
      <c r="C403" s="141"/>
      <c r="D403" s="103"/>
      <c r="E403" s="115"/>
      <c r="F403" s="115"/>
      <c r="G403" s="103"/>
    </row>
    <row r="404" spans="1:7" s="152" customFormat="1" ht="60.75" customHeight="1">
      <c r="A404" s="112" t="s">
        <v>1029</v>
      </c>
      <c r="B404" s="230"/>
      <c r="C404" s="118" t="s">
        <v>1030</v>
      </c>
      <c r="D404" s="105"/>
      <c r="E404" s="207"/>
      <c r="F404" s="185"/>
      <c r="G404" s="185"/>
    </row>
    <row r="405" spans="1:7" s="152" customFormat="1" ht="11.4">
      <c r="B405" s="230"/>
      <c r="C405" s="118" t="s">
        <v>1031</v>
      </c>
      <c r="D405" s="105" t="s">
        <v>345</v>
      </c>
      <c r="E405" s="207">
        <v>10</v>
      </c>
      <c r="F405" s="185">
        <v>50</v>
      </c>
      <c r="G405" s="148">
        <f>F405*E405</f>
        <v>500</v>
      </c>
    </row>
    <row r="406" spans="1:7" ht="12" customHeight="1">
      <c r="A406" s="112"/>
      <c r="C406" s="141"/>
      <c r="D406" s="103"/>
      <c r="E406" s="115"/>
      <c r="F406" s="115"/>
    </row>
    <row r="407" spans="1:7" ht="22.8">
      <c r="A407" s="112" t="s">
        <v>1032</v>
      </c>
      <c r="B407" s="230"/>
      <c r="C407" s="118" t="s">
        <v>1033</v>
      </c>
      <c r="E407" s="207"/>
      <c r="F407" s="185"/>
      <c r="G407" s="185"/>
    </row>
    <row r="408" spans="1:7">
      <c r="A408" s="152"/>
      <c r="B408" s="230"/>
      <c r="C408" s="118" t="s">
        <v>1034</v>
      </c>
      <c r="D408" s="105" t="s">
        <v>345</v>
      </c>
      <c r="E408" s="207">
        <v>6</v>
      </c>
      <c r="F408" s="185">
        <v>50</v>
      </c>
      <c r="G408" s="148">
        <f>F408*E408</f>
        <v>300</v>
      </c>
    </row>
    <row r="409" spans="1:7" ht="21" customHeight="1">
      <c r="A409" s="112"/>
      <c r="C409" s="178"/>
      <c r="E409" s="215"/>
      <c r="F409" s="148"/>
      <c r="G409" s="148"/>
    </row>
    <row r="410" spans="1:7" ht="22.8">
      <c r="A410" s="112" t="s">
        <v>1035</v>
      </c>
      <c r="C410" s="118" t="s">
        <v>1036</v>
      </c>
      <c r="E410" s="237"/>
      <c r="F410" s="148"/>
      <c r="G410" s="149"/>
    </row>
    <row r="411" spans="1:7" ht="14.25" customHeight="1">
      <c r="A411" s="112"/>
      <c r="C411" s="178" t="s">
        <v>744</v>
      </c>
      <c r="D411" s="105" t="s">
        <v>345</v>
      </c>
      <c r="E411" s="207">
        <v>2</v>
      </c>
      <c r="F411" s="148">
        <v>200</v>
      </c>
      <c r="G411" s="148">
        <f>F411*E411</f>
        <v>400</v>
      </c>
    </row>
    <row r="412" spans="1:7" ht="14.25" customHeight="1">
      <c r="A412" s="112"/>
      <c r="C412" s="178" t="s">
        <v>1037</v>
      </c>
      <c r="D412" s="105" t="s">
        <v>345</v>
      </c>
      <c r="E412" s="207">
        <v>1</v>
      </c>
      <c r="F412" s="148">
        <v>200</v>
      </c>
      <c r="G412" s="148">
        <f>F412*E412</f>
        <v>200</v>
      </c>
    </row>
    <row r="413" spans="1:7">
      <c r="A413" s="112"/>
      <c r="C413" s="118"/>
      <c r="E413" s="215"/>
      <c r="F413" s="115"/>
      <c r="G413" s="148"/>
    </row>
    <row r="414" spans="1:7" ht="106.2">
      <c r="A414" s="112" t="s">
        <v>1038</v>
      </c>
      <c r="C414" s="118" t="s">
        <v>1039</v>
      </c>
      <c r="E414" s="215"/>
      <c r="F414" s="115"/>
      <c r="G414" s="102"/>
    </row>
    <row r="415" spans="1:7">
      <c r="A415" s="112"/>
      <c r="C415" s="178" t="s">
        <v>1040</v>
      </c>
      <c r="D415" s="105" t="s">
        <v>748</v>
      </c>
      <c r="E415" s="215">
        <v>16</v>
      </c>
      <c r="F415" s="148">
        <v>30</v>
      </c>
      <c r="G415" s="148">
        <f>F415*E415</f>
        <v>480</v>
      </c>
    </row>
    <row r="416" spans="1:7">
      <c r="A416" s="112"/>
      <c r="C416" s="178" t="s">
        <v>1041</v>
      </c>
      <c r="D416" s="105" t="s">
        <v>748</v>
      </c>
      <c r="E416" s="215">
        <v>24</v>
      </c>
      <c r="F416" s="148">
        <v>40</v>
      </c>
      <c r="G416" s="148">
        <f>F416*E416</f>
        <v>960</v>
      </c>
    </row>
    <row r="417" spans="1:7">
      <c r="A417" s="112"/>
      <c r="C417" s="178" t="s">
        <v>1042</v>
      </c>
      <c r="D417" s="105" t="s">
        <v>748</v>
      </c>
      <c r="E417" s="215">
        <v>32</v>
      </c>
      <c r="F417" s="148">
        <v>50</v>
      </c>
      <c r="G417" s="148">
        <f>F417*E417</f>
        <v>1600</v>
      </c>
    </row>
    <row r="418" spans="1:7">
      <c r="A418" s="112"/>
      <c r="C418" s="178" t="s">
        <v>1043</v>
      </c>
      <c r="D418" s="105" t="s">
        <v>748</v>
      </c>
      <c r="E418" s="215">
        <v>24</v>
      </c>
      <c r="F418" s="148">
        <v>60</v>
      </c>
      <c r="G418" s="148">
        <f>F418*E418</f>
        <v>1440</v>
      </c>
    </row>
    <row r="419" spans="1:7" ht="12" customHeight="1">
      <c r="A419" s="112"/>
      <c r="C419" s="118"/>
      <c r="E419" s="207"/>
      <c r="F419" s="102"/>
      <c r="G419" s="102"/>
    </row>
    <row r="420" spans="1:7" ht="36" customHeight="1">
      <c r="A420" s="112" t="s">
        <v>1044</v>
      </c>
      <c r="C420" s="118" t="s">
        <v>1045</v>
      </c>
      <c r="E420" s="207"/>
      <c r="F420" s="148"/>
      <c r="G420" s="102"/>
    </row>
    <row r="421" spans="1:7">
      <c r="C421" s="178" t="s">
        <v>1046</v>
      </c>
      <c r="D421" s="105" t="s">
        <v>316</v>
      </c>
      <c r="E421" s="215">
        <v>80</v>
      </c>
      <c r="F421" s="148">
        <v>15</v>
      </c>
      <c r="G421" s="148">
        <f>F421*E421</f>
        <v>1200</v>
      </c>
    </row>
    <row r="422" spans="1:7">
      <c r="A422" s="112"/>
      <c r="C422" s="118"/>
      <c r="E422" s="215"/>
      <c r="F422" s="115"/>
      <c r="G422" s="148"/>
    </row>
    <row r="423" spans="1:7" ht="57">
      <c r="A423" s="112" t="s">
        <v>1047</v>
      </c>
      <c r="C423" s="118" t="s">
        <v>1048</v>
      </c>
      <c r="E423" s="215"/>
      <c r="F423" s="148"/>
      <c r="G423" s="102"/>
    </row>
    <row r="424" spans="1:7">
      <c r="A424" s="112"/>
      <c r="C424" s="178" t="s">
        <v>1040</v>
      </c>
      <c r="D424" s="105" t="s">
        <v>748</v>
      </c>
      <c r="E424" s="215">
        <v>16</v>
      </c>
      <c r="F424" s="148">
        <v>5</v>
      </c>
      <c r="G424" s="148">
        <f>F424*E424</f>
        <v>80</v>
      </c>
    </row>
    <row r="425" spans="1:7" s="174" customFormat="1" ht="11.4">
      <c r="A425" s="112"/>
      <c r="B425" s="103"/>
      <c r="C425" s="178" t="s">
        <v>1041</v>
      </c>
      <c r="D425" s="105" t="s">
        <v>748</v>
      </c>
      <c r="E425" s="215">
        <v>24</v>
      </c>
      <c r="F425" s="148">
        <v>6</v>
      </c>
      <c r="G425" s="148">
        <f>F425*E425</f>
        <v>144</v>
      </c>
    </row>
    <row r="426" spans="1:7" s="174" customFormat="1" ht="11.4">
      <c r="A426" s="112"/>
      <c r="B426" s="103"/>
      <c r="C426" s="178" t="s">
        <v>1042</v>
      </c>
      <c r="D426" s="105" t="s">
        <v>748</v>
      </c>
      <c r="E426" s="215">
        <v>32</v>
      </c>
      <c r="F426" s="148">
        <v>7</v>
      </c>
      <c r="G426" s="148">
        <f>F426*E426</f>
        <v>224</v>
      </c>
    </row>
    <row r="427" spans="1:7" s="152" customFormat="1" ht="11.4">
      <c r="A427" s="112"/>
      <c r="B427" s="103"/>
      <c r="C427" s="178" t="s">
        <v>1043</v>
      </c>
      <c r="D427" s="105" t="s">
        <v>748</v>
      </c>
      <c r="E427" s="215">
        <v>24</v>
      </c>
      <c r="F427" s="148">
        <v>8</v>
      </c>
      <c r="G427" s="148">
        <f>F427*E427</f>
        <v>192</v>
      </c>
    </row>
    <row r="428" spans="1:7" s="152" customFormat="1" ht="11.4">
      <c r="A428" s="112"/>
      <c r="B428" s="103"/>
      <c r="C428" s="178"/>
      <c r="D428" s="105"/>
      <c r="E428" s="241"/>
      <c r="F428" s="217"/>
      <c r="G428" s="171"/>
    </row>
    <row r="429" spans="1:7" s="233" customFormat="1" ht="114">
      <c r="A429" s="112" t="s">
        <v>1049</v>
      </c>
      <c r="B429" s="103"/>
      <c r="C429" s="118" t="s">
        <v>1050</v>
      </c>
      <c r="D429" s="105" t="s">
        <v>345</v>
      </c>
      <c r="E429" s="114">
        <v>1</v>
      </c>
      <c r="F429" s="115">
        <v>500</v>
      </c>
      <c r="G429" s="148">
        <f>F429*E429</f>
        <v>500</v>
      </c>
    </row>
    <row r="430" spans="1:7" s="233" customFormat="1" ht="87" customHeight="1">
      <c r="A430" s="152"/>
      <c r="B430" s="230"/>
      <c r="C430" s="118" t="s">
        <v>1051</v>
      </c>
      <c r="D430" s="105"/>
      <c r="E430" s="207"/>
      <c r="F430" s="221"/>
      <c r="G430" s="221"/>
    </row>
    <row r="431" spans="1:7" s="233" customFormat="1" ht="11.4">
      <c r="A431" s="152"/>
      <c r="B431" s="230"/>
      <c r="C431" s="118" t="s">
        <v>1052</v>
      </c>
      <c r="D431" s="105" t="s">
        <v>748</v>
      </c>
      <c r="E431" s="207">
        <v>12</v>
      </c>
      <c r="F431" s="221">
        <v>40</v>
      </c>
      <c r="G431" s="148">
        <f>F431*E431</f>
        <v>480</v>
      </c>
    </row>
    <row r="432" spans="1:7" s="152" customFormat="1" ht="11.4">
      <c r="A432" s="233"/>
      <c r="B432" s="230"/>
      <c r="C432" s="118" t="s">
        <v>1053</v>
      </c>
      <c r="D432" s="105" t="s">
        <v>748</v>
      </c>
      <c r="E432" s="207">
        <v>18</v>
      </c>
      <c r="F432" s="185">
        <v>30</v>
      </c>
      <c r="G432" s="148">
        <f>F432*E432</f>
        <v>540</v>
      </c>
    </row>
    <row r="433" spans="1:7" s="152" customFormat="1" ht="11.4">
      <c r="A433" s="233"/>
      <c r="B433" s="230"/>
      <c r="C433" s="118" t="s">
        <v>1054</v>
      </c>
      <c r="D433" s="105" t="s">
        <v>748</v>
      </c>
      <c r="E433" s="207">
        <v>6</v>
      </c>
      <c r="F433" s="185">
        <v>20</v>
      </c>
      <c r="G433" s="148">
        <f>F433*E433</f>
        <v>120</v>
      </c>
    </row>
    <row r="434" spans="1:7" s="193" customFormat="1" ht="11.4">
      <c r="A434" s="233"/>
      <c r="B434" s="230"/>
      <c r="C434" s="118"/>
      <c r="D434" s="105"/>
      <c r="E434" s="207"/>
      <c r="F434" s="185"/>
      <c r="G434" s="185"/>
    </row>
    <row r="435" spans="1:7" s="193" customFormat="1" ht="34.200000000000003">
      <c r="A435" s="112" t="s">
        <v>1055</v>
      </c>
      <c r="B435" s="230"/>
      <c r="C435" s="118" t="s">
        <v>1056</v>
      </c>
      <c r="D435" s="105" t="s">
        <v>1057</v>
      </c>
      <c r="E435" s="207">
        <v>12</v>
      </c>
      <c r="F435" s="185">
        <v>25</v>
      </c>
      <c r="G435" s="148">
        <f>F435*E435</f>
        <v>300</v>
      </c>
    </row>
    <row r="436" spans="1:7" s="193" customFormat="1" ht="11.4">
      <c r="A436" s="152"/>
      <c r="B436" s="230"/>
      <c r="C436" s="118"/>
      <c r="D436" s="152"/>
      <c r="E436" s="152"/>
      <c r="F436" s="185"/>
      <c r="G436" s="185"/>
    </row>
    <row r="437" spans="1:7" s="193" customFormat="1" ht="79.8">
      <c r="A437" s="112" t="s">
        <v>1058</v>
      </c>
      <c r="B437" s="230"/>
      <c r="C437" s="118" t="s">
        <v>1059</v>
      </c>
      <c r="D437" s="180"/>
      <c r="E437" s="207"/>
      <c r="F437" s="221"/>
      <c r="G437" s="242"/>
    </row>
    <row r="438" spans="1:7" s="193" customFormat="1" ht="11.4">
      <c r="A438" s="120"/>
      <c r="B438" s="243"/>
      <c r="C438" s="118" t="s">
        <v>1060</v>
      </c>
      <c r="D438" s="105" t="s">
        <v>766</v>
      </c>
      <c r="E438" s="207">
        <v>1</v>
      </c>
      <c r="F438" s="185">
        <v>200</v>
      </c>
      <c r="G438" s="148">
        <f>F438*E438</f>
        <v>200</v>
      </c>
    </row>
    <row r="439" spans="1:7" s="224" customFormat="1" ht="11.4">
      <c r="A439" s="120"/>
      <c r="B439" s="243"/>
      <c r="C439" s="118"/>
      <c r="D439" s="105"/>
      <c r="E439" s="207"/>
      <c r="F439" s="185"/>
      <c r="G439" s="185"/>
    </row>
    <row r="440" spans="1:7" s="224" customFormat="1" ht="91.2">
      <c r="A440" s="112" t="s">
        <v>1061</v>
      </c>
      <c r="B440" s="122"/>
      <c r="C440" s="118" t="s">
        <v>1062</v>
      </c>
      <c r="D440" s="102" t="s">
        <v>345</v>
      </c>
      <c r="E440" s="207">
        <v>1</v>
      </c>
      <c r="F440" s="185">
        <v>250</v>
      </c>
      <c r="G440" s="148">
        <f>F440*E440</f>
        <v>250</v>
      </c>
    </row>
    <row r="441" spans="1:7" s="193" customFormat="1" ht="11.4">
      <c r="A441" s="112"/>
      <c r="B441" s="122"/>
      <c r="C441" s="118"/>
      <c r="D441" s="102"/>
      <c r="E441" s="207"/>
      <c r="F441" s="185"/>
      <c r="G441" s="221"/>
    </row>
    <row r="442" spans="1:7" s="193" customFormat="1" ht="71.25" customHeight="1">
      <c r="A442" s="112" t="s">
        <v>1063</v>
      </c>
      <c r="B442" s="230"/>
      <c r="C442" s="118" t="s">
        <v>1064</v>
      </c>
      <c r="D442" s="102"/>
      <c r="E442" s="207"/>
      <c r="F442" s="185"/>
      <c r="G442" s="232"/>
    </row>
    <row r="443" spans="1:7">
      <c r="A443" s="224"/>
      <c r="B443" s="230"/>
      <c r="C443" s="118"/>
      <c r="D443" s="102" t="s">
        <v>766</v>
      </c>
      <c r="E443" s="207">
        <v>1</v>
      </c>
      <c r="F443" s="185">
        <v>100</v>
      </c>
      <c r="G443" s="148">
        <f>F443*E443</f>
        <v>100</v>
      </c>
    </row>
    <row r="444" spans="1:7" s="224" customFormat="1" ht="11.4">
      <c r="A444" s="112"/>
      <c r="B444" s="122"/>
      <c r="C444" s="118"/>
      <c r="D444" s="102"/>
      <c r="E444" s="207"/>
      <c r="F444" s="185"/>
      <c r="G444" s="221"/>
    </row>
    <row r="445" spans="1:7" s="233" customFormat="1" ht="11.4">
      <c r="A445" s="112"/>
      <c r="B445" s="122"/>
      <c r="C445" s="118"/>
      <c r="D445" s="102"/>
      <c r="E445" s="207"/>
      <c r="F445" s="185"/>
      <c r="G445" s="221"/>
    </row>
    <row r="446" spans="1:7" s="189" customFormat="1" ht="82.5" customHeight="1">
      <c r="A446" s="112" t="s">
        <v>1065</v>
      </c>
      <c r="B446" s="103"/>
      <c r="C446" s="118" t="s">
        <v>880</v>
      </c>
      <c r="D446" s="102" t="s">
        <v>780</v>
      </c>
      <c r="E446" s="207">
        <v>1</v>
      </c>
      <c r="F446" s="148">
        <v>500</v>
      </c>
      <c r="G446" s="148">
        <f>F446*E446</f>
        <v>500</v>
      </c>
    </row>
    <row r="447" spans="1:7" s="233" customFormat="1" ht="11.25" customHeight="1">
      <c r="A447" s="224"/>
      <c r="B447" s="230"/>
      <c r="C447" s="118"/>
      <c r="D447" s="234"/>
      <c r="E447" s="232"/>
      <c r="F447" s="185"/>
      <c r="G447" s="185"/>
    </row>
    <row r="448" spans="1:7" s="233" customFormat="1" ht="201" customHeight="1">
      <c r="A448" s="112" t="s">
        <v>1066</v>
      </c>
      <c r="B448" s="230"/>
      <c r="C448" s="118" t="s">
        <v>1067</v>
      </c>
      <c r="D448" s="102" t="s">
        <v>310</v>
      </c>
      <c r="E448" s="207">
        <v>150</v>
      </c>
      <c r="F448" s="185">
        <v>7</v>
      </c>
      <c r="G448" s="148">
        <f>F448*E448</f>
        <v>1050</v>
      </c>
    </row>
    <row r="450" spans="1:7" s="224" customFormat="1" ht="22.8">
      <c r="A450" s="112" t="s">
        <v>1068</v>
      </c>
      <c r="B450" s="230"/>
      <c r="C450" s="118" t="s">
        <v>1069</v>
      </c>
      <c r="D450" s="244"/>
      <c r="E450" s="185"/>
      <c r="F450" s="185"/>
      <c r="G450" s="185"/>
    </row>
    <row r="451" spans="1:7" s="153" customFormat="1" ht="11.4">
      <c r="A451" s="233"/>
      <c r="B451" s="230"/>
      <c r="C451" s="118" t="s">
        <v>1070</v>
      </c>
      <c r="D451" s="102" t="s">
        <v>1071</v>
      </c>
      <c r="E451" s="245">
        <v>30</v>
      </c>
      <c r="F451" s="185">
        <v>30</v>
      </c>
      <c r="G451" s="148">
        <f>F451*E451</f>
        <v>900</v>
      </c>
    </row>
    <row r="452" spans="1:7" s="224" customFormat="1" ht="11.4">
      <c r="A452" s="233"/>
      <c r="B452" s="230"/>
      <c r="C452" s="118" t="s">
        <v>1072</v>
      </c>
      <c r="D452" s="102" t="s">
        <v>1071</v>
      </c>
      <c r="E452" s="245">
        <v>30</v>
      </c>
      <c r="F452" s="185">
        <v>40</v>
      </c>
      <c r="G452" s="148">
        <f>F452*E452</f>
        <v>1200</v>
      </c>
    </row>
    <row r="453" spans="1:7" s="224" customFormat="1" ht="11.25" customHeight="1">
      <c r="B453" s="230"/>
      <c r="C453" s="118"/>
      <c r="D453" s="234"/>
      <c r="E453" s="232"/>
      <c r="F453" s="185"/>
      <c r="G453" s="185"/>
    </row>
    <row r="454" spans="1:7" s="224" customFormat="1" ht="186.75" customHeight="1">
      <c r="A454" s="112" t="s">
        <v>1073</v>
      </c>
      <c r="B454" s="236"/>
      <c r="C454" s="118" t="s">
        <v>1074</v>
      </c>
      <c r="D454" s="102"/>
      <c r="E454" s="245"/>
      <c r="F454" s="221"/>
      <c r="G454" s="246"/>
    </row>
    <row r="455" spans="1:7" ht="22.8">
      <c r="A455" s="224"/>
      <c r="B455" s="225"/>
      <c r="C455" s="118" t="s">
        <v>1075</v>
      </c>
      <c r="D455" s="102" t="s">
        <v>766</v>
      </c>
      <c r="E455" s="245">
        <v>1</v>
      </c>
      <c r="F455" s="185">
        <v>200</v>
      </c>
      <c r="G455" s="148">
        <f>F455*E455</f>
        <v>200</v>
      </c>
    </row>
    <row r="456" spans="1:7" s="224" customFormat="1" ht="48.75" customHeight="1">
      <c r="B456" s="225"/>
      <c r="C456" s="118" t="s">
        <v>1076</v>
      </c>
      <c r="D456" s="102" t="s">
        <v>345</v>
      </c>
      <c r="E456" s="245">
        <v>3</v>
      </c>
      <c r="F456" s="185">
        <v>300</v>
      </c>
      <c r="G456" s="148">
        <f>F456*E456</f>
        <v>900</v>
      </c>
    </row>
    <row r="457" spans="1:7" ht="11.25" customHeight="1">
      <c r="A457" s="224"/>
      <c r="B457" s="230"/>
      <c r="C457" s="118"/>
      <c r="D457" s="234"/>
      <c r="E457" s="232"/>
      <c r="F457" s="185"/>
      <c r="G457" s="185"/>
    </row>
    <row r="458" spans="1:7" s="224" customFormat="1" ht="91.2">
      <c r="A458" s="112" t="s">
        <v>1077</v>
      </c>
      <c r="B458" s="103"/>
      <c r="C458" s="118" t="s">
        <v>1078</v>
      </c>
      <c r="D458" s="102" t="s">
        <v>780</v>
      </c>
      <c r="E458" s="219">
        <v>1</v>
      </c>
      <c r="F458" s="148">
        <v>500</v>
      </c>
      <c r="G458" s="148">
        <f>F458*E458</f>
        <v>500</v>
      </c>
    </row>
    <row r="459" spans="1:7" ht="11.25" customHeight="1">
      <c r="A459" s="224"/>
      <c r="B459" s="230"/>
      <c r="C459" s="118"/>
      <c r="D459" s="234"/>
      <c r="E459" s="232"/>
      <c r="F459" s="185"/>
      <c r="G459" s="185"/>
    </row>
    <row r="460" spans="1:7" s="224" customFormat="1" ht="21.75" customHeight="1">
      <c r="A460" s="112" t="s">
        <v>1079</v>
      </c>
      <c r="B460" s="103"/>
      <c r="C460" s="118" t="s">
        <v>882</v>
      </c>
      <c r="D460" s="105" t="s">
        <v>780</v>
      </c>
      <c r="E460" s="215">
        <v>1</v>
      </c>
      <c r="F460" s="148">
        <v>150</v>
      </c>
      <c r="G460" s="148">
        <f>F460*E460</f>
        <v>150</v>
      </c>
    </row>
    <row r="461" spans="1:7" s="111" customFormat="1" ht="11.25" customHeight="1">
      <c r="A461" s="224"/>
      <c r="B461" s="230"/>
      <c r="C461" s="118"/>
      <c r="D461" s="234"/>
      <c r="E461" s="232"/>
      <c r="F461" s="185"/>
      <c r="G461" s="185"/>
    </row>
    <row r="462" spans="1:7" s="224" customFormat="1" ht="11.4">
      <c r="A462" s="112" t="s">
        <v>1080</v>
      </c>
      <c r="B462" s="103"/>
      <c r="C462" s="118" t="s">
        <v>772</v>
      </c>
      <c r="D462" s="105" t="s">
        <v>780</v>
      </c>
      <c r="E462" s="215">
        <v>1</v>
      </c>
      <c r="F462" s="148">
        <v>100</v>
      </c>
      <c r="G462" s="148">
        <f>F462*E462</f>
        <v>100</v>
      </c>
    </row>
    <row r="463" spans="1:7" s="153" customFormat="1" ht="11.25" customHeight="1">
      <c r="A463" s="224"/>
      <c r="B463" s="230"/>
      <c r="C463" s="118"/>
      <c r="D463" s="234"/>
      <c r="E463" s="232"/>
      <c r="F463" s="185"/>
      <c r="G463" s="185"/>
    </row>
    <row r="464" spans="1:7" s="153" customFormat="1" ht="43.5" customHeight="1">
      <c r="A464" s="112" t="s">
        <v>1081</v>
      </c>
      <c r="B464" s="111"/>
      <c r="C464" s="118" t="s">
        <v>1082</v>
      </c>
      <c r="D464" s="102" t="s">
        <v>766</v>
      </c>
      <c r="E464" s="219">
        <v>1</v>
      </c>
      <c r="F464" s="134">
        <v>500</v>
      </c>
      <c r="G464" s="148">
        <f>F464*E464</f>
        <v>500</v>
      </c>
    </row>
    <row r="466" spans="1:7" s="152" customFormat="1" ht="57">
      <c r="A466" s="112" t="s">
        <v>1083</v>
      </c>
      <c r="B466" s="230"/>
      <c r="C466" s="118" t="s">
        <v>1084</v>
      </c>
      <c r="D466" s="247"/>
      <c r="E466" s="208"/>
      <c r="F466" s="221"/>
      <c r="G466" s="246"/>
    </row>
    <row r="467" spans="1:7" s="153" customFormat="1" ht="22.8">
      <c r="A467" s="248"/>
      <c r="B467" s="243"/>
      <c r="C467" s="118" t="s">
        <v>1085</v>
      </c>
      <c r="D467" s="247"/>
      <c r="E467" s="208"/>
      <c r="F467" s="221"/>
      <c r="G467" s="246"/>
    </row>
    <row r="468" spans="1:7" s="153" customFormat="1" ht="57">
      <c r="A468" s="248"/>
      <c r="B468" s="230"/>
      <c r="C468" s="118" t="s">
        <v>1086</v>
      </c>
      <c r="D468" s="247"/>
      <c r="E468" s="208"/>
      <c r="F468" s="221"/>
      <c r="G468" s="246"/>
    </row>
    <row r="469" spans="1:7" s="111" customFormat="1" ht="34.200000000000003">
      <c r="A469" s="224"/>
      <c r="B469" s="181"/>
      <c r="C469" s="118" t="s">
        <v>1087</v>
      </c>
      <c r="D469" s="234"/>
      <c r="E469" s="184"/>
      <c r="F469" s="152"/>
      <c r="G469" s="224"/>
    </row>
    <row r="470" spans="1:7" ht="34.200000000000003">
      <c r="A470" s="248"/>
      <c r="B470" s="230"/>
      <c r="C470" s="118" t="s">
        <v>1088</v>
      </c>
      <c r="D470" s="247"/>
      <c r="E470" s="208"/>
      <c r="F470" s="221"/>
      <c r="G470" s="246"/>
    </row>
    <row r="471" spans="1:7" ht="45.6">
      <c r="A471" s="248"/>
      <c r="B471" s="230"/>
      <c r="C471" s="118" t="s">
        <v>1089</v>
      </c>
      <c r="D471" s="102" t="s">
        <v>766</v>
      </c>
      <c r="E471" s="219">
        <v>1</v>
      </c>
      <c r="F471" s="221">
        <v>500</v>
      </c>
      <c r="G471" s="148">
        <f>F471*E471</f>
        <v>500</v>
      </c>
    </row>
    <row r="472" spans="1:7" ht="27" customHeight="1">
      <c r="A472" s="105"/>
      <c r="B472" s="111"/>
      <c r="C472" s="249" t="s">
        <v>1090</v>
      </c>
      <c r="D472" s="250"/>
      <c r="E472" s="251"/>
      <c r="F472" s="252"/>
      <c r="G472" s="252">
        <f>SUM(G215:G471)</f>
        <v>39185</v>
      </c>
    </row>
    <row r="473" spans="1:7" ht="20.25" customHeight="1">
      <c r="A473" s="112"/>
      <c r="C473" s="113"/>
      <c r="E473" s="114"/>
      <c r="F473" s="115"/>
      <c r="G473" s="102"/>
    </row>
    <row r="474" spans="1:7" ht="28.5" customHeight="1">
      <c r="A474" s="112"/>
      <c r="C474" s="775" t="s">
        <v>1091</v>
      </c>
      <c r="D474" s="775"/>
      <c r="E474" s="775"/>
      <c r="F474" s="217"/>
      <c r="G474" s="171"/>
    </row>
    <row r="475" spans="1:7" ht="15" customHeight="1">
      <c r="A475" s="112"/>
      <c r="C475" s="126"/>
      <c r="E475" s="114"/>
      <c r="F475" s="115"/>
      <c r="G475" s="102"/>
    </row>
    <row r="476" spans="1:7" ht="84.6">
      <c r="A476" s="112" t="s">
        <v>1092</v>
      </c>
      <c r="C476" s="118" t="s">
        <v>1093</v>
      </c>
    </row>
    <row r="477" spans="1:7">
      <c r="A477" s="112"/>
      <c r="C477" s="126" t="s">
        <v>1094</v>
      </c>
      <c r="E477" s="114"/>
      <c r="F477" s="115"/>
      <c r="G477" s="102"/>
    </row>
    <row r="478" spans="1:7" ht="26.25" customHeight="1">
      <c r="A478" s="112"/>
      <c r="C478" s="178" t="s">
        <v>1095</v>
      </c>
      <c r="D478" s="105" t="s">
        <v>345</v>
      </c>
      <c r="E478" s="215">
        <v>4</v>
      </c>
      <c r="F478" s="115">
        <v>150</v>
      </c>
      <c r="G478" s="148">
        <f t="shared" ref="G478:G491" si="0">F478*E478</f>
        <v>600</v>
      </c>
    </row>
    <row r="479" spans="1:7" ht="21" customHeight="1">
      <c r="A479" s="112"/>
      <c r="C479" s="178" t="s">
        <v>1096</v>
      </c>
      <c r="D479" s="105" t="s">
        <v>345</v>
      </c>
      <c r="E479" s="215">
        <v>6</v>
      </c>
      <c r="F479" s="115">
        <v>200</v>
      </c>
      <c r="G479" s="148">
        <f t="shared" si="0"/>
        <v>1200</v>
      </c>
    </row>
    <row r="480" spans="1:7" ht="24" customHeight="1">
      <c r="A480" s="112"/>
      <c r="C480" s="178" t="s">
        <v>1097</v>
      </c>
      <c r="D480" s="105" t="s">
        <v>345</v>
      </c>
      <c r="E480" s="215">
        <v>7</v>
      </c>
      <c r="F480" s="115">
        <v>250</v>
      </c>
      <c r="G480" s="148">
        <f t="shared" si="0"/>
        <v>1750</v>
      </c>
    </row>
    <row r="481" spans="1:7" ht="14.25" customHeight="1">
      <c r="A481" s="112"/>
      <c r="C481" s="126" t="s">
        <v>1098</v>
      </c>
      <c r="E481" s="215"/>
      <c r="F481" s="115"/>
      <c r="G481" s="148">
        <f t="shared" si="0"/>
        <v>0</v>
      </c>
    </row>
    <row r="482" spans="1:7" ht="22.8">
      <c r="A482" s="112"/>
      <c r="C482" s="178" t="s">
        <v>1099</v>
      </c>
      <c r="D482" s="105" t="s">
        <v>345</v>
      </c>
      <c r="E482" s="215">
        <v>1</v>
      </c>
      <c r="F482" s="115">
        <v>200</v>
      </c>
      <c r="G482" s="148">
        <f t="shared" si="0"/>
        <v>200</v>
      </c>
    </row>
    <row r="483" spans="1:7" ht="22.8">
      <c r="A483" s="112"/>
      <c r="C483" s="178" t="s">
        <v>1100</v>
      </c>
      <c r="D483" s="105" t="s">
        <v>345</v>
      </c>
      <c r="E483" s="215">
        <v>2</v>
      </c>
      <c r="F483" s="115">
        <v>350</v>
      </c>
      <c r="G483" s="148">
        <f t="shared" si="0"/>
        <v>700</v>
      </c>
    </row>
    <row r="484" spans="1:7" ht="18" customHeight="1">
      <c r="A484" s="112"/>
      <c r="C484" s="126" t="s">
        <v>1101</v>
      </c>
      <c r="E484" s="215"/>
      <c r="F484" s="115"/>
      <c r="G484" s="148">
        <f t="shared" si="0"/>
        <v>0</v>
      </c>
    </row>
    <row r="485" spans="1:7" ht="22.8">
      <c r="A485" s="112"/>
      <c r="C485" s="178" t="s">
        <v>1102</v>
      </c>
      <c r="D485" s="105" t="s">
        <v>345</v>
      </c>
      <c r="E485" s="215">
        <v>4</v>
      </c>
      <c r="F485" s="115">
        <v>300</v>
      </c>
      <c r="G485" s="148">
        <f t="shared" si="0"/>
        <v>1200</v>
      </c>
    </row>
    <row r="486" spans="1:7" ht="22.8">
      <c r="A486" s="112"/>
      <c r="C486" s="178" t="s">
        <v>1103</v>
      </c>
      <c r="D486" s="105" t="s">
        <v>345</v>
      </c>
      <c r="E486" s="215">
        <v>20</v>
      </c>
      <c r="F486" s="115">
        <v>400</v>
      </c>
      <c r="G486" s="148">
        <f t="shared" si="0"/>
        <v>8000</v>
      </c>
    </row>
    <row r="487" spans="1:7" ht="22.8">
      <c r="A487" s="112"/>
      <c r="C487" s="178" t="s">
        <v>1104</v>
      </c>
      <c r="D487" s="105" t="s">
        <v>345</v>
      </c>
      <c r="E487" s="215">
        <v>2</v>
      </c>
      <c r="F487" s="115">
        <v>550</v>
      </c>
      <c r="G487" s="148">
        <f t="shared" si="0"/>
        <v>1100</v>
      </c>
    </row>
    <row r="488" spans="1:7" ht="22.8">
      <c r="A488" s="112"/>
      <c r="C488" s="178" t="s">
        <v>1105</v>
      </c>
      <c r="D488" s="105" t="s">
        <v>345</v>
      </c>
      <c r="E488" s="215">
        <v>5</v>
      </c>
      <c r="F488" s="115">
        <v>600</v>
      </c>
      <c r="G488" s="148">
        <f t="shared" si="0"/>
        <v>3000</v>
      </c>
    </row>
    <row r="489" spans="1:7" ht="22.8">
      <c r="A489" s="112"/>
      <c r="C489" s="178" t="s">
        <v>1106</v>
      </c>
      <c r="D489" s="105" t="s">
        <v>345</v>
      </c>
      <c r="E489" s="215">
        <v>12</v>
      </c>
      <c r="F489" s="115">
        <v>600</v>
      </c>
      <c r="G489" s="148">
        <f t="shared" si="0"/>
        <v>7200</v>
      </c>
    </row>
    <row r="490" spans="1:7" ht="22.8">
      <c r="A490" s="112"/>
      <c r="C490" s="178" t="s">
        <v>1107</v>
      </c>
      <c r="D490" s="105" t="s">
        <v>345</v>
      </c>
      <c r="E490" s="215">
        <v>7</v>
      </c>
      <c r="F490" s="115">
        <v>650</v>
      </c>
      <c r="G490" s="148">
        <f t="shared" si="0"/>
        <v>4550</v>
      </c>
    </row>
    <row r="491" spans="1:7" ht="22.8">
      <c r="A491" s="112"/>
      <c r="C491" s="178" t="s">
        <v>1108</v>
      </c>
      <c r="D491" s="105" t="s">
        <v>345</v>
      </c>
      <c r="E491" s="215">
        <v>1</v>
      </c>
      <c r="F491" s="115">
        <v>700</v>
      </c>
      <c r="G491" s="148">
        <f t="shared" si="0"/>
        <v>700</v>
      </c>
    </row>
    <row r="492" spans="1:7">
      <c r="A492" s="112"/>
      <c r="C492" s="118"/>
      <c r="D492" s="146" t="s">
        <v>1109</v>
      </c>
      <c r="E492" s="215">
        <f>SUM(E477:E491)</f>
        <v>71</v>
      </c>
      <c r="G492" s="115"/>
    </row>
    <row r="493" spans="1:7" ht="12" customHeight="1">
      <c r="A493" s="112"/>
      <c r="C493" s="118"/>
      <c r="E493" s="215"/>
      <c r="F493" s="115"/>
      <c r="G493" s="148"/>
    </row>
    <row r="494" spans="1:7" ht="63" customHeight="1">
      <c r="A494" s="112" t="s">
        <v>1110</v>
      </c>
      <c r="C494" s="118" t="s">
        <v>1111</v>
      </c>
      <c r="D494" s="105" t="s">
        <v>780</v>
      </c>
      <c r="E494" s="215">
        <v>71</v>
      </c>
      <c r="F494" s="148">
        <v>10</v>
      </c>
      <c r="G494" s="148">
        <f>F494*E494</f>
        <v>710</v>
      </c>
    </row>
    <row r="495" spans="1:7" ht="18.75" customHeight="1">
      <c r="A495" s="112"/>
      <c r="C495" s="118"/>
      <c r="E495" s="215"/>
      <c r="F495" s="115"/>
      <c r="G495" s="148"/>
    </row>
    <row r="496" spans="1:7" ht="63">
      <c r="A496" s="112" t="s">
        <v>1112</v>
      </c>
      <c r="C496" s="118" t="s">
        <v>1113</v>
      </c>
      <c r="E496" s="215"/>
      <c r="F496" s="145"/>
      <c r="G496" s="145"/>
    </row>
    <row r="497" spans="1:7">
      <c r="A497" s="112"/>
      <c r="C497" s="118" t="s">
        <v>1114</v>
      </c>
      <c r="D497" s="105" t="s">
        <v>345</v>
      </c>
      <c r="E497" s="215">
        <v>7</v>
      </c>
      <c r="F497" s="145">
        <v>500</v>
      </c>
      <c r="G497" s="148">
        <f>F497*E497</f>
        <v>3500</v>
      </c>
    </row>
    <row r="498" spans="1:7">
      <c r="A498" s="112"/>
      <c r="C498" s="118"/>
      <c r="E498" s="215"/>
      <c r="F498" s="115"/>
      <c r="G498" s="148"/>
    </row>
    <row r="499" spans="1:7" ht="56.25" customHeight="1">
      <c r="A499" s="112" t="s">
        <v>1115</v>
      </c>
      <c r="C499" s="118" t="s">
        <v>1116</v>
      </c>
      <c r="D499" s="105" t="s">
        <v>780</v>
      </c>
      <c r="E499" s="215">
        <v>7</v>
      </c>
      <c r="F499" s="145">
        <v>10</v>
      </c>
      <c r="G499" s="148">
        <f>F499*E499</f>
        <v>70</v>
      </c>
    </row>
    <row r="500" spans="1:7" ht="12" customHeight="1">
      <c r="A500" s="112"/>
      <c r="C500" s="118"/>
      <c r="E500" s="215"/>
      <c r="F500" s="115"/>
      <c r="G500" s="148"/>
    </row>
    <row r="501" spans="1:7" ht="34.200000000000003">
      <c r="A501" s="112" t="s">
        <v>1117</v>
      </c>
      <c r="C501" s="118" t="s">
        <v>1118</v>
      </c>
      <c r="E501" s="215"/>
      <c r="F501" s="148"/>
      <c r="G501" s="102"/>
    </row>
    <row r="502" spans="1:7">
      <c r="A502" s="112"/>
      <c r="C502" s="178" t="s">
        <v>1119</v>
      </c>
      <c r="D502" s="105" t="s">
        <v>345</v>
      </c>
      <c r="E502" s="215">
        <v>78</v>
      </c>
      <c r="F502" s="148">
        <v>20</v>
      </c>
      <c r="G502" s="148">
        <f>F502*E502</f>
        <v>1560</v>
      </c>
    </row>
    <row r="503" spans="1:7">
      <c r="A503" s="112"/>
      <c r="C503" s="118"/>
      <c r="E503" s="215"/>
      <c r="F503" s="115"/>
      <c r="G503" s="148"/>
    </row>
    <row r="504" spans="1:7" ht="22.8">
      <c r="A504" s="112" t="s">
        <v>1120</v>
      </c>
      <c r="C504" s="118" t="s">
        <v>1121</v>
      </c>
      <c r="E504" s="215"/>
      <c r="F504" s="148"/>
      <c r="G504" s="102"/>
    </row>
    <row r="505" spans="1:7">
      <c r="A505" s="112"/>
      <c r="C505" s="178" t="s">
        <v>1122</v>
      </c>
      <c r="D505" s="105" t="s">
        <v>345</v>
      </c>
      <c r="E505" s="215">
        <v>78</v>
      </c>
      <c r="F505" s="148">
        <v>40</v>
      </c>
      <c r="G505" s="148">
        <f>F505*E505</f>
        <v>3120</v>
      </c>
    </row>
    <row r="506" spans="1:7">
      <c r="A506" s="112"/>
      <c r="C506" s="118"/>
      <c r="E506" s="215"/>
      <c r="F506" s="115"/>
      <c r="G506" s="148"/>
    </row>
    <row r="507" spans="1:7" ht="22.8">
      <c r="A507" s="112" t="s">
        <v>1123</v>
      </c>
      <c r="C507" s="118" t="s">
        <v>1124</v>
      </c>
      <c r="E507" s="215"/>
      <c r="F507" s="148"/>
      <c r="G507" s="102"/>
    </row>
    <row r="508" spans="1:7">
      <c r="A508" s="112"/>
      <c r="C508" s="178" t="s">
        <v>1119</v>
      </c>
      <c r="D508" s="105" t="s">
        <v>345</v>
      </c>
      <c r="E508" s="215">
        <v>78</v>
      </c>
      <c r="F508" s="148">
        <v>20</v>
      </c>
      <c r="G508" s="148">
        <f>F508*E508</f>
        <v>1560</v>
      </c>
    </row>
    <row r="509" spans="1:7" ht="15.75" customHeight="1">
      <c r="A509" s="112"/>
      <c r="C509" s="118"/>
      <c r="E509" s="215"/>
      <c r="F509" s="115"/>
      <c r="G509" s="148"/>
    </row>
    <row r="510" spans="1:7" ht="33" customHeight="1">
      <c r="A510" s="112" t="s">
        <v>1125</v>
      </c>
      <c r="C510" s="118" t="s">
        <v>1126</v>
      </c>
      <c r="E510" s="237"/>
      <c r="F510" s="115"/>
      <c r="G510" s="175"/>
    </row>
    <row r="511" spans="1:7">
      <c r="A511" s="117"/>
      <c r="C511" s="178" t="s">
        <v>1127</v>
      </c>
      <c r="D511" s="105" t="s">
        <v>345</v>
      </c>
      <c r="E511" s="215">
        <v>10</v>
      </c>
      <c r="F511" s="148">
        <v>20</v>
      </c>
      <c r="G511" s="148">
        <f>F511*E511</f>
        <v>200</v>
      </c>
    </row>
    <row r="513" spans="1:7" ht="45.6">
      <c r="A513" s="112" t="s">
        <v>1128</v>
      </c>
      <c r="C513" s="118" t="s">
        <v>1129</v>
      </c>
      <c r="E513" s="215"/>
      <c r="F513" s="115"/>
      <c r="G513" s="102"/>
    </row>
    <row r="514" spans="1:7">
      <c r="A514" s="112"/>
      <c r="C514" s="178" t="s">
        <v>1130</v>
      </c>
      <c r="D514" s="105" t="s">
        <v>748</v>
      </c>
      <c r="E514" s="215">
        <v>265</v>
      </c>
      <c r="F514" s="148">
        <v>14</v>
      </c>
      <c r="G514" s="148">
        <f t="shared" ref="G514:G519" si="1">F514*E514</f>
        <v>3710</v>
      </c>
    </row>
    <row r="515" spans="1:7">
      <c r="A515" s="112"/>
      <c r="C515" s="178" t="s">
        <v>1131</v>
      </c>
      <c r="D515" s="105" t="s">
        <v>748</v>
      </c>
      <c r="E515" s="215">
        <v>530</v>
      </c>
      <c r="F515" s="148">
        <v>19</v>
      </c>
      <c r="G515" s="148">
        <f t="shared" si="1"/>
        <v>10070</v>
      </c>
    </row>
    <row r="516" spans="1:7">
      <c r="A516" s="112"/>
      <c r="C516" s="178" t="s">
        <v>1132</v>
      </c>
      <c r="D516" s="105" t="s">
        <v>748</v>
      </c>
      <c r="E516" s="215">
        <v>95</v>
      </c>
      <c r="F516" s="148">
        <v>24</v>
      </c>
      <c r="G516" s="148">
        <f t="shared" si="1"/>
        <v>2280</v>
      </c>
    </row>
    <row r="517" spans="1:7">
      <c r="A517" s="112"/>
      <c r="C517" s="178" t="s">
        <v>1040</v>
      </c>
      <c r="D517" s="105" t="s">
        <v>748</v>
      </c>
      <c r="E517" s="215">
        <v>75</v>
      </c>
      <c r="F517" s="148">
        <v>29</v>
      </c>
      <c r="G517" s="148">
        <f t="shared" si="1"/>
        <v>2175</v>
      </c>
    </row>
    <row r="518" spans="1:7">
      <c r="A518" s="112"/>
      <c r="C518" s="178" t="s">
        <v>1041</v>
      </c>
      <c r="D518" s="105" t="s">
        <v>748</v>
      </c>
      <c r="E518" s="215">
        <v>64</v>
      </c>
      <c r="F518" s="148">
        <v>33</v>
      </c>
      <c r="G518" s="148">
        <f t="shared" si="1"/>
        <v>2112</v>
      </c>
    </row>
    <row r="519" spans="1:7">
      <c r="A519" s="112"/>
      <c r="C519" s="178" t="s">
        <v>1042</v>
      </c>
      <c r="D519" s="105" t="s">
        <v>748</v>
      </c>
      <c r="E519" s="215">
        <v>98</v>
      </c>
      <c r="F519" s="148">
        <v>38</v>
      </c>
      <c r="G519" s="148">
        <f t="shared" si="1"/>
        <v>3724</v>
      </c>
    </row>
    <row r="520" spans="1:7" ht="27" customHeight="1">
      <c r="A520" s="112"/>
      <c r="C520" s="118"/>
      <c r="E520" s="215"/>
      <c r="F520" s="115"/>
      <c r="G520" s="148"/>
    </row>
    <row r="521" spans="1:7" ht="72">
      <c r="A521" s="112" t="s">
        <v>1133</v>
      </c>
      <c r="C521" s="118" t="s">
        <v>1134</v>
      </c>
      <c r="E521" s="215"/>
      <c r="F521" s="115"/>
      <c r="G521" s="102"/>
    </row>
    <row r="522" spans="1:7" ht="22.8">
      <c r="A522" s="112"/>
      <c r="C522" s="118" t="s">
        <v>1135</v>
      </c>
      <c r="D522" s="105" t="s">
        <v>766</v>
      </c>
      <c r="E522" s="215">
        <v>1</v>
      </c>
      <c r="F522" s="115">
        <v>1500</v>
      </c>
      <c r="G522" s="148">
        <f>F522*E522</f>
        <v>1500</v>
      </c>
    </row>
    <row r="523" spans="1:7">
      <c r="A523" s="112"/>
      <c r="C523" s="118"/>
      <c r="E523" s="215"/>
      <c r="F523" s="115"/>
      <c r="G523" s="148"/>
    </row>
    <row r="524" spans="1:7" ht="22.8">
      <c r="A524" s="112" t="s">
        <v>1136</v>
      </c>
      <c r="C524" s="118" t="s">
        <v>1137</v>
      </c>
      <c r="E524" s="215"/>
      <c r="F524" s="115"/>
      <c r="G524" s="102"/>
    </row>
    <row r="525" spans="1:7">
      <c r="A525" s="112"/>
      <c r="C525" s="178" t="s">
        <v>1138</v>
      </c>
      <c r="D525" s="105" t="s">
        <v>345</v>
      </c>
      <c r="E525" s="215">
        <v>120</v>
      </c>
      <c r="F525" s="115">
        <v>2</v>
      </c>
      <c r="G525" s="148">
        <f>F525*E525</f>
        <v>240</v>
      </c>
    </row>
    <row r="526" spans="1:7">
      <c r="A526" s="112"/>
      <c r="C526" s="178" t="s">
        <v>1139</v>
      </c>
      <c r="D526" s="105" t="s">
        <v>345</v>
      </c>
      <c r="E526" s="215">
        <v>160</v>
      </c>
      <c r="F526" s="115">
        <v>3</v>
      </c>
      <c r="G526" s="148">
        <f>F526*E526</f>
        <v>480</v>
      </c>
    </row>
    <row r="527" spans="1:7">
      <c r="A527" s="112"/>
      <c r="C527" s="5" t="s">
        <v>1140</v>
      </c>
      <c r="D527" s="105" t="s">
        <v>345</v>
      </c>
      <c r="E527" s="215">
        <v>32</v>
      </c>
      <c r="F527" s="115">
        <v>4</v>
      </c>
      <c r="G527" s="148">
        <f>F527*E527</f>
        <v>128</v>
      </c>
    </row>
    <row r="529" spans="1:7" ht="79.8">
      <c r="A529" s="112" t="s">
        <v>1141</v>
      </c>
      <c r="C529" s="118" t="s">
        <v>1142</v>
      </c>
      <c r="D529" s="139"/>
      <c r="E529" s="253"/>
      <c r="F529" s="115"/>
      <c r="G529" s="102"/>
    </row>
    <row r="530" spans="1:7">
      <c r="A530" s="112"/>
      <c r="C530" s="178" t="s">
        <v>1130</v>
      </c>
      <c r="D530" s="105" t="s">
        <v>748</v>
      </c>
      <c r="E530" s="215">
        <v>90</v>
      </c>
      <c r="F530" s="148">
        <v>2</v>
      </c>
      <c r="G530" s="148">
        <f t="shared" ref="G530:G535" si="2">F530*E530</f>
        <v>180</v>
      </c>
    </row>
    <row r="531" spans="1:7">
      <c r="A531" s="112"/>
      <c r="C531" s="178" t="s">
        <v>1131</v>
      </c>
      <c r="D531" s="105" t="s">
        <v>748</v>
      </c>
      <c r="E531" s="215">
        <v>120</v>
      </c>
      <c r="F531" s="148">
        <v>3</v>
      </c>
      <c r="G531" s="148">
        <f t="shared" si="2"/>
        <v>360</v>
      </c>
    </row>
    <row r="532" spans="1:7">
      <c r="A532" s="112"/>
      <c r="C532" s="178" t="s">
        <v>1132</v>
      </c>
      <c r="D532" s="105" t="s">
        <v>748</v>
      </c>
      <c r="E532" s="215">
        <v>80</v>
      </c>
      <c r="F532" s="148">
        <v>4</v>
      </c>
      <c r="G532" s="148">
        <f t="shared" si="2"/>
        <v>320</v>
      </c>
    </row>
    <row r="533" spans="1:7">
      <c r="A533" s="112"/>
      <c r="C533" s="178" t="s">
        <v>1040</v>
      </c>
      <c r="D533" s="105" t="s">
        <v>748</v>
      </c>
      <c r="E533" s="215">
        <v>75</v>
      </c>
      <c r="F533" s="148">
        <v>5</v>
      </c>
      <c r="G533" s="148">
        <f t="shared" si="2"/>
        <v>375</v>
      </c>
    </row>
    <row r="534" spans="1:7">
      <c r="A534" s="112"/>
      <c r="C534" s="178" t="s">
        <v>1041</v>
      </c>
      <c r="D534" s="105" t="s">
        <v>748</v>
      </c>
      <c r="E534" s="215">
        <v>64</v>
      </c>
      <c r="F534" s="148">
        <v>6</v>
      </c>
      <c r="G534" s="148">
        <f t="shared" si="2"/>
        <v>384</v>
      </c>
    </row>
    <row r="535" spans="1:7">
      <c r="A535" s="112"/>
      <c r="C535" s="178" t="s">
        <v>1042</v>
      </c>
      <c r="D535" s="105" t="s">
        <v>748</v>
      </c>
      <c r="E535" s="215">
        <v>98</v>
      </c>
      <c r="F535" s="148">
        <v>7</v>
      </c>
      <c r="G535" s="148">
        <f t="shared" si="2"/>
        <v>686</v>
      </c>
    </row>
    <row r="536" spans="1:7">
      <c r="A536" s="112"/>
      <c r="C536" s="118"/>
      <c r="E536" s="215"/>
      <c r="F536" s="115"/>
      <c r="G536" s="148"/>
    </row>
    <row r="537" spans="1:7" ht="34.200000000000003">
      <c r="A537" s="112" t="s">
        <v>1143</v>
      </c>
      <c r="C537" s="118" t="s">
        <v>1144</v>
      </c>
      <c r="E537" s="215"/>
      <c r="F537" s="115"/>
      <c r="G537" s="102"/>
    </row>
    <row r="538" spans="1:7" ht="17.399999999999999">
      <c r="A538" s="112"/>
      <c r="C538" s="118"/>
      <c r="D538" s="105" t="s">
        <v>898</v>
      </c>
      <c r="E538" s="215">
        <v>60</v>
      </c>
      <c r="F538" s="115">
        <v>15</v>
      </c>
      <c r="G538" s="148">
        <f>F538*E538</f>
        <v>900</v>
      </c>
    </row>
    <row r="539" spans="1:7" s="224" customFormat="1" ht="11.4">
      <c r="A539" s="112"/>
      <c r="B539" s="103"/>
      <c r="C539" s="118"/>
      <c r="D539" s="105"/>
      <c r="E539" s="215"/>
      <c r="F539" s="115"/>
      <c r="G539" s="148"/>
    </row>
    <row r="540" spans="1:7" s="224" customFormat="1" ht="45" customHeight="1">
      <c r="A540" s="112" t="s">
        <v>1145</v>
      </c>
      <c r="B540" s="103"/>
      <c r="C540" s="118" t="s">
        <v>1146</v>
      </c>
      <c r="D540" s="102" t="s">
        <v>780</v>
      </c>
      <c r="E540" s="219">
        <v>1</v>
      </c>
      <c r="F540" s="148">
        <v>200</v>
      </c>
      <c r="G540" s="148">
        <f>F540*E540</f>
        <v>200</v>
      </c>
    </row>
    <row r="541" spans="1:7" s="224" customFormat="1" ht="11.4">
      <c r="A541" s="112"/>
      <c r="B541" s="103"/>
      <c r="C541" s="118"/>
      <c r="D541" s="102"/>
      <c r="E541" s="219"/>
      <c r="F541" s="148"/>
      <c r="G541" s="148"/>
    </row>
    <row r="542" spans="1:7" s="233" customFormat="1" ht="75.75" customHeight="1">
      <c r="A542" s="112" t="s">
        <v>1147</v>
      </c>
      <c r="B542" s="230"/>
      <c r="C542" s="118" t="s">
        <v>1148</v>
      </c>
      <c r="D542" s="102"/>
      <c r="E542" s="219"/>
      <c r="F542" s="185"/>
      <c r="G542" s="232"/>
    </row>
    <row r="543" spans="1:7" s="233" customFormat="1" ht="11.4">
      <c r="A543" s="224"/>
      <c r="B543" s="230"/>
      <c r="C543" s="118"/>
      <c r="D543" s="102" t="s">
        <v>766</v>
      </c>
      <c r="E543" s="219">
        <v>1</v>
      </c>
      <c r="F543" s="185">
        <v>200</v>
      </c>
      <c r="G543" s="148">
        <f>F543*E543</f>
        <v>200</v>
      </c>
    </row>
    <row r="545" spans="1:7" ht="195.75" customHeight="1">
      <c r="A545" s="112" t="s">
        <v>1149</v>
      </c>
      <c r="B545" s="230"/>
      <c r="C545" s="118" t="s">
        <v>1150</v>
      </c>
      <c r="D545" s="102"/>
      <c r="E545" s="219"/>
      <c r="F545" s="185"/>
      <c r="G545" s="120"/>
    </row>
    <row r="546" spans="1:7">
      <c r="A546" s="194"/>
      <c r="B546" s="194"/>
      <c r="C546" s="199"/>
      <c r="D546" s="102" t="s">
        <v>310</v>
      </c>
      <c r="E546" s="219">
        <v>300</v>
      </c>
      <c r="F546" s="152">
        <v>5</v>
      </c>
      <c r="G546" s="148">
        <f>F546*E546</f>
        <v>1500</v>
      </c>
    </row>
    <row r="547" spans="1:7">
      <c r="A547" s="233"/>
      <c r="B547" s="230"/>
      <c r="C547" s="182"/>
      <c r="D547" s="233"/>
      <c r="E547" s="215"/>
      <c r="F547" s="207"/>
      <c r="G547" s="207"/>
    </row>
    <row r="548" spans="1:7" ht="22.8">
      <c r="A548" s="112" t="s">
        <v>1151</v>
      </c>
      <c r="C548" s="118" t="s">
        <v>1152</v>
      </c>
      <c r="E548" s="215"/>
      <c r="F548" s="115"/>
      <c r="G548" s="102"/>
    </row>
    <row r="549" spans="1:7" s="233" customFormat="1" ht="22.8">
      <c r="A549" s="112"/>
      <c r="B549" s="103"/>
      <c r="C549" s="118" t="s">
        <v>1153</v>
      </c>
      <c r="D549" s="105"/>
      <c r="E549" s="215"/>
      <c r="F549" s="115"/>
      <c r="G549" s="102"/>
    </row>
    <row r="550" spans="1:7" s="233" customFormat="1" ht="26.25" customHeight="1">
      <c r="A550" s="112"/>
      <c r="B550" s="103"/>
      <c r="C550" s="118" t="s">
        <v>1154</v>
      </c>
      <c r="D550" s="105"/>
      <c r="E550" s="215"/>
      <c r="F550" s="115"/>
      <c r="G550" s="102"/>
    </row>
    <row r="551" spans="1:7" s="233" customFormat="1" ht="11.4">
      <c r="A551" s="112"/>
      <c r="B551" s="103"/>
      <c r="C551" s="118"/>
      <c r="D551" s="102" t="s">
        <v>766</v>
      </c>
      <c r="E551" s="219">
        <v>1</v>
      </c>
      <c r="F551" s="115">
        <v>500</v>
      </c>
      <c r="G551" s="148">
        <f>F551*E551</f>
        <v>500</v>
      </c>
    </row>
    <row r="552" spans="1:7" s="111" customFormat="1" ht="11.4">
      <c r="A552" s="233"/>
      <c r="B552" s="230"/>
      <c r="C552" s="182"/>
      <c r="D552" s="233"/>
      <c r="E552" s="215"/>
      <c r="F552" s="207"/>
      <c r="G552" s="207"/>
    </row>
    <row r="553" spans="1:7" s="233" customFormat="1" ht="34.200000000000003">
      <c r="A553" s="112" t="s">
        <v>1155</v>
      </c>
      <c r="B553" s="230"/>
      <c r="C553" s="118" t="s">
        <v>1156</v>
      </c>
      <c r="D553" s="102" t="s">
        <v>1157</v>
      </c>
      <c r="E553" s="219">
        <v>10</v>
      </c>
      <c r="F553" s="254">
        <v>100</v>
      </c>
      <c r="G553" s="148">
        <f>F553*E553</f>
        <v>1000</v>
      </c>
    </row>
    <row r="554" spans="1:7" s="111" customFormat="1" ht="11.4">
      <c r="A554" s="233"/>
      <c r="B554" s="230"/>
      <c r="C554" s="208"/>
      <c r="D554" s="102"/>
      <c r="E554" s="219"/>
      <c r="F554" s="254"/>
      <c r="G554" s="232"/>
    </row>
    <row r="555" spans="1:7">
      <c r="A555" s="112" t="s">
        <v>1158</v>
      </c>
      <c r="B555" s="111"/>
      <c r="C555" s="118" t="s">
        <v>772</v>
      </c>
      <c r="D555" s="102" t="s">
        <v>780</v>
      </c>
      <c r="E555" s="219">
        <v>1</v>
      </c>
      <c r="F555" s="145">
        <v>30</v>
      </c>
      <c r="G555" s="148">
        <f>F555*E555</f>
        <v>30</v>
      </c>
    </row>
    <row r="556" spans="1:7" s="111" customFormat="1" ht="11.4">
      <c r="A556" s="233"/>
      <c r="B556" s="230"/>
      <c r="C556" s="182"/>
      <c r="D556" s="233"/>
      <c r="E556" s="215"/>
      <c r="F556" s="207"/>
      <c r="G556" s="207"/>
    </row>
    <row r="557" spans="1:7">
      <c r="A557" s="112" t="s">
        <v>1159</v>
      </c>
      <c r="B557" s="111"/>
      <c r="C557" s="118" t="s">
        <v>1160</v>
      </c>
      <c r="D557" s="102" t="s">
        <v>766</v>
      </c>
      <c r="E557" s="219">
        <v>1</v>
      </c>
      <c r="F557" s="134">
        <v>800</v>
      </c>
      <c r="G557" s="148">
        <f>F557*E557</f>
        <v>800</v>
      </c>
    </row>
    <row r="558" spans="1:7">
      <c r="A558" s="112"/>
      <c r="C558" s="113"/>
      <c r="E558" s="219"/>
    </row>
    <row r="559" spans="1:7" ht="27" customHeight="1">
      <c r="A559" s="105"/>
      <c r="B559" s="111"/>
      <c r="C559" s="249" t="s">
        <v>1161</v>
      </c>
      <c r="D559" s="250"/>
      <c r="E559" s="251"/>
      <c r="F559" s="252"/>
      <c r="G559" s="252">
        <f>SUM(G476:G558)</f>
        <v>74774</v>
      </c>
    </row>
    <row r="561" spans="1:7" s="120" customFormat="1" ht="29.25" customHeight="1">
      <c r="A561" s="102"/>
      <c r="B561" s="103"/>
      <c r="C561" s="135" t="s">
        <v>1162</v>
      </c>
      <c r="D561" s="256"/>
      <c r="E561" s="257"/>
      <c r="F561" s="173"/>
      <c r="G561" s="171"/>
    </row>
    <row r="562" spans="1:7" s="240" customFormat="1" ht="21" customHeight="1">
      <c r="A562" s="102"/>
      <c r="B562" s="103"/>
      <c r="C562" s="138"/>
      <c r="D562" s="256"/>
      <c r="E562" s="257"/>
      <c r="F562" s="173"/>
      <c r="G562" s="171"/>
    </row>
    <row r="563" spans="1:7" s="240" customFormat="1" ht="382.5" customHeight="1">
      <c r="A563" s="112" t="s">
        <v>1163</v>
      </c>
      <c r="B563" s="225"/>
      <c r="C563" s="118" t="s">
        <v>1164</v>
      </c>
      <c r="D563" s="220"/>
      <c r="E563" s="220"/>
      <c r="F563" s="220"/>
      <c r="G563" s="193"/>
    </row>
    <row r="564" spans="1:7" s="240" customFormat="1" ht="113.25" customHeight="1">
      <c r="A564" s="230"/>
      <c r="B564" s="225"/>
      <c r="C564" s="118" t="s">
        <v>1165</v>
      </c>
      <c r="D564" s="258"/>
      <c r="E564" s="185"/>
      <c r="F564" s="185"/>
      <c r="G564" s="185"/>
    </row>
    <row r="565" spans="1:7" s="240" customFormat="1" ht="11.4">
      <c r="B565" s="259"/>
      <c r="C565" s="118" t="s">
        <v>1166</v>
      </c>
      <c r="D565" s="105" t="s">
        <v>1167</v>
      </c>
      <c r="E565" s="219">
        <v>1</v>
      </c>
      <c r="F565" s="260">
        <v>250</v>
      </c>
      <c r="G565" s="148">
        <f>F565*E565</f>
        <v>250</v>
      </c>
    </row>
    <row r="566" spans="1:7" s="240" customFormat="1" ht="11.4">
      <c r="B566" s="259"/>
      <c r="C566" s="118" t="s">
        <v>1168</v>
      </c>
      <c r="D566" s="105" t="s">
        <v>1167</v>
      </c>
      <c r="E566" s="219">
        <v>1</v>
      </c>
      <c r="F566" s="260">
        <v>250</v>
      </c>
      <c r="G566" s="148">
        <f>F566*E566</f>
        <v>250</v>
      </c>
    </row>
    <row r="567" spans="1:7" s="240" customFormat="1" ht="11.4">
      <c r="B567" s="259"/>
      <c r="C567" s="118" t="s">
        <v>1169</v>
      </c>
      <c r="D567" s="105" t="s">
        <v>1167</v>
      </c>
      <c r="E567" s="219">
        <v>3</v>
      </c>
      <c r="F567" s="260">
        <v>250</v>
      </c>
      <c r="G567" s="148">
        <f>F567*E567</f>
        <v>750</v>
      </c>
    </row>
    <row r="568" spans="1:7" s="152" customFormat="1" ht="11.4">
      <c r="A568" s="240"/>
      <c r="B568" s="259"/>
      <c r="C568" s="118"/>
      <c r="D568" s="105"/>
      <c r="E568" s="219"/>
      <c r="F568" s="261"/>
      <c r="G568" s="262"/>
    </row>
    <row r="569" spans="1:7" s="152" customFormat="1" ht="93" customHeight="1">
      <c r="A569" s="263" t="s">
        <v>1170</v>
      </c>
      <c r="B569" s="264"/>
      <c r="C569" s="729" t="s">
        <v>1171</v>
      </c>
      <c r="D569" s="730"/>
      <c r="E569" s="731"/>
      <c r="F569" s="734"/>
      <c r="G569" s="732"/>
    </row>
    <row r="570" spans="1:7" s="152" customFormat="1" ht="11.4">
      <c r="A570" s="265"/>
      <c r="B570" s="266"/>
      <c r="C570" s="729" t="s">
        <v>1172</v>
      </c>
      <c r="D570" s="730" t="s">
        <v>1167</v>
      </c>
      <c r="E570" s="731">
        <v>5</v>
      </c>
      <c r="F570" s="735">
        <v>150</v>
      </c>
      <c r="G570" s="733">
        <f>F570*E570</f>
        <v>750</v>
      </c>
    </row>
    <row r="571" spans="1:7" s="152" customFormat="1" ht="11.4">
      <c r="A571" s="267"/>
      <c r="B571" s="267"/>
      <c r="C571" s="118"/>
      <c r="D571" s="105"/>
      <c r="E571" s="219"/>
    </row>
    <row r="572" spans="1:7" s="152" customFormat="1" ht="11.4">
      <c r="A572" s="268"/>
      <c r="B572" s="222"/>
      <c r="C572" s="122"/>
      <c r="D572" s="105"/>
      <c r="E572" s="219"/>
      <c r="F572" s="232"/>
      <c r="G572" s="269"/>
    </row>
    <row r="573" spans="1:7" s="152" customFormat="1" ht="91.2">
      <c r="A573" s="112" t="s">
        <v>1173</v>
      </c>
      <c r="B573" s="225"/>
      <c r="C573" s="118" t="s">
        <v>1174</v>
      </c>
      <c r="D573" s="105"/>
      <c r="E573" s="219"/>
      <c r="F573" s="232"/>
      <c r="G573" s="269"/>
    </row>
    <row r="574" spans="1:7" s="152" customFormat="1" ht="11.4">
      <c r="A574" s="270"/>
      <c r="B574" s="225"/>
      <c r="C574" s="118" t="s">
        <v>1175</v>
      </c>
      <c r="D574" s="105" t="s">
        <v>345</v>
      </c>
      <c r="E574" s="219">
        <v>5</v>
      </c>
      <c r="F574" s="271">
        <v>100</v>
      </c>
      <c r="G574" s="148">
        <f>F574*E574</f>
        <v>500</v>
      </c>
    </row>
    <row r="575" spans="1:7" s="152" customFormat="1" ht="11.4">
      <c r="A575" s="270"/>
      <c r="B575" s="225"/>
      <c r="C575" s="272"/>
      <c r="D575" s="105"/>
      <c r="E575" s="219"/>
      <c r="F575" s="271"/>
      <c r="G575" s="269"/>
    </row>
    <row r="576" spans="1:7" s="152" customFormat="1" ht="80.25" customHeight="1">
      <c r="A576" s="112" t="s">
        <v>1176</v>
      </c>
      <c r="B576" s="225"/>
      <c r="C576" s="118" t="s">
        <v>1177</v>
      </c>
      <c r="D576" s="105"/>
      <c r="E576" s="219"/>
      <c r="F576" s="210"/>
      <c r="G576" s="193"/>
    </row>
    <row r="577" spans="1:7" s="152" customFormat="1" ht="11.4">
      <c r="A577" s="270"/>
      <c r="B577" s="225"/>
      <c r="C577" s="118" t="s">
        <v>1178</v>
      </c>
      <c r="D577" s="105" t="s">
        <v>345</v>
      </c>
      <c r="E577" s="219">
        <v>5</v>
      </c>
      <c r="F577" s="271">
        <v>50</v>
      </c>
      <c r="G577" s="148">
        <f>F577*E577</f>
        <v>250</v>
      </c>
    </row>
    <row r="578" spans="1:7" s="152" customFormat="1" ht="11.4">
      <c r="A578" s="194"/>
      <c r="B578" s="194"/>
      <c r="C578" s="273"/>
      <c r="D578" s="105"/>
      <c r="E578" s="219"/>
      <c r="F578" s="189"/>
    </row>
    <row r="579" spans="1:7" s="152" customFormat="1" ht="19.5" customHeight="1">
      <c r="A579" s="194"/>
      <c r="B579" s="201"/>
      <c r="C579" s="273" t="s">
        <v>855</v>
      </c>
      <c r="D579" s="105"/>
      <c r="E579" s="219"/>
      <c r="F579" s="248"/>
      <c r="G579" s="224"/>
    </row>
    <row r="580" spans="1:7" s="152" customFormat="1" ht="11.4">
      <c r="A580" s="194"/>
      <c r="B580" s="201"/>
      <c r="C580" s="273" t="s">
        <v>1179</v>
      </c>
      <c r="D580" s="105"/>
      <c r="E580" s="219"/>
      <c r="F580" s="248"/>
      <c r="G580" s="224"/>
    </row>
    <row r="581" spans="1:7" s="152" customFormat="1" ht="11.4">
      <c r="A581" s="194"/>
      <c r="B581" s="201"/>
      <c r="C581" s="273"/>
      <c r="D581" s="105"/>
      <c r="E581" s="219"/>
      <c r="F581" s="248"/>
      <c r="G581" s="224"/>
    </row>
    <row r="582" spans="1:7" ht="80.25" customHeight="1">
      <c r="A582" s="112" t="s">
        <v>1180</v>
      </c>
      <c r="B582" s="225"/>
      <c r="C582" s="118" t="s">
        <v>1181</v>
      </c>
      <c r="E582" s="219"/>
      <c r="F582" s="210"/>
      <c r="G582" s="193"/>
    </row>
    <row r="583" spans="1:7" s="200" customFormat="1" ht="11.4">
      <c r="A583" s="270"/>
      <c r="B583" s="225"/>
      <c r="C583" s="118" t="s">
        <v>1175</v>
      </c>
      <c r="D583" s="105" t="s">
        <v>345</v>
      </c>
      <c r="E583" s="219">
        <v>5</v>
      </c>
      <c r="F583" s="271">
        <v>150</v>
      </c>
      <c r="G583" s="148">
        <f>F583*E583</f>
        <v>750</v>
      </c>
    </row>
    <row r="584" spans="1:7" s="200" customFormat="1" ht="18.75" customHeight="1">
      <c r="A584" s="194"/>
      <c r="B584" s="201"/>
      <c r="C584" s="274"/>
      <c r="D584" s="139"/>
      <c r="E584" s="257"/>
      <c r="F584" s="224"/>
      <c r="G584" s="224"/>
    </row>
    <row r="585" spans="1:7" s="152" customFormat="1" ht="200.25" customHeight="1">
      <c r="A585" s="112" t="s">
        <v>1182</v>
      </c>
      <c r="B585" s="103"/>
      <c r="C585" s="118" t="s">
        <v>1183</v>
      </c>
      <c r="D585" s="105"/>
      <c r="E585" s="255"/>
      <c r="F585" s="103"/>
      <c r="G585" s="103"/>
    </row>
    <row r="586" spans="1:7" ht="24.75" customHeight="1">
      <c r="A586" s="194"/>
      <c r="B586" s="275"/>
      <c r="C586" s="276" t="s">
        <v>1184</v>
      </c>
      <c r="D586" s="105" t="s">
        <v>748</v>
      </c>
      <c r="E586" s="106">
        <v>2030</v>
      </c>
      <c r="F586" s="145">
        <v>2.5</v>
      </c>
      <c r="G586" s="148">
        <f>F586*E586</f>
        <v>5075</v>
      </c>
    </row>
    <row r="587" spans="1:7" s="200" customFormat="1" ht="23.25" customHeight="1">
      <c r="A587" s="194"/>
      <c r="B587" s="275"/>
      <c r="C587" s="276" t="s">
        <v>1185</v>
      </c>
      <c r="D587" s="277"/>
      <c r="E587" s="278"/>
    </row>
    <row r="588" spans="1:7" s="200" customFormat="1" ht="9.75" customHeight="1">
      <c r="A588" s="194"/>
      <c r="B588" s="201"/>
      <c r="C588" s="273"/>
      <c r="D588" s="105"/>
      <c r="E588" s="219"/>
      <c r="F588" s="248"/>
      <c r="G588" s="224"/>
    </row>
    <row r="589" spans="1:7" s="152" customFormat="1" ht="159.75" customHeight="1">
      <c r="A589" s="112" t="s">
        <v>1186</v>
      </c>
      <c r="B589" s="103"/>
      <c r="C589" s="118" t="s">
        <v>1187</v>
      </c>
      <c r="D589" s="105"/>
      <c r="E589" s="255"/>
      <c r="F589" s="103"/>
      <c r="G589" s="103"/>
    </row>
    <row r="590" spans="1:7" ht="24.75" customHeight="1">
      <c r="A590" s="194"/>
      <c r="B590" s="275"/>
      <c r="C590" s="276" t="s">
        <v>1184</v>
      </c>
      <c r="D590" s="105" t="s">
        <v>257</v>
      </c>
      <c r="E590" s="106">
        <v>300</v>
      </c>
      <c r="F590" s="145">
        <v>10</v>
      </c>
      <c r="G590" s="148">
        <f>F590*E590</f>
        <v>3000</v>
      </c>
    </row>
    <row r="591" spans="1:7" ht="22.5" customHeight="1">
      <c r="A591" s="194"/>
      <c r="B591" s="275"/>
      <c r="C591" s="276" t="s">
        <v>1185</v>
      </c>
      <c r="D591" s="277"/>
      <c r="E591" s="278"/>
      <c r="F591" s="200"/>
      <c r="G591" s="200"/>
    </row>
    <row r="593" spans="1:7" ht="84.75" customHeight="1">
      <c r="A593" s="112" t="s">
        <v>1188</v>
      </c>
      <c r="C593" s="118" t="s">
        <v>1189</v>
      </c>
      <c r="E593" s="255"/>
    </row>
    <row r="594" spans="1:7" s="111" customFormat="1" ht="12">
      <c r="A594" s="112"/>
      <c r="B594" s="103"/>
      <c r="C594" s="126"/>
      <c r="D594" s="102" t="s">
        <v>316</v>
      </c>
      <c r="E594" s="255">
        <v>20</v>
      </c>
      <c r="F594" s="148">
        <v>5</v>
      </c>
      <c r="G594" s="148">
        <f>F594*E594</f>
        <v>100</v>
      </c>
    </row>
    <row r="595" spans="1:7" s="152" customFormat="1" ht="11.4">
      <c r="A595" s="194"/>
      <c r="B595" s="201"/>
      <c r="C595" s="273"/>
      <c r="D595" s="105"/>
      <c r="E595" s="219"/>
      <c r="F595" s="248"/>
      <c r="G595" s="224"/>
    </row>
    <row r="596" spans="1:7" ht="148.5" customHeight="1">
      <c r="A596" s="112" t="s">
        <v>1190</v>
      </c>
      <c r="C596" s="118" t="s">
        <v>1191</v>
      </c>
      <c r="E596" s="255"/>
    </row>
    <row r="597" spans="1:7" s="111" customFormat="1" ht="24.75" customHeight="1">
      <c r="A597" s="112"/>
      <c r="C597" s="279"/>
      <c r="D597" s="105" t="s">
        <v>316</v>
      </c>
      <c r="E597" s="106">
        <v>135</v>
      </c>
      <c r="F597" s="145">
        <v>1</v>
      </c>
      <c r="G597" s="148">
        <f>F597*E597</f>
        <v>135</v>
      </c>
    </row>
    <row r="598" spans="1:7" s="152" customFormat="1" ht="9.75" customHeight="1">
      <c r="A598" s="194"/>
      <c r="B598" s="201"/>
      <c r="C598" s="273"/>
      <c r="D598" s="105"/>
      <c r="E598" s="219"/>
      <c r="F598" s="248"/>
      <c r="G598" s="224"/>
    </row>
    <row r="599" spans="1:7" ht="125.4">
      <c r="A599" s="112" t="s">
        <v>1192</v>
      </c>
      <c r="C599" s="118" t="s">
        <v>1193</v>
      </c>
      <c r="E599" s="255"/>
    </row>
    <row r="600" spans="1:7" s="111" customFormat="1" ht="12">
      <c r="A600" s="112"/>
      <c r="C600" s="279"/>
      <c r="D600" s="105" t="s">
        <v>316</v>
      </c>
      <c r="E600" s="106">
        <v>12</v>
      </c>
      <c r="F600" s="145">
        <v>2</v>
      </c>
      <c r="G600" s="148">
        <f>F600*E600</f>
        <v>24</v>
      </c>
    </row>
    <row r="601" spans="1:7" s="152" customFormat="1" ht="11.4">
      <c r="A601" s="194"/>
      <c r="B601" s="201"/>
      <c r="C601" s="273"/>
      <c r="D601" s="105"/>
      <c r="E601" s="219"/>
      <c r="F601" s="248"/>
      <c r="G601" s="224"/>
    </row>
    <row r="602" spans="1:7" ht="79.8">
      <c r="A602" s="112" t="s">
        <v>1194</v>
      </c>
      <c r="C602" s="118" t="s">
        <v>1195</v>
      </c>
      <c r="E602" s="255"/>
    </row>
    <row r="603" spans="1:7">
      <c r="A603" s="112"/>
      <c r="B603" s="111"/>
      <c r="C603" s="279"/>
      <c r="D603" s="105" t="s">
        <v>1196</v>
      </c>
      <c r="E603" s="106">
        <v>90</v>
      </c>
      <c r="F603" s="145">
        <v>4</v>
      </c>
      <c r="G603" s="148">
        <f>F603*E603</f>
        <v>360</v>
      </c>
    </row>
    <row r="604" spans="1:7">
      <c r="A604" s="152"/>
      <c r="B604" s="230"/>
      <c r="C604" s="118"/>
      <c r="D604" s="139"/>
      <c r="E604" s="257"/>
      <c r="F604" s="185"/>
      <c r="G604" s="185"/>
    </row>
    <row r="605" spans="1:7" ht="45.6">
      <c r="A605" s="112" t="s">
        <v>1197</v>
      </c>
      <c r="C605" s="118" t="s">
        <v>1198</v>
      </c>
      <c r="E605" s="215"/>
      <c r="F605" s="115"/>
      <c r="G605" s="102"/>
    </row>
    <row r="606" spans="1:7">
      <c r="A606" s="112"/>
      <c r="C606" s="178" t="s">
        <v>1132</v>
      </c>
      <c r="D606" s="105" t="s">
        <v>748</v>
      </c>
      <c r="E606" s="215">
        <v>60</v>
      </c>
      <c r="F606" s="148">
        <v>30</v>
      </c>
      <c r="G606" s="148">
        <f>F606*E606</f>
        <v>1800</v>
      </c>
    </row>
    <row r="607" spans="1:7">
      <c r="A607" s="112"/>
      <c r="C607" s="280" t="s">
        <v>1199</v>
      </c>
      <c r="D607" s="105" t="s">
        <v>748</v>
      </c>
      <c r="E607" s="215">
        <v>80</v>
      </c>
      <c r="F607" s="148">
        <v>40</v>
      </c>
      <c r="G607" s="148">
        <f>F607*E607</f>
        <v>3200</v>
      </c>
    </row>
    <row r="609" spans="1:7" s="233" customFormat="1" ht="71.25" customHeight="1">
      <c r="A609" s="112" t="s">
        <v>1200</v>
      </c>
      <c r="B609" s="103"/>
      <c r="C609" s="118" t="s">
        <v>1134</v>
      </c>
      <c r="D609" s="105"/>
      <c r="E609" s="215"/>
      <c r="F609" s="115"/>
      <c r="G609" s="102"/>
    </row>
    <row r="610" spans="1:7" s="152" customFormat="1" ht="22.8">
      <c r="A610" s="112"/>
      <c r="B610" s="103"/>
      <c r="C610" s="118" t="s">
        <v>1135</v>
      </c>
      <c r="D610" s="105" t="s">
        <v>766</v>
      </c>
      <c r="E610" s="215">
        <v>1</v>
      </c>
      <c r="F610" s="115">
        <v>500</v>
      </c>
      <c r="G610" s="148">
        <f>F610*E610</f>
        <v>500</v>
      </c>
    </row>
    <row r="611" spans="1:7" s="152" customFormat="1" ht="11.4">
      <c r="A611" s="112"/>
      <c r="B611" s="103"/>
      <c r="C611" s="118"/>
      <c r="D611" s="105"/>
      <c r="E611" s="215"/>
      <c r="F611" s="115"/>
      <c r="G611" s="148"/>
    </row>
    <row r="612" spans="1:7" s="233" customFormat="1" ht="171">
      <c r="A612" s="112" t="s">
        <v>1201</v>
      </c>
      <c r="B612" s="222"/>
      <c r="C612" s="118" t="s">
        <v>1202</v>
      </c>
      <c r="D612" s="105"/>
      <c r="E612" s="219"/>
      <c r="F612" s="185"/>
      <c r="G612" s="185"/>
    </row>
    <row r="613" spans="1:7" s="120" customFormat="1" ht="11.4">
      <c r="A613" s="152"/>
      <c r="B613" s="230"/>
      <c r="C613" s="178" t="s">
        <v>1203</v>
      </c>
      <c r="D613" s="105" t="s">
        <v>748</v>
      </c>
      <c r="E613" s="215">
        <v>60</v>
      </c>
      <c r="F613" s="221">
        <v>5</v>
      </c>
      <c r="G613" s="148">
        <f>F613*E613</f>
        <v>300</v>
      </c>
    </row>
    <row r="614" spans="1:7" s="120" customFormat="1" ht="11.4">
      <c r="A614" s="152"/>
      <c r="B614" s="230"/>
      <c r="C614" s="178" t="s">
        <v>1204</v>
      </c>
      <c r="D614" s="105" t="s">
        <v>748</v>
      </c>
      <c r="E614" s="215">
        <v>80</v>
      </c>
      <c r="F614" s="221">
        <v>7</v>
      </c>
      <c r="G614" s="148">
        <f>F614*E614</f>
        <v>560</v>
      </c>
    </row>
    <row r="615" spans="1:7" s="152" customFormat="1" ht="11.4">
      <c r="A615" s="194"/>
      <c r="B615" s="194"/>
      <c r="C615" s="118"/>
      <c r="D615" s="105"/>
      <c r="E615" s="219"/>
      <c r="F615" s="221"/>
    </row>
    <row r="616" spans="1:7" s="224" customFormat="1" ht="171">
      <c r="A616" s="112" t="s">
        <v>1205</v>
      </c>
      <c r="B616" s="230"/>
      <c r="C616" s="118" t="s">
        <v>1206</v>
      </c>
      <c r="D616" s="105"/>
      <c r="E616" s="219"/>
      <c r="F616" s="281"/>
      <c r="G616" s="282"/>
    </row>
    <row r="617" spans="1:7" s="224" customFormat="1" ht="22.8">
      <c r="A617" s="120"/>
      <c r="B617" s="283"/>
      <c r="C617" s="118" t="s">
        <v>1207</v>
      </c>
      <c r="D617" s="102" t="s">
        <v>790</v>
      </c>
      <c r="E617" s="219">
        <v>20</v>
      </c>
      <c r="F617" s="221">
        <v>30</v>
      </c>
      <c r="G617" s="148">
        <f>F617*E617</f>
        <v>600</v>
      </c>
    </row>
    <row r="618" spans="1:7" s="193" customFormat="1" ht="11.4">
      <c r="A618" s="194"/>
      <c r="B618" s="201"/>
      <c r="C618" s="273"/>
      <c r="D618" s="105"/>
      <c r="E618" s="219"/>
      <c r="F618" s="248"/>
      <c r="G618" s="224"/>
    </row>
    <row r="619" spans="1:7" s="120" customFormat="1" ht="96.75" customHeight="1">
      <c r="A619" s="112" t="s">
        <v>1208</v>
      </c>
      <c r="B619" s="230"/>
      <c r="C619" s="118" t="s">
        <v>1209</v>
      </c>
      <c r="D619" s="105"/>
      <c r="E619" s="219"/>
      <c r="F619" s="271"/>
      <c r="G619" s="232"/>
    </row>
    <row r="620" spans="1:7" s="153" customFormat="1" ht="11.4">
      <c r="A620" s="224"/>
      <c r="B620" s="284"/>
      <c r="C620" s="118"/>
      <c r="D620" s="105" t="s">
        <v>780</v>
      </c>
      <c r="E620" s="219">
        <v>1</v>
      </c>
      <c r="F620" s="232">
        <v>250</v>
      </c>
      <c r="G620" s="148">
        <f>F620*E620</f>
        <v>250</v>
      </c>
    </row>
    <row r="621" spans="1:7" s="153" customFormat="1" ht="14.25" customHeight="1">
      <c r="A621" s="181"/>
      <c r="B621" s="225"/>
      <c r="C621" s="118"/>
      <c r="D621" s="105"/>
      <c r="E621" s="219"/>
      <c r="F621" s="285"/>
      <c r="G621" s="193"/>
    </row>
    <row r="622" spans="1:7" s="153" customFormat="1" ht="114">
      <c r="A622" s="112" t="s">
        <v>1210</v>
      </c>
      <c r="B622" s="230"/>
      <c r="C622" s="118" t="s">
        <v>1211</v>
      </c>
      <c r="D622" s="105"/>
      <c r="E622" s="219"/>
      <c r="F622" s="185"/>
      <c r="G622" s="120"/>
    </row>
    <row r="623" spans="1:7" s="153" customFormat="1" ht="33" customHeight="1">
      <c r="A623" s="248"/>
      <c r="B623" s="230"/>
      <c r="C623" s="118" t="s">
        <v>1212</v>
      </c>
      <c r="D623" s="105"/>
      <c r="E623" s="219"/>
      <c r="F623" s="271"/>
      <c r="G623" s="246"/>
    </row>
    <row r="624" spans="1:7" s="111" customFormat="1" ht="45.6">
      <c r="A624" s="248"/>
      <c r="B624" s="286"/>
      <c r="C624" s="118" t="s">
        <v>1089</v>
      </c>
      <c r="D624" s="105"/>
      <c r="E624" s="219"/>
      <c r="F624" s="271"/>
      <c r="G624" s="246"/>
    </row>
    <row r="625" spans="1:7">
      <c r="A625" s="248"/>
      <c r="B625" s="286"/>
      <c r="C625" s="287"/>
      <c r="D625" s="105" t="s">
        <v>780</v>
      </c>
      <c r="E625" s="219">
        <v>1</v>
      </c>
      <c r="F625" s="232">
        <v>500</v>
      </c>
      <c r="G625" s="148">
        <f>F625*E625</f>
        <v>500</v>
      </c>
    </row>
    <row r="626" spans="1:7" ht="20.25" customHeight="1">
      <c r="A626" s="248"/>
      <c r="B626" s="286"/>
      <c r="C626" s="287"/>
      <c r="E626" s="219"/>
      <c r="F626" s="232"/>
      <c r="G626" s="232"/>
    </row>
    <row r="627" spans="1:7" ht="27" customHeight="1">
      <c r="A627" s="105"/>
      <c r="B627" s="111"/>
      <c r="C627" s="249" t="s">
        <v>1213</v>
      </c>
      <c r="D627" s="250"/>
      <c r="E627" s="251"/>
      <c r="F627" s="252"/>
      <c r="G627" s="252">
        <f>SUM(G563:G626)</f>
        <v>19904</v>
      </c>
    </row>
    <row r="628" spans="1:7" ht="19.5" customHeight="1">
      <c r="C628" s="118"/>
      <c r="D628" s="255"/>
      <c r="E628" s="219"/>
      <c r="F628" s="148"/>
      <c r="G628" s="148"/>
    </row>
    <row r="629" spans="1:7" ht="29.25" customHeight="1">
      <c r="C629" s="135" t="s">
        <v>1214</v>
      </c>
      <c r="D629" s="288"/>
      <c r="E629" s="289"/>
      <c r="F629" s="290"/>
      <c r="G629" s="291"/>
    </row>
    <row r="630" spans="1:7" ht="20.25" customHeight="1">
      <c r="C630" s="118"/>
      <c r="D630" s="255"/>
      <c r="E630" s="219"/>
      <c r="F630" s="148"/>
      <c r="G630" s="102"/>
    </row>
    <row r="631" spans="1:7" ht="242.25" customHeight="1">
      <c r="A631" s="112" t="s">
        <v>1215</v>
      </c>
      <c r="C631" s="118" t="s">
        <v>1216</v>
      </c>
      <c r="D631" s="255"/>
      <c r="E631" s="219"/>
      <c r="F631" s="148"/>
      <c r="G631" s="148"/>
    </row>
    <row r="632" spans="1:7" ht="18" customHeight="1">
      <c r="C632" s="118" t="s">
        <v>1217</v>
      </c>
      <c r="D632" s="255"/>
      <c r="E632" s="219"/>
      <c r="F632" s="148"/>
      <c r="G632" s="102"/>
    </row>
    <row r="633" spans="1:7" ht="18" customHeight="1">
      <c r="C633" s="118" t="s">
        <v>1218</v>
      </c>
      <c r="D633" s="255"/>
      <c r="E633" s="219"/>
      <c r="F633" s="148"/>
      <c r="G633" s="102"/>
    </row>
    <row r="634" spans="1:7" ht="18" customHeight="1">
      <c r="C634" s="118" t="s">
        <v>1219</v>
      </c>
      <c r="D634" s="255"/>
      <c r="E634" s="219"/>
      <c r="F634" s="148"/>
      <c r="G634" s="102"/>
    </row>
    <row r="635" spans="1:7" ht="18" customHeight="1">
      <c r="A635" s="112"/>
      <c r="C635" s="141" t="s">
        <v>1220</v>
      </c>
      <c r="D635" s="255"/>
      <c r="E635" s="219"/>
      <c r="F635" s="148"/>
      <c r="G635" s="148"/>
    </row>
    <row r="636" spans="1:7" ht="18" customHeight="1">
      <c r="C636" s="141" t="s">
        <v>1221</v>
      </c>
      <c r="D636" s="255"/>
      <c r="E636" s="219"/>
      <c r="F636" s="148"/>
      <c r="G636" s="102"/>
    </row>
    <row r="637" spans="1:7" ht="18" customHeight="1">
      <c r="A637" s="112"/>
      <c r="C637" s="141" t="s">
        <v>1222</v>
      </c>
      <c r="D637" s="255"/>
      <c r="E637" s="219"/>
      <c r="F637" s="148"/>
      <c r="G637" s="148"/>
    </row>
    <row r="638" spans="1:7" ht="18" customHeight="1">
      <c r="C638" s="141" t="s">
        <v>1223</v>
      </c>
      <c r="D638" s="255"/>
      <c r="E638" s="219"/>
      <c r="F638" s="148"/>
      <c r="G638" s="102"/>
    </row>
    <row r="639" spans="1:7" ht="24" customHeight="1">
      <c r="C639" s="141" t="s">
        <v>1224</v>
      </c>
      <c r="D639" s="255"/>
      <c r="E639" s="219"/>
      <c r="F639" s="148"/>
      <c r="G639" s="102"/>
    </row>
    <row r="640" spans="1:7" ht="22.5" customHeight="1">
      <c r="C640" s="141" t="s">
        <v>1225</v>
      </c>
      <c r="D640" s="255"/>
      <c r="E640" s="219"/>
      <c r="F640" s="148"/>
      <c r="G640" s="102"/>
    </row>
    <row r="641" spans="1:7" ht="18" customHeight="1">
      <c r="C641" s="141" t="s">
        <v>1226</v>
      </c>
      <c r="D641" s="255"/>
      <c r="E641" s="219"/>
      <c r="F641" s="148"/>
      <c r="G641" s="102"/>
    </row>
    <row r="642" spans="1:7" ht="18" customHeight="1">
      <c r="A642" s="112"/>
      <c r="C642" s="141" t="s">
        <v>1227</v>
      </c>
      <c r="D642" s="255"/>
      <c r="E642" s="219"/>
      <c r="F642" s="148"/>
      <c r="G642" s="148"/>
    </row>
    <row r="643" spans="1:7" ht="19.5" customHeight="1">
      <c r="C643" s="141" t="s">
        <v>1228</v>
      </c>
      <c r="D643" s="255" t="s">
        <v>1167</v>
      </c>
      <c r="E643" s="219">
        <v>3</v>
      </c>
      <c r="F643" s="148">
        <v>800</v>
      </c>
      <c r="G643" s="148">
        <f>F643*E643</f>
        <v>2400</v>
      </c>
    </row>
    <row r="644" spans="1:7" ht="9" customHeight="1">
      <c r="D644" s="255"/>
      <c r="E644" s="219"/>
      <c r="F644" s="148"/>
      <c r="G644" s="148"/>
    </row>
    <row r="645" spans="1:7" ht="45.6">
      <c r="A645" s="112" t="s">
        <v>1229</v>
      </c>
      <c r="C645" s="118" t="s">
        <v>1230</v>
      </c>
      <c r="D645" s="255" t="s">
        <v>345</v>
      </c>
      <c r="E645" s="219">
        <v>3</v>
      </c>
      <c r="F645" s="148">
        <v>50</v>
      </c>
      <c r="G645" s="148">
        <f>F645*E645</f>
        <v>150</v>
      </c>
    </row>
    <row r="646" spans="1:7" ht="9" customHeight="1">
      <c r="D646" s="255"/>
      <c r="E646" s="219"/>
      <c r="F646" s="148"/>
      <c r="G646" s="148"/>
    </row>
    <row r="647" spans="1:7" ht="32.25" customHeight="1">
      <c r="A647" s="112" t="s">
        <v>1231</v>
      </c>
      <c r="C647" s="118" t="s">
        <v>1232</v>
      </c>
      <c r="D647" s="255" t="s">
        <v>345</v>
      </c>
      <c r="E647" s="219">
        <v>1</v>
      </c>
      <c r="F647" s="148">
        <v>50</v>
      </c>
      <c r="G647" s="148">
        <f>F647*E647</f>
        <v>50</v>
      </c>
    </row>
    <row r="648" spans="1:7" ht="9" customHeight="1">
      <c r="D648" s="255"/>
      <c r="E648" s="219"/>
      <c r="F648" s="148"/>
      <c r="G648" s="148"/>
    </row>
    <row r="649" spans="1:7" ht="34.200000000000003">
      <c r="A649" s="112" t="s">
        <v>1233</v>
      </c>
      <c r="C649" s="118" t="s">
        <v>1234</v>
      </c>
      <c r="D649" s="255" t="s">
        <v>345</v>
      </c>
      <c r="E649" s="219">
        <v>1</v>
      </c>
      <c r="F649" s="148">
        <v>50</v>
      </c>
      <c r="G649" s="148">
        <f>F649*E649</f>
        <v>50</v>
      </c>
    </row>
    <row r="650" spans="1:7" ht="9" customHeight="1">
      <c r="D650" s="255"/>
      <c r="E650" s="219"/>
      <c r="F650" s="148"/>
      <c r="G650" s="148"/>
    </row>
    <row r="651" spans="1:7" ht="141.75" customHeight="1">
      <c r="A651" s="112" t="s">
        <v>1235</v>
      </c>
      <c r="C651" s="118" t="s">
        <v>1236</v>
      </c>
      <c r="D651" s="255" t="s">
        <v>780</v>
      </c>
      <c r="E651" s="219">
        <v>1</v>
      </c>
      <c r="F651" s="148">
        <v>1500</v>
      </c>
      <c r="G651" s="148">
        <f>F651*E651</f>
        <v>1500</v>
      </c>
    </row>
    <row r="652" spans="1:7">
      <c r="D652" s="255"/>
      <c r="E652" s="219"/>
      <c r="F652" s="148"/>
      <c r="G652" s="148"/>
    </row>
    <row r="653" spans="1:7" ht="68.400000000000006">
      <c r="A653" s="112" t="s">
        <v>1237</v>
      </c>
      <c r="C653" s="118" t="s">
        <v>1238</v>
      </c>
      <c r="D653" s="255" t="s">
        <v>345</v>
      </c>
      <c r="E653" s="219">
        <v>1</v>
      </c>
      <c r="F653" s="148">
        <v>500</v>
      </c>
      <c r="G653" s="148">
        <f>F653*E653</f>
        <v>500</v>
      </c>
    </row>
    <row r="654" spans="1:7">
      <c r="D654" s="255"/>
      <c r="E654" s="219"/>
      <c r="F654" s="148"/>
      <c r="G654" s="148"/>
    </row>
    <row r="655" spans="1:7" ht="45.6">
      <c r="A655" s="112" t="s">
        <v>1239</v>
      </c>
      <c r="C655" s="118" t="s">
        <v>1240</v>
      </c>
      <c r="D655" s="255" t="s">
        <v>345</v>
      </c>
      <c r="E655" s="219">
        <v>1</v>
      </c>
      <c r="F655" s="148">
        <v>50</v>
      </c>
      <c r="G655" s="148">
        <f>F655*E655</f>
        <v>50</v>
      </c>
    </row>
    <row r="657" spans="1:7" ht="185.25" customHeight="1">
      <c r="A657" s="112" t="s">
        <v>1241</v>
      </c>
      <c r="C657" s="118" t="s">
        <v>1242</v>
      </c>
      <c r="D657" s="255" t="s">
        <v>780</v>
      </c>
      <c r="E657" s="219">
        <v>1</v>
      </c>
      <c r="F657" s="148">
        <v>500</v>
      </c>
      <c r="G657" s="148">
        <f>F657*E657</f>
        <v>500</v>
      </c>
    </row>
    <row r="658" spans="1:7" ht="10.5" customHeight="1">
      <c r="D658" s="255"/>
      <c r="E658" s="219"/>
      <c r="F658" s="148"/>
      <c r="G658" s="148"/>
    </row>
    <row r="659" spans="1:7" ht="57">
      <c r="A659" s="112" t="s">
        <v>1243</v>
      </c>
      <c r="C659" s="118" t="s">
        <v>1244</v>
      </c>
      <c r="D659" s="255" t="s">
        <v>780</v>
      </c>
      <c r="E659" s="219">
        <v>1</v>
      </c>
      <c r="F659" s="148">
        <v>300</v>
      </c>
      <c r="G659" s="148">
        <f>F659*E659</f>
        <v>300</v>
      </c>
    </row>
    <row r="660" spans="1:7" ht="10.5" customHeight="1">
      <c r="D660" s="255"/>
      <c r="E660" s="219"/>
      <c r="F660" s="148"/>
      <c r="G660" s="148"/>
    </row>
    <row r="661" spans="1:7" ht="22.8">
      <c r="A661" s="112" t="s">
        <v>1245</v>
      </c>
      <c r="C661" s="118" t="s">
        <v>1246</v>
      </c>
      <c r="D661" s="255" t="s">
        <v>780</v>
      </c>
      <c r="E661" s="219">
        <v>4</v>
      </c>
      <c r="F661" s="148">
        <v>150</v>
      </c>
      <c r="G661" s="148">
        <f>F661*E661</f>
        <v>600</v>
      </c>
    </row>
    <row r="662" spans="1:7" ht="10.5" customHeight="1">
      <c r="D662" s="255"/>
      <c r="E662" s="219"/>
      <c r="F662" s="148"/>
      <c r="G662" s="148"/>
    </row>
    <row r="663" spans="1:7" ht="95.25" customHeight="1">
      <c r="A663" s="112" t="s">
        <v>1247</v>
      </c>
      <c r="C663" s="118" t="s">
        <v>1248</v>
      </c>
      <c r="D663" s="255" t="s">
        <v>780</v>
      </c>
      <c r="E663" s="219">
        <v>1</v>
      </c>
      <c r="F663" s="148">
        <v>250</v>
      </c>
      <c r="G663" s="148">
        <f>F663*E663</f>
        <v>250</v>
      </c>
    </row>
    <row r="664" spans="1:7" ht="10.5" customHeight="1">
      <c r="D664" s="255"/>
      <c r="E664" s="219"/>
      <c r="F664" s="148"/>
      <c r="G664" s="148"/>
    </row>
    <row r="665" spans="1:7" ht="45.6">
      <c r="A665" s="112" t="s">
        <v>1249</v>
      </c>
      <c r="C665" s="118" t="s">
        <v>1250</v>
      </c>
      <c r="D665" s="255" t="s">
        <v>345</v>
      </c>
      <c r="E665" s="219">
        <v>1</v>
      </c>
      <c r="F665" s="148">
        <v>80</v>
      </c>
      <c r="G665" s="148">
        <f>F665*E665</f>
        <v>80</v>
      </c>
    </row>
    <row r="666" spans="1:7" ht="10.5" customHeight="1">
      <c r="D666" s="255"/>
      <c r="E666" s="219"/>
      <c r="F666" s="148"/>
      <c r="G666" s="148"/>
    </row>
    <row r="667" spans="1:7" ht="22.8">
      <c r="A667" s="112" t="s">
        <v>1251</v>
      </c>
      <c r="C667" s="118" t="s">
        <v>1252</v>
      </c>
      <c r="D667" s="255" t="s">
        <v>345</v>
      </c>
      <c r="E667" s="219">
        <v>4</v>
      </c>
      <c r="F667" s="148">
        <v>50</v>
      </c>
      <c r="G667" s="148">
        <f>F667*E667</f>
        <v>200</v>
      </c>
    </row>
    <row r="668" spans="1:7" s="111" customFormat="1" ht="10.5" customHeight="1">
      <c r="A668" s="102"/>
      <c r="B668" s="103"/>
      <c r="C668" s="104"/>
      <c r="D668" s="255"/>
      <c r="E668" s="219"/>
      <c r="F668" s="148"/>
      <c r="G668" s="148"/>
    </row>
    <row r="669" spans="1:7" ht="34.200000000000003">
      <c r="A669" s="112" t="s">
        <v>1253</v>
      </c>
      <c r="C669" s="118" t="s">
        <v>1254</v>
      </c>
      <c r="D669" s="255" t="s">
        <v>345</v>
      </c>
      <c r="E669" s="219">
        <v>1</v>
      </c>
      <c r="F669" s="148">
        <v>150</v>
      </c>
      <c r="G669" s="148">
        <f>F669*E669</f>
        <v>150</v>
      </c>
    </row>
    <row r="670" spans="1:7" ht="10.5" customHeight="1">
      <c r="D670" s="255"/>
      <c r="E670" s="219"/>
      <c r="F670" s="148"/>
      <c r="G670" s="148"/>
    </row>
    <row r="671" spans="1:7" ht="22.8">
      <c r="A671" s="112" t="s">
        <v>1255</v>
      </c>
      <c r="B671" s="111"/>
      <c r="C671" s="118" t="s">
        <v>1256</v>
      </c>
      <c r="D671" s="255" t="s">
        <v>345</v>
      </c>
      <c r="E671" s="219">
        <v>1</v>
      </c>
      <c r="F671" s="145">
        <v>250</v>
      </c>
      <c r="G671" s="148">
        <f>F671*E671</f>
        <v>250</v>
      </c>
    </row>
    <row r="673" spans="1:7" ht="168.75" customHeight="1">
      <c r="A673" s="112" t="s">
        <v>1257</v>
      </c>
      <c r="C673" s="118" t="s">
        <v>1258</v>
      </c>
      <c r="D673" s="255"/>
      <c r="E673" s="219"/>
      <c r="F673" s="148"/>
      <c r="G673" s="148"/>
    </row>
    <row r="674" spans="1:7" ht="18" customHeight="1">
      <c r="C674" s="118" t="s">
        <v>1259</v>
      </c>
      <c r="D674" s="255"/>
      <c r="E674" s="219"/>
      <c r="F674" s="148"/>
      <c r="G674" s="102"/>
    </row>
    <row r="675" spans="1:7" ht="15" customHeight="1">
      <c r="C675" s="118" t="s">
        <v>1260</v>
      </c>
      <c r="D675" s="255"/>
      <c r="E675" s="219"/>
      <c r="F675" s="148"/>
      <c r="G675" s="102"/>
    </row>
    <row r="676" spans="1:7" ht="15" customHeight="1">
      <c r="C676" s="118" t="s">
        <v>1261</v>
      </c>
      <c r="D676" s="255"/>
      <c r="E676" s="219"/>
      <c r="F676" s="148"/>
      <c r="G676" s="102"/>
    </row>
    <row r="677" spans="1:7" ht="15" customHeight="1">
      <c r="C677" s="118" t="s">
        <v>1262</v>
      </c>
      <c r="D677" s="255"/>
      <c r="E677" s="219"/>
      <c r="F677" s="148"/>
      <c r="G677" s="102"/>
    </row>
    <row r="678" spans="1:7" ht="15" customHeight="1">
      <c r="A678" s="112"/>
      <c r="C678" s="118" t="s">
        <v>1263</v>
      </c>
      <c r="D678" s="255"/>
      <c r="E678" s="219"/>
      <c r="F678" s="148"/>
      <c r="G678" s="148"/>
    </row>
    <row r="679" spans="1:7" ht="15" customHeight="1">
      <c r="C679" s="118" t="s">
        <v>1264</v>
      </c>
      <c r="D679" s="255"/>
      <c r="E679" s="219"/>
      <c r="F679" s="148"/>
      <c r="G679" s="102"/>
    </row>
    <row r="680" spans="1:7" ht="15" customHeight="1">
      <c r="C680" s="118" t="s">
        <v>1265</v>
      </c>
      <c r="D680" s="255"/>
      <c r="E680" s="219"/>
      <c r="F680" s="148"/>
      <c r="G680" s="102"/>
    </row>
    <row r="681" spans="1:7" ht="15" customHeight="1">
      <c r="C681" s="118" t="s">
        <v>1266</v>
      </c>
      <c r="D681" s="255"/>
      <c r="E681" s="219"/>
      <c r="F681" s="148"/>
      <c r="G681" s="102"/>
    </row>
    <row r="682" spans="1:7" ht="80.25" customHeight="1">
      <c r="C682" s="118" t="s">
        <v>1267</v>
      </c>
      <c r="D682" s="255"/>
      <c r="E682" s="219"/>
      <c r="F682" s="148"/>
      <c r="G682" s="102"/>
    </row>
    <row r="683" spans="1:7" ht="31.5" customHeight="1">
      <c r="A683" s="112"/>
      <c r="C683" s="118" t="s">
        <v>1268</v>
      </c>
      <c r="D683" s="255"/>
      <c r="E683" s="219"/>
      <c r="F683" s="148"/>
      <c r="G683" s="148"/>
    </row>
    <row r="684" spans="1:7" ht="50.25" customHeight="1">
      <c r="C684" s="118" t="s">
        <v>1269</v>
      </c>
      <c r="D684" s="255"/>
      <c r="E684" s="219"/>
      <c r="F684" s="148"/>
      <c r="G684" s="102"/>
    </row>
    <row r="685" spans="1:7" ht="26.25" customHeight="1">
      <c r="C685" s="118" t="s">
        <v>1270</v>
      </c>
      <c r="D685" s="255"/>
      <c r="E685" s="219"/>
      <c r="F685" s="148"/>
      <c r="G685" s="102"/>
    </row>
    <row r="686" spans="1:7" ht="15" customHeight="1">
      <c r="C686" s="118" t="s">
        <v>1271</v>
      </c>
      <c r="D686" s="255"/>
      <c r="E686" s="219"/>
      <c r="F686" s="148"/>
      <c r="G686" s="102"/>
    </row>
    <row r="687" spans="1:7" ht="15" customHeight="1">
      <c r="A687" s="112"/>
      <c r="C687" s="118" t="s">
        <v>1272</v>
      </c>
      <c r="D687" s="255"/>
      <c r="E687" s="219"/>
      <c r="F687" s="148"/>
      <c r="G687" s="148"/>
    </row>
    <row r="688" spans="1:7" ht="15" customHeight="1">
      <c r="C688" s="118" t="s">
        <v>1273</v>
      </c>
      <c r="D688" s="255"/>
      <c r="E688" s="219"/>
      <c r="F688" s="148"/>
      <c r="G688" s="102"/>
    </row>
    <row r="689" spans="1:7" ht="31.5" customHeight="1">
      <c r="C689" s="118" t="s">
        <v>1274</v>
      </c>
      <c r="D689" s="255"/>
      <c r="E689" s="219"/>
      <c r="F689" s="148"/>
      <c r="G689" s="102"/>
    </row>
    <row r="690" spans="1:7" ht="15" customHeight="1">
      <c r="C690" s="118" t="s">
        <v>1275</v>
      </c>
      <c r="D690" s="255"/>
      <c r="E690" s="219"/>
      <c r="F690" s="148"/>
      <c r="G690" s="102"/>
    </row>
    <row r="691" spans="1:7" ht="15" customHeight="1">
      <c r="C691" s="118" t="s">
        <v>1276</v>
      </c>
      <c r="D691" s="255"/>
      <c r="E691" s="219"/>
      <c r="F691" s="148"/>
      <c r="G691" s="102"/>
    </row>
    <row r="692" spans="1:7" ht="15" customHeight="1">
      <c r="C692" s="118" t="s">
        <v>1277</v>
      </c>
      <c r="D692" s="255"/>
      <c r="E692" s="219"/>
      <c r="F692" s="148"/>
      <c r="G692" s="102"/>
    </row>
    <row r="693" spans="1:7" ht="15" customHeight="1">
      <c r="C693" s="118" t="s">
        <v>1278</v>
      </c>
      <c r="D693" s="255"/>
      <c r="E693" s="219"/>
      <c r="F693" s="148"/>
      <c r="G693" s="102"/>
    </row>
    <row r="694" spans="1:7" ht="29.25" customHeight="1">
      <c r="C694" s="118" t="s">
        <v>1279</v>
      </c>
      <c r="D694" s="255"/>
      <c r="E694" s="219"/>
      <c r="F694" s="148"/>
      <c r="G694" s="102"/>
    </row>
    <row r="695" spans="1:7" ht="15" customHeight="1">
      <c r="A695" s="112"/>
      <c r="C695" s="118" t="s">
        <v>1280</v>
      </c>
      <c r="D695" s="255"/>
      <c r="E695" s="219"/>
      <c r="F695" s="148"/>
      <c r="G695" s="148"/>
    </row>
    <row r="696" spans="1:7" ht="15" customHeight="1">
      <c r="C696" s="118" t="s">
        <v>1281</v>
      </c>
      <c r="D696" s="255"/>
      <c r="E696" s="219"/>
      <c r="F696" s="148"/>
      <c r="G696" s="102"/>
    </row>
    <row r="697" spans="1:7" ht="19.5" customHeight="1">
      <c r="C697" s="118"/>
      <c r="D697" s="255" t="s">
        <v>780</v>
      </c>
      <c r="E697" s="219">
        <v>1</v>
      </c>
      <c r="F697" s="148">
        <v>1200</v>
      </c>
      <c r="G697" s="148">
        <f>F697*E697</f>
        <v>1200</v>
      </c>
    </row>
    <row r="698" spans="1:7" ht="15.75" customHeight="1">
      <c r="C698" s="118"/>
      <c r="D698" s="255"/>
      <c r="E698" s="219"/>
      <c r="F698" s="148"/>
      <c r="G698" s="148"/>
    </row>
    <row r="699" spans="1:7" ht="296.25" customHeight="1">
      <c r="A699" s="112" t="s">
        <v>1282</v>
      </c>
      <c r="C699" s="118" t="s">
        <v>1283</v>
      </c>
      <c r="D699" s="255" t="s">
        <v>780</v>
      </c>
      <c r="E699" s="219">
        <v>1</v>
      </c>
      <c r="F699" s="148">
        <v>350</v>
      </c>
      <c r="G699" s="148">
        <f>F699*E699</f>
        <v>350</v>
      </c>
    </row>
    <row r="700" spans="1:7">
      <c r="C700" s="118"/>
      <c r="D700" s="255"/>
      <c r="E700" s="219"/>
      <c r="F700" s="148"/>
      <c r="G700" s="148"/>
    </row>
    <row r="701" spans="1:7" ht="68.400000000000006">
      <c r="A701" s="112" t="s">
        <v>1284</v>
      </c>
      <c r="C701" s="118" t="s">
        <v>1285</v>
      </c>
      <c r="D701" s="255" t="s">
        <v>345</v>
      </c>
      <c r="E701" s="219">
        <v>1</v>
      </c>
      <c r="F701" s="148">
        <v>50</v>
      </c>
      <c r="G701" s="148">
        <f>F701*E701</f>
        <v>50</v>
      </c>
    </row>
    <row r="702" spans="1:7">
      <c r="C702" s="118"/>
      <c r="D702" s="255"/>
      <c r="E702" s="219"/>
      <c r="F702" s="148"/>
      <c r="G702" s="102"/>
    </row>
    <row r="703" spans="1:7" ht="57">
      <c r="A703" s="112" t="s">
        <v>1286</v>
      </c>
      <c r="C703" s="118" t="s">
        <v>1287</v>
      </c>
      <c r="D703" s="255" t="s">
        <v>345</v>
      </c>
      <c r="E703" s="219">
        <v>1</v>
      </c>
      <c r="F703" s="148">
        <v>100</v>
      </c>
      <c r="G703" s="148">
        <f>F703*E703</f>
        <v>100</v>
      </c>
    </row>
    <row r="705" spans="1:7" ht="57">
      <c r="A705" s="112" t="s">
        <v>1288</v>
      </c>
      <c r="C705" s="118" t="s">
        <v>1289</v>
      </c>
      <c r="D705" s="255"/>
      <c r="E705" s="219"/>
      <c r="F705" s="148"/>
      <c r="G705" s="102"/>
    </row>
    <row r="706" spans="1:7">
      <c r="C706" s="141" t="s">
        <v>1290</v>
      </c>
      <c r="D706" s="255"/>
      <c r="E706" s="219"/>
      <c r="F706" s="148"/>
      <c r="G706" s="102"/>
    </row>
    <row r="707" spans="1:7" ht="18" customHeight="1">
      <c r="C707" s="141" t="s">
        <v>1291</v>
      </c>
      <c r="D707" s="255"/>
      <c r="E707" s="219"/>
      <c r="F707" s="148"/>
      <c r="G707" s="102"/>
    </row>
    <row r="708" spans="1:7" ht="22.8">
      <c r="C708" s="141" t="s">
        <v>1292</v>
      </c>
      <c r="D708" s="255"/>
      <c r="E708" s="219"/>
      <c r="F708" s="148"/>
      <c r="G708" s="102"/>
    </row>
    <row r="709" spans="1:7" ht="15" customHeight="1">
      <c r="C709" s="141" t="s">
        <v>1293</v>
      </c>
      <c r="D709" s="255"/>
      <c r="E709" s="219"/>
      <c r="F709" s="148"/>
      <c r="G709" s="102"/>
    </row>
    <row r="710" spans="1:7">
      <c r="C710" s="141" t="s">
        <v>1294</v>
      </c>
      <c r="D710" s="255"/>
      <c r="E710" s="219"/>
      <c r="F710" s="148"/>
      <c r="G710" s="102"/>
    </row>
    <row r="711" spans="1:7">
      <c r="C711" s="141" t="s">
        <v>1295</v>
      </c>
      <c r="D711" s="255"/>
      <c r="E711" s="219"/>
      <c r="F711" s="148"/>
      <c r="G711" s="102"/>
    </row>
    <row r="712" spans="1:7">
      <c r="C712" s="141" t="s">
        <v>1296</v>
      </c>
      <c r="D712" s="255"/>
      <c r="E712" s="219"/>
      <c r="F712" s="148"/>
      <c r="G712" s="148"/>
    </row>
    <row r="713" spans="1:7">
      <c r="A713" s="112"/>
      <c r="C713" s="141" t="s">
        <v>1297</v>
      </c>
      <c r="D713" s="255"/>
      <c r="E713" s="219"/>
      <c r="F713" s="148"/>
      <c r="G713" s="102"/>
    </row>
    <row r="714" spans="1:7" ht="19.5" customHeight="1">
      <c r="C714" s="141" t="s">
        <v>1298</v>
      </c>
      <c r="D714" s="255" t="s">
        <v>345</v>
      </c>
      <c r="E714" s="219">
        <v>1</v>
      </c>
      <c r="F714" s="148">
        <v>250</v>
      </c>
      <c r="G714" s="148">
        <f>F714*E714</f>
        <v>250</v>
      </c>
    </row>
    <row r="715" spans="1:7">
      <c r="A715" s="112"/>
      <c r="C715" s="151"/>
      <c r="D715" s="218"/>
      <c r="E715" s="219"/>
      <c r="F715" s="148"/>
      <c r="G715" s="148"/>
    </row>
    <row r="716" spans="1:7" ht="105" customHeight="1">
      <c r="A716" s="112" t="s">
        <v>1299</v>
      </c>
      <c r="C716" s="118" t="s">
        <v>1300</v>
      </c>
      <c r="D716" s="255"/>
      <c r="E716" s="292"/>
      <c r="F716" s="148"/>
      <c r="G716" s="149"/>
    </row>
    <row r="717" spans="1:7" ht="14.25" customHeight="1">
      <c r="A717" s="112"/>
      <c r="C717" s="178" t="s">
        <v>744</v>
      </c>
      <c r="D717" s="218" t="s">
        <v>748</v>
      </c>
      <c r="E717" s="219">
        <v>16</v>
      </c>
      <c r="F717" s="148">
        <v>15</v>
      </c>
      <c r="G717" s="148">
        <f>F717*E717</f>
        <v>240</v>
      </c>
    </row>
    <row r="718" spans="1:7" ht="14.25" customHeight="1">
      <c r="A718" s="112"/>
      <c r="C718" s="178" t="s">
        <v>1037</v>
      </c>
      <c r="D718" s="218" t="s">
        <v>748</v>
      </c>
      <c r="E718" s="219">
        <v>16</v>
      </c>
      <c r="F718" s="148">
        <v>12</v>
      </c>
      <c r="G718" s="148">
        <f>F718*E718</f>
        <v>192</v>
      </c>
    </row>
    <row r="719" spans="1:7">
      <c r="A719" s="112"/>
      <c r="C719" s="151"/>
      <c r="D719" s="218"/>
      <c r="E719" s="219"/>
      <c r="F719" s="148"/>
      <c r="G719" s="148"/>
    </row>
    <row r="720" spans="1:7" ht="57">
      <c r="A720" s="112" t="s">
        <v>1301</v>
      </c>
      <c r="C720" s="118" t="s">
        <v>1302</v>
      </c>
      <c r="D720" s="218"/>
      <c r="E720" s="219"/>
      <c r="F720" s="148"/>
      <c r="G720" s="149"/>
    </row>
    <row r="721" spans="1:7" ht="14.25" customHeight="1">
      <c r="A721" s="112"/>
      <c r="C721" s="178" t="s">
        <v>744</v>
      </c>
      <c r="D721" s="218" t="s">
        <v>748</v>
      </c>
      <c r="E721" s="219">
        <v>12</v>
      </c>
      <c r="F721" s="148">
        <v>5</v>
      </c>
      <c r="G721" s="148">
        <f>F721*E721</f>
        <v>60</v>
      </c>
    </row>
    <row r="722" spans="1:7" ht="14.25" customHeight="1">
      <c r="A722" s="112"/>
      <c r="C722" s="178" t="s">
        <v>1037</v>
      </c>
      <c r="D722" s="218" t="s">
        <v>748</v>
      </c>
      <c r="E722" s="219">
        <v>8</v>
      </c>
      <c r="F722" s="148">
        <v>4</v>
      </c>
      <c r="G722" s="148">
        <f>F722*E722</f>
        <v>32</v>
      </c>
    </row>
    <row r="723" spans="1:7">
      <c r="A723" s="112"/>
      <c r="C723" s="178"/>
      <c r="D723" s="218"/>
      <c r="E723" s="219"/>
      <c r="F723" s="148"/>
      <c r="G723" s="148"/>
    </row>
    <row r="724" spans="1:7" ht="54" customHeight="1">
      <c r="A724" s="112" t="s">
        <v>1303</v>
      </c>
      <c r="C724" s="118" t="s">
        <v>1304</v>
      </c>
      <c r="D724" s="255" t="s">
        <v>1167</v>
      </c>
      <c r="E724" s="219">
        <v>1</v>
      </c>
      <c r="F724" s="148">
        <v>80</v>
      </c>
      <c r="G724" s="148">
        <f>F724*E724</f>
        <v>80</v>
      </c>
    </row>
    <row r="725" spans="1:7" s="111" customFormat="1" ht="11.4">
      <c r="A725" s="112"/>
      <c r="B725" s="103"/>
      <c r="C725" s="293"/>
      <c r="D725" s="218"/>
      <c r="E725" s="219"/>
      <c r="F725" s="148"/>
      <c r="G725" s="148"/>
    </row>
    <row r="726" spans="1:7" ht="79.8">
      <c r="A726" s="112" t="s">
        <v>1305</v>
      </c>
      <c r="C726" s="118" t="s">
        <v>1306</v>
      </c>
      <c r="D726" s="255"/>
      <c r="E726" s="219"/>
      <c r="F726" s="102"/>
      <c r="G726" s="102"/>
    </row>
    <row r="727" spans="1:7" ht="14.25" customHeight="1">
      <c r="A727" s="112"/>
      <c r="C727" s="294" t="s">
        <v>1307</v>
      </c>
      <c r="D727" s="218" t="s">
        <v>748</v>
      </c>
      <c r="E727" s="219">
        <v>45</v>
      </c>
      <c r="F727" s="148">
        <v>30</v>
      </c>
      <c r="G727" s="148">
        <f>F727*E727</f>
        <v>1350</v>
      </c>
    </row>
    <row r="728" spans="1:7" ht="13.5" customHeight="1">
      <c r="A728" s="112"/>
      <c r="C728" s="118"/>
      <c r="D728" s="255"/>
      <c r="E728" s="219"/>
      <c r="F728" s="148"/>
      <c r="G728" s="148"/>
    </row>
    <row r="729" spans="1:7" ht="45.6">
      <c r="A729" s="112" t="s">
        <v>1308</v>
      </c>
      <c r="B729" s="111"/>
      <c r="C729" s="118" t="s">
        <v>1309</v>
      </c>
      <c r="D729" s="255" t="s">
        <v>345</v>
      </c>
      <c r="E729" s="219">
        <v>2</v>
      </c>
      <c r="F729" s="145">
        <v>30</v>
      </c>
      <c r="G729" s="148">
        <f>F729*E729</f>
        <v>60</v>
      </c>
    </row>
    <row r="730" spans="1:7" ht="21" customHeight="1">
      <c r="A730" s="112"/>
      <c r="C730" s="118" t="s">
        <v>1310</v>
      </c>
      <c r="D730" s="255"/>
      <c r="E730" s="219"/>
      <c r="F730" s="148"/>
      <c r="G730" s="148"/>
    </row>
    <row r="731" spans="1:7" ht="15" customHeight="1">
      <c r="A731" s="112"/>
      <c r="C731" s="118"/>
      <c r="D731" s="255"/>
      <c r="E731" s="219"/>
      <c r="F731" s="148"/>
      <c r="G731" s="148"/>
    </row>
    <row r="732" spans="1:7" ht="205.2">
      <c r="A732" s="112" t="s">
        <v>1311</v>
      </c>
      <c r="C732" s="118" t="s">
        <v>1312</v>
      </c>
      <c r="D732" s="255"/>
      <c r="E732" s="219"/>
      <c r="F732" s="102"/>
      <c r="G732" s="102"/>
    </row>
    <row r="733" spans="1:7" ht="15.75" customHeight="1">
      <c r="A733" s="112"/>
      <c r="C733" s="118" t="s">
        <v>1313</v>
      </c>
      <c r="D733" s="255" t="s">
        <v>748</v>
      </c>
      <c r="E733" s="219">
        <v>45</v>
      </c>
      <c r="F733" s="148">
        <v>5</v>
      </c>
      <c r="G733" s="148">
        <f>F733*E733</f>
        <v>225</v>
      </c>
    </row>
    <row r="734" spans="1:7" ht="11.25" customHeight="1">
      <c r="A734" s="112"/>
      <c r="C734" s="118"/>
      <c r="D734" s="255"/>
      <c r="E734" s="219"/>
      <c r="F734" s="148"/>
      <c r="G734" s="149"/>
    </row>
    <row r="735" spans="1:7" ht="45.6">
      <c r="A735" s="112" t="s">
        <v>1314</v>
      </c>
      <c r="C735" s="118" t="s">
        <v>1315</v>
      </c>
      <c r="D735" s="218" t="s">
        <v>1316</v>
      </c>
      <c r="E735" s="219">
        <v>5</v>
      </c>
      <c r="F735" s="148">
        <v>50</v>
      </c>
      <c r="G735" s="148">
        <f>F735*E735</f>
        <v>250</v>
      </c>
    </row>
    <row r="737" spans="1:7" ht="22.8">
      <c r="A737" s="112" t="s">
        <v>1317</v>
      </c>
      <c r="C737" s="118" t="s">
        <v>1318</v>
      </c>
      <c r="D737" s="255" t="s">
        <v>345</v>
      </c>
      <c r="E737" s="219">
        <v>6</v>
      </c>
      <c r="F737" s="148">
        <v>50</v>
      </c>
      <c r="G737" s="148">
        <f>F737*E737</f>
        <v>300</v>
      </c>
    </row>
    <row r="738" spans="1:7" s="152" customFormat="1" ht="11.25" customHeight="1">
      <c r="A738" s="112"/>
      <c r="B738" s="103"/>
      <c r="C738" s="118"/>
      <c r="D738" s="255"/>
      <c r="E738" s="219"/>
      <c r="F738" s="148"/>
      <c r="G738" s="149"/>
    </row>
    <row r="739" spans="1:7" ht="102.6">
      <c r="A739" s="112" t="s">
        <v>1319</v>
      </c>
      <c r="B739" s="230"/>
      <c r="C739" s="118" t="s">
        <v>1320</v>
      </c>
      <c r="D739" s="255" t="s">
        <v>310</v>
      </c>
      <c r="E739" s="219">
        <v>50</v>
      </c>
      <c r="F739" s="185">
        <v>7</v>
      </c>
      <c r="G739" s="148">
        <f>F739*E739</f>
        <v>350</v>
      </c>
    </row>
    <row r="740" spans="1:7" s="152" customFormat="1" ht="11.25" customHeight="1">
      <c r="A740" s="112"/>
      <c r="B740" s="103"/>
      <c r="C740" s="118"/>
      <c r="D740" s="255"/>
      <c r="E740" s="219"/>
      <c r="F740" s="148"/>
      <c r="G740" s="149"/>
    </row>
    <row r="741" spans="1:7" ht="68.400000000000006">
      <c r="A741" s="112" t="s">
        <v>1321</v>
      </c>
      <c r="B741" s="222"/>
      <c r="C741" s="118" t="s">
        <v>1322</v>
      </c>
      <c r="D741" s="255" t="s">
        <v>766</v>
      </c>
      <c r="E741" s="219">
        <v>1</v>
      </c>
      <c r="F741" s="271">
        <v>100</v>
      </c>
      <c r="G741" s="148">
        <f>F741*E741</f>
        <v>100</v>
      </c>
    </row>
    <row r="742" spans="1:7" s="233" customFormat="1" ht="11.25" customHeight="1">
      <c r="A742" s="112"/>
      <c r="B742" s="103"/>
      <c r="C742" s="118"/>
      <c r="D742" s="255"/>
      <c r="E742" s="219"/>
      <c r="F742" s="148"/>
      <c r="G742" s="149"/>
    </row>
    <row r="743" spans="1:7" s="120" customFormat="1" ht="94.5" customHeight="1">
      <c r="A743" s="112" t="s">
        <v>1323</v>
      </c>
      <c r="B743" s="295"/>
      <c r="C743" s="118" t="s">
        <v>1324</v>
      </c>
      <c r="D743" s="255" t="s">
        <v>310</v>
      </c>
      <c r="E743" s="219">
        <v>250</v>
      </c>
      <c r="F743" s="185">
        <v>5</v>
      </c>
      <c r="G743" s="148">
        <f>F743*E743</f>
        <v>1250</v>
      </c>
    </row>
    <row r="744" spans="1:7" s="120" customFormat="1" ht="11.25" customHeight="1">
      <c r="A744" s="112"/>
      <c r="B744" s="103"/>
      <c r="C744" s="118"/>
      <c r="D744" s="255"/>
      <c r="E744" s="219"/>
      <c r="F744" s="148"/>
      <c r="G744" s="149"/>
    </row>
    <row r="745" spans="1:7" s="120" customFormat="1" ht="34.200000000000003">
      <c r="A745" s="112" t="s">
        <v>1325</v>
      </c>
      <c r="B745" s="222"/>
      <c r="C745" s="118" t="s">
        <v>1326</v>
      </c>
      <c r="D745" s="255"/>
      <c r="E745" s="219"/>
      <c r="F745" s="296"/>
      <c r="G745" s="297"/>
    </row>
    <row r="746" spans="1:7" ht="34.200000000000003">
      <c r="A746" s="120"/>
      <c r="B746" s="120"/>
      <c r="C746" s="118" t="s">
        <v>1327</v>
      </c>
      <c r="D746" s="255"/>
      <c r="E746" s="219"/>
      <c r="F746" s="296"/>
      <c r="G746" s="298"/>
    </row>
    <row r="747" spans="1:7">
      <c r="A747" s="152"/>
      <c r="B747" s="201"/>
      <c r="C747" s="118" t="s">
        <v>1328</v>
      </c>
      <c r="D747" s="255"/>
      <c r="E747" s="219"/>
      <c r="F747" s="120"/>
      <c r="G747" s="120"/>
    </row>
    <row r="748" spans="1:7">
      <c r="A748" s="152"/>
      <c r="B748" s="194"/>
      <c r="C748" s="118" t="s">
        <v>1329</v>
      </c>
      <c r="D748" s="255" t="s">
        <v>766</v>
      </c>
      <c r="E748" s="219">
        <v>12</v>
      </c>
      <c r="F748" s="185">
        <v>50</v>
      </c>
      <c r="G748" s="148">
        <f>F748*E748</f>
        <v>600</v>
      </c>
    </row>
    <row r="749" spans="1:7" s="233" customFormat="1" ht="11.25" customHeight="1">
      <c r="A749" s="112"/>
      <c r="B749" s="103"/>
      <c r="C749" s="118"/>
      <c r="D749" s="255"/>
      <c r="E749" s="219"/>
      <c r="F749" s="148"/>
      <c r="G749" s="149"/>
    </row>
    <row r="750" spans="1:7" s="224" customFormat="1" ht="22.8">
      <c r="A750" s="112" t="s">
        <v>1330</v>
      </c>
      <c r="B750" s="103"/>
      <c r="C750" s="118" t="s">
        <v>1331</v>
      </c>
      <c r="D750" s="255" t="s">
        <v>345</v>
      </c>
      <c r="E750" s="219">
        <v>6</v>
      </c>
      <c r="F750" s="148">
        <v>30</v>
      </c>
      <c r="G750" s="148">
        <f>F750*E750</f>
        <v>180</v>
      </c>
    </row>
    <row r="751" spans="1:7" s="224" customFormat="1" ht="4.5" customHeight="1">
      <c r="A751" s="112"/>
      <c r="B751" s="103"/>
      <c r="C751" s="118"/>
      <c r="D751" s="255"/>
      <c r="E751" s="219"/>
      <c r="F751" s="148"/>
      <c r="G751" s="149"/>
    </row>
    <row r="752" spans="1:7" s="224" customFormat="1" ht="91.2">
      <c r="A752" s="112" t="s">
        <v>1332</v>
      </c>
      <c r="B752" s="222"/>
      <c r="C752" s="118" t="s">
        <v>1333</v>
      </c>
      <c r="D752" s="122"/>
      <c r="E752" s="208"/>
      <c r="F752" s="185"/>
      <c r="G752" s="246"/>
    </row>
    <row r="753" spans="1:7" s="224" customFormat="1" ht="63" customHeight="1">
      <c r="A753" s="299"/>
      <c r="B753" s="300"/>
      <c r="C753" s="118" t="s">
        <v>1334</v>
      </c>
      <c r="D753" s="255" t="s">
        <v>1167</v>
      </c>
      <c r="E753" s="219">
        <v>1</v>
      </c>
      <c r="F753" s="299">
        <v>100</v>
      </c>
      <c r="G753" s="148">
        <f>F753*E753</f>
        <v>100</v>
      </c>
    </row>
    <row r="754" spans="1:7" ht="57">
      <c r="A754" s="120"/>
      <c r="B754" s="120"/>
      <c r="C754" s="118" t="s">
        <v>1335</v>
      </c>
      <c r="D754" s="120"/>
      <c r="E754" s="120"/>
      <c r="F754" s="120"/>
      <c r="G754" s="120"/>
    </row>
    <row r="755" spans="1:7" ht="54.75" customHeight="1">
      <c r="A755" s="248"/>
      <c r="B755" s="230"/>
      <c r="C755" s="118" t="s">
        <v>1336</v>
      </c>
      <c r="D755" s="301"/>
      <c r="E755" s="208"/>
      <c r="F755" s="271"/>
      <c r="G755" s="246"/>
    </row>
    <row r="756" spans="1:7" ht="45.6">
      <c r="A756" s="248"/>
      <c r="B756" s="222"/>
      <c r="C756" s="118" t="s">
        <v>1089</v>
      </c>
      <c r="D756" s="301"/>
      <c r="E756" s="208"/>
      <c r="F756" s="271"/>
      <c r="G756" s="246"/>
    </row>
    <row r="757" spans="1:7" ht="29.25" customHeight="1">
      <c r="C757" s="163" t="s">
        <v>1337</v>
      </c>
      <c r="D757" s="302"/>
      <c r="E757" s="303"/>
      <c r="F757" s="166"/>
      <c r="G757" s="167">
        <f>SUM(G631:G756)</f>
        <v>14349</v>
      </c>
    </row>
    <row r="758" spans="1:7" ht="29.25" customHeight="1">
      <c r="C758" s="304"/>
      <c r="D758" s="305"/>
      <c r="E758" s="306"/>
      <c r="F758" s="307"/>
      <c r="G758" s="308"/>
    </row>
    <row r="759" spans="1:7" ht="33.75" customHeight="1">
      <c r="B759" s="309"/>
      <c r="C759" s="775" t="s">
        <v>1338</v>
      </c>
      <c r="D759" s="775"/>
      <c r="E759" s="775"/>
      <c r="F759" s="775"/>
      <c r="G759" s="775"/>
    </row>
    <row r="760" spans="1:7" ht="29.25" customHeight="1">
      <c r="C760" s="118"/>
      <c r="D760" s="146"/>
      <c r="E760" s="141"/>
      <c r="G760" s="175"/>
    </row>
    <row r="761" spans="1:7" ht="189" customHeight="1">
      <c r="A761" s="112" t="s">
        <v>1339</v>
      </c>
      <c r="B761" s="310"/>
      <c r="C761" s="311" t="s">
        <v>1340</v>
      </c>
      <c r="F761" s="312"/>
      <c r="G761" s="313"/>
    </row>
    <row r="762" spans="1:7" ht="243" customHeight="1">
      <c r="A762" s="310"/>
      <c r="B762" s="310"/>
      <c r="C762" s="311" t="s">
        <v>1341</v>
      </c>
      <c r="F762" s="312"/>
      <c r="G762" s="313"/>
    </row>
    <row r="763" spans="1:7" ht="177.75" customHeight="1">
      <c r="A763" s="310"/>
      <c r="B763" s="310"/>
      <c r="C763" s="311" t="s">
        <v>1342</v>
      </c>
      <c r="F763" s="312"/>
      <c r="G763" s="313"/>
    </row>
    <row r="764" spans="1:7" ht="79.8">
      <c r="A764" s="310"/>
      <c r="B764" s="310"/>
      <c r="C764" s="311" t="s">
        <v>1343</v>
      </c>
      <c r="F764" s="312"/>
      <c r="G764" s="313"/>
    </row>
    <row r="765" spans="1:7" ht="46.5" customHeight="1">
      <c r="A765" s="310"/>
      <c r="B765" s="310"/>
      <c r="C765" s="311" t="s">
        <v>1344</v>
      </c>
      <c r="F765" s="312"/>
      <c r="G765" s="313"/>
    </row>
    <row r="766" spans="1:7" ht="81" customHeight="1">
      <c r="A766" s="310"/>
      <c r="B766" s="310"/>
      <c r="C766" s="311" t="s">
        <v>1345</v>
      </c>
      <c r="F766" s="312"/>
      <c r="G766" s="313"/>
    </row>
    <row r="767" spans="1:7" ht="42" customHeight="1">
      <c r="A767" s="310"/>
      <c r="B767" s="310"/>
      <c r="C767" s="311" t="s">
        <v>1346</v>
      </c>
      <c r="F767" s="312"/>
      <c r="G767" s="313"/>
    </row>
    <row r="768" spans="1:7" s="111" customFormat="1" ht="217.8">
      <c r="A768" s="310"/>
      <c r="B768" s="310"/>
      <c r="C768" s="311" t="s">
        <v>1347</v>
      </c>
      <c r="D768" s="105"/>
      <c r="E768" s="106"/>
      <c r="F768" s="312"/>
      <c r="G768" s="313"/>
    </row>
    <row r="770" spans="3:7" s="111" customFormat="1" ht="19.5" customHeight="1">
      <c r="C770" s="315" t="s">
        <v>1348</v>
      </c>
      <c r="D770" s="316"/>
      <c r="E770" s="316"/>
      <c r="F770" s="317"/>
      <c r="G770" s="318"/>
    </row>
    <row r="771" spans="3:7" s="111" customFormat="1" ht="19.5" customHeight="1">
      <c r="C771" s="320" t="s">
        <v>1349</v>
      </c>
      <c r="D771" s="321"/>
      <c r="E771" s="321"/>
      <c r="F771" s="322"/>
      <c r="G771" s="323"/>
    </row>
    <row r="772" spans="3:7" s="111" customFormat="1" ht="16.5" customHeight="1">
      <c r="C772" s="320" t="s">
        <v>1350</v>
      </c>
      <c r="D772" s="321"/>
      <c r="E772" s="321"/>
      <c r="F772" s="322"/>
      <c r="G772" s="323"/>
    </row>
    <row r="773" spans="3:7" s="111" customFormat="1" ht="11.4">
      <c r="C773" s="320" t="s">
        <v>1351</v>
      </c>
      <c r="D773" s="321"/>
      <c r="E773" s="321"/>
      <c r="F773" s="322"/>
      <c r="G773" s="323"/>
    </row>
    <row r="774" spans="3:7" s="111" customFormat="1" ht="22.8">
      <c r="C774" s="320" t="s">
        <v>1352</v>
      </c>
      <c r="D774" s="321"/>
      <c r="E774" s="321"/>
      <c r="F774" s="322"/>
      <c r="G774" s="323"/>
    </row>
    <row r="775" spans="3:7" s="111" customFormat="1" ht="22.8">
      <c r="C775" s="320" t="s">
        <v>1353</v>
      </c>
      <c r="D775" s="321"/>
      <c r="E775" s="321"/>
      <c r="F775" s="322"/>
      <c r="G775" s="323"/>
    </row>
    <row r="776" spans="3:7" s="111" customFormat="1" ht="11.4">
      <c r="C776" s="320" t="s">
        <v>1354</v>
      </c>
      <c r="D776" s="321"/>
      <c r="E776" s="321"/>
      <c r="F776" s="322"/>
      <c r="G776" s="323"/>
    </row>
    <row r="777" spans="3:7" s="111" customFormat="1" ht="11.4">
      <c r="C777" s="320" t="s">
        <v>1355</v>
      </c>
      <c r="D777" s="321"/>
      <c r="E777" s="321"/>
      <c r="F777" s="322"/>
      <c r="G777" s="323"/>
    </row>
    <row r="778" spans="3:7" s="111" customFormat="1" ht="11.4">
      <c r="C778" s="320" t="s">
        <v>1356</v>
      </c>
      <c r="D778" s="321"/>
      <c r="E778" s="321"/>
      <c r="F778" s="322"/>
      <c r="G778" s="323"/>
    </row>
    <row r="779" spans="3:7" s="111" customFormat="1" ht="11.4">
      <c r="C779" s="320" t="s">
        <v>1357</v>
      </c>
      <c r="D779" s="321"/>
      <c r="E779" s="321"/>
      <c r="F779" s="322"/>
      <c r="G779" s="323"/>
    </row>
    <row r="780" spans="3:7" s="111" customFormat="1" ht="11.4">
      <c r="C780" s="320" t="s">
        <v>1358</v>
      </c>
      <c r="D780" s="321"/>
      <c r="E780" s="321"/>
      <c r="F780" s="322"/>
      <c r="G780" s="323"/>
    </row>
    <row r="781" spans="3:7" s="111" customFormat="1" ht="11.4">
      <c r="C781" s="320" t="s">
        <v>1359</v>
      </c>
      <c r="D781" s="321"/>
      <c r="E781" s="321"/>
      <c r="F781" s="322"/>
      <c r="G781" s="323"/>
    </row>
    <row r="782" spans="3:7" s="111" customFormat="1" ht="22.8">
      <c r="C782" s="320" t="s">
        <v>1360</v>
      </c>
      <c r="D782" s="321"/>
      <c r="E782" s="321"/>
      <c r="F782" s="322"/>
      <c r="G782" s="323"/>
    </row>
    <row r="783" spans="3:7" s="111" customFormat="1" ht="11.4">
      <c r="C783" s="320" t="s">
        <v>1361</v>
      </c>
      <c r="D783" s="321"/>
      <c r="E783" s="321"/>
      <c r="F783" s="322"/>
      <c r="G783" s="323"/>
    </row>
    <row r="784" spans="3:7" s="111" customFormat="1" ht="11.4">
      <c r="C784" s="320" t="s">
        <v>1362</v>
      </c>
      <c r="D784" s="321"/>
      <c r="E784" s="321"/>
      <c r="F784" s="322"/>
      <c r="G784" s="323"/>
    </row>
    <row r="785" spans="1:7" ht="25.5" customHeight="1">
      <c r="A785" s="319"/>
      <c r="B785" s="319"/>
      <c r="C785" s="320" t="s">
        <v>1363</v>
      </c>
      <c r="D785" s="324"/>
      <c r="E785" s="321"/>
      <c r="F785" s="322"/>
      <c r="G785" s="323"/>
    </row>
    <row r="786" spans="1:7">
      <c r="A786" s="319"/>
      <c r="B786" s="319"/>
      <c r="C786" s="320" t="s">
        <v>1364</v>
      </c>
      <c r="E786" s="111"/>
      <c r="F786" s="325"/>
      <c r="G786" s="326"/>
    </row>
    <row r="787" spans="1:7" s="111" customFormat="1" ht="11.4">
      <c r="A787" s="319"/>
      <c r="B787" s="319"/>
      <c r="C787" s="320"/>
      <c r="D787" s="324" t="s">
        <v>345</v>
      </c>
      <c r="E787" s="327">
        <v>1</v>
      </c>
      <c r="F787" s="322">
        <v>18000</v>
      </c>
      <c r="G787" s="148">
        <f>F787*E787</f>
        <v>18000</v>
      </c>
    </row>
    <row r="788" spans="1:7" s="111" customFormat="1" ht="11.4">
      <c r="A788" s="314"/>
      <c r="B788" s="314"/>
      <c r="C788" s="328"/>
      <c r="D788" s="324"/>
      <c r="E788" s="327"/>
      <c r="F788" s="317"/>
      <c r="G788" s="318"/>
    </row>
    <row r="789" spans="1:7" s="111" customFormat="1" ht="11.4">
      <c r="A789" s="314" t="s">
        <v>1365</v>
      </c>
      <c r="B789" s="314"/>
      <c r="C789" s="315" t="s">
        <v>1348</v>
      </c>
      <c r="D789" s="324"/>
      <c r="E789" s="327"/>
      <c r="F789" s="317"/>
      <c r="G789" s="318"/>
    </row>
    <row r="790" spans="1:7" s="111" customFormat="1" ht="22.5" customHeight="1">
      <c r="A790" s="319"/>
      <c r="B790" s="319"/>
      <c r="C790" s="320" t="s">
        <v>1366</v>
      </c>
      <c r="D790" s="324"/>
      <c r="E790" s="327"/>
      <c r="F790" s="322"/>
      <c r="G790" s="323"/>
    </row>
    <row r="791" spans="1:7" s="111" customFormat="1" ht="11.4">
      <c r="A791" s="319"/>
      <c r="B791" s="319"/>
      <c r="C791" s="320" t="s">
        <v>1367</v>
      </c>
      <c r="D791" s="324"/>
      <c r="E791" s="327"/>
      <c r="F791" s="322"/>
      <c r="G791" s="323"/>
    </row>
    <row r="792" spans="1:7" s="111" customFormat="1" ht="11.4">
      <c r="A792" s="319"/>
      <c r="B792" s="319"/>
      <c r="C792" s="320" t="s">
        <v>1368</v>
      </c>
      <c r="D792" s="324"/>
      <c r="E792" s="327"/>
      <c r="F792" s="322"/>
      <c r="G792" s="323"/>
    </row>
    <row r="793" spans="1:7" s="111" customFormat="1" ht="22.8">
      <c r="A793" s="319"/>
      <c r="B793" s="319"/>
      <c r="C793" s="320" t="s">
        <v>1369</v>
      </c>
      <c r="D793" s="324"/>
      <c r="E793" s="327"/>
      <c r="F793" s="322"/>
      <c r="G793" s="323"/>
    </row>
    <row r="794" spans="1:7" s="111" customFormat="1" ht="22.8">
      <c r="A794" s="319"/>
      <c r="B794" s="319"/>
      <c r="C794" s="320" t="s">
        <v>1370</v>
      </c>
      <c r="D794" s="324"/>
      <c r="E794" s="327"/>
      <c r="F794" s="322"/>
      <c r="G794" s="323"/>
    </row>
    <row r="795" spans="1:7" s="111" customFormat="1" ht="11.4">
      <c r="A795" s="319"/>
      <c r="B795" s="319"/>
      <c r="C795" s="320" t="s">
        <v>1371</v>
      </c>
      <c r="D795" s="324"/>
      <c r="E795" s="327"/>
      <c r="F795" s="322"/>
      <c r="G795" s="323"/>
    </row>
    <row r="796" spans="1:7" s="111" customFormat="1" ht="11.4">
      <c r="A796" s="319"/>
      <c r="B796" s="319"/>
      <c r="C796" s="320" t="s">
        <v>1372</v>
      </c>
      <c r="D796" s="324"/>
      <c r="E796" s="327"/>
      <c r="F796" s="322"/>
      <c r="G796" s="323"/>
    </row>
    <row r="797" spans="1:7" s="111" customFormat="1" ht="11.4">
      <c r="A797" s="319"/>
      <c r="B797" s="319"/>
      <c r="C797" s="320" t="s">
        <v>1356</v>
      </c>
      <c r="D797" s="324"/>
      <c r="E797" s="327"/>
      <c r="F797" s="322"/>
      <c r="G797" s="323"/>
    </row>
    <row r="798" spans="1:7" s="111" customFormat="1" ht="11.4">
      <c r="A798" s="319"/>
      <c r="B798" s="319"/>
      <c r="C798" s="320" t="s">
        <v>1373</v>
      </c>
      <c r="D798" s="324"/>
      <c r="E798" s="327"/>
      <c r="F798" s="322"/>
      <c r="G798" s="323"/>
    </row>
    <row r="799" spans="1:7" s="111" customFormat="1" ht="11.4">
      <c r="A799" s="319"/>
      <c r="B799" s="319"/>
      <c r="C799" s="320" t="s">
        <v>1374</v>
      </c>
      <c r="D799" s="324"/>
      <c r="E799" s="327"/>
      <c r="F799" s="322"/>
      <c r="G799" s="323"/>
    </row>
    <row r="800" spans="1:7" s="111" customFormat="1" ht="11.4">
      <c r="A800" s="319"/>
      <c r="B800" s="319"/>
      <c r="C800" s="320" t="s">
        <v>1359</v>
      </c>
      <c r="D800" s="324"/>
      <c r="E800" s="327"/>
      <c r="F800" s="322"/>
      <c r="G800" s="323"/>
    </row>
    <row r="801" spans="1:7" s="111" customFormat="1" ht="22.8">
      <c r="A801" s="319"/>
      <c r="B801" s="319"/>
      <c r="C801" s="320" t="s">
        <v>1375</v>
      </c>
      <c r="D801" s="324"/>
      <c r="E801" s="327"/>
      <c r="F801" s="322"/>
      <c r="G801" s="323"/>
    </row>
    <row r="802" spans="1:7" s="111" customFormat="1" ht="11.4">
      <c r="A802" s="319"/>
      <c r="B802" s="319"/>
      <c r="C802" s="320" t="s">
        <v>1361</v>
      </c>
      <c r="D802" s="324"/>
      <c r="E802" s="327"/>
      <c r="F802" s="322"/>
      <c r="G802" s="323"/>
    </row>
    <row r="803" spans="1:7">
      <c r="A803" s="319"/>
      <c r="B803" s="319"/>
      <c r="C803" s="320" t="s">
        <v>1362</v>
      </c>
      <c r="D803" s="324"/>
      <c r="E803" s="327"/>
      <c r="F803" s="322"/>
      <c r="G803" s="323"/>
    </row>
    <row r="804" spans="1:7" ht="22.8">
      <c r="A804" s="319"/>
      <c r="B804" s="319"/>
      <c r="C804" s="320" t="s">
        <v>1363</v>
      </c>
      <c r="D804" s="324"/>
      <c r="E804" s="327"/>
      <c r="F804" s="322"/>
      <c r="G804" s="323"/>
    </row>
    <row r="805" spans="1:7">
      <c r="A805" s="319"/>
      <c r="B805" s="319"/>
      <c r="C805" s="320" t="s">
        <v>1364</v>
      </c>
      <c r="F805" s="325"/>
      <c r="G805" s="326"/>
    </row>
    <row r="806" spans="1:7">
      <c r="A806" s="314"/>
      <c r="B806" s="314"/>
      <c r="C806" s="328"/>
      <c r="D806" s="324" t="s">
        <v>345</v>
      </c>
      <c r="E806" s="327">
        <v>1</v>
      </c>
      <c r="F806" s="317">
        <v>22000</v>
      </c>
      <c r="G806" s="148">
        <f>F806*E806</f>
        <v>22000</v>
      </c>
    </row>
    <row r="807" spans="1:7">
      <c r="A807" s="314"/>
      <c r="B807" s="314"/>
      <c r="C807" s="328"/>
      <c r="D807" s="324"/>
      <c r="E807" s="327"/>
      <c r="F807" s="317"/>
      <c r="G807" s="318"/>
    </row>
    <row r="808" spans="1:7">
      <c r="A808" s="314" t="s">
        <v>1376</v>
      </c>
      <c r="B808" s="314"/>
      <c r="C808" s="315" t="s">
        <v>1348</v>
      </c>
      <c r="D808" s="324"/>
      <c r="E808" s="327"/>
      <c r="F808" s="317"/>
      <c r="G808" s="318"/>
    </row>
    <row r="809" spans="1:7" ht="23.25" customHeight="1">
      <c r="A809" s="314"/>
      <c r="B809" s="314"/>
      <c r="C809" s="328" t="s">
        <v>1377</v>
      </c>
      <c r="D809" s="324"/>
      <c r="E809" s="327"/>
      <c r="F809" s="317"/>
      <c r="G809" s="318"/>
    </row>
    <row r="810" spans="1:7">
      <c r="A810" s="314"/>
      <c r="B810" s="314"/>
      <c r="C810" s="328" t="s">
        <v>1378</v>
      </c>
      <c r="D810" s="324"/>
      <c r="E810" s="327"/>
      <c r="F810" s="317"/>
      <c r="G810" s="318"/>
    </row>
    <row r="811" spans="1:7">
      <c r="A811" s="314"/>
      <c r="B811" s="314"/>
      <c r="C811" s="328" t="s">
        <v>1379</v>
      </c>
      <c r="D811" s="324"/>
      <c r="E811" s="327"/>
      <c r="F811" s="317"/>
      <c r="G811" s="318"/>
    </row>
    <row r="812" spans="1:7" ht="22.8">
      <c r="A812" s="314"/>
      <c r="B812" s="314"/>
      <c r="C812" s="328" t="s">
        <v>1380</v>
      </c>
      <c r="D812" s="324"/>
      <c r="E812" s="327"/>
      <c r="F812" s="317"/>
      <c r="G812" s="318"/>
    </row>
    <row r="813" spans="1:7" ht="22.8">
      <c r="A813" s="314"/>
      <c r="B813" s="314"/>
      <c r="C813" s="328" t="s">
        <v>1381</v>
      </c>
      <c r="D813" s="324"/>
      <c r="E813" s="327"/>
      <c r="F813" s="317"/>
      <c r="G813" s="318"/>
    </row>
    <row r="814" spans="1:7">
      <c r="A814" s="314"/>
      <c r="B814" s="314"/>
      <c r="C814" s="328" t="s">
        <v>1382</v>
      </c>
      <c r="D814" s="324"/>
      <c r="E814" s="327"/>
      <c r="F814" s="317"/>
      <c r="G814" s="318"/>
    </row>
    <row r="815" spans="1:7">
      <c r="A815" s="314"/>
      <c r="B815" s="314"/>
      <c r="C815" s="328" t="s">
        <v>1383</v>
      </c>
      <c r="D815" s="324"/>
      <c r="E815" s="327"/>
      <c r="F815" s="317"/>
      <c r="G815" s="318"/>
    </row>
    <row r="816" spans="1:7">
      <c r="A816" s="314"/>
      <c r="B816" s="314"/>
      <c r="C816" s="328" t="s">
        <v>1356</v>
      </c>
      <c r="D816" s="324"/>
      <c r="E816" s="327"/>
      <c r="F816" s="317"/>
      <c r="G816" s="318"/>
    </row>
    <row r="817" spans="1:7">
      <c r="A817" s="314"/>
      <c r="B817" s="314"/>
      <c r="C817" s="328" t="s">
        <v>1384</v>
      </c>
      <c r="D817" s="324"/>
      <c r="E817" s="327"/>
      <c r="F817" s="317"/>
      <c r="G817" s="318"/>
    </row>
    <row r="818" spans="1:7">
      <c r="A818" s="314"/>
      <c r="B818" s="314"/>
      <c r="C818" s="328" t="s">
        <v>1385</v>
      </c>
      <c r="D818" s="324"/>
      <c r="E818" s="327"/>
      <c r="F818" s="317"/>
      <c r="G818" s="318"/>
    </row>
    <row r="819" spans="1:7">
      <c r="A819" s="314"/>
      <c r="B819" s="314"/>
      <c r="C819" s="328" t="s">
        <v>1359</v>
      </c>
      <c r="D819" s="324"/>
      <c r="E819" s="327"/>
      <c r="F819" s="317"/>
      <c r="G819" s="318"/>
    </row>
    <row r="820" spans="1:7" ht="22.8">
      <c r="A820" s="314"/>
      <c r="B820" s="314"/>
      <c r="C820" s="328" t="s">
        <v>1386</v>
      </c>
      <c r="D820" s="324"/>
      <c r="E820" s="327"/>
      <c r="F820" s="317"/>
      <c r="G820" s="318"/>
    </row>
    <row r="821" spans="1:7">
      <c r="A821" s="314"/>
      <c r="B821" s="314"/>
      <c r="C821" s="328" t="s">
        <v>1361</v>
      </c>
      <c r="D821" s="324"/>
      <c r="E821" s="327"/>
      <c r="F821" s="317"/>
      <c r="G821" s="318"/>
    </row>
    <row r="822" spans="1:7">
      <c r="A822" s="314"/>
      <c r="B822" s="314"/>
      <c r="C822" s="328" t="s">
        <v>1362</v>
      </c>
      <c r="D822" s="324"/>
      <c r="E822" s="327"/>
      <c r="F822" s="317"/>
      <c r="G822" s="318"/>
    </row>
    <row r="823" spans="1:7" ht="22.8">
      <c r="A823" s="314"/>
      <c r="B823" s="314"/>
      <c r="C823" s="328" t="s">
        <v>1387</v>
      </c>
      <c r="D823" s="324"/>
      <c r="E823" s="327"/>
      <c r="F823" s="317"/>
      <c r="G823" s="318"/>
    </row>
    <row r="824" spans="1:7">
      <c r="A824" s="314"/>
      <c r="B824" s="314"/>
      <c r="C824" s="328" t="s">
        <v>1388</v>
      </c>
      <c r="F824" s="312"/>
      <c r="G824" s="313"/>
    </row>
    <row r="825" spans="1:7">
      <c r="A825" s="314"/>
      <c r="B825" s="314"/>
      <c r="C825" s="328"/>
      <c r="D825" s="324" t="s">
        <v>345</v>
      </c>
      <c r="E825" s="327">
        <v>1</v>
      </c>
      <c r="F825" s="317">
        <v>25000</v>
      </c>
      <c r="G825" s="148">
        <f>F825*E825</f>
        <v>25000</v>
      </c>
    </row>
    <row r="826" spans="1:7" ht="33" customHeight="1">
      <c r="A826" s="314"/>
      <c r="B826" s="314"/>
      <c r="C826" s="328"/>
      <c r="D826" s="324"/>
      <c r="E826" s="327"/>
      <c r="F826" s="317"/>
      <c r="G826" s="318"/>
    </row>
    <row r="827" spans="1:7" ht="319.8">
      <c r="A827" s="330" t="s">
        <v>1389</v>
      </c>
      <c r="B827" s="330"/>
      <c r="C827" s="311" t="s">
        <v>1390</v>
      </c>
      <c r="F827" s="312"/>
      <c r="G827" s="313"/>
    </row>
    <row r="828" spans="1:7" ht="34.200000000000003">
      <c r="A828" s="314"/>
      <c r="B828" s="314"/>
      <c r="C828" s="311" t="s">
        <v>1391</v>
      </c>
      <c r="F828" s="312"/>
      <c r="G828" s="313"/>
    </row>
    <row r="829" spans="1:7" ht="46.2">
      <c r="A829" s="314"/>
      <c r="B829" s="314"/>
      <c r="C829" s="311" t="s">
        <v>1392</v>
      </c>
      <c r="F829" s="312"/>
      <c r="G829" s="313"/>
    </row>
    <row r="830" spans="1:7">
      <c r="A830" s="314"/>
      <c r="B830" s="314"/>
      <c r="C830" s="311"/>
      <c r="F830" s="312"/>
      <c r="G830" s="313"/>
    </row>
    <row r="831" spans="1:7">
      <c r="A831" s="314" t="s">
        <v>1393</v>
      </c>
      <c r="B831" s="314"/>
      <c r="C831" s="331" t="s">
        <v>1394</v>
      </c>
      <c r="D831" s="324"/>
      <c r="E831" s="327"/>
      <c r="F831" s="317"/>
      <c r="G831" s="318"/>
    </row>
    <row r="832" spans="1:7" ht="23.4">
      <c r="A832" s="314"/>
      <c r="B832" s="314"/>
      <c r="C832" s="332" t="s">
        <v>1395</v>
      </c>
      <c r="D832" s="324"/>
      <c r="E832" s="327"/>
      <c r="F832" s="317"/>
      <c r="G832" s="318"/>
    </row>
    <row r="833" spans="1:7" ht="23.4">
      <c r="A833" s="314"/>
      <c r="B833" s="314"/>
      <c r="C833" s="332" t="s">
        <v>1396</v>
      </c>
      <c r="D833" s="324"/>
      <c r="E833" s="327"/>
      <c r="F833" s="317"/>
      <c r="G833" s="318"/>
    </row>
    <row r="834" spans="1:7">
      <c r="A834" s="314"/>
      <c r="B834" s="314"/>
      <c r="C834" s="332" t="s">
        <v>1397</v>
      </c>
      <c r="D834" s="324"/>
      <c r="E834" s="327"/>
      <c r="F834" s="317"/>
      <c r="G834" s="318"/>
    </row>
    <row r="835" spans="1:7">
      <c r="A835" s="314"/>
      <c r="B835" s="314"/>
      <c r="C835" s="332" t="s">
        <v>1398</v>
      </c>
      <c r="D835" s="324"/>
      <c r="E835" s="327"/>
      <c r="F835" s="317"/>
      <c r="G835" s="318"/>
    </row>
    <row r="836" spans="1:7">
      <c r="A836" s="314"/>
      <c r="B836" s="314"/>
      <c r="C836" s="332" t="s">
        <v>1399</v>
      </c>
      <c r="D836" s="324"/>
      <c r="E836" s="327"/>
      <c r="F836" s="317"/>
      <c r="G836" s="318"/>
    </row>
    <row r="837" spans="1:7" ht="23.4">
      <c r="A837" s="314"/>
      <c r="B837" s="314"/>
      <c r="C837" s="332" t="s">
        <v>1400</v>
      </c>
      <c r="D837" s="324"/>
      <c r="E837" s="327"/>
      <c r="F837" s="317"/>
      <c r="G837" s="318"/>
    </row>
    <row r="838" spans="1:7">
      <c r="A838" s="314"/>
      <c r="B838" s="314"/>
      <c r="C838" s="332" t="s">
        <v>1401</v>
      </c>
      <c r="D838" s="324"/>
      <c r="E838" s="327"/>
      <c r="F838" s="317"/>
      <c r="G838" s="318"/>
    </row>
    <row r="839" spans="1:7" ht="23.4">
      <c r="A839" s="314"/>
      <c r="B839" s="314"/>
      <c r="C839" s="332" t="s">
        <v>1402</v>
      </c>
      <c r="D839" s="324"/>
      <c r="E839" s="327"/>
      <c r="F839" s="317"/>
      <c r="G839" s="318"/>
    </row>
    <row r="840" spans="1:7">
      <c r="A840" s="314"/>
      <c r="B840" s="314"/>
      <c r="C840" s="332" t="s">
        <v>1403</v>
      </c>
      <c r="D840" s="324"/>
      <c r="E840" s="327"/>
      <c r="F840" s="317"/>
      <c r="G840" s="318"/>
    </row>
    <row r="841" spans="1:7" ht="23.4">
      <c r="A841" s="314"/>
      <c r="B841" s="314"/>
      <c r="C841" s="332" t="s">
        <v>1404</v>
      </c>
      <c r="D841" s="324"/>
      <c r="E841" s="327"/>
      <c r="F841" s="317"/>
      <c r="G841" s="318"/>
    </row>
    <row r="842" spans="1:7">
      <c r="A842" s="314"/>
      <c r="B842" s="314"/>
      <c r="C842" s="332"/>
      <c r="D842" s="324" t="s">
        <v>345</v>
      </c>
      <c r="E842" s="327">
        <v>15</v>
      </c>
      <c r="F842" s="317">
        <v>600</v>
      </c>
      <c r="G842" s="148">
        <f>F842*E842</f>
        <v>9000</v>
      </c>
    </row>
    <row r="843" spans="1:7">
      <c r="A843" s="314"/>
      <c r="B843" s="314"/>
      <c r="C843" s="332"/>
      <c r="D843" s="324"/>
      <c r="E843" s="327"/>
      <c r="F843" s="317"/>
      <c r="G843" s="318"/>
    </row>
    <row r="844" spans="1:7">
      <c r="A844" s="314" t="s">
        <v>1405</v>
      </c>
      <c r="B844" s="314"/>
      <c r="C844" s="331" t="s">
        <v>1394</v>
      </c>
      <c r="D844" s="324"/>
      <c r="E844" s="327"/>
      <c r="F844" s="317"/>
      <c r="G844" s="318"/>
    </row>
    <row r="845" spans="1:7" ht="23.4">
      <c r="A845" s="314"/>
      <c r="B845" s="314"/>
      <c r="C845" s="332" t="s">
        <v>1406</v>
      </c>
      <c r="D845" s="324"/>
      <c r="E845" s="327"/>
      <c r="F845" s="317"/>
      <c r="G845" s="318"/>
    </row>
    <row r="846" spans="1:7" ht="23.4">
      <c r="A846" s="314"/>
      <c r="B846" s="314"/>
      <c r="C846" s="332" t="s">
        <v>1407</v>
      </c>
      <c r="D846" s="324"/>
      <c r="E846" s="327"/>
      <c r="F846" s="317"/>
      <c r="G846" s="318"/>
    </row>
    <row r="847" spans="1:7">
      <c r="A847" s="314"/>
      <c r="B847" s="314"/>
      <c r="C847" s="332" t="s">
        <v>1397</v>
      </c>
      <c r="D847" s="324"/>
      <c r="E847" s="327"/>
      <c r="F847" s="317"/>
      <c r="G847" s="318"/>
    </row>
    <row r="848" spans="1:7">
      <c r="A848" s="314"/>
      <c r="B848" s="314"/>
      <c r="C848" s="332" t="s">
        <v>1398</v>
      </c>
      <c r="D848" s="324"/>
      <c r="E848" s="327"/>
      <c r="F848" s="317"/>
      <c r="G848" s="318"/>
    </row>
    <row r="849" spans="1:7">
      <c r="A849" s="314"/>
      <c r="B849" s="314"/>
      <c r="C849" s="332" t="s">
        <v>1399</v>
      </c>
      <c r="D849" s="324"/>
      <c r="E849" s="327"/>
      <c r="F849" s="317"/>
      <c r="G849" s="318"/>
    </row>
    <row r="850" spans="1:7" ht="23.4">
      <c r="A850" s="314"/>
      <c r="B850" s="314"/>
      <c r="C850" s="332" t="s">
        <v>1400</v>
      </c>
      <c r="D850" s="324"/>
      <c r="E850" s="327"/>
      <c r="F850" s="317"/>
      <c r="G850" s="318"/>
    </row>
    <row r="851" spans="1:7">
      <c r="A851" s="314"/>
      <c r="B851" s="314"/>
      <c r="C851" s="332" t="s">
        <v>1401</v>
      </c>
      <c r="D851" s="324"/>
      <c r="E851" s="327"/>
      <c r="F851" s="317"/>
      <c r="G851" s="318"/>
    </row>
    <row r="852" spans="1:7" ht="23.4">
      <c r="A852" s="314"/>
      <c r="B852" s="314"/>
      <c r="C852" s="332" t="s">
        <v>1402</v>
      </c>
      <c r="D852" s="324"/>
      <c r="E852" s="327"/>
      <c r="F852" s="317"/>
      <c r="G852" s="318"/>
    </row>
    <row r="853" spans="1:7">
      <c r="A853" s="314"/>
      <c r="B853" s="314"/>
      <c r="C853" s="332" t="s">
        <v>1403</v>
      </c>
      <c r="D853" s="324"/>
      <c r="E853" s="327"/>
      <c r="F853" s="317"/>
      <c r="G853" s="318"/>
    </row>
    <row r="854" spans="1:7" ht="23.4">
      <c r="A854" s="314"/>
      <c r="B854" s="314"/>
      <c r="C854" s="332" t="s">
        <v>1404</v>
      </c>
      <c r="D854" s="324"/>
      <c r="E854" s="327"/>
      <c r="F854" s="317"/>
      <c r="G854" s="318"/>
    </row>
    <row r="855" spans="1:7">
      <c r="A855" s="314"/>
      <c r="B855" s="314"/>
      <c r="C855" s="332"/>
      <c r="D855" s="324" t="s">
        <v>345</v>
      </c>
      <c r="E855" s="327">
        <v>13</v>
      </c>
      <c r="F855" s="317">
        <v>700</v>
      </c>
      <c r="G855" s="148">
        <f>F855*E855</f>
        <v>9100</v>
      </c>
    </row>
    <row r="856" spans="1:7">
      <c r="A856" s="314"/>
      <c r="B856" s="314"/>
      <c r="C856" s="332"/>
      <c r="D856" s="324"/>
      <c r="E856" s="327"/>
      <c r="F856" s="317"/>
      <c r="G856" s="318"/>
    </row>
    <row r="857" spans="1:7">
      <c r="A857" s="314" t="s">
        <v>1408</v>
      </c>
      <c r="B857" s="314"/>
      <c r="C857" s="331" t="s">
        <v>1394</v>
      </c>
      <c r="D857" s="324"/>
      <c r="E857" s="327"/>
      <c r="F857" s="317"/>
      <c r="G857" s="318"/>
    </row>
    <row r="858" spans="1:7" ht="23.4">
      <c r="A858" s="314"/>
      <c r="B858" s="314"/>
      <c r="C858" s="332" t="s">
        <v>1409</v>
      </c>
      <c r="D858" s="324"/>
      <c r="E858" s="327"/>
      <c r="F858" s="317"/>
      <c r="G858" s="318"/>
    </row>
    <row r="859" spans="1:7" ht="23.4">
      <c r="A859" s="314"/>
      <c r="B859" s="314"/>
      <c r="C859" s="332" t="s">
        <v>1410</v>
      </c>
      <c r="D859" s="324"/>
      <c r="E859" s="327"/>
      <c r="F859" s="317"/>
      <c r="G859" s="318"/>
    </row>
    <row r="860" spans="1:7">
      <c r="A860" s="314"/>
      <c r="B860" s="314"/>
      <c r="C860" s="332" t="s">
        <v>1397</v>
      </c>
      <c r="D860" s="324"/>
      <c r="E860" s="327"/>
      <c r="F860" s="317"/>
      <c r="G860" s="318"/>
    </row>
    <row r="861" spans="1:7">
      <c r="A861" s="314"/>
      <c r="B861" s="314"/>
      <c r="C861" s="332" t="s">
        <v>1398</v>
      </c>
      <c r="D861" s="324"/>
      <c r="E861" s="327"/>
      <c r="F861" s="317"/>
      <c r="G861" s="318"/>
    </row>
    <row r="862" spans="1:7">
      <c r="A862" s="314"/>
      <c r="B862" s="314"/>
      <c r="C862" s="332" t="s">
        <v>1399</v>
      </c>
      <c r="D862" s="324"/>
      <c r="E862" s="327"/>
      <c r="F862" s="317"/>
      <c r="G862" s="318"/>
    </row>
    <row r="863" spans="1:7" ht="23.4">
      <c r="A863" s="314"/>
      <c r="B863" s="314"/>
      <c r="C863" s="332" t="s">
        <v>1400</v>
      </c>
      <c r="D863" s="324"/>
      <c r="E863" s="327"/>
      <c r="F863" s="317"/>
      <c r="G863" s="318"/>
    </row>
    <row r="864" spans="1:7">
      <c r="A864" s="314"/>
      <c r="B864" s="314"/>
      <c r="C864" s="332" t="s">
        <v>1401</v>
      </c>
      <c r="D864" s="324"/>
      <c r="E864" s="327"/>
      <c r="F864" s="317"/>
      <c r="G864" s="318"/>
    </row>
    <row r="865" spans="1:7" ht="23.4">
      <c r="A865" s="314"/>
      <c r="B865" s="314"/>
      <c r="C865" s="332" t="s">
        <v>1402</v>
      </c>
      <c r="D865" s="324"/>
      <c r="E865" s="327"/>
      <c r="F865" s="317"/>
      <c r="G865" s="318"/>
    </row>
    <row r="866" spans="1:7">
      <c r="A866" s="314"/>
      <c r="B866" s="314"/>
      <c r="C866" s="332" t="s">
        <v>1403</v>
      </c>
      <c r="D866" s="324"/>
      <c r="E866" s="327"/>
      <c r="F866" s="317"/>
      <c r="G866" s="318"/>
    </row>
    <row r="867" spans="1:7" ht="23.4">
      <c r="A867" s="314"/>
      <c r="B867" s="314"/>
      <c r="C867" s="332" t="s">
        <v>1411</v>
      </c>
      <c r="D867" s="324"/>
      <c r="E867" s="327"/>
      <c r="F867" s="317"/>
      <c r="G867" s="318"/>
    </row>
    <row r="868" spans="1:7">
      <c r="A868" s="314"/>
      <c r="B868" s="314"/>
      <c r="C868" s="332"/>
      <c r="D868" s="324" t="s">
        <v>345</v>
      </c>
      <c r="E868" s="327">
        <v>1</v>
      </c>
      <c r="F868" s="317">
        <v>800</v>
      </c>
      <c r="G868" s="148">
        <f>F868*E868</f>
        <v>800</v>
      </c>
    </row>
    <row r="869" spans="1:7">
      <c r="A869" s="314"/>
      <c r="B869" s="314"/>
      <c r="C869" s="332"/>
      <c r="D869" s="324"/>
      <c r="E869" s="327"/>
      <c r="F869" s="317"/>
      <c r="G869" s="318"/>
    </row>
    <row r="870" spans="1:7">
      <c r="A870" s="314" t="s">
        <v>1412</v>
      </c>
      <c r="B870" s="314"/>
      <c r="C870" s="331" t="s">
        <v>1394</v>
      </c>
      <c r="D870" s="324"/>
      <c r="E870" s="327"/>
      <c r="F870" s="317"/>
      <c r="G870" s="318"/>
    </row>
    <row r="871" spans="1:7" ht="23.4">
      <c r="A871" s="314"/>
      <c r="B871" s="314"/>
      <c r="C871" s="332" t="s">
        <v>1413</v>
      </c>
      <c r="D871" s="324"/>
      <c r="E871" s="327"/>
      <c r="F871" s="317"/>
      <c r="G871" s="318"/>
    </row>
    <row r="872" spans="1:7" ht="23.4">
      <c r="A872" s="314"/>
      <c r="B872" s="314"/>
      <c r="C872" s="332" t="s">
        <v>1414</v>
      </c>
      <c r="D872" s="324"/>
      <c r="E872" s="327"/>
      <c r="F872" s="317"/>
      <c r="G872" s="318"/>
    </row>
    <row r="873" spans="1:7">
      <c r="A873" s="314"/>
      <c r="B873" s="314"/>
      <c r="C873" s="332" t="s">
        <v>1397</v>
      </c>
      <c r="D873" s="324"/>
      <c r="E873" s="327"/>
      <c r="F873" s="317"/>
      <c r="G873" s="318"/>
    </row>
    <row r="874" spans="1:7">
      <c r="A874" s="314"/>
      <c r="B874" s="314"/>
      <c r="C874" s="332" t="s">
        <v>1415</v>
      </c>
      <c r="D874" s="324"/>
      <c r="E874" s="327"/>
      <c r="F874" s="317"/>
      <c r="G874" s="318"/>
    </row>
    <row r="875" spans="1:7">
      <c r="A875" s="314"/>
      <c r="B875" s="314"/>
      <c r="C875" s="332" t="s">
        <v>1399</v>
      </c>
      <c r="D875" s="324"/>
      <c r="E875" s="327"/>
      <c r="F875" s="317"/>
      <c r="G875" s="318"/>
    </row>
    <row r="876" spans="1:7" ht="23.4">
      <c r="A876" s="314"/>
      <c r="B876" s="314"/>
      <c r="C876" s="332" t="s">
        <v>1400</v>
      </c>
      <c r="D876" s="324"/>
      <c r="E876" s="327"/>
      <c r="F876" s="317"/>
      <c r="G876" s="318"/>
    </row>
    <row r="877" spans="1:7">
      <c r="A877" s="314"/>
      <c r="B877" s="314"/>
      <c r="C877" s="332" t="s">
        <v>1401</v>
      </c>
      <c r="D877" s="324"/>
      <c r="E877" s="327"/>
      <c r="F877" s="317"/>
      <c r="G877" s="318"/>
    </row>
    <row r="878" spans="1:7" ht="23.4">
      <c r="A878" s="314"/>
      <c r="B878" s="314"/>
      <c r="C878" s="332" t="s">
        <v>1402</v>
      </c>
      <c r="D878" s="324"/>
      <c r="E878" s="327"/>
      <c r="F878" s="317"/>
      <c r="G878" s="318"/>
    </row>
    <row r="879" spans="1:7">
      <c r="A879" s="314"/>
      <c r="B879" s="314"/>
      <c r="C879" s="332" t="s">
        <v>1403</v>
      </c>
      <c r="D879" s="324"/>
      <c r="E879" s="327"/>
      <c r="F879" s="317"/>
      <c r="G879" s="318"/>
    </row>
    <row r="880" spans="1:7" ht="23.4">
      <c r="A880" s="314"/>
      <c r="B880" s="314"/>
      <c r="C880" s="332" t="s">
        <v>1411</v>
      </c>
      <c r="D880" s="324"/>
      <c r="E880" s="327"/>
      <c r="F880" s="317"/>
      <c r="G880" s="318"/>
    </row>
    <row r="881" spans="1:7">
      <c r="A881" s="314"/>
      <c r="B881" s="314"/>
      <c r="C881" s="332"/>
      <c r="D881" s="324" t="s">
        <v>345</v>
      </c>
      <c r="E881" s="327">
        <v>9</v>
      </c>
      <c r="F881" s="317">
        <v>900</v>
      </c>
      <c r="G881" s="148">
        <f>F881*E881</f>
        <v>8100</v>
      </c>
    </row>
    <row r="882" spans="1:7">
      <c r="A882" s="314"/>
      <c r="B882" s="314"/>
      <c r="C882" s="332"/>
      <c r="D882" s="324"/>
      <c r="E882" s="327"/>
      <c r="F882" s="317"/>
      <c r="G882" s="318"/>
    </row>
    <row r="883" spans="1:7">
      <c r="A883" s="314" t="s">
        <v>1416</v>
      </c>
      <c r="B883" s="314"/>
      <c r="C883" s="331" t="s">
        <v>1394</v>
      </c>
      <c r="D883" s="324"/>
      <c r="E883" s="327"/>
      <c r="F883" s="317"/>
      <c r="G883" s="318"/>
    </row>
    <row r="884" spans="1:7" ht="23.4">
      <c r="A884" s="314"/>
      <c r="B884" s="314"/>
      <c r="C884" s="332" t="s">
        <v>1417</v>
      </c>
      <c r="D884" s="324"/>
      <c r="E884" s="327"/>
      <c r="F884" s="317"/>
      <c r="G884" s="318"/>
    </row>
    <row r="885" spans="1:7" ht="23.4">
      <c r="A885" s="314"/>
      <c r="B885" s="314"/>
      <c r="C885" s="332" t="s">
        <v>1418</v>
      </c>
      <c r="D885" s="324"/>
      <c r="E885" s="327"/>
      <c r="F885" s="317"/>
      <c r="G885" s="318"/>
    </row>
    <row r="886" spans="1:7">
      <c r="A886" s="314"/>
      <c r="B886" s="314"/>
      <c r="C886" s="332" t="s">
        <v>1397</v>
      </c>
      <c r="D886" s="324"/>
      <c r="E886" s="327"/>
      <c r="F886" s="317"/>
      <c r="G886" s="318"/>
    </row>
    <row r="887" spans="1:7">
      <c r="A887" s="314"/>
      <c r="B887" s="314"/>
      <c r="C887" s="332" t="s">
        <v>1419</v>
      </c>
      <c r="D887" s="324"/>
      <c r="E887" s="327"/>
      <c r="F887" s="317"/>
      <c r="G887" s="318"/>
    </row>
    <row r="888" spans="1:7">
      <c r="A888" s="314"/>
      <c r="B888" s="314"/>
      <c r="C888" s="332" t="s">
        <v>1399</v>
      </c>
      <c r="D888" s="324"/>
      <c r="E888" s="327"/>
      <c r="F888" s="317"/>
      <c r="G888" s="318"/>
    </row>
    <row r="889" spans="1:7" ht="23.4">
      <c r="A889" s="314"/>
      <c r="B889" s="314"/>
      <c r="C889" s="332" t="s">
        <v>1400</v>
      </c>
      <c r="D889" s="324"/>
      <c r="E889" s="327"/>
      <c r="F889" s="317"/>
      <c r="G889" s="318"/>
    </row>
    <row r="890" spans="1:7">
      <c r="A890" s="314"/>
      <c r="B890" s="314"/>
      <c r="C890" s="332" t="s">
        <v>1401</v>
      </c>
      <c r="D890" s="324"/>
      <c r="E890" s="327"/>
      <c r="F890" s="317"/>
      <c r="G890" s="318"/>
    </row>
    <row r="891" spans="1:7" ht="23.4">
      <c r="A891" s="314"/>
      <c r="B891" s="314"/>
      <c r="C891" s="332" t="s">
        <v>1402</v>
      </c>
      <c r="D891" s="324"/>
      <c r="E891" s="327"/>
      <c r="F891" s="317"/>
      <c r="G891" s="318"/>
    </row>
    <row r="892" spans="1:7">
      <c r="A892" s="314"/>
      <c r="B892" s="314"/>
      <c r="C892" s="332" t="s">
        <v>1403</v>
      </c>
      <c r="D892" s="324"/>
      <c r="E892" s="327"/>
      <c r="F892" s="317"/>
      <c r="G892" s="318"/>
    </row>
    <row r="893" spans="1:7" ht="23.4">
      <c r="A893" s="314"/>
      <c r="B893" s="314"/>
      <c r="C893" s="332" t="s">
        <v>1411</v>
      </c>
      <c r="D893" s="324"/>
      <c r="E893" s="327"/>
      <c r="F893" s="317"/>
      <c r="G893" s="318"/>
    </row>
    <row r="894" spans="1:7">
      <c r="A894" s="314"/>
      <c r="B894" s="314"/>
      <c r="C894" s="332"/>
      <c r="D894" s="324" t="s">
        <v>345</v>
      </c>
      <c r="E894" s="327">
        <v>2</v>
      </c>
      <c r="F894" s="317">
        <v>1000</v>
      </c>
      <c r="G894" s="148">
        <f>F894*E894</f>
        <v>2000</v>
      </c>
    </row>
    <row r="895" spans="1:7">
      <c r="A895" s="314"/>
      <c r="B895" s="314"/>
      <c r="C895" s="332"/>
      <c r="D895" s="324"/>
      <c r="E895" s="327"/>
      <c r="F895" s="317"/>
      <c r="G895" s="318"/>
    </row>
    <row r="896" spans="1:7">
      <c r="A896" s="314" t="s">
        <v>1420</v>
      </c>
      <c r="B896" s="314"/>
      <c r="C896" s="331" t="s">
        <v>1394</v>
      </c>
      <c r="D896" s="324"/>
      <c r="E896" s="327"/>
      <c r="F896" s="317"/>
      <c r="G896" s="318"/>
    </row>
    <row r="897" spans="1:7" ht="23.4">
      <c r="A897" s="314"/>
      <c r="B897" s="314"/>
      <c r="C897" s="332" t="s">
        <v>1421</v>
      </c>
      <c r="D897" s="324"/>
      <c r="E897" s="327"/>
      <c r="F897" s="317"/>
      <c r="G897" s="318"/>
    </row>
    <row r="898" spans="1:7" ht="23.4">
      <c r="A898" s="314"/>
      <c r="B898" s="314"/>
      <c r="C898" s="332" t="s">
        <v>1422</v>
      </c>
      <c r="D898" s="324"/>
      <c r="E898" s="327"/>
      <c r="F898" s="317"/>
      <c r="G898" s="318"/>
    </row>
    <row r="899" spans="1:7">
      <c r="A899" s="314"/>
      <c r="B899" s="314"/>
      <c r="C899" s="332" t="s">
        <v>1423</v>
      </c>
      <c r="D899" s="324"/>
      <c r="E899" s="327"/>
      <c r="F899" s="317"/>
      <c r="G899" s="318"/>
    </row>
    <row r="900" spans="1:7">
      <c r="A900" s="314"/>
      <c r="B900" s="314"/>
      <c r="C900" s="332" t="s">
        <v>1424</v>
      </c>
      <c r="D900" s="324"/>
      <c r="E900" s="327"/>
      <c r="F900" s="317"/>
      <c r="G900" s="318"/>
    </row>
    <row r="901" spans="1:7">
      <c r="A901" s="314"/>
      <c r="B901" s="314"/>
      <c r="C901" s="332" t="s">
        <v>1399</v>
      </c>
      <c r="D901" s="324"/>
      <c r="E901" s="327"/>
      <c r="F901" s="317"/>
      <c r="G901" s="318"/>
    </row>
    <row r="902" spans="1:7" ht="23.4">
      <c r="A902" s="314"/>
      <c r="B902" s="314"/>
      <c r="C902" s="332" t="s">
        <v>1400</v>
      </c>
      <c r="D902" s="324"/>
      <c r="E902" s="327"/>
      <c r="F902" s="317"/>
      <c r="G902" s="318"/>
    </row>
    <row r="903" spans="1:7">
      <c r="A903" s="314"/>
      <c r="B903" s="314"/>
      <c r="C903" s="332" t="s">
        <v>1425</v>
      </c>
      <c r="D903" s="324"/>
      <c r="E903" s="327"/>
      <c r="F903" s="317"/>
      <c r="G903" s="318"/>
    </row>
    <row r="904" spans="1:7" ht="23.4">
      <c r="A904" s="314"/>
      <c r="B904" s="314"/>
      <c r="C904" s="332" t="s">
        <v>1402</v>
      </c>
      <c r="D904" s="324"/>
      <c r="E904" s="327"/>
      <c r="F904" s="317"/>
      <c r="G904" s="318"/>
    </row>
    <row r="905" spans="1:7">
      <c r="A905" s="314"/>
      <c r="B905" s="314"/>
      <c r="C905" s="332" t="s">
        <v>1403</v>
      </c>
      <c r="D905" s="324"/>
      <c r="E905" s="327"/>
      <c r="F905" s="317"/>
      <c r="G905" s="318"/>
    </row>
    <row r="906" spans="1:7" ht="23.4">
      <c r="A906" s="314"/>
      <c r="B906" s="314"/>
      <c r="C906" s="332" t="s">
        <v>1426</v>
      </c>
      <c r="D906" s="324"/>
      <c r="E906" s="327"/>
      <c r="F906" s="317"/>
      <c r="G906" s="318"/>
    </row>
    <row r="907" spans="1:7">
      <c r="A907" s="314"/>
      <c r="B907" s="314"/>
      <c r="C907" s="332"/>
      <c r="D907" s="324" t="s">
        <v>345</v>
      </c>
      <c r="E907" s="327">
        <v>2</v>
      </c>
      <c r="F907" s="317">
        <v>1100</v>
      </c>
      <c r="G907" s="148">
        <f>F907*E907</f>
        <v>2200</v>
      </c>
    </row>
    <row r="908" spans="1:7" ht="30" customHeight="1">
      <c r="A908" s="314"/>
      <c r="B908" s="314"/>
      <c r="C908" s="332"/>
      <c r="D908" s="324"/>
      <c r="E908" s="327"/>
      <c r="F908" s="317"/>
      <c r="G908" s="318"/>
    </row>
    <row r="909" spans="1:7" ht="148.19999999999999">
      <c r="A909" s="330" t="s">
        <v>1427</v>
      </c>
      <c r="B909" s="330"/>
      <c r="C909" s="311" t="s">
        <v>1428</v>
      </c>
      <c r="D909" s="324"/>
      <c r="E909" s="327"/>
      <c r="F909" s="317"/>
      <c r="G909" s="318"/>
    </row>
    <row r="910" spans="1:7" s="103" customFormat="1" ht="22.8">
      <c r="A910" s="314"/>
      <c r="B910" s="314"/>
      <c r="C910" s="311" t="s">
        <v>1429</v>
      </c>
      <c r="D910" s="324"/>
      <c r="E910" s="327"/>
      <c r="F910" s="317"/>
      <c r="G910" s="318"/>
    </row>
    <row r="911" spans="1:7" ht="45" customHeight="1">
      <c r="A911" s="314"/>
      <c r="B911" s="314"/>
      <c r="C911" s="311" t="s">
        <v>1430</v>
      </c>
      <c r="D911" s="324"/>
      <c r="E911" s="327"/>
      <c r="F911" s="317"/>
      <c r="G911" s="318"/>
    </row>
    <row r="912" spans="1:7" ht="45.6">
      <c r="A912" s="314"/>
      <c r="B912" s="314"/>
      <c r="C912" s="311" t="s">
        <v>1431</v>
      </c>
      <c r="D912" s="324"/>
      <c r="E912" s="327"/>
      <c r="F912" s="317"/>
      <c r="G912" s="318"/>
    </row>
    <row r="913" spans="1:7">
      <c r="A913" s="314"/>
      <c r="B913" s="314"/>
      <c r="D913" s="324" t="s">
        <v>345</v>
      </c>
      <c r="E913" s="327">
        <v>42</v>
      </c>
      <c r="F913" s="317">
        <v>80</v>
      </c>
      <c r="G913" s="148">
        <f>F913*E913</f>
        <v>3360</v>
      </c>
    </row>
    <row r="914" spans="1:7">
      <c r="A914" s="314"/>
      <c r="B914" s="314"/>
      <c r="D914" s="324"/>
      <c r="E914" s="327"/>
      <c r="F914" s="317"/>
      <c r="G914" s="318"/>
    </row>
    <row r="915" spans="1:7" ht="57">
      <c r="A915" s="310" t="s">
        <v>1432</v>
      </c>
      <c r="B915" s="310"/>
      <c r="C915" s="311" t="s">
        <v>1433</v>
      </c>
      <c r="D915" s="324"/>
      <c r="E915" s="327"/>
      <c r="F915" s="317"/>
      <c r="G915" s="318"/>
    </row>
    <row r="916" spans="1:7">
      <c r="A916" s="310"/>
      <c r="B916" s="310"/>
      <c r="C916" s="332"/>
      <c r="D916" s="324" t="s">
        <v>345</v>
      </c>
      <c r="E916" s="327">
        <v>33</v>
      </c>
      <c r="F916" s="317">
        <v>100</v>
      </c>
      <c r="G916" s="148">
        <f>F916*E916</f>
        <v>3300</v>
      </c>
    </row>
    <row r="917" spans="1:7">
      <c r="A917" s="310"/>
      <c r="B917" s="310"/>
      <c r="C917" s="332"/>
      <c r="D917" s="324" t="s">
        <v>345</v>
      </c>
      <c r="E917" s="327">
        <v>5</v>
      </c>
      <c r="F917" s="317">
        <v>100</v>
      </c>
      <c r="G917" s="148">
        <f>F917*E917</f>
        <v>500</v>
      </c>
    </row>
    <row r="918" spans="1:7">
      <c r="A918" s="310"/>
      <c r="B918" s="310"/>
      <c r="C918" s="332"/>
      <c r="D918" s="324" t="s">
        <v>345</v>
      </c>
      <c r="E918" s="327">
        <v>1</v>
      </c>
      <c r="F918" s="317">
        <v>100</v>
      </c>
      <c r="G918" s="148">
        <f>F918*E918</f>
        <v>100</v>
      </c>
    </row>
    <row r="919" spans="1:7">
      <c r="A919" s="310"/>
      <c r="B919" s="310"/>
      <c r="C919" s="332"/>
      <c r="D919" s="324"/>
      <c r="E919" s="327"/>
      <c r="F919" s="317"/>
      <c r="G919" s="318"/>
    </row>
    <row r="920" spans="1:7" ht="171">
      <c r="A920" s="310" t="s">
        <v>1434</v>
      </c>
      <c r="B920" s="310"/>
      <c r="C920" s="311" t="s">
        <v>1435</v>
      </c>
      <c r="D920" s="324"/>
      <c r="E920" s="327"/>
      <c r="F920" s="316"/>
      <c r="G920" s="316"/>
    </row>
    <row r="921" spans="1:7" ht="67.5" customHeight="1">
      <c r="A921" s="310"/>
      <c r="B921" s="310"/>
      <c r="C921" s="311" t="s">
        <v>1436</v>
      </c>
      <c r="D921" s="324"/>
      <c r="E921" s="327"/>
      <c r="F921" s="316"/>
      <c r="G921" s="316"/>
    </row>
    <row r="922" spans="1:7" ht="34.200000000000003">
      <c r="A922" s="310"/>
      <c r="B922" s="310"/>
      <c r="C922" s="311" t="s">
        <v>1437</v>
      </c>
      <c r="D922" s="324"/>
      <c r="E922" s="327"/>
      <c r="F922" s="316"/>
      <c r="G922" s="316"/>
    </row>
    <row r="923" spans="1:7" ht="34.200000000000003">
      <c r="A923" s="310"/>
      <c r="B923" s="310"/>
      <c r="C923" s="311" t="s">
        <v>1438</v>
      </c>
      <c r="D923" s="324"/>
      <c r="E923" s="327"/>
      <c r="F923" s="316"/>
      <c r="G923" s="316"/>
    </row>
    <row r="924" spans="1:7" ht="45" customHeight="1">
      <c r="A924" s="310"/>
      <c r="B924" s="310"/>
      <c r="C924" s="311" t="s">
        <v>1439</v>
      </c>
      <c r="D924" s="324"/>
      <c r="E924" s="327"/>
      <c r="F924" s="316"/>
      <c r="G924" s="316"/>
    </row>
    <row r="925" spans="1:7" ht="57">
      <c r="A925" s="310"/>
      <c r="B925" s="310"/>
      <c r="C925" s="311" t="s">
        <v>1440</v>
      </c>
      <c r="D925" s="324"/>
      <c r="E925" s="327"/>
      <c r="F925" s="316"/>
      <c r="G925" s="316"/>
    </row>
    <row r="926" spans="1:7" s="329" customFormat="1" ht="11.4">
      <c r="A926" s="310"/>
      <c r="B926" s="310"/>
      <c r="C926" s="332"/>
      <c r="D926" s="324" t="s">
        <v>345</v>
      </c>
      <c r="E926" s="327">
        <v>1</v>
      </c>
      <c r="F926" s="317">
        <v>500</v>
      </c>
      <c r="G926" s="148">
        <f>F926*E926</f>
        <v>500</v>
      </c>
    </row>
    <row r="927" spans="1:7" s="329" customFormat="1" ht="11.4">
      <c r="A927" s="310"/>
      <c r="B927" s="310"/>
      <c r="C927" s="332"/>
      <c r="D927" s="324"/>
      <c r="E927" s="327"/>
      <c r="F927" s="317"/>
      <c r="G927" s="317"/>
    </row>
    <row r="928" spans="1:7" s="329" customFormat="1" ht="119.25" customHeight="1">
      <c r="A928" s="310" t="s">
        <v>1441</v>
      </c>
      <c r="B928" s="310"/>
      <c r="C928" s="328" t="s">
        <v>1442</v>
      </c>
      <c r="D928" s="316"/>
      <c r="E928" s="316"/>
      <c r="F928" s="317"/>
      <c r="G928" s="317"/>
    </row>
    <row r="929" spans="3:3" s="329" customFormat="1" ht="15" customHeight="1">
      <c r="C929" s="335" t="s">
        <v>1443</v>
      </c>
    </row>
    <row r="930" spans="3:3" s="329" customFormat="1" ht="21" customHeight="1">
      <c r="C930" s="335" t="s">
        <v>1444</v>
      </c>
    </row>
    <row r="931" spans="3:3" s="329" customFormat="1" ht="15" customHeight="1">
      <c r="C931" s="335" t="s">
        <v>1445</v>
      </c>
    </row>
    <row r="932" spans="3:3" s="329" customFormat="1" ht="21" customHeight="1">
      <c r="C932" s="335" t="s">
        <v>1446</v>
      </c>
    </row>
    <row r="933" spans="3:3" s="329" customFormat="1" ht="26.25" customHeight="1">
      <c r="C933" s="335" t="s">
        <v>1447</v>
      </c>
    </row>
    <row r="934" spans="3:3" s="329" customFormat="1" ht="22.5" customHeight="1">
      <c r="C934" s="335" t="s">
        <v>1448</v>
      </c>
    </row>
    <row r="935" spans="3:3" s="329" customFormat="1" ht="23.25" customHeight="1">
      <c r="C935" s="335" t="s">
        <v>1449</v>
      </c>
    </row>
    <row r="936" spans="3:3" s="329" customFormat="1" ht="24.75" customHeight="1">
      <c r="C936" s="335" t="s">
        <v>1450</v>
      </c>
    </row>
    <row r="937" spans="3:3" s="329" customFormat="1" ht="24" customHeight="1">
      <c r="C937" s="335" t="s">
        <v>1451</v>
      </c>
    </row>
    <row r="938" spans="3:3" s="329" customFormat="1" ht="24.75" customHeight="1">
      <c r="C938" s="335" t="s">
        <v>1452</v>
      </c>
    </row>
    <row r="939" spans="3:3" s="329" customFormat="1" ht="15" customHeight="1">
      <c r="C939" s="335" t="s">
        <v>1453</v>
      </c>
    </row>
    <row r="940" spans="3:3" s="329" customFormat="1" ht="27.75" customHeight="1">
      <c r="C940" s="335" t="s">
        <v>1454</v>
      </c>
    </row>
    <row r="941" spans="3:3" s="329" customFormat="1" ht="15" customHeight="1">
      <c r="C941" s="335" t="s">
        <v>1455</v>
      </c>
    </row>
    <row r="942" spans="3:3" s="329" customFormat="1" ht="15" customHeight="1">
      <c r="C942" s="335" t="s">
        <v>1456</v>
      </c>
    </row>
    <row r="943" spans="3:3" s="329" customFormat="1" ht="15" customHeight="1">
      <c r="C943" s="335" t="s">
        <v>1457</v>
      </c>
    </row>
    <row r="944" spans="3:3" s="329" customFormat="1" ht="15" customHeight="1">
      <c r="C944" s="335" t="s">
        <v>1458</v>
      </c>
    </row>
    <row r="945" spans="1:7" s="329" customFormat="1" ht="21.75" customHeight="1">
      <c r="C945" s="335" t="s">
        <v>1459</v>
      </c>
      <c r="D945" s="324"/>
    </row>
    <row r="946" spans="1:7" s="329" customFormat="1" ht="20.25" customHeight="1">
      <c r="C946" s="335" t="s">
        <v>1460</v>
      </c>
      <c r="D946" s="324"/>
    </row>
    <row r="947" spans="1:7" s="329" customFormat="1" ht="22.5" customHeight="1">
      <c r="C947" s="335" t="s">
        <v>1461</v>
      </c>
      <c r="D947" s="324"/>
    </row>
    <row r="948" spans="1:7" s="329" customFormat="1" ht="24" customHeight="1">
      <c r="C948" s="335" t="s">
        <v>1462</v>
      </c>
      <c r="D948" s="324"/>
    </row>
    <row r="949" spans="1:7" s="329" customFormat="1" ht="26.25" customHeight="1">
      <c r="C949" s="335" t="s">
        <v>1463</v>
      </c>
      <c r="D949" s="324"/>
    </row>
    <row r="950" spans="1:7" s="329" customFormat="1" ht="26.25" customHeight="1">
      <c r="C950" s="335" t="s">
        <v>1464</v>
      </c>
      <c r="D950" s="324"/>
    </row>
    <row r="951" spans="1:7" s="329" customFormat="1" ht="24.75" customHeight="1">
      <c r="C951" s="335" t="s">
        <v>1465</v>
      </c>
      <c r="D951" s="324"/>
    </row>
    <row r="952" spans="1:7" s="329" customFormat="1" ht="15" customHeight="1">
      <c r="C952" s="335" t="s">
        <v>1466</v>
      </c>
      <c r="D952" s="324"/>
    </row>
    <row r="953" spans="1:7" ht="15" customHeight="1">
      <c r="A953" s="329"/>
      <c r="B953" s="329"/>
      <c r="C953" s="335" t="s">
        <v>1467</v>
      </c>
      <c r="D953" s="324"/>
      <c r="E953" s="329"/>
      <c r="F953" s="329"/>
      <c r="G953" s="329"/>
    </row>
    <row r="954" spans="1:7" s="329" customFormat="1" ht="15" customHeight="1">
      <c r="C954" s="336"/>
      <c r="D954" s="324"/>
    </row>
    <row r="955" spans="1:7" s="329" customFormat="1" ht="15" customHeight="1">
      <c r="C955" s="336"/>
      <c r="D955" s="105" t="s">
        <v>766</v>
      </c>
      <c r="E955" s="215">
        <v>1</v>
      </c>
      <c r="F955" s="134">
        <v>800</v>
      </c>
      <c r="G955" s="148">
        <f>F955*E955</f>
        <v>800</v>
      </c>
    </row>
    <row r="956" spans="1:7" s="329" customFormat="1" ht="18.75" customHeight="1">
      <c r="A956" s="112"/>
      <c r="B956" s="103"/>
      <c r="C956" s="118"/>
      <c r="D956" s="105"/>
      <c r="E956" s="215"/>
      <c r="F956" s="115"/>
      <c r="G956" s="148"/>
    </row>
    <row r="957" spans="1:7" s="329" customFormat="1" ht="105" customHeight="1">
      <c r="A957" s="112" t="s">
        <v>1468</v>
      </c>
      <c r="C957" s="336" t="s">
        <v>1469</v>
      </c>
      <c r="D957" s="324"/>
      <c r="E957" s="337"/>
    </row>
    <row r="958" spans="1:7" s="329" customFormat="1" ht="26.25" customHeight="1">
      <c r="C958" s="320" t="s">
        <v>1470</v>
      </c>
      <c r="D958" s="324"/>
      <c r="E958" s="337"/>
    </row>
    <row r="959" spans="1:7" s="329" customFormat="1" ht="15" customHeight="1">
      <c r="C959" s="320" t="s">
        <v>1471</v>
      </c>
      <c r="D959" s="324"/>
      <c r="E959" s="337"/>
    </row>
    <row r="960" spans="1:7" s="329" customFormat="1" ht="15" customHeight="1">
      <c r="C960" s="338" t="s">
        <v>1472</v>
      </c>
      <c r="D960" s="324"/>
      <c r="E960" s="337"/>
    </row>
    <row r="961" spans="1:7" s="329" customFormat="1" ht="22.5" customHeight="1">
      <c r="C961" s="336" t="s">
        <v>1473</v>
      </c>
      <c r="D961" s="324"/>
      <c r="E961" s="337"/>
    </row>
    <row r="962" spans="1:7" s="329" customFormat="1" ht="25.5" customHeight="1">
      <c r="C962" s="336" t="s">
        <v>1474</v>
      </c>
      <c r="D962" s="324"/>
      <c r="E962" s="337"/>
    </row>
    <row r="963" spans="1:7" s="329" customFormat="1" ht="24" customHeight="1">
      <c r="C963" s="336" t="s">
        <v>1475</v>
      </c>
      <c r="D963" s="324"/>
      <c r="E963" s="337"/>
    </row>
    <row r="964" spans="1:7" s="329" customFormat="1" ht="22.8">
      <c r="C964" s="336" t="s">
        <v>1476</v>
      </c>
      <c r="D964" s="324"/>
      <c r="E964" s="337"/>
    </row>
    <row r="965" spans="1:7" s="329" customFormat="1" ht="22.8">
      <c r="C965" s="336" t="s">
        <v>1477</v>
      </c>
      <c r="D965" s="324"/>
      <c r="E965" s="337"/>
    </row>
    <row r="966" spans="1:7" s="329" customFormat="1" ht="22.8">
      <c r="C966" s="336" t="s">
        <v>1478</v>
      </c>
      <c r="D966" s="324"/>
      <c r="E966" s="337"/>
    </row>
    <row r="967" spans="1:7" s="329" customFormat="1" ht="11.4">
      <c r="C967" s="336" t="s">
        <v>1479</v>
      </c>
      <c r="D967" s="324"/>
      <c r="E967" s="337"/>
    </row>
    <row r="968" spans="1:7">
      <c r="A968" s="329"/>
      <c r="B968" s="329"/>
      <c r="C968" s="104" t="s">
        <v>1480</v>
      </c>
      <c r="D968" s="324"/>
      <c r="E968" s="337"/>
      <c r="F968" s="329"/>
      <c r="G968" s="329"/>
    </row>
    <row r="969" spans="1:7" ht="23.4">
      <c r="A969" s="329"/>
      <c r="B969" s="329"/>
      <c r="C969" s="104" t="s">
        <v>1481</v>
      </c>
      <c r="D969" s="324"/>
      <c r="E969" s="337"/>
      <c r="F969" s="329"/>
      <c r="G969" s="329"/>
    </row>
    <row r="970" spans="1:7" s="333" customFormat="1" ht="15" customHeight="1">
      <c r="A970" s="329"/>
      <c r="B970" s="329"/>
      <c r="C970" s="336"/>
      <c r="D970" s="105" t="s">
        <v>766</v>
      </c>
      <c r="E970" s="215">
        <v>1</v>
      </c>
      <c r="F970" s="134">
        <v>500</v>
      </c>
      <c r="G970" s="148">
        <f>F970*E970</f>
        <v>500</v>
      </c>
    </row>
    <row r="971" spans="1:7" s="333" customFormat="1" ht="18" customHeight="1">
      <c r="A971" s="112"/>
      <c r="B971" s="103"/>
      <c r="C971" s="118"/>
      <c r="D971" s="105"/>
      <c r="E971" s="215"/>
      <c r="F971" s="115"/>
      <c r="G971" s="148"/>
    </row>
    <row r="972" spans="1:7" s="333" customFormat="1" ht="91.2">
      <c r="A972" s="112" t="s">
        <v>1482</v>
      </c>
      <c r="B972" s="339"/>
      <c r="C972" s="178" t="s">
        <v>1483</v>
      </c>
      <c r="D972" s="105"/>
      <c r="E972" s="215"/>
      <c r="F972" s="169"/>
      <c r="G972" s="103"/>
    </row>
    <row r="973" spans="1:7" s="333" customFormat="1" ht="12">
      <c r="B973" s="340"/>
      <c r="C973" s="341" t="s">
        <v>1484</v>
      </c>
      <c r="D973" s="191" t="s">
        <v>748</v>
      </c>
      <c r="E973" s="342">
        <v>265</v>
      </c>
      <c r="F973" s="282">
        <v>10</v>
      </c>
      <c r="G973" s="148">
        <f t="shared" ref="G973:G980" si="3">F973*E973</f>
        <v>2650</v>
      </c>
    </row>
    <row r="974" spans="1:7" s="333" customFormat="1" ht="12">
      <c r="B974" s="340"/>
      <c r="C974" s="127" t="s">
        <v>1485</v>
      </c>
      <c r="D974" s="191" t="s">
        <v>748</v>
      </c>
      <c r="E974" s="342">
        <v>310</v>
      </c>
      <c r="F974" s="282">
        <v>15</v>
      </c>
      <c r="G974" s="148">
        <f t="shared" si="3"/>
        <v>4650</v>
      </c>
    </row>
    <row r="975" spans="1:7" s="333" customFormat="1" ht="12">
      <c r="B975" s="340"/>
      <c r="C975" s="341" t="s">
        <v>1486</v>
      </c>
      <c r="D975" s="191" t="s">
        <v>748</v>
      </c>
      <c r="E975" s="342">
        <v>108</v>
      </c>
      <c r="F975" s="282">
        <v>20</v>
      </c>
      <c r="G975" s="148">
        <f t="shared" si="3"/>
        <v>2160</v>
      </c>
    </row>
    <row r="976" spans="1:7" s="333" customFormat="1" ht="12">
      <c r="B976" s="340"/>
      <c r="C976" s="127" t="s">
        <v>1487</v>
      </c>
      <c r="D976" s="191" t="s">
        <v>748</v>
      </c>
      <c r="E976" s="342">
        <v>78</v>
      </c>
      <c r="F976" s="282">
        <v>25</v>
      </c>
      <c r="G976" s="148">
        <f t="shared" si="3"/>
        <v>1950</v>
      </c>
    </row>
    <row r="977" spans="1:7" s="333" customFormat="1" ht="12">
      <c r="B977" s="340"/>
      <c r="C977" s="127" t="s">
        <v>1488</v>
      </c>
      <c r="D977" s="191" t="s">
        <v>748</v>
      </c>
      <c r="E977" s="342">
        <v>72</v>
      </c>
      <c r="F977" s="282">
        <v>30</v>
      </c>
      <c r="G977" s="148">
        <f t="shared" si="3"/>
        <v>2160</v>
      </c>
    </row>
    <row r="978" spans="1:7">
      <c r="A978" s="333"/>
      <c r="B978" s="340"/>
      <c r="C978" s="127" t="s">
        <v>1489</v>
      </c>
      <c r="D978" s="191" t="s">
        <v>748</v>
      </c>
      <c r="E978" s="342">
        <v>32</v>
      </c>
      <c r="F978" s="282">
        <v>35</v>
      </c>
      <c r="G978" s="148">
        <f t="shared" si="3"/>
        <v>1120</v>
      </c>
    </row>
    <row r="979" spans="1:7" s="120" customFormat="1" ht="12">
      <c r="A979" s="333"/>
      <c r="B979" s="340"/>
      <c r="C979" s="127" t="s">
        <v>1490</v>
      </c>
      <c r="D979" s="191" t="s">
        <v>748</v>
      </c>
      <c r="E979" s="342">
        <v>12</v>
      </c>
      <c r="F979" s="282">
        <v>40</v>
      </c>
      <c r="G979" s="148">
        <f t="shared" si="3"/>
        <v>480</v>
      </c>
    </row>
    <row r="980" spans="1:7" s="120" customFormat="1" ht="12">
      <c r="A980" s="333"/>
      <c r="B980" s="340"/>
      <c r="C980" s="127" t="s">
        <v>1491</v>
      </c>
      <c r="D980" s="191" t="s">
        <v>748</v>
      </c>
      <c r="E980" s="342">
        <v>54</v>
      </c>
      <c r="F980" s="282">
        <v>45</v>
      </c>
      <c r="G980" s="148">
        <f t="shared" si="3"/>
        <v>2430</v>
      </c>
    </row>
    <row r="981" spans="1:7" s="120" customFormat="1" ht="18.75" customHeight="1">
      <c r="A981" s="112"/>
      <c r="B981" s="103"/>
      <c r="C981" s="118"/>
      <c r="D981" s="105"/>
      <c r="E981" s="215"/>
      <c r="F981" s="115"/>
      <c r="G981" s="148"/>
    </row>
    <row r="982" spans="1:7" s="120" customFormat="1" ht="34.200000000000003">
      <c r="A982" s="112" t="s">
        <v>1492</v>
      </c>
      <c r="B982" s="343"/>
      <c r="C982" s="127" t="s">
        <v>1493</v>
      </c>
      <c r="D982" s="344"/>
      <c r="E982" s="342"/>
      <c r="F982" s="345"/>
      <c r="G982" s="345"/>
    </row>
    <row r="983" spans="1:7" s="120" customFormat="1" ht="22.8">
      <c r="B983" s="346"/>
      <c r="C983" s="347" t="s">
        <v>1494</v>
      </c>
      <c r="D983" s="344"/>
      <c r="E983" s="342"/>
      <c r="F983" s="345"/>
      <c r="G983" s="345"/>
    </row>
    <row r="984" spans="1:7" s="120" customFormat="1" ht="45.6">
      <c r="B984" s="346"/>
      <c r="C984" s="347" t="s">
        <v>1495</v>
      </c>
      <c r="D984" s="344"/>
      <c r="E984" s="342"/>
      <c r="F984" s="345"/>
      <c r="G984" s="345"/>
    </row>
    <row r="985" spans="1:7" s="120" customFormat="1" ht="12">
      <c r="B985" s="346"/>
      <c r="C985" s="347" t="s">
        <v>747</v>
      </c>
      <c r="D985" s="344" t="s">
        <v>748</v>
      </c>
      <c r="E985" s="342">
        <v>220</v>
      </c>
      <c r="F985" s="348">
        <v>10</v>
      </c>
      <c r="G985" s="148">
        <f>F985*E985</f>
        <v>2200</v>
      </c>
    </row>
    <row r="986" spans="1:7" s="120" customFormat="1" ht="12">
      <c r="B986" s="346"/>
      <c r="C986" s="347" t="s">
        <v>1496</v>
      </c>
      <c r="D986" s="344" t="s">
        <v>748</v>
      </c>
      <c r="E986" s="342">
        <v>110</v>
      </c>
      <c r="F986" s="348">
        <v>15</v>
      </c>
      <c r="G986" s="148">
        <f>F986*E986</f>
        <v>1650</v>
      </c>
    </row>
    <row r="987" spans="1:7" s="120" customFormat="1" ht="14.25" customHeight="1">
      <c r="B987" s="349"/>
      <c r="C987" s="347"/>
      <c r="D987" s="344"/>
      <c r="E987" s="342"/>
      <c r="F987" s="348"/>
      <c r="G987" s="350"/>
    </row>
    <row r="988" spans="1:7" s="120" customFormat="1" ht="45.6">
      <c r="A988" s="112" t="s">
        <v>1497</v>
      </c>
      <c r="B988" s="349"/>
      <c r="C988" s="127" t="s">
        <v>1498</v>
      </c>
      <c r="D988" s="344"/>
      <c r="E988" s="342"/>
      <c r="F988" s="345"/>
      <c r="G988" s="345"/>
    </row>
    <row r="989" spans="1:7" s="120" customFormat="1" ht="12">
      <c r="B989" s="349"/>
      <c r="C989" s="347" t="s">
        <v>1499</v>
      </c>
      <c r="D989" s="344"/>
      <c r="E989" s="342"/>
      <c r="F989" s="345"/>
      <c r="G989" s="345"/>
    </row>
    <row r="990" spans="1:7" s="233" customFormat="1" ht="22.8">
      <c r="A990" s="120"/>
      <c r="B990" s="349"/>
      <c r="C990" s="347" t="s">
        <v>1500</v>
      </c>
      <c r="D990" s="344"/>
      <c r="E990" s="342"/>
      <c r="F990" s="345"/>
      <c r="G990" s="345"/>
    </row>
    <row r="991" spans="1:7" s="233" customFormat="1" ht="34.200000000000003">
      <c r="A991" s="120"/>
      <c r="B991" s="349"/>
      <c r="C991" s="347" t="s">
        <v>1501</v>
      </c>
      <c r="D991" s="344" t="s">
        <v>780</v>
      </c>
      <c r="E991" s="351">
        <v>10</v>
      </c>
      <c r="F991" s="348">
        <v>50</v>
      </c>
      <c r="G991" s="148">
        <f>F991*E991</f>
        <v>500</v>
      </c>
    </row>
    <row r="993" spans="1:7" s="233" customFormat="1" ht="91.2">
      <c r="A993" s="112" t="s">
        <v>1502</v>
      </c>
      <c r="B993" s="346"/>
      <c r="C993" s="352" t="s">
        <v>1503</v>
      </c>
      <c r="D993" s="353"/>
      <c r="E993" s="207"/>
      <c r="F993" s="207"/>
      <c r="G993" s="207"/>
    </row>
    <row r="994" spans="1:7" s="120" customFormat="1" ht="11.4">
      <c r="A994" s="354"/>
      <c r="B994" s="355"/>
      <c r="C994" s="356" t="s">
        <v>1504</v>
      </c>
      <c r="D994" s="344" t="s">
        <v>748</v>
      </c>
      <c r="E994" s="342">
        <v>220</v>
      </c>
      <c r="F994" s="207">
        <v>7</v>
      </c>
      <c r="G994" s="148">
        <f>F994*E994</f>
        <v>1540</v>
      </c>
    </row>
    <row r="995" spans="1:7" s="120" customFormat="1" ht="11.4">
      <c r="A995" s="354"/>
      <c r="B995" s="355"/>
      <c r="C995" s="356" t="s">
        <v>1505</v>
      </c>
      <c r="D995" s="344" t="s">
        <v>748</v>
      </c>
      <c r="E995" s="342">
        <v>110</v>
      </c>
      <c r="F995" s="207">
        <v>8</v>
      </c>
      <c r="G995" s="148">
        <f>F995*E995</f>
        <v>880</v>
      </c>
    </row>
    <row r="996" spans="1:7" s="120" customFormat="1" ht="12">
      <c r="A996" s="233"/>
      <c r="B996" s="357"/>
      <c r="C996" s="358"/>
      <c r="D996" s="344"/>
      <c r="E996" s="207"/>
      <c r="F996" s="207"/>
      <c r="G996" s="207"/>
    </row>
    <row r="997" spans="1:7" s="120" customFormat="1" ht="57">
      <c r="A997" s="112" t="s">
        <v>1506</v>
      </c>
      <c r="B997" s="359"/>
      <c r="C997" s="127" t="s">
        <v>1507</v>
      </c>
      <c r="D997" s="344"/>
      <c r="E997" s="342"/>
      <c r="F997" s="345"/>
      <c r="G997" s="360"/>
    </row>
    <row r="998" spans="1:7" s="333" customFormat="1" ht="12">
      <c r="A998" s="120"/>
      <c r="B998" s="346"/>
      <c r="C998" s="347" t="s">
        <v>1508</v>
      </c>
      <c r="D998" s="344" t="s">
        <v>748</v>
      </c>
      <c r="E998" s="207">
        <v>40</v>
      </c>
      <c r="F998" s="207">
        <v>10</v>
      </c>
      <c r="G998" s="148">
        <f>F998*E998</f>
        <v>400</v>
      </c>
    </row>
    <row r="999" spans="1:7" s="333" customFormat="1" ht="12">
      <c r="A999" s="120"/>
      <c r="B999" s="346"/>
      <c r="C999" s="347" t="s">
        <v>1509</v>
      </c>
      <c r="D999" s="344" t="s">
        <v>748</v>
      </c>
      <c r="E999" s="207">
        <v>60</v>
      </c>
      <c r="F999" s="207">
        <v>10</v>
      </c>
      <c r="G999" s="148">
        <f>F999*E999</f>
        <v>600</v>
      </c>
    </row>
    <row r="1000" spans="1:7" s="333" customFormat="1" ht="27" customHeight="1">
      <c r="A1000" s="120"/>
      <c r="B1000" s="346"/>
      <c r="C1000" s="347"/>
      <c r="D1000" s="344"/>
      <c r="E1000" s="207"/>
      <c r="F1000" s="207"/>
      <c r="G1000" s="350"/>
    </row>
    <row r="1001" spans="1:7" s="334" customFormat="1" ht="91.2">
      <c r="A1001" s="112" t="s">
        <v>1510</v>
      </c>
      <c r="B1001" s="346"/>
      <c r="C1001" s="127" t="s">
        <v>1511</v>
      </c>
      <c r="D1001" s="344"/>
      <c r="E1001" s="342"/>
      <c r="F1001" s="350"/>
      <c r="G1001" s="350"/>
    </row>
    <row r="1002" spans="1:7" s="334" customFormat="1" ht="34.200000000000003">
      <c r="A1002" s="333"/>
      <c r="B1002" s="346"/>
      <c r="C1002" s="347" t="s">
        <v>1512</v>
      </c>
      <c r="D1002" s="344"/>
      <c r="E1002" s="342"/>
      <c r="F1002" s="350"/>
      <c r="G1002" s="350"/>
    </row>
    <row r="1003" spans="1:7" s="334" customFormat="1" ht="12">
      <c r="A1003" s="333"/>
      <c r="B1003" s="346"/>
      <c r="C1003" s="127"/>
      <c r="D1003" s="344" t="s">
        <v>345</v>
      </c>
      <c r="E1003" s="342">
        <v>10</v>
      </c>
      <c r="F1003" s="350">
        <v>50</v>
      </c>
      <c r="G1003" s="148">
        <f>F1003*E1003</f>
        <v>500</v>
      </c>
    </row>
    <row r="1004" spans="1:7" s="333" customFormat="1" ht="12">
      <c r="A1004" s="233"/>
      <c r="B1004" s="359"/>
      <c r="C1004" s="182"/>
      <c r="D1004" s="344"/>
      <c r="E1004" s="361"/>
      <c r="F1004" s="361"/>
      <c r="G1004" s="350"/>
    </row>
    <row r="1005" spans="1:7" s="333" customFormat="1" ht="57">
      <c r="A1005" s="112" t="s">
        <v>1513</v>
      </c>
      <c r="B1005" s="362"/>
      <c r="C1005" s="127" t="s">
        <v>1514</v>
      </c>
      <c r="D1005" s="344"/>
    </row>
    <row r="1006" spans="1:7" s="333" customFormat="1" ht="12">
      <c r="B1006" s="349"/>
      <c r="C1006" s="127" t="s">
        <v>1515</v>
      </c>
      <c r="D1006" s="344" t="s">
        <v>780</v>
      </c>
      <c r="E1006" s="342">
        <v>3</v>
      </c>
      <c r="F1006" s="350">
        <v>100</v>
      </c>
      <c r="G1006" s="148">
        <f>F1006*E1006</f>
        <v>300</v>
      </c>
    </row>
    <row r="1007" spans="1:7" s="333" customFormat="1" ht="12">
      <c r="B1007" s="340"/>
      <c r="C1007" s="127"/>
      <c r="D1007" s="344"/>
      <c r="E1007" s="342"/>
      <c r="F1007" s="350"/>
      <c r="G1007" s="350"/>
    </row>
    <row r="1008" spans="1:7" s="333" customFormat="1" ht="34.200000000000003">
      <c r="A1008" s="112" t="s">
        <v>1516</v>
      </c>
      <c r="B1008" s="346"/>
      <c r="C1008" s="127" t="s">
        <v>1517</v>
      </c>
      <c r="D1008" s="344"/>
    </row>
    <row r="1009" spans="1:7" s="333" customFormat="1" ht="12">
      <c r="B1009" s="346"/>
      <c r="C1009" s="127"/>
      <c r="D1009" s="344" t="s">
        <v>780</v>
      </c>
      <c r="E1009" s="342">
        <v>42</v>
      </c>
      <c r="F1009" s="350">
        <v>30</v>
      </c>
      <c r="G1009" s="148">
        <f>F1009*E1009</f>
        <v>1260</v>
      </c>
    </row>
    <row r="1010" spans="1:7" s="120" customFormat="1" ht="12">
      <c r="A1010" s="333"/>
      <c r="B1010" s="340"/>
      <c r="C1010" s="127"/>
      <c r="D1010" s="363"/>
      <c r="E1010" s="342"/>
      <c r="F1010" s="350"/>
      <c r="G1010" s="350"/>
    </row>
    <row r="1011" spans="1:7" s="333" customFormat="1" ht="34.200000000000003">
      <c r="A1011" s="112" t="s">
        <v>1518</v>
      </c>
      <c r="B1011" s="346"/>
      <c r="C1011" s="127" t="s">
        <v>1519</v>
      </c>
      <c r="D1011" s="363"/>
    </row>
    <row r="1012" spans="1:7" s="333" customFormat="1" ht="12">
      <c r="B1012" s="346"/>
      <c r="C1012" s="127"/>
      <c r="D1012" s="344" t="s">
        <v>780</v>
      </c>
      <c r="E1012" s="342">
        <v>1</v>
      </c>
      <c r="F1012" s="350">
        <v>200</v>
      </c>
      <c r="G1012" s="148">
        <f>F1012*E1012</f>
        <v>200</v>
      </c>
    </row>
    <row r="1013" spans="1:7" s="120" customFormat="1" ht="11.4">
      <c r="C1013" s="182"/>
      <c r="D1013" s="344"/>
    </row>
    <row r="1014" spans="1:7" s="120" customFormat="1" ht="96.75" customHeight="1">
      <c r="A1014" s="112" t="s">
        <v>1520</v>
      </c>
      <c r="B1014" s="362"/>
      <c r="C1014" s="364" t="s">
        <v>1521</v>
      </c>
      <c r="D1014" s="344"/>
      <c r="E1014" s="333"/>
      <c r="F1014" s="333"/>
      <c r="G1014" s="333"/>
    </row>
    <row r="1015" spans="1:7" s="120" customFormat="1" ht="12">
      <c r="A1015" s="333"/>
      <c r="B1015" s="346"/>
      <c r="C1015" s="364"/>
      <c r="D1015" s="344" t="s">
        <v>780</v>
      </c>
      <c r="E1015" s="342">
        <v>1</v>
      </c>
      <c r="F1015" s="350">
        <v>300</v>
      </c>
      <c r="G1015" s="148">
        <f>F1015*E1015</f>
        <v>300</v>
      </c>
    </row>
    <row r="1016" spans="1:7" s="120" customFormat="1" ht="11.4">
      <c r="C1016" s="182"/>
      <c r="D1016" s="344"/>
    </row>
    <row r="1017" spans="1:7" s="120" customFormat="1" ht="181.5" customHeight="1">
      <c r="A1017" s="112" t="s">
        <v>1522</v>
      </c>
      <c r="B1017" s="365"/>
      <c r="C1017" s="364" t="s">
        <v>1206</v>
      </c>
      <c r="D1017" s="344"/>
      <c r="E1017" s="366"/>
      <c r="F1017" s="281"/>
      <c r="G1017" s="282"/>
    </row>
    <row r="1018" spans="1:7" s="120" customFormat="1" ht="22.8">
      <c r="B1018" s="283"/>
      <c r="C1018" s="354" t="s">
        <v>1523</v>
      </c>
      <c r="D1018" s="344" t="s">
        <v>790</v>
      </c>
      <c r="E1018" s="207">
        <v>80</v>
      </c>
      <c r="F1018" s="207">
        <v>40</v>
      </c>
      <c r="G1018" s="148">
        <f>F1018*E1018</f>
        <v>3200</v>
      </c>
    </row>
    <row r="1019" spans="1:7" s="120" customFormat="1" ht="11.4">
      <c r="B1019" s="283"/>
      <c r="C1019" s="354"/>
      <c r="D1019" s="344"/>
      <c r="E1019" s="207"/>
      <c r="F1019" s="207"/>
      <c r="G1019" s="207"/>
    </row>
    <row r="1020" spans="1:7" s="333" customFormat="1" ht="45.6">
      <c r="A1020" s="112" t="s">
        <v>1524</v>
      </c>
      <c r="B1020" s="346"/>
      <c r="C1020" s="367" t="s">
        <v>1525</v>
      </c>
      <c r="D1020" s="344"/>
      <c r="E1020" s="207"/>
      <c r="F1020" s="207"/>
      <c r="G1020" s="207"/>
    </row>
    <row r="1021" spans="1:7" s="333" customFormat="1" ht="17.399999999999999">
      <c r="A1021" s="362"/>
      <c r="B1021" s="362"/>
      <c r="C1021" s="367"/>
      <c r="D1021" s="344" t="s">
        <v>790</v>
      </c>
      <c r="E1021" s="207">
        <v>12</v>
      </c>
      <c r="F1021" s="207">
        <v>40</v>
      </c>
      <c r="G1021" s="148">
        <f>F1021*E1021</f>
        <v>480</v>
      </c>
    </row>
    <row r="1022" spans="1:7" s="120" customFormat="1" ht="11.4">
      <c r="C1022" s="182"/>
      <c r="D1022" s="344"/>
    </row>
    <row r="1023" spans="1:7" s="233" customFormat="1" ht="22.8">
      <c r="A1023" s="112" t="s">
        <v>1526</v>
      </c>
      <c r="B1023" s="346"/>
      <c r="C1023" s="127" t="s">
        <v>1527</v>
      </c>
      <c r="D1023" s="344"/>
      <c r="E1023" s="333"/>
      <c r="F1023" s="333"/>
      <c r="G1023" s="333"/>
    </row>
    <row r="1024" spans="1:7" s="233" customFormat="1" ht="12">
      <c r="A1024" s="333"/>
      <c r="B1024" s="346"/>
      <c r="C1024" s="127"/>
      <c r="D1024" s="344" t="s">
        <v>310</v>
      </c>
      <c r="E1024" s="342">
        <v>110</v>
      </c>
      <c r="F1024" s="350">
        <v>60</v>
      </c>
      <c r="G1024" s="148">
        <f>F1024*E1024</f>
        <v>6600</v>
      </c>
    </row>
    <row r="1026" spans="1:7" s="334" customFormat="1" ht="22.8">
      <c r="A1026" s="112" t="s">
        <v>1528</v>
      </c>
      <c r="B1026" s="365"/>
      <c r="C1026" s="182" t="s">
        <v>1529</v>
      </c>
      <c r="D1026" s="344"/>
      <c r="E1026" s="361"/>
      <c r="F1026" s="361"/>
      <c r="G1026" s="361"/>
    </row>
    <row r="1027" spans="1:7" s="334" customFormat="1" ht="12">
      <c r="A1027" s="233"/>
      <c r="B1027" s="365"/>
      <c r="C1027" s="182" t="s">
        <v>1070</v>
      </c>
      <c r="D1027" s="344" t="s">
        <v>1071</v>
      </c>
      <c r="E1027" s="361">
        <v>60</v>
      </c>
      <c r="F1027" s="361">
        <v>30</v>
      </c>
      <c r="G1027" s="148">
        <f>F1027*E1027</f>
        <v>1800</v>
      </c>
    </row>
    <row r="1028" spans="1:7" s="334" customFormat="1" ht="12">
      <c r="A1028" s="233"/>
      <c r="B1028" s="365"/>
      <c r="C1028" s="182" t="s">
        <v>1072</v>
      </c>
      <c r="D1028" s="344" t="s">
        <v>1071</v>
      </c>
      <c r="E1028" s="361">
        <v>60</v>
      </c>
      <c r="F1028" s="361">
        <v>40</v>
      </c>
      <c r="G1028" s="148">
        <f>F1028*E1028</f>
        <v>2400</v>
      </c>
    </row>
    <row r="1029" spans="1:7" s="333" customFormat="1" ht="12">
      <c r="A1029" s="233"/>
      <c r="B1029" s="359"/>
      <c r="C1029" s="182"/>
      <c r="D1029" s="344"/>
      <c r="E1029" s="361"/>
      <c r="F1029" s="361"/>
      <c r="G1029" s="350"/>
    </row>
    <row r="1030" spans="1:7" s="334" customFormat="1" ht="22.8">
      <c r="A1030" s="112" t="s">
        <v>1530</v>
      </c>
      <c r="B1030" s="362"/>
      <c r="C1030" s="341" t="s">
        <v>1531</v>
      </c>
      <c r="D1030" s="344"/>
      <c r="E1030" s="368"/>
      <c r="F1030" s="369"/>
      <c r="G1030" s="369"/>
    </row>
    <row r="1031" spans="1:7" s="334" customFormat="1" ht="12">
      <c r="A1031" s="120"/>
      <c r="B1031" s="370"/>
      <c r="C1031" s="182"/>
      <c r="D1031" s="344" t="s">
        <v>780</v>
      </c>
      <c r="E1031" s="368">
        <v>1</v>
      </c>
      <c r="F1031" s="371">
        <v>1500</v>
      </c>
      <c r="G1031" s="148">
        <f>F1031*E1031</f>
        <v>1500</v>
      </c>
    </row>
    <row r="1032" spans="1:7" s="334" customFormat="1" ht="12">
      <c r="A1032" s="333"/>
      <c r="B1032" s="340"/>
      <c r="C1032" s="372"/>
      <c r="D1032" s="344"/>
      <c r="E1032" s="342"/>
      <c r="F1032" s="350"/>
      <c r="G1032" s="373"/>
    </row>
    <row r="1033" spans="1:7" s="233" customFormat="1" ht="45.6">
      <c r="A1033" s="112" t="s">
        <v>1532</v>
      </c>
      <c r="B1033" s="362"/>
      <c r="C1033" s="127" t="s">
        <v>1533</v>
      </c>
      <c r="D1033" s="344"/>
      <c r="E1033" s="342"/>
      <c r="F1033" s="345"/>
      <c r="G1033" s="360"/>
    </row>
    <row r="1034" spans="1:7" s="120" customFormat="1" ht="12">
      <c r="B1034" s="346"/>
      <c r="C1034" s="347"/>
      <c r="D1034" s="344" t="s">
        <v>780</v>
      </c>
      <c r="E1034" s="342">
        <v>1</v>
      </c>
      <c r="F1034" s="350">
        <v>300</v>
      </c>
      <c r="G1034" s="148">
        <f>F1034*E1034</f>
        <v>300</v>
      </c>
    </row>
    <row r="1035" spans="1:7" s="120" customFormat="1" ht="12">
      <c r="B1035" s="346"/>
      <c r="C1035" s="347"/>
      <c r="D1035" s="344"/>
      <c r="E1035" s="342"/>
      <c r="F1035" s="350"/>
      <c r="G1035" s="361"/>
    </row>
    <row r="1036" spans="1:7" s="120" customFormat="1" ht="22.8">
      <c r="A1036" s="112" t="s">
        <v>1534</v>
      </c>
      <c r="B1036" s="365"/>
      <c r="C1036" s="182" t="s">
        <v>1535</v>
      </c>
      <c r="D1036" s="344" t="s">
        <v>780</v>
      </c>
      <c r="E1036" s="342">
        <v>42</v>
      </c>
      <c r="F1036" s="350">
        <v>100</v>
      </c>
      <c r="G1036" s="148">
        <f>F1036*E1036</f>
        <v>4200</v>
      </c>
    </row>
    <row r="1037" spans="1:7" s="120" customFormat="1" ht="12">
      <c r="A1037" s="362"/>
      <c r="B1037" s="362"/>
      <c r="C1037" s="367"/>
      <c r="D1037" s="344"/>
      <c r="E1037" s="374"/>
      <c r="F1037" s="207"/>
      <c r="G1037" s="207"/>
    </row>
    <row r="1038" spans="1:7" s="333" customFormat="1" ht="148.19999999999999">
      <c r="A1038" s="112" t="s">
        <v>1536</v>
      </c>
      <c r="B1038" s="362"/>
      <c r="C1038" s="341" t="s">
        <v>1537</v>
      </c>
      <c r="D1038" s="344"/>
      <c r="E1038" s="374"/>
      <c r="F1038" s="207"/>
      <c r="G1038" s="207"/>
    </row>
    <row r="1039" spans="1:7" s="120" customFormat="1" ht="22.8">
      <c r="A1039" s="362"/>
      <c r="B1039" s="362"/>
      <c r="C1039" s="341" t="s">
        <v>1538</v>
      </c>
      <c r="D1039" s="344"/>
      <c r="E1039" s="374"/>
      <c r="F1039" s="207"/>
      <c r="G1039" s="207"/>
    </row>
    <row r="1040" spans="1:7" s="120" customFormat="1" ht="22.8">
      <c r="A1040" s="362"/>
      <c r="B1040" s="362"/>
      <c r="C1040" s="356" t="s">
        <v>1539</v>
      </c>
      <c r="D1040" s="344"/>
      <c r="E1040" s="374"/>
      <c r="F1040" s="207"/>
      <c r="G1040" s="207"/>
    </row>
    <row r="1041" spans="1:7" s="120" customFormat="1" ht="34.200000000000003">
      <c r="A1041" s="333"/>
      <c r="B1041" s="346"/>
      <c r="C1041" s="356" t="s">
        <v>1540</v>
      </c>
      <c r="D1041" s="344"/>
      <c r="E1041" s="342"/>
      <c r="F1041" s="333"/>
      <c r="G1041" s="333"/>
    </row>
    <row r="1042" spans="1:7" s="233" customFormat="1" ht="68.400000000000006">
      <c r="A1042" s="362"/>
      <c r="B1042" s="362"/>
      <c r="C1042" s="375" t="s">
        <v>1541</v>
      </c>
      <c r="D1042" s="344" t="s">
        <v>780</v>
      </c>
      <c r="E1042" s="207">
        <v>1</v>
      </c>
      <c r="F1042" s="207">
        <v>500</v>
      </c>
      <c r="G1042" s="148">
        <f>F1042*E1042</f>
        <v>500</v>
      </c>
    </row>
    <row r="1043" spans="1:7">
      <c r="A1043" s="362"/>
      <c r="B1043" s="362"/>
      <c r="C1043" s="375"/>
      <c r="D1043" s="353"/>
      <c r="E1043" s="207"/>
      <c r="F1043" s="207"/>
      <c r="G1043" s="207"/>
    </row>
    <row r="1044" spans="1:7">
      <c r="A1044" s="362"/>
      <c r="B1044" s="362"/>
      <c r="C1044" s="376"/>
      <c r="D1044" s="353"/>
      <c r="E1044" s="207"/>
      <c r="F1044" s="207"/>
      <c r="G1044" s="207"/>
    </row>
    <row r="1045" spans="1:7" ht="18" customHeight="1">
      <c r="A1045" s="365"/>
      <c r="B1045" s="365"/>
      <c r="C1045" s="367"/>
      <c r="D1045" s="353"/>
      <c r="E1045" s="233"/>
      <c r="F1045" s="207"/>
      <c r="G1045" s="198"/>
    </row>
    <row r="1046" spans="1:7" ht="21.75" customHeight="1">
      <c r="E1046" s="105"/>
    </row>
    <row r="1047" spans="1:7" ht="28.5" customHeight="1">
      <c r="C1047" s="163" t="s">
        <v>1542</v>
      </c>
      <c r="D1047" s="164"/>
      <c r="E1047" s="165"/>
      <c r="F1047" s="166"/>
      <c r="G1047" s="167">
        <f>SUM(G761:G1046)</f>
        <v>154170</v>
      </c>
    </row>
    <row r="1048" spans="1:7" ht="24.75" customHeight="1">
      <c r="C1048" s="304"/>
      <c r="D1048" s="377"/>
      <c r="E1048" s="378"/>
      <c r="F1048" s="307"/>
      <c r="G1048" s="308"/>
    </row>
    <row r="1049" spans="1:7" ht="33" customHeight="1">
      <c r="A1049" s="112"/>
      <c r="C1049" s="775" t="s">
        <v>1543</v>
      </c>
      <c r="D1049" s="775"/>
      <c r="E1049" s="775"/>
      <c r="F1049" s="775"/>
      <c r="G1049" s="775"/>
    </row>
    <row r="1050" spans="1:7" s="103" customFormat="1" ht="17.25" customHeight="1">
      <c r="A1050" s="112"/>
      <c r="C1050" s="118"/>
      <c r="D1050" s="105"/>
      <c r="E1050" s="219"/>
      <c r="F1050" s="134"/>
      <c r="G1050" s="105"/>
    </row>
    <row r="1051" spans="1:7" ht="100.5" customHeight="1">
      <c r="A1051" s="112" t="s">
        <v>1544</v>
      </c>
      <c r="C1051" s="118" t="s">
        <v>1545</v>
      </c>
      <c r="D1051" s="380"/>
      <c r="E1051" s="381"/>
      <c r="F1051" s="316"/>
      <c r="G1051" s="316"/>
    </row>
    <row r="1052" spans="1:7" ht="144.75" customHeight="1">
      <c r="A1052" s="117"/>
      <c r="C1052" s="118" t="s">
        <v>1546</v>
      </c>
      <c r="D1052" s="380"/>
      <c r="E1052" s="381"/>
      <c r="F1052" s="316"/>
      <c r="G1052" s="316"/>
    </row>
    <row r="1053" spans="1:7" ht="103.2">
      <c r="A1053" s="103"/>
      <c r="C1053" s="382" t="s">
        <v>1547</v>
      </c>
      <c r="D1053" s="255"/>
      <c r="E1053" s="255"/>
    </row>
    <row r="1054" spans="1:7" s="316" customFormat="1" ht="33" customHeight="1">
      <c r="A1054" s="102"/>
      <c r="B1054" s="103"/>
      <c r="C1054" s="320" t="s">
        <v>1548</v>
      </c>
      <c r="D1054" s="255"/>
      <c r="E1054" s="255"/>
      <c r="F1054" s="103"/>
      <c r="G1054" s="103"/>
    </row>
    <row r="1055" spans="1:7" ht="21.75" customHeight="1">
      <c r="C1055" s="320" t="s">
        <v>1549</v>
      </c>
      <c r="D1055" s="255"/>
      <c r="E1055" s="255"/>
    </row>
    <row r="1056" spans="1:7" ht="22.8">
      <c r="C1056" s="320" t="s">
        <v>1550</v>
      </c>
      <c r="D1056" s="255"/>
      <c r="E1056" s="255"/>
    </row>
    <row r="1057" spans="3:7" ht="17.399999999999999">
      <c r="C1057" s="320" t="s">
        <v>1551</v>
      </c>
      <c r="D1057" s="255"/>
      <c r="E1057" s="255"/>
      <c r="F1057" s="316"/>
      <c r="G1057" s="316"/>
    </row>
    <row r="1058" spans="3:7">
      <c r="C1058" s="383" t="s">
        <v>1552</v>
      </c>
      <c r="D1058" s="102"/>
      <c r="E1058" s="255"/>
    </row>
    <row r="1059" spans="3:7" ht="18">
      <c r="C1059" s="320" t="s">
        <v>1553</v>
      </c>
      <c r="D1059" s="255"/>
      <c r="E1059" s="255"/>
    </row>
    <row r="1060" spans="3:7" ht="18">
      <c r="C1060" s="320" t="s">
        <v>1554</v>
      </c>
      <c r="D1060" s="255"/>
      <c r="E1060" s="255"/>
    </row>
    <row r="1061" spans="3:7" ht="26.4">
      <c r="C1061" s="320" t="s">
        <v>1555</v>
      </c>
      <c r="D1061" s="255"/>
      <c r="E1061" s="255"/>
    </row>
    <row r="1062" spans="3:7">
      <c r="C1062" s="384" t="s">
        <v>1556</v>
      </c>
      <c r="D1062" s="255"/>
      <c r="E1062" s="255"/>
    </row>
    <row r="1063" spans="3:7" s="103" customFormat="1" ht="14.4">
      <c r="C1063" s="336" t="s">
        <v>1557</v>
      </c>
      <c r="D1063" s="255"/>
      <c r="E1063" s="255"/>
    </row>
    <row r="1064" spans="3:7" s="103" customFormat="1" ht="14.4">
      <c r="C1064" s="336" t="s">
        <v>1558</v>
      </c>
      <c r="D1064" s="255"/>
      <c r="E1064" s="255"/>
    </row>
    <row r="1065" spans="3:7" ht="14.4">
      <c r="C1065" s="336" t="s">
        <v>1559</v>
      </c>
      <c r="D1065" s="255"/>
      <c r="E1065" s="255"/>
    </row>
    <row r="1066" spans="3:7" ht="14.4">
      <c r="C1066" s="385" t="s">
        <v>1560</v>
      </c>
      <c r="D1066" s="255"/>
      <c r="E1066" s="255"/>
    </row>
    <row r="1067" spans="3:7" ht="14.4">
      <c r="C1067" s="336" t="s">
        <v>1561</v>
      </c>
      <c r="D1067" s="255"/>
      <c r="E1067" s="255"/>
    </row>
    <row r="1068" spans="3:7">
      <c r="C1068" s="385" t="s">
        <v>1562</v>
      </c>
      <c r="D1068" s="255"/>
      <c r="E1068" s="255"/>
    </row>
    <row r="1069" spans="3:7" ht="22.8">
      <c r="C1069" s="320" t="s">
        <v>1563</v>
      </c>
      <c r="D1069" s="255"/>
      <c r="E1069" s="255"/>
    </row>
    <row r="1070" spans="3:7">
      <c r="C1070" s="336" t="s">
        <v>1564</v>
      </c>
      <c r="D1070" s="255"/>
      <c r="E1070" s="255"/>
    </row>
    <row r="1071" spans="3:7">
      <c r="C1071" s="386" t="s">
        <v>1565</v>
      </c>
      <c r="D1071" s="255"/>
      <c r="E1071" s="255"/>
    </row>
    <row r="1072" spans="3:7">
      <c r="C1072" s="336" t="s">
        <v>1566</v>
      </c>
      <c r="D1072" s="255"/>
      <c r="E1072" s="255"/>
    </row>
    <row r="1073" spans="1:7" s="189" customFormat="1" ht="18">
      <c r="A1073" s="102"/>
      <c r="B1073" s="103"/>
      <c r="C1073" s="336" t="s">
        <v>1567</v>
      </c>
      <c r="D1073" s="255"/>
      <c r="E1073" s="255"/>
      <c r="F1073" s="103"/>
      <c r="G1073" s="103"/>
    </row>
    <row r="1074" spans="1:7" s="152" customFormat="1" ht="11.4">
      <c r="A1074" s="102"/>
      <c r="B1074" s="103"/>
      <c r="C1074" s="336" t="s">
        <v>1568</v>
      </c>
      <c r="D1074" s="255"/>
      <c r="E1074" s="255"/>
      <c r="F1074" s="103"/>
      <c r="G1074" s="103"/>
    </row>
    <row r="1075" spans="1:7" s="152" customFormat="1" ht="11.4">
      <c r="A1075" s="102"/>
      <c r="B1075" s="103"/>
      <c r="C1075" s="336" t="s">
        <v>1569</v>
      </c>
      <c r="D1075" s="105"/>
      <c r="E1075" s="255"/>
      <c r="F1075" s="103"/>
      <c r="G1075" s="103"/>
    </row>
    <row r="1076" spans="1:7" s="152" customFormat="1" ht="12">
      <c r="A1076" s="189"/>
      <c r="B1076" s="189"/>
      <c r="C1076" s="384"/>
      <c r="D1076" s="102" t="s">
        <v>1570</v>
      </c>
      <c r="E1076" s="255">
        <v>3</v>
      </c>
      <c r="F1076" s="387">
        <v>2500</v>
      </c>
      <c r="G1076" s="148">
        <f>F1076*E1076</f>
        <v>7500</v>
      </c>
    </row>
    <row r="1077" spans="1:7" s="152" customFormat="1" ht="11.4">
      <c r="A1077" s="388"/>
      <c r="B1077" s="222"/>
      <c r="C1077" s="389"/>
      <c r="D1077" s="344"/>
      <c r="E1077" s="390"/>
      <c r="F1077" s="391"/>
      <c r="G1077" s="391"/>
    </row>
    <row r="1078" spans="1:7" s="189" customFormat="1" ht="57">
      <c r="A1078" s="112" t="s">
        <v>1571</v>
      </c>
      <c r="B1078" s="225"/>
      <c r="C1078" s="389" t="s">
        <v>1572</v>
      </c>
      <c r="D1078" s="209"/>
      <c r="E1078" s="392"/>
      <c r="F1078" s="205"/>
      <c r="G1078" s="205"/>
    </row>
    <row r="1079" spans="1:7" s="152" customFormat="1" ht="11.4">
      <c r="A1079" s="355"/>
      <c r="B1079" s="393"/>
      <c r="C1079" s="389" t="s">
        <v>1573</v>
      </c>
      <c r="D1079" s="209" t="s">
        <v>316</v>
      </c>
      <c r="E1079" s="245">
        <v>18</v>
      </c>
      <c r="F1079" s="387">
        <v>30</v>
      </c>
      <c r="G1079" s="148">
        <f>F1079*E1079</f>
        <v>540</v>
      </c>
    </row>
    <row r="1080" spans="1:7" s="152" customFormat="1" ht="11.4">
      <c r="A1080" s="355"/>
      <c r="B1080" s="393"/>
      <c r="C1080" s="389" t="s">
        <v>1574</v>
      </c>
      <c r="D1080" s="209" t="s">
        <v>316</v>
      </c>
      <c r="E1080" s="245">
        <v>26</v>
      </c>
      <c r="F1080" s="387">
        <v>40</v>
      </c>
      <c r="G1080" s="148">
        <f>F1080*E1080</f>
        <v>1040</v>
      </c>
    </row>
    <row r="1081" spans="1:7" s="189" customFormat="1" ht="11.4">
      <c r="A1081" s="355"/>
      <c r="B1081" s="393"/>
      <c r="C1081" s="389" t="s">
        <v>1575</v>
      </c>
      <c r="D1081" s="209" t="s">
        <v>316</v>
      </c>
      <c r="E1081" s="245">
        <v>90</v>
      </c>
      <c r="F1081" s="387">
        <v>50</v>
      </c>
      <c r="G1081" s="148">
        <f>F1081*E1081</f>
        <v>4500</v>
      </c>
    </row>
    <row r="1082" spans="1:7" s="152" customFormat="1" ht="11.4">
      <c r="A1082" s="388"/>
      <c r="B1082" s="222"/>
      <c r="C1082" s="389"/>
      <c r="D1082" s="344"/>
      <c r="E1082" s="390"/>
      <c r="F1082" s="391"/>
      <c r="G1082" s="391"/>
    </row>
    <row r="1083" spans="1:7" s="189" customFormat="1" ht="108" customHeight="1">
      <c r="A1083" s="112" t="s">
        <v>1576</v>
      </c>
      <c r="B1083" s="394"/>
      <c r="C1083" s="389" t="s">
        <v>1577</v>
      </c>
      <c r="D1083" s="209"/>
      <c r="E1083" s="395"/>
      <c r="F1083" s="205"/>
      <c r="G1083" s="205"/>
    </row>
    <row r="1084" spans="1:7" s="189" customFormat="1" ht="11.4">
      <c r="A1084" s="396"/>
      <c r="B1084" s="397"/>
      <c r="C1084" s="389" t="s">
        <v>1578</v>
      </c>
      <c r="D1084" s="209" t="s">
        <v>345</v>
      </c>
      <c r="E1084" s="245">
        <v>24</v>
      </c>
      <c r="F1084" s="387">
        <v>50</v>
      </c>
      <c r="G1084" s="148">
        <f>F1084*E1084</f>
        <v>1200</v>
      </c>
    </row>
    <row r="1085" spans="1:7" s="152" customFormat="1" ht="19.5" customHeight="1">
      <c r="A1085" s="388"/>
      <c r="B1085" s="222"/>
      <c r="C1085" s="389"/>
      <c r="D1085" s="344"/>
      <c r="E1085" s="390"/>
      <c r="F1085" s="391"/>
      <c r="G1085" s="391"/>
    </row>
    <row r="1086" spans="1:7" s="152" customFormat="1" ht="114">
      <c r="A1086" s="112" t="s">
        <v>1579</v>
      </c>
      <c r="B1086" s="397"/>
      <c r="C1086" s="389" t="s">
        <v>1580</v>
      </c>
      <c r="D1086" s="209"/>
      <c r="E1086" s="392"/>
      <c r="F1086" s="205"/>
      <c r="G1086" s="205"/>
    </row>
    <row r="1087" spans="1:7" s="152" customFormat="1" ht="11.4">
      <c r="A1087" s="388"/>
      <c r="B1087" s="222"/>
      <c r="C1087" s="389" t="s">
        <v>1581</v>
      </c>
      <c r="D1087" s="344" t="s">
        <v>345</v>
      </c>
      <c r="E1087" s="390">
        <v>6</v>
      </c>
      <c r="F1087" s="387">
        <v>50</v>
      </c>
      <c r="G1087" s="148">
        <f>F1087*E1087</f>
        <v>300</v>
      </c>
    </row>
    <row r="1089" spans="1:7" s="152" customFormat="1" ht="22.8">
      <c r="A1089" s="112" t="s">
        <v>1582</v>
      </c>
      <c r="B1089" s="225"/>
      <c r="C1089" s="389" t="s">
        <v>1583</v>
      </c>
      <c r="D1089" s="209"/>
      <c r="E1089" s="392"/>
      <c r="F1089" s="205"/>
      <c r="G1089" s="205"/>
    </row>
    <row r="1090" spans="1:7" s="152" customFormat="1" ht="11.4">
      <c r="A1090" s="355"/>
      <c r="B1090" s="393"/>
      <c r="C1090" s="389" t="s">
        <v>1584</v>
      </c>
      <c r="D1090" s="209"/>
      <c r="E1090" s="245"/>
      <c r="F1090" s="205"/>
      <c r="G1090" s="282"/>
    </row>
    <row r="1091" spans="1:7" s="152" customFormat="1" ht="11.4">
      <c r="A1091" s="355"/>
      <c r="B1091" s="393"/>
      <c r="C1091" s="389" t="s">
        <v>1585</v>
      </c>
      <c r="D1091" s="209"/>
      <c r="E1091" s="245"/>
      <c r="F1091" s="205"/>
      <c r="G1091" s="282"/>
    </row>
    <row r="1092" spans="1:7" s="152" customFormat="1" ht="11.4">
      <c r="A1092" s="355"/>
      <c r="B1092" s="393"/>
      <c r="C1092" s="389" t="s">
        <v>1586</v>
      </c>
      <c r="D1092" s="209"/>
      <c r="E1092" s="245"/>
      <c r="F1092" s="205"/>
      <c r="G1092" s="282"/>
    </row>
    <row r="1093" spans="1:7" s="189" customFormat="1" ht="11.4">
      <c r="A1093" s="355"/>
      <c r="B1093" s="393"/>
      <c r="C1093" s="389" t="s">
        <v>1587</v>
      </c>
      <c r="D1093" s="209"/>
      <c r="E1093" s="245"/>
      <c r="F1093" s="205"/>
      <c r="G1093" s="282"/>
    </row>
    <row r="1094" spans="1:7" s="152" customFormat="1" ht="11.4">
      <c r="A1094" s="355"/>
      <c r="B1094" s="393"/>
      <c r="C1094" s="389" t="s">
        <v>1588</v>
      </c>
      <c r="D1094" s="209"/>
      <c r="E1094" s="245"/>
      <c r="F1094" s="205"/>
      <c r="G1094" s="282"/>
    </row>
    <row r="1095" spans="1:7" s="152" customFormat="1" ht="11.4">
      <c r="A1095" s="355"/>
      <c r="B1095" s="393"/>
      <c r="C1095" s="389" t="s">
        <v>1589</v>
      </c>
      <c r="D1095" s="209"/>
      <c r="E1095" s="245"/>
      <c r="F1095" s="205"/>
      <c r="G1095" s="282"/>
    </row>
    <row r="1096" spans="1:7" s="189" customFormat="1" ht="11.4">
      <c r="A1096" s="355"/>
      <c r="B1096" s="393"/>
      <c r="C1096" s="389" t="s">
        <v>1590</v>
      </c>
      <c r="D1096" s="209" t="s">
        <v>766</v>
      </c>
      <c r="E1096" s="245">
        <v>13</v>
      </c>
      <c r="F1096" s="387">
        <v>150</v>
      </c>
      <c r="G1096" s="148">
        <f>F1096*E1096</f>
        <v>1950</v>
      </c>
    </row>
    <row r="1097" spans="1:7" s="152" customFormat="1" ht="11.4">
      <c r="A1097" s="388"/>
      <c r="B1097" s="222"/>
      <c r="C1097" s="389"/>
      <c r="D1097" s="344"/>
      <c r="E1097" s="390"/>
      <c r="F1097" s="391"/>
      <c r="G1097" s="391"/>
    </row>
    <row r="1098" spans="1:7" s="152" customFormat="1" ht="79.8">
      <c r="A1098" s="112" t="s">
        <v>1591</v>
      </c>
      <c r="B1098" s="225"/>
      <c r="C1098" s="389" t="s">
        <v>1592</v>
      </c>
      <c r="D1098" s="209"/>
      <c r="E1098" s="392"/>
      <c r="F1098" s="205"/>
      <c r="G1098" s="205"/>
    </row>
    <row r="1099" spans="1:7" s="189" customFormat="1" ht="11.4">
      <c r="A1099" s="355"/>
      <c r="B1099" s="393"/>
      <c r="C1099" s="389" t="s">
        <v>1593</v>
      </c>
      <c r="D1099" s="209" t="s">
        <v>766</v>
      </c>
      <c r="E1099" s="245">
        <v>2</v>
      </c>
      <c r="F1099" s="387">
        <v>50</v>
      </c>
      <c r="G1099" s="148">
        <f>F1099*E1099</f>
        <v>100</v>
      </c>
    </row>
    <row r="1100" spans="1:7" s="152" customFormat="1" ht="11.4">
      <c r="A1100" s="388"/>
      <c r="B1100" s="222"/>
      <c r="C1100" s="389"/>
      <c r="D1100" s="344"/>
      <c r="E1100" s="390"/>
      <c r="F1100" s="391"/>
      <c r="G1100" s="391"/>
    </row>
    <row r="1101" spans="1:7" s="152" customFormat="1" ht="57">
      <c r="A1101" s="112" t="s">
        <v>1594</v>
      </c>
      <c r="B1101" s="225"/>
      <c r="C1101" s="389" t="s">
        <v>1595</v>
      </c>
      <c r="D1101" s="209"/>
      <c r="E1101" s="392"/>
      <c r="F1101" s="205"/>
      <c r="G1101" s="205"/>
    </row>
    <row r="1102" spans="1:7" s="189" customFormat="1" ht="11.4">
      <c r="A1102" s="355"/>
      <c r="B1102" s="393"/>
      <c r="C1102" s="389" t="s">
        <v>1596</v>
      </c>
      <c r="D1102" s="209" t="s">
        <v>316</v>
      </c>
      <c r="E1102" s="245">
        <v>110</v>
      </c>
      <c r="F1102" s="387">
        <v>3</v>
      </c>
      <c r="G1102" s="148">
        <f>F1102*E1102</f>
        <v>330</v>
      </c>
    </row>
    <row r="1103" spans="1:7" s="152" customFormat="1" ht="11.4">
      <c r="A1103" s="388"/>
      <c r="B1103" s="222"/>
      <c r="C1103" s="389"/>
      <c r="D1103" s="344"/>
      <c r="E1103" s="390"/>
      <c r="F1103" s="391"/>
      <c r="G1103" s="391"/>
    </row>
    <row r="1104" spans="1:7" s="152" customFormat="1" ht="22.8">
      <c r="A1104" s="112" t="s">
        <v>1597</v>
      </c>
      <c r="B1104" s="225"/>
      <c r="C1104" s="389" t="s">
        <v>1598</v>
      </c>
      <c r="D1104" s="209"/>
      <c r="E1104" s="392"/>
      <c r="F1104" s="205"/>
      <c r="G1104" s="205"/>
    </row>
    <row r="1105" spans="1:7" s="152" customFormat="1" ht="11.4">
      <c r="B1105" s="393"/>
      <c r="C1105" s="389" t="s">
        <v>1599</v>
      </c>
      <c r="D1105" s="209" t="s">
        <v>345</v>
      </c>
      <c r="E1105" s="245">
        <v>14</v>
      </c>
      <c r="F1105" s="387">
        <v>80</v>
      </c>
      <c r="G1105" s="148">
        <f>F1105*E1105</f>
        <v>1120</v>
      </c>
    </row>
    <row r="1106" spans="1:7" s="152" customFormat="1" ht="11.4">
      <c r="A1106" s="189"/>
      <c r="B1106" s="222"/>
      <c r="C1106" s="389"/>
      <c r="D1106" s="344"/>
      <c r="E1106" s="390"/>
      <c r="F1106" s="391"/>
      <c r="G1106" s="391"/>
    </row>
    <row r="1107" spans="1:7" s="152" customFormat="1" ht="34.200000000000003">
      <c r="A1107" s="112" t="s">
        <v>1600</v>
      </c>
      <c r="B1107" s="225"/>
      <c r="C1107" s="389" t="s">
        <v>1601</v>
      </c>
      <c r="D1107" s="209"/>
      <c r="E1107" s="392"/>
      <c r="F1107" s="205"/>
      <c r="G1107" s="205"/>
    </row>
    <row r="1108" spans="1:7" s="152" customFormat="1" ht="11.4">
      <c r="A1108" s="355"/>
      <c r="B1108" s="393"/>
      <c r="C1108" s="389" t="s">
        <v>1602</v>
      </c>
      <c r="D1108" s="209" t="s">
        <v>345</v>
      </c>
      <c r="E1108" s="245">
        <v>12</v>
      </c>
      <c r="F1108" s="387">
        <v>100</v>
      </c>
      <c r="G1108" s="148">
        <f>F1108*E1108</f>
        <v>1200</v>
      </c>
    </row>
    <row r="1109" spans="1:7" s="152" customFormat="1" ht="11.4">
      <c r="A1109" s="388"/>
      <c r="B1109" s="103"/>
      <c r="C1109" s="389"/>
      <c r="D1109" s="380"/>
      <c r="E1109" s="398"/>
      <c r="F1109" s="399"/>
      <c r="G1109" s="400"/>
    </row>
    <row r="1110" spans="1:7" s="152" customFormat="1" ht="102.6">
      <c r="A1110" s="112" t="s">
        <v>1603</v>
      </c>
      <c r="B1110" s="394"/>
      <c r="C1110" s="389" t="s">
        <v>1604</v>
      </c>
      <c r="D1110" s="209"/>
      <c r="E1110" s="395"/>
      <c r="F1110" s="205"/>
      <c r="G1110" s="205"/>
    </row>
    <row r="1111" spans="1:7" s="189" customFormat="1" ht="11.4">
      <c r="A1111" s="355"/>
      <c r="B1111" s="397"/>
      <c r="C1111" s="389" t="s">
        <v>1605</v>
      </c>
      <c r="D1111" s="209" t="s">
        <v>345</v>
      </c>
      <c r="E1111" s="245">
        <v>21</v>
      </c>
      <c r="F1111" s="387">
        <v>50</v>
      </c>
      <c r="G1111" s="148">
        <f>F1111*E1111</f>
        <v>1050</v>
      </c>
    </row>
    <row r="1112" spans="1:7" s="189" customFormat="1" ht="11.4">
      <c r="A1112" s="355"/>
      <c r="B1112" s="397"/>
      <c r="C1112" s="389"/>
      <c r="D1112" s="209"/>
      <c r="E1112" s="245"/>
      <c r="F1112" s="387"/>
      <c r="G1112" s="387"/>
    </row>
    <row r="1113" spans="1:7" s="189" customFormat="1" ht="57">
      <c r="A1113" s="112" t="s">
        <v>1606</v>
      </c>
      <c r="B1113" s="394"/>
      <c r="C1113" s="389" t="s">
        <v>1607</v>
      </c>
      <c r="D1113" s="209"/>
      <c r="E1113" s="395"/>
      <c r="F1113" s="207"/>
      <c r="G1113" s="207"/>
    </row>
    <row r="1114" spans="1:7" s="189" customFormat="1" ht="11.4">
      <c r="A1114" s="230"/>
      <c r="B1114" s="397"/>
      <c r="C1114" s="389" t="s">
        <v>1608</v>
      </c>
      <c r="D1114" s="209" t="s">
        <v>345</v>
      </c>
      <c r="E1114" s="245">
        <v>6</v>
      </c>
      <c r="F1114" s="401">
        <v>250</v>
      </c>
      <c r="G1114" s="148">
        <f>F1114*E1114</f>
        <v>1500</v>
      </c>
    </row>
    <row r="1115" spans="1:7" s="152" customFormat="1" ht="11.4">
      <c r="A1115" s="243"/>
      <c r="B1115" s="222"/>
      <c r="C1115" s="389"/>
      <c r="D1115" s="344"/>
      <c r="E1115" s="390"/>
      <c r="F1115" s="214"/>
      <c r="G1115" s="214"/>
    </row>
    <row r="1116" spans="1:7" s="152" customFormat="1" ht="45.6">
      <c r="A1116" s="112" t="s">
        <v>1609</v>
      </c>
      <c r="B1116" s="222"/>
      <c r="C1116" s="389" t="s">
        <v>1610</v>
      </c>
      <c r="D1116" s="344"/>
      <c r="E1116" s="390"/>
      <c r="F1116" s="214"/>
      <c r="G1116" s="214"/>
    </row>
    <row r="1117" spans="1:7" s="189" customFormat="1" ht="11.4">
      <c r="A1117" s="248"/>
      <c r="B1117" s="222"/>
      <c r="C1117" s="389"/>
      <c r="D1117" s="261" t="s">
        <v>766</v>
      </c>
      <c r="E1117" s="402">
        <v>1</v>
      </c>
      <c r="F1117" s="401">
        <v>50</v>
      </c>
      <c r="G1117" s="148">
        <f>F1117*E1117</f>
        <v>50</v>
      </c>
    </row>
    <row r="1118" spans="1:7" s="334" customFormat="1" ht="11.4">
      <c r="A1118" s="243"/>
      <c r="B1118" s="222"/>
      <c r="C1118" s="389"/>
      <c r="D1118" s="344"/>
      <c r="E1118" s="390"/>
      <c r="F1118" s="214"/>
      <c r="G1118" s="214"/>
    </row>
    <row r="1119" spans="1:7" s="334" customFormat="1" ht="68.400000000000006">
      <c r="A1119" s="112" t="s">
        <v>1611</v>
      </c>
      <c r="B1119" s="230"/>
      <c r="C1119" s="403" t="s">
        <v>1612</v>
      </c>
      <c r="D1119" s="209"/>
      <c r="E1119" s="392"/>
      <c r="F1119" s="207"/>
      <c r="G1119" s="207"/>
    </row>
    <row r="1120" spans="1:7" s="111" customFormat="1" ht="11.4">
      <c r="A1120" s="224"/>
      <c r="B1120" s="194"/>
      <c r="C1120" s="389"/>
      <c r="D1120" s="261" t="s">
        <v>766</v>
      </c>
      <c r="E1120" s="402">
        <v>1</v>
      </c>
      <c r="F1120" s="401">
        <v>100</v>
      </c>
      <c r="G1120" s="148">
        <f>F1120*E1120</f>
        <v>100</v>
      </c>
    </row>
    <row r="1122" spans="1:7" s="189" customFormat="1" ht="45.6">
      <c r="A1122" s="112" t="s">
        <v>1613</v>
      </c>
      <c r="B1122" s="362"/>
      <c r="C1122" s="127" t="s">
        <v>1614</v>
      </c>
      <c r="D1122" s="344"/>
      <c r="E1122" s="345"/>
      <c r="F1122" s="345"/>
      <c r="G1122" s="360"/>
    </row>
    <row r="1123" spans="1:7" s="233" customFormat="1" ht="12">
      <c r="A1123" s="369"/>
      <c r="B1123" s="346"/>
      <c r="C1123" s="347"/>
      <c r="D1123" s="344" t="s">
        <v>780</v>
      </c>
      <c r="E1123" s="345">
        <v>1</v>
      </c>
      <c r="F1123" s="401">
        <v>200</v>
      </c>
      <c r="G1123" s="148">
        <f>F1123*E1123</f>
        <v>200</v>
      </c>
    </row>
    <row r="1124" spans="1:7" s="233" customFormat="1" ht="11.4">
      <c r="A1124" s="112"/>
      <c r="B1124" s="111"/>
      <c r="C1124" s="141"/>
      <c r="D1124" s="102"/>
      <c r="E1124" s="216"/>
      <c r="F1124" s="134"/>
      <c r="G1124" s="145"/>
    </row>
    <row r="1125" spans="1:7" s="233" customFormat="1" ht="11.4">
      <c r="A1125" s="112" t="s">
        <v>1615</v>
      </c>
      <c r="B1125" s="111"/>
      <c r="C1125" s="118" t="s">
        <v>1160</v>
      </c>
      <c r="D1125" s="102" t="s">
        <v>766</v>
      </c>
      <c r="E1125" s="345">
        <v>1</v>
      </c>
      <c r="F1125" s="134">
        <v>500</v>
      </c>
      <c r="G1125" s="148">
        <f>F1125*E1125</f>
        <v>500</v>
      </c>
    </row>
    <row r="1126" spans="1:7" s="233" customFormat="1" ht="18.75" customHeight="1">
      <c r="A1126" s="243"/>
      <c r="B1126" s="222"/>
      <c r="C1126" s="389"/>
      <c r="D1126" s="344"/>
      <c r="E1126" s="390"/>
      <c r="F1126" s="214"/>
      <c r="G1126" s="214"/>
    </row>
    <row r="1127" spans="1:7" s="120" customFormat="1" ht="22.8">
      <c r="A1127" s="112" t="s">
        <v>1616</v>
      </c>
      <c r="B1127" s="230"/>
      <c r="C1127" s="389" t="s">
        <v>1617</v>
      </c>
      <c r="D1127" s="209"/>
      <c r="E1127" s="245"/>
      <c r="F1127" s="207"/>
      <c r="G1127" s="207"/>
    </row>
    <row r="1128" spans="1:7" s="333" customFormat="1" ht="11.4">
      <c r="A1128" s="404"/>
      <c r="B1128" s="230"/>
      <c r="C1128" s="389" t="s">
        <v>1070</v>
      </c>
      <c r="D1128" s="209" t="s">
        <v>1071</v>
      </c>
      <c r="E1128" s="245">
        <v>30</v>
      </c>
      <c r="F1128" s="401">
        <v>30</v>
      </c>
      <c r="G1128" s="148">
        <f>F1128*E1128</f>
        <v>900</v>
      </c>
    </row>
    <row r="1129" spans="1:7" s="120" customFormat="1" ht="11.4">
      <c r="A1129" s="404"/>
      <c r="B1129" s="230"/>
      <c r="C1129" s="389" t="s">
        <v>1072</v>
      </c>
      <c r="D1129" s="209" t="s">
        <v>1071</v>
      </c>
      <c r="E1129" s="245">
        <v>30</v>
      </c>
      <c r="F1129" s="401">
        <v>40</v>
      </c>
      <c r="G1129" s="148">
        <f>F1129*E1129</f>
        <v>1200</v>
      </c>
    </row>
    <row r="1130" spans="1:7" s="120" customFormat="1" ht="18.75" customHeight="1">
      <c r="A1130" s="404"/>
      <c r="B1130" s="230"/>
      <c r="C1130" s="389"/>
      <c r="D1130" s="209"/>
      <c r="E1130" s="245"/>
      <c r="F1130" s="207"/>
      <c r="G1130" s="207"/>
    </row>
    <row r="1131" spans="1:7" s="120" customFormat="1" ht="57">
      <c r="A1131" s="112" t="s">
        <v>1618</v>
      </c>
      <c r="B1131" s="362"/>
      <c r="C1131" s="356" t="s">
        <v>1619</v>
      </c>
      <c r="D1131" s="344"/>
      <c r="E1131" s="245"/>
      <c r="F1131" s="207"/>
      <c r="G1131" s="207"/>
    </row>
    <row r="1132" spans="1:7" s="233" customFormat="1" ht="34.200000000000003">
      <c r="A1132" s="405"/>
      <c r="B1132" s="346"/>
      <c r="C1132" s="356" t="s">
        <v>1620</v>
      </c>
      <c r="D1132" s="344"/>
      <c r="E1132" s="345"/>
      <c r="F1132" s="333"/>
      <c r="G1132" s="333"/>
    </row>
    <row r="1133" spans="1:7" s="189" customFormat="1" ht="68.400000000000006">
      <c r="A1133" s="362"/>
      <c r="B1133" s="362"/>
      <c r="C1133" s="375" t="s">
        <v>1541</v>
      </c>
      <c r="D1133" s="344" t="s">
        <v>780</v>
      </c>
      <c r="E1133" s="245">
        <v>1</v>
      </c>
      <c r="F1133" s="401">
        <v>200</v>
      </c>
      <c r="G1133" s="148">
        <f>F1133*E1133</f>
        <v>200</v>
      </c>
    </row>
    <row r="1138" spans="1:7" ht="22.5" customHeight="1">
      <c r="A1138" s="112"/>
      <c r="B1138" s="111"/>
      <c r="C1138" s="163" t="s">
        <v>1621</v>
      </c>
      <c r="D1138" s="302"/>
      <c r="E1138" s="303"/>
      <c r="F1138" s="166"/>
      <c r="G1138" s="167">
        <f>SUM(G1051:G1137)</f>
        <v>25480</v>
      </c>
    </row>
    <row r="1139" spans="1:7" s="152" customFormat="1" ht="31.5" customHeight="1">
      <c r="A1139" s="112"/>
      <c r="B1139" s="103"/>
      <c r="C1139" s="118"/>
      <c r="D1139" s="105"/>
      <c r="E1139" s="215"/>
      <c r="F1139" s="148"/>
      <c r="G1139" s="148"/>
    </row>
    <row r="1140" spans="1:7" s="152" customFormat="1" ht="27" customHeight="1">
      <c r="A1140" s="112"/>
      <c r="B1140" s="103"/>
      <c r="C1140" s="775" t="s">
        <v>1622</v>
      </c>
      <c r="D1140" s="775"/>
      <c r="E1140" s="775"/>
      <c r="F1140" s="173"/>
      <c r="G1140" s="171"/>
    </row>
    <row r="1141" spans="1:7" s="120" customFormat="1" ht="35.25" customHeight="1">
      <c r="A1141" s="112"/>
      <c r="B1141" s="103"/>
      <c r="C1141" s="118"/>
      <c r="D1141" s="105"/>
      <c r="E1141" s="215"/>
      <c r="F1141" s="134"/>
      <c r="G1141" s="105"/>
    </row>
    <row r="1142" spans="1:7" s="152" customFormat="1" ht="72" customHeight="1">
      <c r="A1142" s="112" t="s">
        <v>1623</v>
      </c>
      <c r="B1142" s="225"/>
      <c r="C1142" s="389" t="s">
        <v>1624</v>
      </c>
      <c r="D1142" s="186"/>
      <c r="E1142" s="406"/>
      <c r="F1142" s="205"/>
      <c r="G1142" s="205"/>
    </row>
    <row r="1143" spans="1:7" s="152" customFormat="1" ht="11.4">
      <c r="A1143" s="396"/>
      <c r="B1143" s="393"/>
      <c r="C1143" s="389" t="s">
        <v>1625</v>
      </c>
      <c r="D1143" s="186" t="s">
        <v>766</v>
      </c>
      <c r="E1143" s="407">
        <v>1</v>
      </c>
      <c r="F1143" s="387">
        <v>2500</v>
      </c>
      <c r="G1143" s="148">
        <f>F1143*E1143</f>
        <v>2500</v>
      </c>
    </row>
    <row r="1144" spans="1:7" s="120" customFormat="1" ht="14.25" customHeight="1">
      <c r="A1144" s="369"/>
      <c r="C1144" s="182"/>
      <c r="D1144" s="261"/>
      <c r="E1144" s="296"/>
    </row>
    <row r="1145" spans="1:7" s="152" customFormat="1" ht="57">
      <c r="A1145" s="112" t="s">
        <v>1626</v>
      </c>
      <c r="B1145" s="225"/>
      <c r="C1145" s="389" t="s">
        <v>1627</v>
      </c>
      <c r="D1145" s="186"/>
      <c r="E1145" s="406"/>
      <c r="F1145" s="205"/>
      <c r="G1145" s="205"/>
    </row>
    <row r="1146" spans="1:7" s="152" customFormat="1" ht="11.4">
      <c r="A1146" s="396"/>
      <c r="B1146" s="393"/>
      <c r="C1146" s="389" t="s">
        <v>1628</v>
      </c>
      <c r="D1146" s="186" t="s">
        <v>766</v>
      </c>
      <c r="E1146" s="407">
        <v>1</v>
      </c>
      <c r="F1146" s="387">
        <v>1500</v>
      </c>
      <c r="G1146" s="148">
        <f>F1146*E1146</f>
        <v>1500</v>
      </c>
    </row>
    <row r="1147" spans="1:7" s="152" customFormat="1" ht="14.25" customHeight="1">
      <c r="A1147" s="369"/>
      <c r="B1147" s="120"/>
      <c r="C1147" s="182"/>
      <c r="D1147" s="261"/>
      <c r="E1147" s="296"/>
      <c r="F1147" s="120"/>
      <c r="G1147" s="120"/>
    </row>
    <row r="1148" spans="1:7" s="189" customFormat="1" ht="68.400000000000006">
      <c r="A1148" s="112" t="s">
        <v>1629</v>
      </c>
      <c r="B1148" s="225"/>
      <c r="C1148" s="389" t="s">
        <v>1630</v>
      </c>
      <c r="D1148" s="186"/>
      <c r="E1148" s="406"/>
      <c r="F1148" s="205"/>
      <c r="G1148" s="205"/>
    </row>
    <row r="1149" spans="1:7" s="120" customFormat="1" ht="11.4">
      <c r="A1149" s="355"/>
      <c r="B1149" s="393"/>
      <c r="C1149" s="389" t="s">
        <v>1575</v>
      </c>
      <c r="D1149" s="186" t="s">
        <v>316</v>
      </c>
      <c r="E1149" s="407">
        <v>8</v>
      </c>
      <c r="F1149" s="387">
        <v>20</v>
      </c>
      <c r="G1149" s="148">
        <f>F1149*E1149</f>
        <v>160</v>
      </c>
    </row>
    <row r="1150" spans="1:7" s="152" customFormat="1" ht="11.4">
      <c r="A1150" s="355"/>
      <c r="B1150" s="393"/>
      <c r="C1150" s="389" t="s">
        <v>1631</v>
      </c>
      <c r="D1150" s="186" t="s">
        <v>316</v>
      </c>
      <c r="E1150" s="407">
        <v>12</v>
      </c>
      <c r="F1150" s="387">
        <v>25</v>
      </c>
      <c r="G1150" s="148">
        <f>F1150*E1150</f>
        <v>300</v>
      </c>
    </row>
    <row r="1151" spans="1:7" s="152" customFormat="1" ht="45.6">
      <c r="A1151" s="388"/>
      <c r="B1151" s="222"/>
      <c r="C1151" s="389" t="s">
        <v>1632</v>
      </c>
      <c r="D1151" s="408"/>
      <c r="E1151" s="409"/>
      <c r="F1151" s="391"/>
      <c r="G1151" s="391"/>
    </row>
    <row r="1153" spans="1:7" s="152" customFormat="1" ht="68.400000000000006">
      <c r="A1153" s="112" t="s">
        <v>1633</v>
      </c>
      <c r="B1153" s="225"/>
      <c r="C1153" s="389" t="s">
        <v>1634</v>
      </c>
      <c r="D1153" s="186"/>
      <c r="E1153" s="406"/>
      <c r="F1153" s="207"/>
      <c r="G1153" s="207"/>
    </row>
    <row r="1154" spans="1:7" s="152" customFormat="1" ht="68.400000000000006">
      <c r="B1154" s="393"/>
      <c r="C1154" s="389" t="s">
        <v>1635</v>
      </c>
      <c r="D1154" s="209" t="s">
        <v>766</v>
      </c>
      <c r="E1154" s="245">
        <v>1</v>
      </c>
      <c r="F1154" s="387">
        <v>2000</v>
      </c>
      <c r="G1154" s="148">
        <f>F1154*E1154</f>
        <v>2000</v>
      </c>
    </row>
    <row r="1155" spans="1:7" s="120" customFormat="1" ht="14.25" customHeight="1">
      <c r="A1155" s="369"/>
      <c r="C1155" s="182"/>
      <c r="D1155" s="261"/>
      <c r="E1155" s="296"/>
    </row>
    <row r="1156" spans="1:7" s="120" customFormat="1" ht="72" customHeight="1">
      <c r="A1156" s="112" t="s">
        <v>1636</v>
      </c>
      <c r="B1156" s="225"/>
      <c r="C1156" s="389" t="s">
        <v>1637</v>
      </c>
      <c r="D1156" s="209"/>
      <c r="E1156" s="392"/>
      <c r="F1156" s="207"/>
      <c r="G1156" s="207"/>
    </row>
    <row r="1157" spans="1:7" s="152" customFormat="1" ht="68.400000000000006">
      <c r="B1157" s="393"/>
      <c r="C1157" s="389" t="s">
        <v>1638</v>
      </c>
      <c r="D1157" s="209" t="s">
        <v>766</v>
      </c>
      <c r="E1157" s="245">
        <v>1</v>
      </c>
      <c r="F1157" s="387">
        <v>2000</v>
      </c>
      <c r="G1157" s="148">
        <f>F1157*E1157</f>
        <v>2000</v>
      </c>
    </row>
    <row r="1158" spans="1:7" s="152" customFormat="1" ht="14.25" customHeight="1">
      <c r="A1158" s="369"/>
      <c r="B1158" s="120"/>
      <c r="C1158" s="182"/>
      <c r="D1158" s="261"/>
      <c r="E1158" s="296"/>
      <c r="F1158" s="120"/>
      <c r="G1158" s="120"/>
    </row>
    <row r="1159" spans="1:7" s="152" customFormat="1" ht="14.25" customHeight="1">
      <c r="A1159" s="369"/>
      <c r="B1159" s="120"/>
      <c r="C1159" s="182"/>
      <c r="D1159" s="261"/>
      <c r="E1159" s="296"/>
      <c r="F1159" s="120"/>
      <c r="G1159" s="120"/>
    </row>
    <row r="1160" spans="1:7" s="152" customFormat="1" ht="68.400000000000006">
      <c r="A1160" s="112" t="s">
        <v>1639</v>
      </c>
      <c r="B1160" s="225"/>
      <c r="C1160" s="389" t="s">
        <v>1640</v>
      </c>
      <c r="D1160" s="209"/>
      <c r="E1160" s="392"/>
      <c r="F1160" s="207"/>
      <c r="G1160" s="207"/>
    </row>
    <row r="1161" spans="1:7" s="189" customFormat="1" ht="68.400000000000006">
      <c r="A1161" s="152"/>
      <c r="B1161" s="393"/>
      <c r="C1161" s="389" t="s">
        <v>1638</v>
      </c>
      <c r="D1161" s="209" t="s">
        <v>766</v>
      </c>
      <c r="E1161" s="245">
        <v>1</v>
      </c>
      <c r="F1161" s="387">
        <v>2000</v>
      </c>
      <c r="G1161" s="148">
        <f>F1161*E1161</f>
        <v>2000</v>
      </c>
    </row>
    <row r="1162" spans="1:7" s="120" customFormat="1" ht="11.4">
      <c r="A1162" s="152"/>
      <c r="B1162" s="393"/>
      <c r="C1162" s="389"/>
      <c r="D1162" s="209"/>
      <c r="E1162" s="245"/>
      <c r="F1162" s="387"/>
      <c r="G1162" s="387"/>
    </row>
    <row r="1163" spans="1:7" s="152" customFormat="1" ht="116.25" customHeight="1">
      <c r="A1163" s="112" t="s">
        <v>1641</v>
      </c>
      <c r="B1163" s="397"/>
      <c r="C1163" s="389" t="s">
        <v>1642</v>
      </c>
      <c r="D1163" s="209"/>
      <c r="E1163" s="392"/>
      <c r="F1163" s="205"/>
      <c r="G1163" s="205"/>
    </row>
    <row r="1164" spans="1:7" s="189" customFormat="1" ht="11.4">
      <c r="A1164" s="388"/>
      <c r="B1164" s="222"/>
      <c r="C1164" s="389" t="s">
        <v>1643</v>
      </c>
      <c r="D1164" s="344" t="s">
        <v>345</v>
      </c>
      <c r="E1164" s="390">
        <v>1</v>
      </c>
      <c r="F1164" s="387">
        <v>50</v>
      </c>
      <c r="G1164" s="148">
        <f>F1164*E1164</f>
        <v>50</v>
      </c>
    </row>
    <row r="1165" spans="1:7" s="120" customFormat="1" ht="19.5" customHeight="1">
      <c r="A1165" s="369"/>
      <c r="C1165" s="182"/>
      <c r="D1165" s="261"/>
      <c r="E1165" s="296"/>
    </row>
    <row r="1166" spans="1:7" s="189" customFormat="1" ht="114">
      <c r="A1166" s="112" t="s">
        <v>1644</v>
      </c>
      <c r="B1166" s="397"/>
      <c r="C1166" s="389" t="s">
        <v>1642</v>
      </c>
      <c r="D1166" s="209"/>
      <c r="E1166" s="392"/>
      <c r="F1166" s="205"/>
      <c r="G1166" s="205"/>
    </row>
    <row r="1167" spans="1:7" s="120" customFormat="1" ht="11.4">
      <c r="A1167" s="388"/>
      <c r="B1167" s="222"/>
      <c r="C1167" s="389" t="s">
        <v>1645</v>
      </c>
      <c r="D1167" s="344" t="s">
        <v>345</v>
      </c>
      <c r="E1167" s="390">
        <v>1</v>
      </c>
      <c r="F1167" s="387">
        <v>50</v>
      </c>
      <c r="G1167" s="148">
        <f>F1167*E1167</f>
        <v>50</v>
      </c>
    </row>
    <row r="1169" spans="1:7" s="120" customFormat="1" ht="45.6">
      <c r="A1169" s="112" t="s">
        <v>1646</v>
      </c>
      <c r="B1169" s="222"/>
      <c r="C1169" s="389" t="s">
        <v>1610</v>
      </c>
      <c r="D1169" s="261" t="s">
        <v>766</v>
      </c>
      <c r="E1169" s="402">
        <v>1</v>
      </c>
      <c r="F1169" s="391">
        <v>30</v>
      </c>
      <c r="G1169" s="148">
        <f>F1169*E1169</f>
        <v>30</v>
      </c>
    </row>
    <row r="1170" spans="1:7" s="334" customFormat="1" ht="14.25" customHeight="1">
      <c r="A1170" s="369"/>
      <c r="B1170" s="120"/>
      <c r="C1170" s="182"/>
      <c r="D1170" s="261"/>
      <c r="E1170" s="296"/>
      <c r="F1170" s="120"/>
      <c r="G1170" s="120"/>
    </row>
    <row r="1171" spans="1:7" s="120" customFormat="1" ht="68.400000000000006">
      <c r="A1171" s="116" t="s">
        <v>1647</v>
      </c>
      <c r="B1171" s="410"/>
      <c r="C1171" s="411" t="s">
        <v>1612</v>
      </c>
      <c r="D1171" s="412" t="s">
        <v>310</v>
      </c>
      <c r="E1171" s="413">
        <v>50</v>
      </c>
      <c r="F1171" s="414">
        <v>5</v>
      </c>
      <c r="G1171" s="173">
        <f>F1171*E1171</f>
        <v>250</v>
      </c>
    </row>
    <row r="1172" spans="1:7" s="120" customFormat="1" ht="14.25" customHeight="1">
      <c r="A1172" s="369"/>
      <c r="C1172" s="182"/>
      <c r="D1172" s="261"/>
      <c r="E1172" s="296"/>
    </row>
    <row r="1173" spans="1:7" s="120" customFormat="1" ht="45.6">
      <c r="A1173" s="112" t="s">
        <v>1648</v>
      </c>
      <c r="B1173" s="362"/>
      <c r="C1173" s="127" t="s">
        <v>1614</v>
      </c>
      <c r="D1173" s="344" t="s">
        <v>780</v>
      </c>
      <c r="E1173" s="345">
        <v>1</v>
      </c>
      <c r="F1173" s="415">
        <v>200</v>
      </c>
      <c r="G1173" s="148">
        <f>F1173*E1173</f>
        <v>200</v>
      </c>
    </row>
    <row r="1174" spans="1:7" s="333" customFormat="1" ht="14.25" customHeight="1">
      <c r="A1174" s="369"/>
      <c r="B1174" s="120"/>
      <c r="C1174" s="182"/>
      <c r="D1174" s="261"/>
      <c r="E1174" s="296"/>
      <c r="F1174" s="120"/>
      <c r="G1174" s="120"/>
    </row>
    <row r="1175" spans="1:7" s="120" customFormat="1" ht="34.200000000000003">
      <c r="A1175" s="112" t="s">
        <v>1649</v>
      </c>
      <c r="B1175" s="362"/>
      <c r="C1175" s="367" t="s">
        <v>1650</v>
      </c>
      <c r="D1175" s="344"/>
      <c r="E1175" s="245"/>
      <c r="F1175" s="205"/>
      <c r="G1175" s="205"/>
    </row>
    <row r="1176" spans="1:7" s="120" customFormat="1" ht="22.8">
      <c r="A1176" s="369"/>
      <c r="B1176" s="362"/>
      <c r="C1176" s="356" t="s">
        <v>1651</v>
      </c>
      <c r="D1176" s="344"/>
      <c r="E1176" s="245"/>
      <c r="F1176" s="205"/>
      <c r="G1176" s="205"/>
    </row>
    <row r="1177" spans="1:7" s="111" customFormat="1" ht="34.200000000000003">
      <c r="A1177" s="404"/>
      <c r="B1177" s="346"/>
      <c r="C1177" s="356" t="s">
        <v>1620</v>
      </c>
      <c r="D1177" s="344"/>
      <c r="E1177" s="345"/>
      <c r="F1177" s="333"/>
      <c r="G1177" s="333"/>
    </row>
    <row r="1178" spans="1:7" s="111" customFormat="1" ht="75" customHeight="1">
      <c r="A1178" s="112"/>
      <c r="B1178" s="362"/>
      <c r="C1178" s="375" t="s">
        <v>1541</v>
      </c>
      <c r="D1178" s="344" t="s">
        <v>780</v>
      </c>
      <c r="E1178" s="245">
        <v>1</v>
      </c>
      <c r="F1178" s="401">
        <v>200</v>
      </c>
      <c r="G1178" s="148">
        <f>F1178*E1178</f>
        <v>200</v>
      </c>
    </row>
    <row r="1179" spans="1:7" s="174" customFormat="1" ht="14.25" customHeight="1">
      <c r="A1179" s="369"/>
      <c r="B1179" s="120"/>
      <c r="C1179" s="182"/>
      <c r="D1179" s="261"/>
      <c r="E1179" s="296"/>
      <c r="F1179" s="120"/>
      <c r="G1179" s="120"/>
    </row>
    <row r="1180" spans="1:7" s="174" customFormat="1" ht="11.4">
      <c r="A1180" s="112"/>
      <c r="B1180" s="111"/>
      <c r="C1180" s="141"/>
      <c r="D1180" s="105"/>
      <c r="E1180" s="114"/>
      <c r="F1180" s="134"/>
      <c r="G1180" s="145"/>
    </row>
    <row r="1181" spans="1:7" s="174" customFormat="1" ht="30" customHeight="1">
      <c r="A1181" s="112"/>
      <c r="B1181" s="111"/>
      <c r="C1181" s="163" t="s">
        <v>1652</v>
      </c>
      <c r="D1181" s="164"/>
      <c r="E1181" s="303"/>
      <c r="F1181" s="166"/>
      <c r="G1181" s="167">
        <f>SUM(G1142:G1180)</f>
        <v>11240</v>
      </c>
    </row>
    <row r="1182" spans="1:7" s="174" customFormat="1" ht="49.5" customHeight="1">
      <c r="A1182" s="102"/>
      <c r="B1182" s="103"/>
      <c r="C1182" s="118"/>
      <c r="D1182" s="105"/>
      <c r="E1182" s="114"/>
      <c r="F1182" s="115"/>
      <c r="G1182" s="102"/>
    </row>
    <row r="1183" spans="1:7" s="111" customFormat="1" ht="22.5" customHeight="1">
      <c r="A1183" s="103"/>
      <c r="B1183" s="103"/>
      <c r="C1183" s="178"/>
      <c r="D1183" s="105"/>
      <c r="E1183" s="106"/>
      <c r="F1183" s="103"/>
      <c r="G1183" s="103"/>
    </row>
    <row r="1184" spans="1:7" s="379" customFormat="1" ht="12" customHeight="1">
      <c r="A1184" s="102"/>
      <c r="B1184" s="103"/>
      <c r="C1184" s="776" t="s">
        <v>1653</v>
      </c>
      <c r="D1184" s="776"/>
      <c r="E1184" s="776"/>
      <c r="F1184" s="776"/>
      <c r="G1184" s="102"/>
    </row>
    <row r="1186" spans="1:7" s="379" customFormat="1" ht="36.75" customHeight="1">
      <c r="A1186" s="417"/>
      <c r="C1186" s="279" t="s">
        <v>1654</v>
      </c>
      <c r="D1186" s="111"/>
      <c r="E1186" s="114"/>
      <c r="F1186" s="134"/>
      <c r="G1186" s="418"/>
    </row>
    <row r="1187" spans="1:7" s="379" customFormat="1" ht="27" customHeight="1">
      <c r="A1187" s="105" t="s">
        <v>1655</v>
      </c>
      <c r="B1187" s="111"/>
      <c r="C1187" s="419" t="s">
        <v>1656</v>
      </c>
      <c r="D1187" s="111"/>
      <c r="E1187" s="114"/>
      <c r="F1187" s="134"/>
      <c r="G1187" s="420">
        <f>G75</f>
        <v>3408</v>
      </c>
    </row>
    <row r="1188" spans="1:7" s="111" customFormat="1" ht="27" customHeight="1">
      <c r="A1188" s="105" t="s">
        <v>1657</v>
      </c>
      <c r="C1188" s="419" t="s">
        <v>1658</v>
      </c>
      <c r="E1188" s="114"/>
      <c r="F1188" s="134"/>
      <c r="G1188" s="420">
        <f>G105</f>
        <v>5434</v>
      </c>
    </row>
    <row r="1189" spans="1:7" s="111" customFormat="1" ht="27" customHeight="1">
      <c r="A1189" s="105"/>
      <c r="C1189" s="419"/>
      <c r="E1189" s="114"/>
      <c r="F1189" s="134"/>
      <c r="G1189" s="420"/>
    </row>
    <row r="1190" spans="1:7" s="111" customFormat="1" ht="27" customHeight="1">
      <c r="A1190" s="417" t="s">
        <v>1659</v>
      </c>
      <c r="B1190" s="379"/>
      <c r="C1190" s="279" t="s">
        <v>1660</v>
      </c>
      <c r="E1190" s="114"/>
      <c r="F1190" s="134"/>
      <c r="G1190" s="420">
        <f>G210</f>
        <v>30447</v>
      </c>
    </row>
    <row r="1191" spans="1:7" s="111" customFormat="1" ht="25.5" customHeight="1">
      <c r="A1191" s="105"/>
      <c r="C1191" s="141"/>
      <c r="E1191" s="106"/>
      <c r="G1191" s="421"/>
    </row>
    <row r="1192" spans="1:7" s="111" customFormat="1" ht="24">
      <c r="A1192" s="417" t="s">
        <v>1661</v>
      </c>
      <c r="C1192" s="279" t="s">
        <v>1662</v>
      </c>
      <c r="D1192" s="422"/>
      <c r="E1192" s="416"/>
      <c r="F1192" s="422"/>
      <c r="G1192" s="423">
        <f>G472</f>
        <v>39185</v>
      </c>
    </row>
    <row r="1193" spans="1:7" s="111" customFormat="1" ht="25.5" customHeight="1">
      <c r="A1193" s="105"/>
      <c r="C1193" s="279"/>
      <c r="D1193" s="422"/>
      <c r="E1193" s="416"/>
      <c r="F1193" s="422"/>
      <c r="G1193" s="420"/>
    </row>
    <row r="1194" spans="1:7" s="111" customFormat="1" ht="24">
      <c r="A1194" s="417" t="s">
        <v>1663</v>
      </c>
      <c r="C1194" s="279" t="s">
        <v>1664</v>
      </c>
      <c r="D1194" s="422"/>
      <c r="E1194" s="416"/>
      <c r="F1194" s="422"/>
      <c r="G1194" s="420">
        <f>G559</f>
        <v>74774</v>
      </c>
    </row>
    <row r="1195" spans="1:7" s="111" customFormat="1" ht="25.5" customHeight="1">
      <c r="A1195" s="105"/>
      <c r="C1195" s="141"/>
      <c r="E1195" s="106"/>
      <c r="G1195" s="421"/>
    </row>
    <row r="1196" spans="1:7" s="111" customFormat="1" ht="24">
      <c r="A1196" s="417" t="s">
        <v>1665</v>
      </c>
      <c r="C1196" s="279" t="s">
        <v>1666</v>
      </c>
      <c r="D1196" s="422"/>
      <c r="E1196" s="416"/>
      <c r="F1196" s="422"/>
      <c r="G1196" s="423">
        <f>G627</f>
        <v>19904</v>
      </c>
    </row>
    <row r="1197" spans="1:7" s="111" customFormat="1" ht="25.5" customHeight="1">
      <c r="A1197" s="105"/>
      <c r="C1197" s="279"/>
      <c r="D1197" s="422"/>
      <c r="E1197" s="416"/>
      <c r="F1197" s="422"/>
      <c r="G1197" s="420"/>
    </row>
    <row r="1198" spans="1:7" s="111" customFormat="1" ht="24">
      <c r="A1198" s="417" t="s">
        <v>1667</v>
      </c>
      <c r="C1198" s="279" t="s">
        <v>1668</v>
      </c>
      <c r="D1198" s="422"/>
      <c r="E1198" s="416"/>
      <c r="F1198" s="422"/>
      <c r="G1198" s="420">
        <f>G757</f>
        <v>14349</v>
      </c>
    </row>
    <row r="1199" spans="1:7" s="111" customFormat="1" ht="25.5" customHeight="1">
      <c r="A1199" s="105"/>
      <c r="C1199" s="279"/>
      <c r="D1199" s="422"/>
      <c r="E1199" s="416"/>
      <c r="F1199" s="422"/>
      <c r="G1199" s="420"/>
    </row>
    <row r="1200" spans="1:7" s="111" customFormat="1" ht="24">
      <c r="A1200" s="417" t="s">
        <v>1669</v>
      </c>
      <c r="C1200" s="279" t="s">
        <v>1670</v>
      </c>
      <c r="D1200" s="422"/>
      <c r="E1200" s="416"/>
      <c r="F1200" s="422"/>
      <c r="G1200" s="420">
        <f>G1047</f>
        <v>154170</v>
      </c>
    </row>
    <row r="1202" spans="1:7" ht="36">
      <c r="A1202" s="417" t="s">
        <v>1671</v>
      </c>
      <c r="B1202" s="111"/>
      <c r="C1202" s="279" t="s">
        <v>1672</v>
      </c>
      <c r="D1202" s="422"/>
      <c r="E1202" s="416"/>
      <c r="F1202" s="422"/>
      <c r="G1202" s="420">
        <f>G1138</f>
        <v>25480</v>
      </c>
    </row>
    <row r="1203" spans="1:7" ht="25.5" customHeight="1">
      <c r="A1203" s="105"/>
      <c r="B1203" s="111"/>
      <c r="C1203" s="279"/>
      <c r="D1203" s="422"/>
      <c r="E1203" s="416"/>
      <c r="F1203" s="422"/>
      <c r="G1203" s="420"/>
    </row>
    <row r="1204" spans="1:7" s="111" customFormat="1" ht="24">
      <c r="A1204" s="417" t="s">
        <v>1673</v>
      </c>
      <c r="C1204" s="279" t="s">
        <v>1674</v>
      </c>
      <c r="D1204" s="422"/>
      <c r="E1204" s="416"/>
      <c r="F1204" s="422"/>
      <c r="G1204" s="420">
        <f>G1181</f>
        <v>11240</v>
      </c>
    </row>
    <row r="1205" spans="1:7" s="111" customFormat="1" ht="37.5" customHeight="1">
      <c r="A1205" s="112"/>
      <c r="B1205" s="103"/>
      <c r="C1205" s="118"/>
      <c r="D1205" s="103"/>
      <c r="E1205" s="424"/>
      <c r="F1205" s="425"/>
      <c r="G1205" s="426"/>
    </row>
    <row r="1206" spans="1:7" s="111" customFormat="1" ht="12">
      <c r="A1206" s="112"/>
      <c r="B1206" s="103"/>
      <c r="C1206" s="118"/>
      <c r="D1206" s="103"/>
      <c r="E1206" s="424"/>
      <c r="F1206" s="425"/>
      <c r="G1206" s="427"/>
    </row>
    <row r="1207" spans="1:7" s="111" customFormat="1" ht="21" customHeight="1">
      <c r="A1207" s="105"/>
      <c r="C1207" s="777" t="s">
        <v>1675</v>
      </c>
      <c r="D1207" s="777"/>
      <c r="E1207" s="777"/>
      <c r="F1207" s="428"/>
      <c r="G1207" s="429">
        <f>SUM(G1187:G1206)</f>
        <v>378391</v>
      </c>
    </row>
    <row r="1208" spans="1:7" s="111" customFormat="1" ht="12">
      <c r="A1208" s="105"/>
      <c r="C1208" s="141"/>
      <c r="E1208" s="416"/>
      <c r="F1208" s="422"/>
      <c r="G1208" s="423"/>
    </row>
    <row r="1209" spans="1:7">
      <c r="A1209" s="105"/>
      <c r="B1209" s="111"/>
      <c r="C1209" s="141"/>
      <c r="D1209" s="422" t="s">
        <v>1676</v>
      </c>
      <c r="E1209" s="416"/>
      <c r="F1209" s="430"/>
      <c r="G1209" s="420">
        <f>0.25*G1207</f>
        <v>94597.75</v>
      </c>
    </row>
    <row r="1210" spans="1:7">
      <c r="A1210" s="105"/>
      <c r="B1210" s="111"/>
      <c r="C1210" s="141"/>
      <c r="D1210" s="111"/>
      <c r="F1210" s="431"/>
      <c r="G1210" s="432"/>
    </row>
    <row r="1211" spans="1:7" ht="12" customHeight="1">
      <c r="A1211" s="105"/>
      <c r="B1211" s="111"/>
      <c r="C1211" s="777" t="s">
        <v>1677</v>
      </c>
      <c r="D1211" s="777"/>
      <c r="E1211" s="777"/>
      <c r="F1211" s="428"/>
      <c r="G1211" s="433">
        <f>G1209+G1207</f>
        <v>472988.75</v>
      </c>
    </row>
  </sheetData>
  <mergeCells count="39">
    <mergeCell ref="C1140:E1140"/>
    <mergeCell ref="C1184:F1184"/>
    <mergeCell ref="C1207:E1207"/>
    <mergeCell ref="C1211:E1211"/>
    <mergeCell ref="C107:G107"/>
    <mergeCell ref="C213:E213"/>
    <mergeCell ref="C474:E474"/>
    <mergeCell ref="C759:G759"/>
    <mergeCell ref="C1049:G1049"/>
    <mergeCell ref="C25:G25"/>
    <mergeCell ref="C26:G26"/>
    <mergeCell ref="C27:G27"/>
    <mergeCell ref="F28:G28"/>
    <mergeCell ref="E30:G30"/>
    <mergeCell ref="B19:C19"/>
    <mergeCell ref="D19:G19"/>
    <mergeCell ref="C22:G22"/>
    <mergeCell ref="C23:G23"/>
    <mergeCell ref="C24:G24"/>
    <mergeCell ref="B15:C15"/>
    <mergeCell ref="D15:G15"/>
    <mergeCell ref="B16:C16"/>
    <mergeCell ref="D16:G16"/>
    <mergeCell ref="B17:C18"/>
    <mergeCell ref="D17:G17"/>
    <mergeCell ref="D18:G18"/>
    <mergeCell ref="B11:C11"/>
    <mergeCell ref="D11:G11"/>
    <mergeCell ref="B12:C14"/>
    <mergeCell ref="D12:G12"/>
    <mergeCell ref="D13:G13"/>
    <mergeCell ref="D14:G14"/>
    <mergeCell ref="C5:G5"/>
    <mergeCell ref="B6:E6"/>
    <mergeCell ref="B7:C10"/>
    <mergeCell ref="D7:G7"/>
    <mergeCell ref="D8:G8"/>
    <mergeCell ref="D9:G9"/>
    <mergeCell ref="D10:G10"/>
  </mergeCells>
  <pageMargins left="0.78749999999999998" right="0.78749999999999998" top="0.78749999999999998" bottom="0.78749999999999998" header="0.511811023622047" footer="0.511811023622047"/>
  <pageSetup paperSize="9" scale="94"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982"/>
  <sheetViews>
    <sheetView topLeftCell="A953" zoomScaleNormal="100" workbookViewId="0">
      <selection activeCell="F959" sqref="F959"/>
    </sheetView>
  </sheetViews>
  <sheetFormatPr defaultColWidth="9.109375" defaultRowHeight="13.8"/>
  <cols>
    <col min="1" max="1" width="6" style="434" customWidth="1"/>
    <col min="2" max="2" width="37.109375" style="435" customWidth="1"/>
    <col min="3" max="3" width="30.6640625" style="436" customWidth="1"/>
    <col min="4" max="4" width="8.6640625" style="436" customWidth="1"/>
    <col min="5" max="5" width="11.6640625" style="437" customWidth="1"/>
    <col min="6" max="6" width="13.33203125" style="437" customWidth="1"/>
    <col min="7" max="7" width="21.33203125" style="438" customWidth="1"/>
    <col min="8" max="8" width="9.109375" style="438"/>
    <col min="9" max="9" width="9.109375" style="439"/>
    <col min="10" max="1024" width="9.109375" style="438"/>
  </cols>
  <sheetData>
    <row r="1" spans="1:7" s="446" customFormat="1" ht="13.5" customHeight="1">
      <c r="A1" s="440"/>
      <c r="B1" s="441"/>
      <c r="C1" s="442"/>
      <c r="D1" s="443"/>
      <c r="E1" s="444" t="s">
        <v>1678</v>
      </c>
      <c r="F1" s="445" t="s">
        <v>1679</v>
      </c>
    </row>
    <row r="2" spans="1:7" s="448" customFormat="1" ht="26.25" customHeight="1">
      <c r="A2" s="447"/>
      <c r="B2" s="441" t="s">
        <v>1680</v>
      </c>
      <c r="C2" s="778" t="s">
        <v>5</v>
      </c>
      <c r="D2" s="778"/>
      <c r="E2" s="778"/>
      <c r="F2" s="778"/>
    </row>
    <row r="3" spans="1:7" s="446" customFormat="1" ht="13.5" customHeight="1">
      <c r="A3" s="440"/>
      <c r="B3" s="441" t="s">
        <v>710</v>
      </c>
      <c r="C3" s="442" t="s">
        <v>1681</v>
      </c>
      <c r="D3" s="443"/>
      <c r="E3" s="444"/>
      <c r="F3" s="445"/>
    </row>
    <row r="4" spans="1:7" s="446" customFormat="1" ht="13.5" customHeight="1">
      <c r="A4" s="440"/>
      <c r="B4" s="449"/>
      <c r="C4" s="442" t="s">
        <v>1682</v>
      </c>
      <c r="D4" s="450"/>
      <c r="E4" s="451"/>
      <c r="F4" s="451"/>
    </row>
    <row r="5" spans="1:7" s="446" customFormat="1" ht="13.5" customHeight="1">
      <c r="A5" s="440"/>
      <c r="B5" s="441" t="s">
        <v>1683</v>
      </c>
      <c r="C5" s="442" t="s">
        <v>1684</v>
      </c>
      <c r="D5" s="443"/>
      <c r="E5" s="444" t="s">
        <v>1685</v>
      </c>
      <c r="F5" s="445" t="s">
        <v>1686</v>
      </c>
    </row>
    <row r="6" spans="1:7" s="446" customFormat="1" ht="13.5" customHeight="1">
      <c r="A6" s="452"/>
      <c r="B6" s="453"/>
      <c r="C6" s="443"/>
      <c r="D6" s="443"/>
      <c r="E6" s="454"/>
      <c r="F6" s="444"/>
    </row>
    <row r="7" spans="1:7" ht="15" customHeight="1">
      <c r="A7" s="455"/>
      <c r="C7" s="456"/>
      <c r="D7" s="457"/>
      <c r="E7" s="458"/>
      <c r="F7" s="458"/>
    </row>
    <row r="8" spans="1:7" s="465" customFormat="1" ht="19.5" customHeight="1">
      <c r="A8" s="459" t="s">
        <v>1687</v>
      </c>
      <c r="B8" s="460" t="s">
        <v>219</v>
      </c>
      <c r="C8" s="461" t="s">
        <v>1688</v>
      </c>
      <c r="D8" s="462" t="s">
        <v>1689</v>
      </c>
      <c r="E8" s="463" t="s">
        <v>1690</v>
      </c>
      <c r="F8" s="463" t="s">
        <v>1691</v>
      </c>
      <c r="G8" s="464" t="s">
        <v>1692</v>
      </c>
    </row>
    <row r="9" spans="1:7" ht="12" customHeight="1">
      <c r="B9" s="466"/>
      <c r="C9" s="467"/>
      <c r="E9" s="451"/>
      <c r="F9" s="451"/>
    </row>
    <row r="10" spans="1:7" ht="12" customHeight="1">
      <c r="B10" s="468"/>
      <c r="C10" s="467"/>
      <c r="E10" s="451"/>
      <c r="F10" s="451"/>
    </row>
    <row r="11" spans="1:7" s="472" customFormat="1" ht="19.5" customHeight="1">
      <c r="A11" s="469" t="s">
        <v>1693</v>
      </c>
      <c r="B11" s="470" t="s">
        <v>1694</v>
      </c>
      <c r="C11" s="436"/>
      <c r="D11" s="436"/>
      <c r="E11" s="471"/>
      <c r="F11" s="471"/>
    </row>
    <row r="12" spans="1:7" s="472" customFormat="1" ht="15" customHeight="1">
      <c r="A12" s="440"/>
      <c r="B12" s="474"/>
      <c r="C12" s="436"/>
      <c r="D12" s="436"/>
      <c r="E12" s="475"/>
      <c r="F12" s="471"/>
      <c r="G12" s="476"/>
    </row>
    <row r="13" spans="1:7" s="480" customFormat="1" ht="345">
      <c r="A13" s="477"/>
      <c r="B13" s="478" t="s">
        <v>1695</v>
      </c>
      <c r="C13" s="457"/>
      <c r="D13" s="457"/>
      <c r="E13" s="458"/>
      <c r="F13" s="479"/>
      <c r="G13" s="476"/>
    </row>
    <row r="14" spans="1:7" s="480" customFormat="1" ht="27.6">
      <c r="A14" s="477"/>
      <c r="B14" s="478" t="s">
        <v>1696</v>
      </c>
      <c r="C14" s="457"/>
      <c r="D14" s="457"/>
      <c r="E14" s="458"/>
      <c r="F14" s="479"/>
      <c r="G14" s="476"/>
    </row>
    <row r="15" spans="1:7" s="480" customFormat="1" ht="27.6">
      <c r="A15" s="477"/>
      <c r="B15" s="478" t="s">
        <v>1697</v>
      </c>
      <c r="C15" s="457"/>
      <c r="D15" s="457"/>
      <c r="E15" s="458"/>
      <c r="F15" s="479"/>
      <c r="G15" s="476"/>
    </row>
    <row r="16" spans="1:7">
      <c r="A16" s="455"/>
      <c r="F16" s="481"/>
    </row>
    <row r="17" spans="1:7" ht="12" customHeight="1">
      <c r="A17" s="469" t="s">
        <v>1698</v>
      </c>
      <c r="B17" s="470" t="s">
        <v>1699</v>
      </c>
      <c r="E17" s="471"/>
      <c r="F17" s="471"/>
    </row>
    <row r="18" spans="1:7">
      <c r="A18" s="455"/>
      <c r="F18" s="481"/>
    </row>
    <row r="19" spans="1:7">
      <c r="A19" s="455" t="s">
        <v>1700</v>
      </c>
      <c r="B19" s="482" t="s">
        <v>1701</v>
      </c>
      <c r="F19" s="481"/>
    </row>
    <row r="20" spans="1:7" ht="331.2">
      <c r="A20" s="455"/>
      <c r="B20" s="435" t="s">
        <v>1702</v>
      </c>
      <c r="C20" s="436" t="s">
        <v>345</v>
      </c>
      <c r="D20" s="436">
        <v>1</v>
      </c>
      <c r="E20" s="437">
        <v>1000</v>
      </c>
      <c r="F20" s="481">
        <f>D20*E20</f>
        <v>1000</v>
      </c>
    </row>
    <row r="21" spans="1:7">
      <c r="A21" s="455"/>
      <c r="F21" s="481"/>
    </row>
    <row r="22" spans="1:7">
      <c r="A22" s="455"/>
      <c r="F22" s="481"/>
    </row>
    <row r="23" spans="1:7">
      <c r="A23" s="452" t="s">
        <v>1698</v>
      </c>
      <c r="B23" s="483" t="str">
        <f>B17</f>
        <v>PRIPREMNI RADOVI</v>
      </c>
      <c r="C23" s="462" t="s">
        <v>1703</v>
      </c>
      <c r="E23" s="451"/>
      <c r="F23" s="471">
        <f>SUM(F19:F22)</f>
        <v>1000</v>
      </c>
    </row>
    <row r="24" spans="1:7">
      <c r="A24" s="455"/>
      <c r="F24" s="481"/>
    </row>
    <row r="25" spans="1:7">
      <c r="A25" s="455"/>
      <c r="F25" s="481"/>
    </row>
    <row r="26" spans="1:7" ht="12" customHeight="1">
      <c r="A26" s="469" t="s">
        <v>1704</v>
      </c>
      <c r="B26" s="470" t="s">
        <v>1705</v>
      </c>
      <c r="E26" s="471"/>
      <c r="F26" s="471"/>
    </row>
    <row r="27" spans="1:7">
      <c r="A27" s="455"/>
      <c r="F27" s="481"/>
    </row>
    <row r="28" spans="1:7" s="480" customFormat="1" ht="179.4">
      <c r="A28" s="477"/>
      <c r="B28" s="478" t="s">
        <v>1706</v>
      </c>
      <c r="C28" s="457"/>
      <c r="D28" s="457"/>
      <c r="E28" s="458"/>
      <c r="F28" s="479"/>
      <c r="G28" s="476"/>
    </row>
    <row r="29" spans="1:7" s="480" customFormat="1" ht="82.8">
      <c r="A29" s="477"/>
      <c r="B29" s="478" t="s">
        <v>1707</v>
      </c>
      <c r="C29" s="457"/>
      <c r="D29" s="457"/>
      <c r="E29" s="458"/>
      <c r="F29" s="479"/>
      <c r="G29" s="476"/>
    </row>
    <row r="30" spans="1:7" s="480" customFormat="1" ht="27.6">
      <c r="A30" s="477"/>
      <c r="B30" s="478" t="s">
        <v>1708</v>
      </c>
      <c r="C30" s="457"/>
      <c r="D30" s="457"/>
      <c r="E30" s="458"/>
      <c r="F30" s="479"/>
      <c r="G30" s="476"/>
    </row>
    <row r="31" spans="1:7">
      <c r="A31" s="455"/>
      <c r="F31" s="481"/>
    </row>
    <row r="32" spans="1:7" ht="12" customHeight="1">
      <c r="A32" s="484" t="s">
        <v>1709</v>
      </c>
      <c r="B32" s="485" t="s">
        <v>1710</v>
      </c>
      <c r="C32" s="486"/>
      <c r="D32" s="486"/>
      <c r="E32" s="487"/>
      <c r="F32" s="487"/>
    </row>
    <row r="33" spans="1:7">
      <c r="A33" s="455"/>
      <c r="B33" s="488"/>
      <c r="C33" s="489"/>
      <c r="D33" s="489"/>
      <c r="E33" s="490"/>
      <c r="F33" s="490"/>
    </row>
    <row r="34" spans="1:7">
      <c r="A34" s="491" t="s">
        <v>1711</v>
      </c>
      <c r="B34" s="492" t="s">
        <v>1712</v>
      </c>
      <c r="C34" s="493"/>
      <c r="D34" s="493"/>
      <c r="E34" s="494"/>
      <c r="F34" s="494"/>
      <c r="G34" s="495"/>
    </row>
    <row r="35" spans="1:7" ht="138">
      <c r="A35" s="491"/>
      <c r="B35" s="497" t="s">
        <v>1713</v>
      </c>
      <c r="C35" s="498"/>
      <c r="D35" s="499"/>
      <c r="E35" s="500"/>
      <c r="F35" s="501"/>
      <c r="G35" s="495"/>
    </row>
    <row r="36" spans="1:7">
      <c r="A36" s="491"/>
      <c r="B36" s="492" t="s">
        <v>1714</v>
      </c>
      <c r="C36" s="498"/>
      <c r="D36" s="499"/>
      <c r="E36" s="500"/>
      <c r="F36" s="501"/>
      <c r="G36" s="495"/>
    </row>
    <row r="37" spans="1:7">
      <c r="A37" s="491"/>
      <c r="B37" s="492" t="s">
        <v>1715</v>
      </c>
      <c r="C37" s="502"/>
      <c r="D37" s="503"/>
      <c r="E37" s="500"/>
      <c r="F37" s="501"/>
      <c r="G37" s="495"/>
    </row>
    <row r="38" spans="1:7">
      <c r="A38" s="491"/>
      <c r="B38" s="492" t="s">
        <v>1716</v>
      </c>
      <c r="C38" s="502"/>
      <c r="D38" s="503"/>
      <c r="E38" s="500"/>
      <c r="F38" s="501"/>
      <c r="G38" s="495"/>
    </row>
    <row r="39" spans="1:7" ht="27.6">
      <c r="A39" s="491"/>
      <c r="B39" s="492" t="s">
        <v>1717</v>
      </c>
      <c r="C39" s="502"/>
      <c r="D39" s="503"/>
      <c r="E39" s="500"/>
      <c r="F39" s="501"/>
      <c r="G39" s="495"/>
    </row>
    <row r="40" spans="1:7">
      <c r="A40" s="491"/>
      <c r="B40" s="492" t="s">
        <v>1718</v>
      </c>
      <c r="C40" s="502"/>
      <c r="D40" s="503"/>
      <c r="E40" s="500"/>
      <c r="F40" s="501"/>
      <c r="G40" s="495"/>
    </row>
    <row r="41" spans="1:7">
      <c r="A41" s="491"/>
      <c r="B41" s="492" t="s">
        <v>1719</v>
      </c>
      <c r="C41" s="502"/>
      <c r="D41" s="503"/>
      <c r="E41" s="500"/>
      <c r="F41" s="501"/>
      <c r="G41" s="495"/>
    </row>
    <row r="42" spans="1:7" ht="27.6">
      <c r="A42" s="491"/>
      <c r="B42" s="492" t="s">
        <v>1720</v>
      </c>
      <c r="C42" s="502"/>
      <c r="D42" s="503"/>
      <c r="E42" s="500"/>
      <c r="F42" s="501"/>
      <c r="G42" s="495"/>
    </row>
    <row r="43" spans="1:7" ht="27.6">
      <c r="A43" s="491"/>
      <c r="B43" s="492" t="s">
        <v>1721</v>
      </c>
      <c r="C43" s="502"/>
      <c r="D43" s="503"/>
      <c r="E43" s="500"/>
      <c r="F43" s="501"/>
      <c r="G43" s="495"/>
    </row>
    <row r="44" spans="1:7">
      <c r="A44" s="491"/>
      <c r="B44" s="492" t="s">
        <v>1722</v>
      </c>
      <c r="C44" s="502"/>
      <c r="D44" s="503"/>
      <c r="E44" s="500"/>
      <c r="F44" s="501"/>
      <c r="G44" s="495"/>
    </row>
    <row r="45" spans="1:7">
      <c r="A45" s="491"/>
      <c r="B45" s="492" t="s">
        <v>1723</v>
      </c>
      <c r="C45" s="502"/>
      <c r="D45" s="503"/>
      <c r="E45" s="500"/>
      <c r="F45" s="501"/>
      <c r="G45" s="495"/>
    </row>
    <row r="46" spans="1:7" ht="27.6">
      <c r="A46" s="491"/>
      <c r="B46" s="492" t="s">
        <v>1724</v>
      </c>
      <c r="C46" s="502"/>
      <c r="D46" s="503"/>
      <c r="E46" s="500"/>
      <c r="F46" s="501"/>
      <c r="G46" s="495"/>
    </row>
    <row r="47" spans="1:7" ht="27.6">
      <c r="A47" s="491"/>
      <c r="B47" s="492" t="s">
        <v>1725</v>
      </c>
      <c r="C47" s="502"/>
      <c r="D47" s="503"/>
      <c r="E47" s="500"/>
      <c r="F47" s="501"/>
      <c r="G47" s="495"/>
    </row>
    <row r="48" spans="1:7" ht="27.6">
      <c r="A48" s="491"/>
      <c r="B48" s="492" t="s">
        <v>1726</v>
      </c>
      <c r="C48" s="502"/>
      <c r="D48" s="503"/>
      <c r="E48" s="500"/>
      <c r="F48" s="501"/>
      <c r="G48" s="495"/>
    </row>
    <row r="49" spans="1:7" ht="27.6">
      <c r="A49" s="491"/>
      <c r="B49" s="492" t="s">
        <v>1727</v>
      </c>
      <c r="C49" s="502"/>
      <c r="D49" s="503"/>
      <c r="E49" s="500"/>
      <c r="F49" s="501"/>
      <c r="G49" s="495"/>
    </row>
    <row r="50" spans="1:7">
      <c r="A50" s="491"/>
      <c r="B50" s="492" t="s">
        <v>1728</v>
      </c>
      <c r="C50" s="502"/>
      <c r="D50" s="503"/>
      <c r="E50" s="500"/>
      <c r="F50" s="501"/>
      <c r="G50" s="495"/>
    </row>
    <row r="51" spans="1:7" ht="27.6">
      <c r="A51" s="491"/>
      <c r="B51" s="492" t="s">
        <v>1729</v>
      </c>
      <c r="C51" s="502"/>
      <c r="D51" s="503"/>
      <c r="E51" s="500"/>
      <c r="F51" s="501"/>
      <c r="G51" s="495"/>
    </row>
    <row r="52" spans="1:7" ht="27.6">
      <c r="A52" s="491"/>
      <c r="B52" s="492" t="s">
        <v>1730</v>
      </c>
      <c r="C52" s="502"/>
      <c r="D52" s="503"/>
      <c r="E52" s="500"/>
      <c r="F52" s="501"/>
      <c r="G52" s="495"/>
    </row>
    <row r="53" spans="1:7">
      <c r="A53" s="491"/>
      <c r="B53" s="492" t="s">
        <v>1731</v>
      </c>
      <c r="C53" s="502"/>
      <c r="D53" s="503"/>
      <c r="E53" s="500"/>
      <c r="F53" s="501"/>
      <c r="G53" s="495"/>
    </row>
    <row r="54" spans="1:7" ht="27.6">
      <c r="A54" s="491"/>
      <c r="B54" s="504" t="s">
        <v>1732</v>
      </c>
      <c r="C54" s="505"/>
      <c r="D54" s="503"/>
      <c r="E54" s="500"/>
      <c r="F54" s="501"/>
      <c r="G54" s="506"/>
    </row>
    <row r="55" spans="1:7" ht="27.6">
      <c r="A55" s="491"/>
      <c r="B55" s="492" t="s">
        <v>1733</v>
      </c>
      <c r="C55" s="505"/>
      <c r="D55" s="503"/>
      <c r="E55" s="500"/>
      <c r="F55" s="501"/>
      <c r="G55" s="507"/>
    </row>
    <row r="56" spans="1:7" ht="27.6">
      <c r="A56" s="491"/>
      <c r="B56" s="492" t="s">
        <v>1734</v>
      </c>
      <c r="C56" s="505"/>
      <c r="D56" s="503"/>
      <c r="E56" s="500"/>
      <c r="F56" s="501"/>
      <c r="G56" s="506"/>
    </row>
    <row r="57" spans="1:7" ht="41.4">
      <c r="A57" s="491"/>
      <c r="B57" s="492" t="s">
        <v>1735</v>
      </c>
      <c r="C57" s="505"/>
      <c r="D57" s="503"/>
      <c r="E57" s="500"/>
      <c r="F57" s="501"/>
      <c r="G57" s="506"/>
    </row>
    <row r="58" spans="1:7" ht="27.6">
      <c r="A58" s="491"/>
      <c r="B58" s="492" t="s">
        <v>1736</v>
      </c>
      <c r="C58" s="505"/>
      <c r="D58" s="503"/>
      <c r="E58" s="500"/>
      <c r="F58" s="501"/>
      <c r="G58" s="506"/>
    </row>
    <row r="59" spans="1:7">
      <c r="A59" s="491"/>
      <c r="B59" s="492" t="s">
        <v>1737</v>
      </c>
      <c r="C59" s="505"/>
      <c r="D59" s="84"/>
      <c r="E59" s="502"/>
      <c r="F59" s="508"/>
      <c r="G59" s="509"/>
    </row>
    <row r="60" spans="1:7" ht="69">
      <c r="A60" s="491"/>
      <c r="B60" s="492" t="s">
        <v>1738</v>
      </c>
      <c r="C60" s="505"/>
      <c r="D60" s="503"/>
      <c r="E60" s="500"/>
      <c r="F60" s="501"/>
      <c r="G60" s="507"/>
    </row>
    <row r="61" spans="1:7">
      <c r="A61" s="491"/>
      <c r="B61" s="492" t="s">
        <v>1739</v>
      </c>
      <c r="C61" s="505"/>
      <c r="D61" s="503"/>
      <c r="E61" s="502"/>
      <c r="F61" s="508"/>
      <c r="G61" s="507"/>
    </row>
    <row r="62" spans="1:7">
      <c r="A62" s="491"/>
      <c r="B62" s="492" t="s">
        <v>1740</v>
      </c>
      <c r="C62" s="505"/>
      <c r="D62" s="503"/>
      <c r="E62" s="502"/>
      <c r="F62" s="508"/>
      <c r="G62" s="507"/>
    </row>
    <row r="63" spans="1:7">
      <c r="A63" s="491"/>
      <c r="B63" s="492" t="s">
        <v>1741</v>
      </c>
      <c r="C63" s="505"/>
      <c r="D63" s="503"/>
      <c r="E63" s="502"/>
      <c r="F63" s="508"/>
      <c r="G63" s="506"/>
    </row>
    <row r="64" spans="1:7" ht="41.4">
      <c r="A64" s="491"/>
      <c r="B64" s="492" t="s">
        <v>1742</v>
      </c>
      <c r="C64" s="507"/>
      <c r="D64" s="503"/>
      <c r="E64" s="500"/>
      <c r="F64" s="501"/>
      <c r="G64" s="495"/>
    </row>
    <row r="65" spans="1:7" ht="27.6">
      <c r="A65" s="491"/>
      <c r="B65" s="492" t="s">
        <v>1743</v>
      </c>
      <c r="C65" s="502"/>
      <c r="D65" s="503"/>
      <c r="E65" s="500"/>
      <c r="F65" s="501"/>
      <c r="G65" s="495"/>
    </row>
    <row r="66" spans="1:7">
      <c r="A66" s="491"/>
      <c r="B66" s="492" t="s">
        <v>1744</v>
      </c>
      <c r="C66" s="502"/>
      <c r="D66" s="503"/>
      <c r="E66" s="500"/>
      <c r="F66" s="501"/>
      <c r="G66" s="495"/>
    </row>
    <row r="67" spans="1:7" ht="41.4">
      <c r="A67" s="491"/>
      <c r="B67" s="492" t="s">
        <v>1745</v>
      </c>
      <c r="C67" s="502"/>
      <c r="D67" s="503"/>
      <c r="E67" s="500"/>
      <c r="F67" s="501"/>
      <c r="G67" s="495"/>
    </row>
    <row r="68" spans="1:7" ht="41.4">
      <c r="A68" s="491"/>
      <c r="B68" s="492" t="s">
        <v>1746</v>
      </c>
      <c r="C68" s="502"/>
      <c r="D68" s="503"/>
      <c r="E68" s="500"/>
      <c r="F68" s="501"/>
      <c r="G68" s="495"/>
    </row>
    <row r="69" spans="1:7" ht="27.6">
      <c r="A69" s="491"/>
      <c r="B69" s="492" t="s">
        <v>1747</v>
      </c>
      <c r="C69" s="502"/>
      <c r="D69" s="503"/>
      <c r="E69" s="502"/>
      <c r="F69" s="508"/>
      <c r="G69" s="510"/>
    </row>
    <row r="70" spans="1:7" ht="27.6">
      <c r="A70" s="491"/>
      <c r="B70" s="492" t="s">
        <v>1748</v>
      </c>
      <c r="C70" s="502"/>
      <c r="D70" s="503"/>
      <c r="E70" s="502"/>
      <c r="F70" s="508"/>
      <c r="G70" s="495"/>
    </row>
    <row r="71" spans="1:7" ht="27.6">
      <c r="A71" s="491"/>
      <c r="B71" s="492" t="s">
        <v>1749</v>
      </c>
      <c r="C71" s="502"/>
      <c r="D71" s="503"/>
      <c r="E71" s="502"/>
      <c r="F71" s="508"/>
      <c r="G71" s="495"/>
    </row>
    <row r="72" spans="1:7" ht="27.6">
      <c r="A72" s="491"/>
      <c r="B72" s="492" t="s">
        <v>1750</v>
      </c>
      <c r="C72" s="502"/>
      <c r="D72" s="503"/>
      <c r="E72" s="502"/>
      <c r="F72" s="508"/>
      <c r="G72" s="495"/>
    </row>
    <row r="73" spans="1:7" ht="27.6">
      <c r="A73" s="491"/>
      <c r="B73" s="492" t="s">
        <v>1751</v>
      </c>
      <c r="C73" s="505"/>
      <c r="D73" s="503"/>
      <c r="E73" s="502"/>
      <c r="F73" s="508"/>
      <c r="G73" s="510"/>
    </row>
    <row r="74" spans="1:7" ht="82.8">
      <c r="A74" s="491"/>
      <c r="B74" s="492" t="s">
        <v>1752</v>
      </c>
      <c r="C74" s="502"/>
      <c r="D74" s="503"/>
      <c r="E74" s="502"/>
      <c r="F74" s="508"/>
      <c r="G74" s="495"/>
    </row>
    <row r="75" spans="1:7" ht="82.8">
      <c r="A75" s="491"/>
      <c r="B75" s="492" t="s">
        <v>1753</v>
      </c>
      <c r="C75" s="502"/>
      <c r="D75" s="503"/>
      <c r="E75" s="502"/>
      <c r="F75" s="508"/>
      <c r="G75" s="495"/>
    </row>
    <row r="76" spans="1:7" ht="82.8">
      <c r="A76" s="491"/>
      <c r="B76" s="492" t="s">
        <v>1754</v>
      </c>
      <c r="C76" s="502"/>
      <c r="D76" s="503"/>
      <c r="E76" s="502"/>
      <c r="F76" s="508"/>
      <c r="G76" s="495"/>
    </row>
    <row r="77" spans="1:7">
      <c r="A77" s="491"/>
      <c r="B77" s="492" t="s">
        <v>1755</v>
      </c>
      <c r="C77" s="502"/>
      <c r="D77" s="503"/>
      <c r="E77" s="502"/>
      <c r="F77" s="508"/>
      <c r="G77" s="495"/>
    </row>
    <row r="78" spans="1:7" ht="41.4">
      <c r="A78" s="491"/>
      <c r="B78" s="492" t="s">
        <v>1756</v>
      </c>
      <c r="C78" s="502"/>
      <c r="D78" s="503"/>
      <c r="E78" s="502"/>
      <c r="F78" s="508"/>
      <c r="G78" s="495"/>
    </row>
    <row r="79" spans="1:7" ht="41.4">
      <c r="A79" s="491"/>
      <c r="B79" s="492" t="s">
        <v>1757</v>
      </c>
      <c r="C79" s="502"/>
      <c r="D79" s="503"/>
      <c r="E79" s="502"/>
      <c r="F79" s="508"/>
      <c r="G79" s="495"/>
    </row>
    <row r="80" spans="1:7" ht="27.6">
      <c r="A80" s="491"/>
      <c r="B80" s="492" t="s">
        <v>1758</v>
      </c>
      <c r="C80" s="502"/>
      <c r="D80" s="503"/>
      <c r="E80" s="502"/>
      <c r="F80" s="508"/>
      <c r="G80" s="495"/>
    </row>
    <row r="81" spans="1:7" ht="27.6">
      <c r="A81" s="491"/>
      <c r="B81" s="492" t="s">
        <v>1759</v>
      </c>
      <c r="C81" s="502"/>
      <c r="D81" s="503"/>
      <c r="E81" s="502"/>
      <c r="F81" s="508"/>
      <c r="G81" s="495"/>
    </row>
    <row r="82" spans="1:7" ht="41.4">
      <c r="A82" s="491"/>
      <c r="B82" s="492" t="s">
        <v>1760</v>
      </c>
      <c r="C82" s="502"/>
      <c r="D82" s="503"/>
      <c r="E82" s="500"/>
      <c r="F82" s="501"/>
      <c r="G82" s="495"/>
    </row>
    <row r="83" spans="1:7" ht="41.4">
      <c r="A83" s="491"/>
      <c r="B83" s="492" t="s">
        <v>1761</v>
      </c>
      <c r="C83" s="502"/>
      <c r="D83" s="503"/>
      <c r="E83" s="500"/>
      <c r="F83" s="501"/>
      <c r="G83" s="495"/>
    </row>
    <row r="84" spans="1:7" ht="55.2">
      <c r="A84" s="491"/>
      <c r="B84" s="492" t="s">
        <v>1762</v>
      </c>
      <c r="C84" s="502"/>
      <c r="D84" s="503"/>
      <c r="E84" s="502"/>
      <c r="F84" s="508"/>
      <c r="G84" s="495"/>
    </row>
    <row r="85" spans="1:7" ht="55.2">
      <c r="A85" s="491"/>
      <c r="B85" s="492" t="s">
        <v>1763</v>
      </c>
      <c r="C85" s="502"/>
      <c r="D85" s="503"/>
      <c r="E85" s="502"/>
      <c r="F85" s="508"/>
      <c r="G85" s="495"/>
    </row>
    <row r="86" spans="1:7" ht="55.2">
      <c r="A86" s="491"/>
      <c r="B86" s="492" t="s">
        <v>1764</v>
      </c>
      <c r="C86" s="502"/>
      <c r="D86" s="503"/>
      <c r="E86" s="502"/>
      <c r="F86" s="508"/>
      <c r="G86" s="495"/>
    </row>
    <row r="87" spans="1:7" ht="55.2">
      <c r="A87" s="491"/>
      <c r="B87" s="492" t="s">
        <v>1765</v>
      </c>
      <c r="C87" s="502"/>
      <c r="D87" s="503"/>
      <c r="E87" s="502"/>
      <c r="F87" s="508"/>
      <c r="G87" s="495"/>
    </row>
    <row r="88" spans="1:7" ht="69">
      <c r="A88" s="491"/>
      <c r="B88" s="492" t="s">
        <v>1766</v>
      </c>
      <c r="C88" s="505"/>
      <c r="D88" s="503"/>
      <c r="E88" s="502"/>
      <c r="F88" s="508"/>
      <c r="G88" s="510"/>
    </row>
    <row r="89" spans="1:7" ht="55.2">
      <c r="A89" s="491"/>
      <c r="B89" s="492" t="s">
        <v>1767</v>
      </c>
      <c r="C89" s="502"/>
      <c r="D89" s="503"/>
      <c r="E89" s="502"/>
      <c r="F89" s="508"/>
      <c r="G89" s="495"/>
    </row>
    <row r="90" spans="1:7" ht="55.2">
      <c r="A90" s="491"/>
      <c r="B90" s="492" t="s">
        <v>1768</v>
      </c>
      <c r="C90" s="502"/>
      <c r="D90" s="503"/>
      <c r="E90" s="502"/>
      <c r="F90" s="508"/>
      <c r="G90" s="495"/>
    </row>
    <row r="91" spans="1:7" ht="55.2">
      <c r="A91" s="491"/>
      <c r="B91" s="492" t="s">
        <v>1769</v>
      </c>
      <c r="C91" s="502"/>
      <c r="D91" s="503"/>
      <c r="E91" s="502"/>
      <c r="F91" s="508"/>
      <c r="G91" s="495"/>
    </row>
    <row r="92" spans="1:7" ht="55.2">
      <c r="A92" s="491"/>
      <c r="B92" s="492" t="s">
        <v>1770</v>
      </c>
      <c r="C92" s="502"/>
      <c r="D92" s="503"/>
      <c r="E92" s="502"/>
      <c r="F92" s="508"/>
      <c r="G92" s="495"/>
    </row>
    <row r="93" spans="1:7" ht="42.75" customHeight="1">
      <c r="A93" s="491"/>
      <c r="B93" s="492" t="s">
        <v>1771</v>
      </c>
      <c r="C93" s="502"/>
      <c r="D93" s="503"/>
      <c r="E93" s="500"/>
      <c r="F93" s="501"/>
      <c r="G93" s="495"/>
    </row>
    <row r="94" spans="1:7" ht="30" customHeight="1">
      <c r="A94" s="491"/>
      <c r="B94" s="492" t="s">
        <v>1772</v>
      </c>
      <c r="C94" s="502"/>
      <c r="D94" s="503"/>
      <c r="E94" s="500"/>
      <c r="F94" s="501"/>
      <c r="G94" s="495"/>
    </row>
    <row r="95" spans="1:7" ht="55.2">
      <c r="A95" s="491"/>
      <c r="B95" s="492" t="s">
        <v>1773</v>
      </c>
      <c r="C95" s="502"/>
      <c r="D95" s="503"/>
      <c r="E95" s="500"/>
      <c r="F95" s="501"/>
      <c r="G95" s="495"/>
    </row>
    <row r="96" spans="1:7" ht="27.6">
      <c r="A96" s="491"/>
      <c r="B96" s="492" t="s">
        <v>1774</v>
      </c>
      <c r="C96" s="502"/>
      <c r="D96" s="503"/>
      <c r="E96" s="502"/>
      <c r="F96" s="508"/>
      <c r="G96" s="495"/>
    </row>
    <row r="97" spans="1:7" ht="27.6">
      <c r="A97" s="491"/>
      <c r="B97" s="492" t="s">
        <v>1775</v>
      </c>
      <c r="C97" s="505"/>
      <c r="D97" s="503"/>
      <c r="E97" s="502"/>
      <c r="F97" s="508"/>
      <c r="G97" s="510"/>
    </row>
    <row r="98" spans="1:7">
      <c r="A98" s="491"/>
      <c r="B98" s="492" t="s">
        <v>1776</v>
      </c>
      <c r="C98" s="502"/>
      <c r="D98" s="503"/>
      <c r="E98" s="502"/>
      <c r="F98" s="508"/>
      <c r="G98" s="495"/>
    </row>
    <row r="99" spans="1:7">
      <c r="A99" s="491"/>
      <c r="B99" s="492" t="s">
        <v>1777</v>
      </c>
      <c r="C99" s="502"/>
      <c r="D99" s="503"/>
      <c r="E99" s="502"/>
      <c r="F99" s="508"/>
      <c r="G99" s="495"/>
    </row>
    <row r="100" spans="1:7" ht="27.6">
      <c r="A100" s="491"/>
      <c r="B100" s="492" t="s">
        <v>1778</v>
      </c>
      <c r="C100" s="502"/>
      <c r="D100" s="503"/>
      <c r="E100" s="502"/>
      <c r="F100" s="508"/>
      <c r="G100" s="495"/>
    </row>
    <row r="101" spans="1:7">
      <c r="A101" s="491"/>
      <c r="B101" s="492" t="s">
        <v>1779</v>
      </c>
      <c r="C101" s="502"/>
      <c r="D101" s="503"/>
      <c r="E101" s="502"/>
      <c r="F101" s="508"/>
      <c r="G101" s="495"/>
    </row>
    <row r="102" spans="1:7">
      <c r="A102" s="491"/>
      <c r="B102" s="492" t="s">
        <v>1780</v>
      </c>
      <c r="C102" s="502"/>
      <c r="D102" s="503"/>
      <c r="E102" s="502"/>
      <c r="F102" s="508"/>
      <c r="G102" s="495"/>
    </row>
    <row r="103" spans="1:7" ht="41.4">
      <c r="A103" s="491"/>
      <c r="B103" s="492" t="s">
        <v>1781</v>
      </c>
      <c r="C103" s="84"/>
      <c r="D103" s="84"/>
      <c r="E103" s="500"/>
      <c r="F103" s="501"/>
      <c r="G103" s="495"/>
    </row>
    <row r="104" spans="1:7" ht="110.4">
      <c r="A104" s="491"/>
      <c r="B104" s="497" t="s">
        <v>1782</v>
      </c>
      <c r="C104" s="502"/>
      <c r="D104" s="503"/>
      <c r="E104" s="502"/>
      <c r="F104" s="502"/>
      <c r="G104" s="495"/>
    </row>
    <row r="105" spans="1:7" ht="41.4">
      <c r="A105" s="491"/>
      <c r="B105" s="492" t="s">
        <v>1783</v>
      </c>
      <c r="C105" s="502"/>
      <c r="D105" s="503"/>
      <c r="E105" s="502"/>
      <c r="F105" s="502"/>
      <c r="G105" s="495"/>
    </row>
    <row r="106" spans="1:7" ht="41.4">
      <c r="A106" s="491"/>
      <c r="B106" s="492" t="s">
        <v>1784</v>
      </c>
      <c r="C106" s="502"/>
      <c r="D106" s="503"/>
      <c r="E106" s="502"/>
      <c r="F106" s="502"/>
      <c r="G106" s="495"/>
    </row>
    <row r="107" spans="1:7" ht="41.4">
      <c r="A107" s="491"/>
      <c r="B107" s="492" t="s">
        <v>1785</v>
      </c>
      <c r="C107" s="502"/>
      <c r="D107" s="503"/>
      <c r="E107" s="502"/>
      <c r="F107" s="502"/>
      <c r="G107" s="495"/>
    </row>
    <row r="108" spans="1:7" ht="27.6">
      <c r="A108" s="491"/>
      <c r="B108" s="511" t="s">
        <v>1786</v>
      </c>
      <c r="C108" s="505" t="s">
        <v>780</v>
      </c>
      <c r="D108" s="505">
        <v>1</v>
      </c>
      <c r="E108" s="512">
        <v>10000</v>
      </c>
      <c r="F108" s="512">
        <f>D108*E108</f>
        <v>10000</v>
      </c>
      <c r="G108" s="495"/>
    </row>
    <row r="109" spans="1:7">
      <c r="A109" s="491"/>
      <c r="B109" s="497"/>
      <c r="C109" s="505"/>
      <c r="D109" s="505"/>
      <c r="E109" s="496"/>
      <c r="F109" s="494"/>
      <c r="G109" s="495"/>
    </row>
    <row r="110" spans="1:7">
      <c r="A110" s="491" t="s">
        <v>1787</v>
      </c>
      <c r="B110" s="492" t="s">
        <v>1788</v>
      </c>
      <c r="C110" s="493"/>
      <c r="D110" s="493"/>
      <c r="E110" s="494"/>
      <c r="F110" s="494"/>
      <c r="G110" s="495"/>
    </row>
    <row r="111" spans="1:7" ht="151.80000000000001">
      <c r="A111" s="491"/>
      <c r="B111" s="497" t="s">
        <v>1789</v>
      </c>
      <c r="C111" s="498"/>
      <c r="D111" s="499"/>
      <c r="E111" s="502"/>
      <c r="F111" s="508"/>
      <c r="G111" s="495"/>
    </row>
    <row r="112" spans="1:7">
      <c r="A112" s="491"/>
      <c r="B112" s="492" t="s">
        <v>1714</v>
      </c>
      <c r="C112" s="498"/>
      <c r="D112" s="499"/>
      <c r="E112" s="502"/>
      <c r="F112" s="508"/>
      <c r="G112" s="495"/>
    </row>
    <row r="113" spans="1:7" ht="27.6">
      <c r="A113" s="491"/>
      <c r="B113" s="492" t="s">
        <v>1790</v>
      </c>
      <c r="C113" s="502"/>
      <c r="D113" s="503"/>
      <c r="E113" s="502"/>
      <c r="F113" s="508"/>
      <c r="G113" s="495"/>
    </row>
    <row r="114" spans="1:7">
      <c r="A114" s="491"/>
      <c r="B114" s="497"/>
      <c r="C114" s="502"/>
      <c r="D114" s="503"/>
      <c r="E114" s="502"/>
      <c r="F114" s="508"/>
      <c r="G114" s="495"/>
    </row>
    <row r="115" spans="1:7">
      <c r="A115" s="491"/>
      <c r="B115" s="492" t="s">
        <v>1791</v>
      </c>
      <c r="C115" s="502"/>
      <c r="D115" s="503"/>
      <c r="E115" s="502"/>
      <c r="F115" s="508"/>
      <c r="G115" s="495"/>
    </row>
    <row r="116" spans="1:7">
      <c r="A116" s="491"/>
      <c r="B116" s="492" t="s">
        <v>1737</v>
      </c>
      <c r="C116" s="502"/>
      <c r="D116" s="503"/>
      <c r="E116" s="513"/>
      <c r="F116" s="156"/>
      <c r="G116" s="495"/>
    </row>
    <row r="117" spans="1:7" ht="27.6">
      <c r="A117" s="491"/>
      <c r="B117" s="492" t="s">
        <v>1792</v>
      </c>
      <c r="C117" s="502"/>
      <c r="D117" s="503"/>
      <c r="E117" s="502"/>
      <c r="F117" s="502"/>
      <c r="G117" s="495"/>
    </row>
    <row r="118" spans="1:7" ht="27.6">
      <c r="A118" s="491"/>
      <c r="B118" s="492" t="s">
        <v>1793</v>
      </c>
      <c r="C118" s="502"/>
      <c r="D118" s="503"/>
      <c r="E118" s="500"/>
      <c r="F118" s="501"/>
      <c r="G118" s="495"/>
    </row>
    <row r="119" spans="1:7" ht="18.75" customHeight="1">
      <c r="A119" s="491"/>
      <c r="B119" s="492" t="s">
        <v>1794</v>
      </c>
      <c r="C119" s="502"/>
      <c r="D119" s="503"/>
      <c r="E119" s="500"/>
      <c r="F119" s="501"/>
      <c r="G119" s="495"/>
    </row>
    <row r="120" spans="1:7" ht="41.4">
      <c r="A120" s="491"/>
      <c r="B120" s="492" t="s">
        <v>1795</v>
      </c>
      <c r="C120" s="502"/>
      <c r="D120" s="503"/>
      <c r="E120" s="513"/>
      <c r="F120" s="156"/>
      <c r="G120" s="495"/>
    </row>
    <row r="121" spans="1:7" ht="27.6">
      <c r="A121" s="491"/>
      <c r="B121" s="492" t="s">
        <v>1796</v>
      </c>
      <c r="C121" s="502"/>
      <c r="D121" s="503"/>
      <c r="E121" s="513"/>
      <c r="F121" s="156"/>
      <c r="G121" s="495"/>
    </row>
    <row r="122" spans="1:7">
      <c r="A122" s="491"/>
      <c r="B122" s="492" t="s">
        <v>1797</v>
      </c>
      <c r="C122" s="502"/>
      <c r="D122" s="503"/>
      <c r="E122" s="513"/>
      <c r="F122" s="156"/>
      <c r="G122" s="495"/>
    </row>
    <row r="123" spans="1:7" ht="27.6">
      <c r="A123" s="491"/>
      <c r="B123" s="492" t="s">
        <v>1798</v>
      </c>
      <c r="C123" s="502"/>
      <c r="D123" s="503"/>
      <c r="E123" s="513"/>
      <c r="F123" s="156"/>
      <c r="G123" s="495"/>
    </row>
    <row r="124" spans="1:7" ht="27.6">
      <c r="A124" s="491"/>
      <c r="B124" s="492" t="s">
        <v>1799</v>
      </c>
      <c r="C124" s="502"/>
      <c r="D124" s="503"/>
      <c r="E124" s="513"/>
      <c r="F124" s="156"/>
      <c r="G124" s="495"/>
    </row>
    <row r="125" spans="1:7">
      <c r="A125" s="491"/>
      <c r="B125" s="492" t="s">
        <v>1800</v>
      </c>
      <c r="C125" s="502"/>
      <c r="D125" s="503"/>
      <c r="E125" s="513"/>
      <c r="F125" s="156"/>
      <c r="G125" s="495"/>
    </row>
    <row r="126" spans="1:7" ht="27.6">
      <c r="A126" s="491"/>
      <c r="B126" s="492" t="s">
        <v>1801</v>
      </c>
      <c r="C126" s="502"/>
      <c r="D126" s="503"/>
      <c r="E126" s="513"/>
      <c r="F126" s="156"/>
      <c r="G126" s="514"/>
    </row>
    <row r="127" spans="1:7" ht="27.6">
      <c r="A127" s="491"/>
      <c r="B127" s="492" t="s">
        <v>1802</v>
      </c>
      <c r="C127" s="502"/>
      <c r="D127" s="503"/>
      <c r="E127" s="513"/>
      <c r="F127" s="156"/>
      <c r="G127" s="495"/>
    </row>
    <row r="128" spans="1:7">
      <c r="A128" s="491"/>
      <c r="B128" s="492" t="s">
        <v>1803</v>
      </c>
      <c r="C128" s="502"/>
      <c r="D128" s="503"/>
      <c r="E128" s="513"/>
      <c r="F128" s="156"/>
      <c r="G128" s="495"/>
    </row>
    <row r="129" spans="1:7">
      <c r="A129" s="491"/>
      <c r="B129" s="492" t="s">
        <v>1804</v>
      </c>
      <c r="C129" s="502"/>
      <c r="D129" s="503"/>
      <c r="E129" s="513"/>
      <c r="F129" s="156"/>
      <c r="G129" s="495"/>
    </row>
    <row r="130" spans="1:7">
      <c r="A130" s="491"/>
      <c r="B130" s="492" t="s">
        <v>1805</v>
      </c>
      <c r="C130" s="502"/>
      <c r="D130" s="503"/>
      <c r="E130" s="513"/>
      <c r="F130" s="156"/>
      <c r="G130" s="495"/>
    </row>
    <row r="131" spans="1:7" ht="41.4">
      <c r="A131" s="491"/>
      <c r="B131" s="492" t="s">
        <v>1781</v>
      </c>
      <c r="C131" s="502"/>
      <c r="D131" s="503"/>
      <c r="E131" s="502"/>
      <c r="F131" s="502"/>
      <c r="G131" s="495"/>
    </row>
    <row r="132" spans="1:7" ht="110.4">
      <c r="A132" s="491"/>
      <c r="B132" s="497" t="s">
        <v>1806</v>
      </c>
      <c r="C132" s="502"/>
      <c r="D132" s="503"/>
      <c r="E132" s="502"/>
      <c r="F132" s="502"/>
      <c r="G132" s="495"/>
    </row>
    <row r="133" spans="1:7" ht="27.6">
      <c r="A133" s="491"/>
      <c r="B133" s="492" t="s">
        <v>1807</v>
      </c>
      <c r="C133" s="502"/>
      <c r="D133" s="503"/>
      <c r="E133" s="502"/>
      <c r="F133" s="502"/>
      <c r="G133" s="495"/>
    </row>
    <row r="134" spans="1:7" ht="41.4">
      <c r="A134" s="491"/>
      <c r="B134" s="492" t="s">
        <v>1808</v>
      </c>
      <c r="C134" s="502"/>
      <c r="D134" s="503"/>
      <c r="E134" s="502"/>
      <c r="F134" s="502"/>
      <c r="G134" s="495"/>
    </row>
    <row r="135" spans="1:7" ht="41.4">
      <c r="A135" s="491"/>
      <c r="B135" s="492" t="s">
        <v>1809</v>
      </c>
      <c r="C135" s="502"/>
      <c r="D135" s="503"/>
      <c r="E135" s="502"/>
      <c r="F135" s="502"/>
      <c r="G135" s="495"/>
    </row>
    <row r="136" spans="1:7" ht="27.6">
      <c r="A136" s="491"/>
      <c r="B136" s="511" t="s">
        <v>1786</v>
      </c>
      <c r="C136" s="505" t="s">
        <v>780</v>
      </c>
      <c r="D136" s="505">
        <v>1</v>
      </c>
      <c r="E136" s="512">
        <v>1820</v>
      </c>
      <c r="F136" s="512">
        <f>D136*E136</f>
        <v>1820</v>
      </c>
      <c r="G136" s="495"/>
    </row>
    <row r="137" spans="1:7">
      <c r="A137" s="491"/>
      <c r="B137" s="497"/>
      <c r="C137" s="505"/>
      <c r="D137" s="505"/>
      <c r="E137" s="496"/>
      <c r="F137" s="494"/>
      <c r="G137" s="495"/>
    </row>
    <row r="138" spans="1:7">
      <c r="A138" s="491" t="s">
        <v>1810</v>
      </c>
      <c r="B138" s="492" t="s">
        <v>1811</v>
      </c>
      <c r="C138" s="493"/>
      <c r="D138" s="493"/>
      <c r="E138" s="494"/>
      <c r="F138" s="494"/>
      <c r="G138" s="495"/>
    </row>
    <row r="139" spans="1:7" ht="151.80000000000001">
      <c r="A139" s="491"/>
      <c r="B139" s="497" t="s">
        <v>1812</v>
      </c>
      <c r="C139" s="498"/>
      <c r="D139" s="499"/>
      <c r="E139" s="500"/>
      <c r="F139" s="501"/>
      <c r="G139" s="495"/>
    </row>
    <row r="140" spans="1:7">
      <c r="A140" s="491"/>
      <c r="B140" s="492" t="s">
        <v>1714</v>
      </c>
      <c r="C140" s="498"/>
      <c r="D140" s="499"/>
      <c r="E140" s="500"/>
      <c r="F140" s="501"/>
      <c r="G140" s="495"/>
    </row>
    <row r="141" spans="1:7" ht="41.4">
      <c r="A141" s="491"/>
      <c r="B141" s="492" t="s">
        <v>1813</v>
      </c>
      <c r="C141" s="502"/>
      <c r="D141" s="503"/>
      <c r="E141" s="502"/>
      <c r="F141" s="502"/>
      <c r="G141" s="495"/>
    </row>
    <row r="142" spans="1:7">
      <c r="A142" s="491"/>
      <c r="B142" s="492" t="s">
        <v>1737</v>
      </c>
      <c r="C142" s="508"/>
      <c r="D142" s="84"/>
      <c r="E142" s="502"/>
      <c r="F142" s="508"/>
      <c r="G142" s="495"/>
    </row>
    <row r="143" spans="1:7" ht="27.6">
      <c r="A143" s="491"/>
      <c r="B143" s="492" t="s">
        <v>1814</v>
      </c>
      <c r="C143" s="502"/>
      <c r="D143" s="503"/>
      <c r="E143" s="502"/>
      <c r="F143" s="502"/>
      <c r="G143" s="495"/>
    </row>
    <row r="144" spans="1:7" ht="41.4">
      <c r="A144" s="491"/>
      <c r="B144" s="492" t="s">
        <v>1815</v>
      </c>
      <c r="C144" s="502"/>
      <c r="D144" s="503"/>
      <c r="E144" s="500"/>
      <c r="F144" s="501"/>
      <c r="G144" s="495"/>
    </row>
    <row r="145" spans="1:7" ht="27.6">
      <c r="A145" s="491"/>
      <c r="B145" s="492" t="s">
        <v>1816</v>
      </c>
      <c r="C145" s="502"/>
      <c r="D145" s="503"/>
      <c r="E145" s="500"/>
      <c r="F145" s="501"/>
      <c r="G145" s="495"/>
    </row>
    <row r="146" spans="1:7">
      <c r="A146" s="491"/>
      <c r="B146" s="492" t="s">
        <v>1817</v>
      </c>
      <c r="C146" s="502"/>
      <c r="D146" s="503"/>
      <c r="E146" s="500"/>
      <c r="F146" s="501"/>
      <c r="G146" s="495"/>
    </row>
    <row r="147" spans="1:7" ht="41.4">
      <c r="A147" s="491"/>
      <c r="B147" s="492" t="s">
        <v>1818</v>
      </c>
      <c r="C147" s="502"/>
      <c r="D147" s="503"/>
      <c r="E147" s="500"/>
      <c r="F147" s="501"/>
      <c r="G147" s="495"/>
    </row>
    <row r="148" spans="1:7" ht="55.2">
      <c r="A148" s="491"/>
      <c r="B148" s="492" t="s">
        <v>1819</v>
      </c>
      <c r="C148" s="502"/>
      <c r="D148" s="503"/>
      <c r="E148" s="502"/>
      <c r="F148" s="508"/>
      <c r="G148" s="495"/>
    </row>
    <row r="149" spans="1:7" ht="27.6">
      <c r="A149" s="491"/>
      <c r="B149" s="492" t="s">
        <v>1820</v>
      </c>
      <c r="C149" s="502"/>
      <c r="D149" s="503"/>
      <c r="E149" s="502"/>
      <c r="F149" s="508"/>
      <c r="G149" s="495"/>
    </row>
    <row r="150" spans="1:7" ht="55.2">
      <c r="A150" s="491"/>
      <c r="B150" s="492" t="s">
        <v>1821</v>
      </c>
      <c r="C150" s="502"/>
      <c r="D150" s="503"/>
      <c r="E150" s="502"/>
      <c r="F150" s="508"/>
      <c r="G150" s="495"/>
    </row>
    <row r="151" spans="1:7" ht="55.2">
      <c r="A151" s="491"/>
      <c r="B151" s="492" t="s">
        <v>1822</v>
      </c>
      <c r="C151" s="502"/>
      <c r="D151" s="503"/>
      <c r="E151" s="502"/>
      <c r="F151" s="508"/>
      <c r="G151" s="495"/>
    </row>
    <row r="152" spans="1:7">
      <c r="A152" s="491"/>
      <c r="B152" s="492" t="s">
        <v>1823</v>
      </c>
      <c r="C152" s="502"/>
      <c r="D152" s="503"/>
      <c r="E152" s="502"/>
      <c r="F152" s="508"/>
      <c r="G152" s="495"/>
    </row>
    <row r="153" spans="1:7">
      <c r="A153" s="491"/>
      <c r="B153" s="492" t="s">
        <v>1824</v>
      </c>
      <c r="C153" s="502"/>
      <c r="D153" s="503"/>
      <c r="E153" s="502"/>
      <c r="F153" s="508"/>
      <c r="G153" s="495"/>
    </row>
    <row r="154" spans="1:7" ht="41.4">
      <c r="A154" s="491"/>
      <c r="B154" s="492" t="s">
        <v>1781</v>
      </c>
      <c r="C154" s="84"/>
      <c r="D154" s="84"/>
      <c r="E154" s="500"/>
      <c r="F154" s="501"/>
      <c r="G154" s="495"/>
    </row>
    <row r="155" spans="1:7" ht="96.6">
      <c r="A155" s="491"/>
      <c r="B155" s="497" t="s">
        <v>1825</v>
      </c>
      <c r="C155" s="502"/>
      <c r="D155" s="503"/>
      <c r="E155" s="502"/>
      <c r="F155" s="502"/>
      <c r="G155" s="495"/>
    </row>
    <row r="156" spans="1:7" ht="41.4">
      <c r="A156" s="491"/>
      <c r="B156" s="492" t="s">
        <v>1783</v>
      </c>
      <c r="C156" s="502"/>
      <c r="D156" s="503"/>
      <c r="E156" s="502"/>
      <c r="F156" s="502"/>
      <c r="G156" s="495"/>
    </row>
    <row r="157" spans="1:7" ht="55.2">
      <c r="A157" s="491"/>
      <c r="B157" s="492" t="s">
        <v>1826</v>
      </c>
      <c r="C157" s="502"/>
      <c r="D157" s="503"/>
      <c r="E157" s="502"/>
      <c r="F157" s="502"/>
      <c r="G157" s="495"/>
    </row>
    <row r="158" spans="1:7" ht="41.4">
      <c r="A158" s="491"/>
      <c r="B158" s="492" t="s">
        <v>1785</v>
      </c>
      <c r="C158" s="502"/>
      <c r="D158" s="503"/>
      <c r="E158" s="502"/>
      <c r="F158" s="502"/>
      <c r="G158" s="495"/>
    </row>
    <row r="159" spans="1:7" ht="27.6">
      <c r="A159" s="491"/>
      <c r="B159" s="511" t="s">
        <v>1786</v>
      </c>
      <c r="C159" s="505" t="s">
        <v>780</v>
      </c>
      <c r="D159" s="505">
        <v>1</v>
      </c>
      <c r="E159" s="512">
        <v>995</v>
      </c>
      <c r="F159" s="512">
        <f>D159*E159</f>
        <v>995</v>
      </c>
      <c r="G159" s="495"/>
    </row>
    <row r="160" spans="1:7">
      <c r="A160" s="491"/>
      <c r="B160" s="497"/>
      <c r="C160" s="505"/>
      <c r="D160" s="505"/>
      <c r="E160" s="496"/>
      <c r="F160" s="494"/>
      <c r="G160" s="495"/>
    </row>
    <row r="161" spans="1:7">
      <c r="A161" s="491" t="s">
        <v>1827</v>
      </c>
      <c r="B161" s="492" t="s">
        <v>1828</v>
      </c>
      <c r="C161" s="493"/>
      <c r="D161" s="493"/>
      <c r="E161" s="494"/>
      <c r="F161" s="494"/>
      <c r="G161" s="495"/>
    </row>
    <row r="162" spans="1:7" ht="151.80000000000001">
      <c r="A162" s="491"/>
      <c r="B162" s="497" t="s">
        <v>1829</v>
      </c>
      <c r="C162" s="498"/>
      <c r="D162" s="499"/>
      <c r="E162" s="500"/>
      <c r="F162" s="501"/>
      <c r="G162" s="495"/>
    </row>
    <row r="163" spans="1:7">
      <c r="A163" s="491"/>
      <c r="B163" s="492" t="s">
        <v>1714</v>
      </c>
      <c r="C163" s="498"/>
      <c r="D163" s="499"/>
      <c r="E163" s="500"/>
      <c r="F163" s="501"/>
      <c r="G163" s="495"/>
    </row>
    <row r="164" spans="1:7" ht="41.4">
      <c r="A164" s="491"/>
      <c r="B164" s="492" t="s">
        <v>1830</v>
      </c>
      <c r="C164" s="505"/>
      <c r="D164" s="503"/>
      <c r="E164" s="500"/>
      <c r="F164" s="501"/>
      <c r="G164" s="510"/>
    </row>
    <row r="165" spans="1:7">
      <c r="A165" s="491"/>
      <c r="B165" s="492" t="s">
        <v>1831</v>
      </c>
      <c r="C165" s="502"/>
      <c r="D165" s="503"/>
      <c r="E165" s="500"/>
      <c r="F165" s="501"/>
      <c r="G165" s="495"/>
    </row>
    <row r="166" spans="1:7" ht="27.6">
      <c r="A166" s="491"/>
      <c r="B166" s="492" t="s">
        <v>1832</v>
      </c>
      <c r="C166" s="502"/>
      <c r="D166" s="503"/>
      <c r="E166" s="500"/>
      <c r="F166" s="501"/>
      <c r="G166" s="495"/>
    </row>
    <row r="167" spans="1:7">
      <c r="A167" s="491"/>
      <c r="B167" s="492" t="s">
        <v>1833</v>
      </c>
      <c r="C167" s="502"/>
      <c r="D167" s="503"/>
      <c r="E167" s="500"/>
      <c r="F167" s="501"/>
      <c r="G167" s="495"/>
    </row>
    <row r="168" spans="1:7" ht="27.6">
      <c r="A168" s="491"/>
      <c r="B168" s="492" t="s">
        <v>1834</v>
      </c>
      <c r="C168" s="502"/>
      <c r="D168" s="503"/>
      <c r="E168" s="500"/>
      <c r="F168" s="501"/>
      <c r="G168" s="495"/>
    </row>
    <row r="169" spans="1:7" ht="27.6">
      <c r="A169" s="491"/>
      <c r="B169" s="492" t="s">
        <v>1835</v>
      </c>
      <c r="C169" s="502"/>
      <c r="D169" s="503"/>
      <c r="E169" s="500"/>
      <c r="F169" s="501"/>
      <c r="G169" s="495"/>
    </row>
    <row r="170" spans="1:7" ht="27.6">
      <c r="A170" s="491"/>
      <c r="B170" s="492" t="s">
        <v>1836</v>
      </c>
      <c r="C170" s="502"/>
      <c r="D170" s="503"/>
      <c r="E170" s="500"/>
      <c r="F170" s="501"/>
      <c r="G170" s="495"/>
    </row>
    <row r="171" spans="1:7" ht="27.6">
      <c r="A171" s="491"/>
      <c r="B171" s="492" t="s">
        <v>1837</v>
      </c>
      <c r="C171" s="502"/>
      <c r="D171" s="503"/>
      <c r="E171" s="500"/>
      <c r="F171" s="501"/>
      <c r="G171" s="495"/>
    </row>
    <row r="172" spans="1:7">
      <c r="A172" s="491"/>
      <c r="B172" s="492" t="s">
        <v>1838</v>
      </c>
      <c r="C172" s="502"/>
      <c r="D172" s="503"/>
      <c r="E172" s="500"/>
      <c r="F172" s="501"/>
      <c r="G172" s="495"/>
    </row>
    <row r="173" spans="1:7" ht="27.6">
      <c r="A173" s="491"/>
      <c r="B173" s="492" t="s">
        <v>1839</v>
      </c>
      <c r="C173" s="505"/>
      <c r="D173" s="503"/>
      <c r="E173" s="500"/>
      <c r="F173" s="501"/>
      <c r="G173" s="510"/>
    </row>
    <row r="174" spans="1:7">
      <c r="A174" s="491"/>
      <c r="B174" s="492" t="s">
        <v>1840</v>
      </c>
      <c r="C174" s="505"/>
      <c r="D174" s="503"/>
      <c r="E174" s="500"/>
      <c r="F174" s="501"/>
      <c r="G174" s="510"/>
    </row>
    <row r="175" spans="1:7" ht="27.6">
      <c r="A175" s="491"/>
      <c r="B175" s="492" t="s">
        <v>1841</v>
      </c>
      <c r="C175" s="505"/>
      <c r="D175" s="503"/>
      <c r="E175" s="500"/>
      <c r="F175" s="501"/>
      <c r="G175" s="510"/>
    </row>
    <row r="176" spans="1:7" ht="41.4">
      <c r="A176" s="491"/>
      <c r="B176" s="492" t="s">
        <v>1842</v>
      </c>
      <c r="C176" s="505"/>
      <c r="D176" s="503"/>
      <c r="E176" s="500"/>
      <c r="F176" s="501"/>
      <c r="G176" s="510"/>
    </row>
    <row r="177" spans="1:7" ht="27.6">
      <c r="A177" s="491"/>
      <c r="B177" s="492" t="s">
        <v>1843</v>
      </c>
      <c r="C177" s="505"/>
      <c r="D177" s="503"/>
      <c r="E177" s="500"/>
      <c r="F177" s="501"/>
      <c r="G177" s="510"/>
    </row>
    <row r="178" spans="1:7">
      <c r="A178" s="491"/>
      <c r="B178" s="492" t="s">
        <v>1737</v>
      </c>
      <c r="C178" s="505"/>
      <c r="D178" s="503"/>
      <c r="E178" s="500"/>
      <c r="F178" s="501"/>
      <c r="G178" s="510"/>
    </row>
    <row r="179" spans="1:7" ht="82.8">
      <c r="A179" s="491"/>
      <c r="B179" s="492" t="s">
        <v>1844</v>
      </c>
      <c r="C179" s="505"/>
      <c r="D179" s="503"/>
      <c r="E179" s="502"/>
      <c r="F179" s="508"/>
      <c r="G179" s="510"/>
    </row>
    <row r="180" spans="1:7">
      <c r="A180" s="491"/>
      <c r="B180" s="492" t="s">
        <v>1741</v>
      </c>
      <c r="C180" s="502"/>
      <c r="D180" s="503"/>
      <c r="E180" s="502"/>
      <c r="F180" s="508"/>
      <c r="G180" s="510"/>
    </row>
    <row r="181" spans="1:7" ht="41.4">
      <c r="A181" s="491"/>
      <c r="B181" s="492" t="s">
        <v>1845</v>
      </c>
      <c r="C181" s="502"/>
      <c r="D181" s="503"/>
      <c r="E181" s="500"/>
      <c r="F181" s="501"/>
      <c r="G181" s="495"/>
    </row>
    <row r="182" spans="1:7" ht="27.6">
      <c r="A182" s="491"/>
      <c r="B182" s="492" t="s">
        <v>1846</v>
      </c>
      <c r="C182" s="502"/>
      <c r="D182" s="503"/>
      <c r="E182" s="500"/>
      <c r="F182" s="501"/>
      <c r="G182" s="495"/>
    </row>
    <row r="183" spans="1:7" ht="18" customHeight="1">
      <c r="A183" s="491"/>
      <c r="B183" s="492" t="s">
        <v>2656</v>
      </c>
      <c r="C183" s="502"/>
      <c r="D183" s="503"/>
      <c r="E183" s="500"/>
      <c r="F183" s="501"/>
      <c r="G183" s="495"/>
    </row>
    <row r="184" spans="1:7" ht="39" customHeight="1">
      <c r="A184" s="491"/>
      <c r="B184" s="492" t="s">
        <v>1847</v>
      </c>
      <c r="C184" s="502"/>
      <c r="D184" s="503"/>
      <c r="E184" s="500"/>
      <c r="F184" s="501"/>
      <c r="G184" s="495"/>
    </row>
    <row r="185" spans="1:7" ht="41.4">
      <c r="A185" s="491"/>
      <c r="B185" s="492" t="s">
        <v>1848</v>
      </c>
      <c r="C185" s="502"/>
      <c r="D185" s="503"/>
      <c r="E185" s="502"/>
      <c r="F185" s="508"/>
      <c r="G185" s="495"/>
    </row>
    <row r="186" spans="1:7" ht="41.4">
      <c r="A186" s="491"/>
      <c r="B186" s="492" t="s">
        <v>1849</v>
      </c>
      <c r="C186" s="502"/>
      <c r="D186" s="503"/>
      <c r="E186" s="502"/>
      <c r="F186" s="508"/>
      <c r="G186" s="495"/>
    </row>
    <row r="187" spans="1:7" ht="27.6">
      <c r="A187" s="491"/>
      <c r="B187" s="492" t="s">
        <v>1758</v>
      </c>
      <c r="C187" s="502"/>
      <c r="D187" s="503"/>
      <c r="E187" s="502"/>
      <c r="F187" s="508"/>
      <c r="G187" s="495"/>
    </row>
    <row r="188" spans="1:7" ht="27.6">
      <c r="A188" s="491"/>
      <c r="B188" s="492" t="s">
        <v>1850</v>
      </c>
      <c r="C188" s="502"/>
      <c r="D188" s="503"/>
      <c r="E188" s="502"/>
      <c r="F188" s="508"/>
      <c r="G188" s="495"/>
    </row>
    <row r="189" spans="1:7" ht="41.4">
      <c r="A189" s="491"/>
      <c r="B189" s="492" t="s">
        <v>1851</v>
      </c>
      <c r="C189" s="502"/>
      <c r="D189" s="503"/>
      <c r="E189" s="500"/>
      <c r="F189" s="501"/>
      <c r="G189" s="495"/>
    </row>
    <row r="190" spans="1:7" ht="41.4">
      <c r="A190" s="491"/>
      <c r="B190" s="492" t="s">
        <v>1852</v>
      </c>
      <c r="C190" s="502"/>
      <c r="D190" s="503"/>
      <c r="E190" s="502"/>
      <c r="F190" s="508"/>
      <c r="G190" s="495"/>
    </row>
    <row r="191" spans="1:7" ht="41.4">
      <c r="A191" s="491"/>
      <c r="B191" s="492" t="s">
        <v>1853</v>
      </c>
      <c r="C191" s="502"/>
      <c r="D191" s="503"/>
      <c r="E191" s="502"/>
      <c r="F191" s="508"/>
      <c r="G191" s="495"/>
    </row>
    <row r="192" spans="1:7">
      <c r="A192" s="491"/>
      <c r="B192" s="492" t="s">
        <v>1854</v>
      </c>
      <c r="C192" s="502"/>
      <c r="D192" s="503"/>
      <c r="E192" s="502"/>
      <c r="F192" s="508"/>
      <c r="G192" s="495"/>
    </row>
    <row r="193" spans="1:7">
      <c r="A193" s="491"/>
      <c r="B193" s="492" t="s">
        <v>1855</v>
      </c>
      <c r="C193" s="502"/>
      <c r="D193" s="503"/>
      <c r="E193" s="502"/>
      <c r="F193" s="508"/>
      <c r="G193" s="495"/>
    </row>
    <row r="194" spans="1:7">
      <c r="A194" s="491"/>
      <c r="B194" s="492" t="s">
        <v>1856</v>
      </c>
      <c r="C194" s="502"/>
      <c r="D194" s="503"/>
      <c r="E194" s="502"/>
      <c r="F194" s="508"/>
      <c r="G194" s="495"/>
    </row>
    <row r="195" spans="1:7" ht="41.4">
      <c r="A195" s="491"/>
      <c r="B195" s="492" t="s">
        <v>1781</v>
      </c>
      <c r="C195" s="84"/>
      <c r="D195" s="84"/>
      <c r="E195" s="500"/>
      <c r="F195" s="501"/>
      <c r="G195" s="495"/>
    </row>
    <row r="196" spans="1:7" ht="96.6">
      <c r="A196" s="491"/>
      <c r="B196" s="497" t="s">
        <v>1857</v>
      </c>
      <c r="C196" s="502"/>
      <c r="D196" s="503"/>
      <c r="E196" s="502"/>
      <c r="F196" s="502"/>
      <c r="G196" s="495"/>
    </row>
    <row r="197" spans="1:7" ht="41.4">
      <c r="A197" s="491"/>
      <c r="B197" s="492" t="s">
        <v>1783</v>
      </c>
      <c r="C197" s="502"/>
      <c r="D197" s="503"/>
      <c r="E197" s="502"/>
      <c r="F197" s="502"/>
      <c r="G197" s="495"/>
    </row>
    <row r="198" spans="1:7" ht="41.4">
      <c r="A198" s="491"/>
      <c r="B198" s="492" t="s">
        <v>1858</v>
      </c>
      <c r="C198" s="502"/>
      <c r="D198" s="503"/>
      <c r="E198" s="502"/>
      <c r="F198" s="502"/>
      <c r="G198" s="495"/>
    </row>
    <row r="199" spans="1:7" ht="41.4">
      <c r="A199" s="491"/>
      <c r="B199" s="492" t="s">
        <v>1785</v>
      </c>
      <c r="C199" s="502"/>
      <c r="D199" s="503"/>
      <c r="E199" s="502"/>
      <c r="F199" s="502"/>
      <c r="G199" s="495"/>
    </row>
    <row r="200" spans="1:7" ht="27.6">
      <c r="A200" s="491"/>
      <c r="B200" s="511" t="s">
        <v>1786</v>
      </c>
      <c r="C200" s="505" t="s">
        <v>780</v>
      </c>
      <c r="D200" s="505">
        <v>1</v>
      </c>
      <c r="E200" s="512">
        <v>1952</v>
      </c>
      <c r="F200" s="512">
        <f>D200*E200</f>
        <v>1952</v>
      </c>
      <c r="G200" s="495"/>
    </row>
    <row r="201" spans="1:7">
      <c r="A201" s="491"/>
      <c r="B201" s="497"/>
      <c r="C201" s="505"/>
      <c r="D201" s="505"/>
      <c r="E201" s="496"/>
      <c r="F201" s="494"/>
      <c r="G201" s="495"/>
    </row>
    <row r="202" spans="1:7">
      <c r="A202" s="491" t="s">
        <v>1859</v>
      </c>
      <c r="B202" s="492" t="s">
        <v>1860</v>
      </c>
      <c r="C202" s="493"/>
      <c r="D202" s="493"/>
      <c r="E202" s="494"/>
      <c r="F202" s="494"/>
      <c r="G202" s="495"/>
    </row>
    <row r="203" spans="1:7" ht="151.80000000000001">
      <c r="A203" s="491"/>
      <c r="B203" s="497" t="s">
        <v>1861</v>
      </c>
      <c r="C203" s="498"/>
      <c r="D203" s="499"/>
      <c r="E203" s="500"/>
      <c r="F203" s="501"/>
      <c r="G203" s="495"/>
    </row>
    <row r="204" spans="1:7">
      <c r="A204" s="491"/>
      <c r="B204" s="492" t="s">
        <v>1714</v>
      </c>
      <c r="C204" s="498"/>
      <c r="D204" s="499"/>
      <c r="E204" s="500"/>
      <c r="F204" s="501"/>
      <c r="G204" s="495"/>
    </row>
    <row r="205" spans="1:7" ht="41.4">
      <c r="A205" s="491"/>
      <c r="B205" s="492" t="s">
        <v>1862</v>
      </c>
      <c r="C205" s="502"/>
      <c r="D205" s="503"/>
      <c r="E205" s="500"/>
      <c r="F205" s="501"/>
      <c r="G205" s="514"/>
    </row>
    <row r="206" spans="1:7">
      <c r="A206" s="491"/>
      <c r="B206" s="492" t="s">
        <v>1863</v>
      </c>
      <c r="C206" s="502"/>
      <c r="D206" s="503"/>
      <c r="E206" s="500"/>
      <c r="F206" s="501"/>
      <c r="G206" s="495"/>
    </row>
    <row r="207" spans="1:7" ht="27.6">
      <c r="A207" s="491"/>
      <c r="B207" s="492" t="s">
        <v>1832</v>
      </c>
      <c r="C207" s="502"/>
      <c r="D207" s="503"/>
      <c r="E207" s="500"/>
      <c r="F207" s="501"/>
      <c r="G207" s="495"/>
    </row>
    <row r="208" spans="1:7">
      <c r="A208" s="491"/>
      <c r="B208" s="492" t="s">
        <v>1833</v>
      </c>
      <c r="C208" s="502"/>
      <c r="D208" s="503"/>
      <c r="E208" s="500"/>
      <c r="F208" s="501"/>
      <c r="G208" s="495"/>
    </row>
    <row r="209" spans="1:7" ht="27.6">
      <c r="A209" s="491"/>
      <c r="B209" s="492" t="s">
        <v>1834</v>
      </c>
      <c r="C209" s="502"/>
      <c r="D209" s="503"/>
      <c r="E209" s="500"/>
      <c r="F209" s="501"/>
      <c r="G209" s="495"/>
    </row>
    <row r="210" spans="1:7" ht="27.6">
      <c r="A210" s="491"/>
      <c r="B210" s="492" t="s">
        <v>1835</v>
      </c>
      <c r="C210" s="502"/>
      <c r="D210" s="503"/>
      <c r="E210" s="500"/>
      <c r="F210" s="501"/>
      <c r="G210" s="495"/>
    </row>
    <row r="211" spans="1:7" ht="27.6">
      <c r="A211" s="491"/>
      <c r="B211" s="492" t="s">
        <v>1836</v>
      </c>
      <c r="C211" s="502"/>
      <c r="D211" s="503"/>
      <c r="E211" s="500"/>
      <c r="F211" s="501"/>
      <c r="G211" s="495"/>
    </row>
    <row r="212" spans="1:7" ht="27.6">
      <c r="A212" s="491"/>
      <c r="B212" s="492" t="s">
        <v>1864</v>
      </c>
      <c r="C212" s="502"/>
      <c r="D212" s="503"/>
      <c r="E212" s="500"/>
      <c r="F212" s="501"/>
      <c r="G212" s="495"/>
    </row>
    <row r="213" spans="1:7">
      <c r="A213" s="491"/>
      <c r="B213" s="492" t="s">
        <v>1865</v>
      </c>
      <c r="C213" s="502"/>
      <c r="D213" s="503"/>
      <c r="E213" s="500"/>
      <c r="F213" s="501"/>
      <c r="G213" s="495"/>
    </row>
    <row r="214" spans="1:7" ht="27.6">
      <c r="A214" s="491"/>
      <c r="B214" s="492" t="s">
        <v>1866</v>
      </c>
      <c r="C214" s="502"/>
      <c r="D214" s="503"/>
      <c r="E214" s="500"/>
      <c r="F214" s="501"/>
      <c r="G214" s="495"/>
    </row>
    <row r="215" spans="1:7">
      <c r="A215" s="491"/>
      <c r="B215" s="492" t="s">
        <v>1840</v>
      </c>
      <c r="C215" s="502"/>
      <c r="D215" s="503"/>
      <c r="E215" s="500"/>
      <c r="F215" s="501"/>
      <c r="G215" s="495"/>
    </row>
    <row r="216" spans="1:7" ht="27.6">
      <c r="A216" s="491"/>
      <c r="B216" s="492" t="s">
        <v>1841</v>
      </c>
      <c r="C216" s="502"/>
      <c r="D216" s="503"/>
      <c r="E216" s="500"/>
      <c r="F216" s="501"/>
      <c r="G216" s="514"/>
    </row>
    <row r="217" spans="1:7" ht="41.4">
      <c r="A217" s="491"/>
      <c r="B217" s="492" t="s">
        <v>1867</v>
      </c>
      <c r="C217" s="502"/>
      <c r="D217" s="503"/>
      <c r="E217" s="500"/>
      <c r="F217" s="501"/>
      <c r="G217" s="514"/>
    </row>
    <row r="218" spans="1:7" ht="27.6">
      <c r="A218" s="491"/>
      <c r="B218" s="492" t="s">
        <v>1868</v>
      </c>
      <c r="C218" s="502"/>
      <c r="D218" s="503"/>
      <c r="E218" s="500"/>
      <c r="F218" s="501"/>
      <c r="G218" s="514"/>
    </row>
    <row r="219" spans="1:7">
      <c r="A219" s="491"/>
      <c r="B219" s="492" t="s">
        <v>1737</v>
      </c>
      <c r="C219" s="502"/>
      <c r="D219" s="503"/>
      <c r="E219" s="500"/>
      <c r="F219" s="501"/>
      <c r="G219" s="495"/>
    </row>
    <row r="220" spans="1:7" ht="82.8">
      <c r="A220" s="491"/>
      <c r="B220" s="492" t="s">
        <v>1869</v>
      </c>
      <c r="C220" s="502"/>
      <c r="D220" s="503"/>
      <c r="E220" s="502"/>
      <c r="F220" s="508"/>
      <c r="G220" s="495"/>
    </row>
    <row r="221" spans="1:7">
      <c r="A221" s="491"/>
      <c r="B221" s="492" t="s">
        <v>1870</v>
      </c>
      <c r="C221" s="502"/>
      <c r="D221" s="503"/>
      <c r="E221" s="502"/>
      <c r="F221" s="508"/>
      <c r="G221" s="495"/>
    </row>
    <row r="222" spans="1:7" ht="41.4">
      <c r="A222" s="491"/>
      <c r="B222" s="492" t="s">
        <v>1871</v>
      </c>
      <c r="C222" s="502"/>
      <c r="D222" s="503"/>
      <c r="E222" s="500"/>
      <c r="F222" s="501"/>
      <c r="G222" s="495"/>
    </row>
    <row r="223" spans="1:7" ht="27.6">
      <c r="A223" s="491"/>
      <c r="B223" s="492" t="s">
        <v>1872</v>
      </c>
      <c r="C223" s="502"/>
      <c r="D223" s="503"/>
      <c r="E223" s="500"/>
      <c r="F223" s="501"/>
      <c r="G223" s="495"/>
    </row>
    <row r="224" spans="1:7">
      <c r="A224" s="491"/>
      <c r="B224" s="492" t="s">
        <v>1873</v>
      </c>
      <c r="C224" s="502"/>
      <c r="D224" s="503"/>
      <c r="E224" s="500"/>
      <c r="F224" s="501"/>
      <c r="G224" s="495"/>
    </row>
    <row r="225" spans="1:7" ht="41.4">
      <c r="A225" s="491"/>
      <c r="B225" s="492" t="s">
        <v>1818</v>
      </c>
      <c r="C225" s="502"/>
      <c r="D225" s="503"/>
      <c r="E225" s="500"/>
      <c r="F225" s="501"/>
      <c r="G225" s="495"/>
    </row>
    <row r="226" spans="1:7" ht="41.4">
      <c r="A226" s="491"/>
      <c r="B226" s="492" t="s">
        <v>1874</v>
      </c>
      <c r="C226" s="502"/>
      <c r="D226" s="503"/>
      <c r="E226" s="502"/>
      <c r="F226" s="508"/>
      <c r="G226" s="495"/>
    </row>
    <row r="227" spans="1:7" ht="41.4">
      <c r="A227" s="491"/>
      <c r="B227" s="492" t="s">
        <v>1875</v>
      </c>
      <c r="C227" s="502"/>
      <c r="D227" s="503"/>
      <c r="E227" s="502"/>
      <c r="F227" s="508"/>
      <c r="G227" s="495"/>
    </row>
    <row r="228" spans="1:7" ht="27.6">
      <c r="A228" s="491"/>
      <c r="B228" s="492" t="s">
        <v>1758</v>
      </c>
      <c r="C228" s="502"/>
      <c r="D228" s="503"/>
      <c r="E228" s="502"/>
      <c r="F228" s="508"/>
      <c r="G228" s="495"/>
    </row>
    <row r="229" spans="1:7" ht="27.6">
      <c r="A229" s="491"/>
      <c r="B229" s="492" t="s">
        <v>1876</v>
      </c>
      <c r="C229" s="502"/>
      <c r="D229" s="503"/>
      <c r="E229" s="502"/>
      <c r="F229" s="508"/>
      <c r="G229" s="495"/>
    </row>
    <row r="230" spans="1:7" ht="41.4">
      <c r="A230" s="491"/>
      <c r="B230" s="492" t="s">
        <v>1877</v>
      </c>
      <c r="C230" s="502"/>
      <c r="D230" s="503"/>
      <c r="E230" s="500"/>
      <c r="F230" s="501"/>
      <c r="G230" s="495"/>
    </row>
    <row r="231" spans="1:7" ht="41.4">
      <c r="A231" s="491"/>
      <c r="B231" s="492" t="s">
        <v>1878</v>
      </c>
      <c r="C231" s="502"/>
      <c r="D231" s="503"/>
      <c r="E231" s="502"/>
      <c r="F231" s="508"/>
      <c r="G231" s="495"/>
    </row>
    <row r="232" spans="1:7" ht="41.4">
      <c r="A232" s="491"/>
      <c r="B232" s="492" t="s">
        <v>1879</v>
      </c>
      <c r="C232" s="502"/>
      <c r="D232" s="503"/>
      <c r="E232" s="502"/>
      <c r="F232" s="508"/>
      <c r="G232" s="495"/>
    </row>
    <row r="233" spans="1:7">
      <c r="A233" s="491"/>
      <c r="B233" s="492" t="s">
        <v>1880</v>
      </c>
      <c r="C233" s="502"/>
      <c r="D233" s="503"/>
      <c r="E233" s="502"/>
      <c r="F233" s="508"/>
      <c r="G233" s="495"/>
    </row>
    <row r="234" spans="1:7">
      <c r="A234" s="491"/>
      <c r="B234" s="492" t="s">
        <v>1855</v>
      </c>
      <c r="C234" s="502"/>
      <c r="D234" s="503"/>
      <c r="E234" s="502"/>
      <c r="F234" s="508"/>
      <c r="G234" s="495"/>
    </row>
    <row r="235" spans="1:7">
      <c r="A235" s="491"/>
      <c r="B235" s="492" t="s">
        <v>1824</v>
      </c>
      <c r="C235" s="502"/>
      <c r="D235" s="503"/>
      <c r="E235" s="502"/>
      <c r="F235" s="508"/>
      <c r="G235" s="495"/>
    </row>
    <row r="236" spans="1:7" ht="41.4">
      <c r="A236" s="491"/>
      <c r="B236" s="492" t="s">
        <v>1781</v>
      </c>
      <c r="C236" s="84"/>
      <c r="D236" s="84"/>
      <c r="E236" s="500"/>
      <c r="F236" s="501"/>
      <c r="G236" s="495"/>
    </row>
    <row r="237" spans="1:7" ht="82.8">
      <c r="A237" s="491"/>
      <c r="B237" s="497" t="s">
        <v>1881</v>
      </c>
      <c r="C237" s="502"/>
      <c r="D237" s="503"/>
      <c r="E237" s="502"/>
      <c r="F237" s="502"/>
      <c r="G237" s="495"/>
    </row>
    <row r="238" spans="1:7" ht="41.4">
      <c r="A238" s="491"/>
      <c r="B238" s="492" t="s">
        <v>1783</v>
      </c>
      <c r="C238" s="502"/>
      <c r="D238" s="503"/>
      <c r="E238" s="502"/>
      <c r="F238" s="502"/>
      <c r="G238" s="495"/>
    </row>
    <row r="239" spans="1:7" ht="41.4">
      <c r="A239" s="491"/>
      <c r="B239" s="492" t="s">
        <v>1808</v>
      </c>
      <c r="C239" s="502"/>
      <c r="D239" s="503"/>
      <c r="E239" s="502"/>
      <c r="F239" s="502"/>
      <c r="G239" s="495"/>
    </row>
    <row r="240" spans="1:7" ht="41.4">
      <c r="A240" s="491"/>
      <c r="B240" s="492" t="s">
        <v>1785</v>
      </c>
      <c r="C240" s="502"/>
      <c r="D240" s="503"/>
      <c r="E240" s="502"/>
      <c r="F240" s="502"/>
      <c r="G240" s="495"/>
    </row>
    <row r="241" spans="1:7" ht="27.6">
      <c r="A241" s="491"/>
      <c r="B241" s="511" t="s">
        <v>1786</v>
      </c>
      <c r="C241" s="505" t="s">
        <v>780</v>
      </c>
      <c r="D241" s="505">
        <v>1</v>
      </c>
      <c r="E241" s="512">
        <v>2098</v>
      </c>
      <c r="F241" s="512">
        <f>D241*E241</f>
        <v>2098</v>
      </c>
      <c r="G241" s="495"/>
    </row>
    <row r="242" spans="1:7">
      <c r="A242" s="491"/>
      <c r="B242" s="497"/>
      <c r="C242" s="493"/>
      <c r="D242" s="493"/>
      <c r="E242" s="494"/>
      <c r="F242" s="494"/>
      <c r="G242" s="495"/>
    </row>
    <row r="243" spans="1:7">
      <c r="A243" s="515" t="str">
        <f>A32</f>
        <v>35.00.</v>
      </c>
      <c r="B243" s="516" t="str">
        <f>B32</f>
        <v>DISTRIBUCIJSKI RAZDJELNICI</v>
      </c>
      <c r="C243" s="517" t="s">
        <v>1703</v>
      </c>
      <c r="D243" s="517"/>
      <c r="E243" s="518"/>
      <c r="F243" s="518">
        <f>SUM(F28:F242)</f>
        <v>16865</v>
      </c>
      <c r="G243" s="495"/>
    </row>
    <row r="244" spans="1:7">
      <c r="A244" s="491"/>
      <c r="B244" s="519"/>
      <c r="C244" s="517"/>
      <c r="D244" s="517"/>
      <c r="E244" s="520"/>
      <c r="F244" s="521"/>
      <c r="G244" s="495"/>
    </row>
    <row r="245" spans="1:7">
      <c r="A245" s="491"/>
      <c r="B245" s="519"/>
      <c r="C245" s="517"/>
      <c r="D245" s="517"/>
      <c r="E245" s="520"/>
      <c r="F245" s="521"/>
      <c r="G245" s="495"/>
    </row>
    <row r="246" spans="1:7">
      <c r="A246" s="484" t="s">
        <v>1882</v>
      </c>
      <c r="B246" s="522" t="s">
        <v>1883</v>
      </c>
      <c r="C246" s="523"/>
      <c r="D246" s="523"/>
      <c r="E246" s="471"/>
      <c r="F246" s="471"/>
    </row>
    <row r="247" spans="1:7">
      <c r="C247" s="457"/>
      <c r="D247" s="457"/>
      <c r="F247" s="481"/>
    </row>
    <row r="248" spans="1:7" ht="193.2">
      <c r="A248" s="455" t="s">
        <v>1884</v>
      </c>
      <c r="B248" s="435" t="s">
        <v>1885</v>
      </c>
      <c r="C248" s="457"/>
      <c r="D248" s="457"/>
      <c r="F248" s="481"/>
    </row>
    <row r="249" spans="1:7">
      <c r="A249" s="455"/>
      <c r="B249" s="435" t="s">
        <v>1886</v>
      </c>
      <c r="C249" s="457" t="s">
        <v>748</v>
      </c>
      <c r="D249" s="457">
        <v>4000</v>
      </c>
      <c r="E249" s="528">
        <v>3.5</v>
      </c>
      <c r="F249" s="481">
        <f t="shared" ref="F249:F261" si="0">D249*E249</f>
        <v>14000</v>
      </c>
    </row>
    <row r="250" spans="1:7">
      <c r="A250" s="455"/>
      <c r="B250" s="435" t="s">
        <v>1887</v>
      </c>
      <c r="C250" s="457" t="s">
        <v>748</v>
      </c>
      <c r="D250" s="457">
        <v>7000</v>
      </c>
      <c r="E250" s="528">
        <v>3.91</v>
      </c>
      <c r="F250" s="481">
        <f t="shared" si="0"/>
        <v>27370</v>
      </c>
    </row>
    <row r="251" spans="1:7">
      <c r="A251" s="455"/>
      <c r="B251" s="435" t="s">
        <v>1888</v>
      </c>
      <c r="C251" s="457" t="s">
        <v>748</v>
      </c>
      <c r="D251" s="457">
        <v>200</v>
      </c>
      <c r="E251" s="528">
        <v>5.84</v>
      </c>
      <c r="F251" s="481">
        <f t="shared" si="0"/>
        <v>1168</v>
      </c>
    </row>
    <row r="252" spans="1:7">
      <c r="A252" s="455"/>
      <c r="B252" s="435" t="s">
        <v>1889</v>
      </c>
      <c r="C252" s="457" t="s">
        <v>748</v>
      </c>
      <c r="D252" s="457">
        <v>500</v>
      </c>
      <c r="E252" s="528">
        <v>4.76</v>
      </c>
      <c r="F252" s="481">
        <f t="shared" si="0"/>
        <v>2380</v>
      </c>
    </row>
    <row r="253" spans="1:7">
      <c r="A253" s="455"/>
      <c r="B253" s="435" t="s">
        <v>1890</v>
      </c>
      <c r="C253" s="457" t="s">
        <v>748</v>
      </c>
      <c r="D253" s="457">
        <v>150</v>
      </c>
      <c r="E253" s="528">
        <v>8.83</v>
      </c>
      <c r="F253" s="481">
        <f t="shared" si="0"/>
        <v>1324.5</v>
      </c>
    </row>
    <row r="254" spans="1:7">
      <c r="A254" s="455"/>
      <c r="B254" s="435" t="s">
        <v>1891</v>
      </c>
      <c r="C254" s="457" t="s">
        <v>748</v>
      </c>
      <c r="D254" s="457">
        <v>70</v>
      </c>
      <c r="E254" s="528">
        <v>17.54</v>
      </c>
      <c r="F254" s="481">
        <f t="shared" si="0"/>
        <v>1227.8</v>
      </c>
    </row>
    <row r="255" spans="1:7">
      <c r="A255" s="455"/>
      <c r="B255" s="435" t="s">
        <v>1892</v>
      </c>
      <c r="C255" s="457" t="s">
        <v>748</v>
      </c>
      <c r="D255" s="457">
        <v>70</v>
      </c>
      <c r="E255" s="528">
        <v>27.23</v>
      </c>
      <c r="F255" s="481">
        <f t="shared" si="0"/>
        <v>1906.1000000000001</v>
      </c>
    </row>
    <row r="256" spans="1:7">
      <c r="A256" s="455"/>
      <c r="B256" s="435" t="s">
        <v>1893</v>
      </c>
      <c r="C256" s="457" t="s">
        <v>748</v>
      </c>
      <c r="D256" s="457">
        <v>250</v>
      </c>
      <c r="E256" s="528">
        <v>25</v>
      </c>
      <c r="F256" s="481">
        <f t="shared" si="0"/>
        <v>6250</v>
      </c>
    </row>
    <row r="257" spans="1:6">
      <c r="A257" s="455"/>
      <c r="B257" s="435" t="s">
        <v>1894</v>
      </c>
      <c r="C257" s="457" t="s">
        <v>748</v>
      </c>
      <c r="D257" s="457">
        <v>250</v>
      </c>
      <c r="E257" s="528">
        <v>3.76</v>
      </c>
      <c r="F257" s="481">
        <f t="shared" si="0"/>
        <v>940</v>
      </c>
    </row>
    <row r="258" spans="1:6">
      <c r="A258" s="455"/>
      <c r="B258" s="435" t="s">
        <v>1895</v>
      </c>
      <c r="C258" s="457" t="s">
        <v>748</v>
      </c>
      <c r="D258" s="457">
        <v>200</v>
      </c>
      <c r="E258" s="528">
        <v>4.26</v>
      </c>
      <c r="F258" s="481">
        <f t="shared" si="0"/>
        <v>852</v>
      </c>
    </row>
    <row r="259" spans="1:6">
      <c r="A259" s="455"/>
      <c r="B259" s="435" t="s">
        <v>1896</v>
      </c>
      <c r="C259" s="457" t="s">
        <v>748</v>
      </c>
      <c r="D259" s="457">
        <v>40</v>
      </c>
      <c r="E259" s="528">
        <v>32</v>
      </c>
      <c r="F259" s="481">
        <f t="shared" si="0"/>
        <v>1280</v>
      </c>
    </row>
    <row r="260" spans="1:6">
      <c r="A260" s="455"/>
      <c r="B260" s="435" t="s">
        <v>1897</v>
      </c>
      <c r="C260" s="457" t="s">
        <v>748</v>
      </c>
      <c r="D260" s="457">
        <v>230</v>
      </c>
      <c r="E260" s="528">
        <v>24</v>
      </c>
      <c r="F260" s="481">
        <f t="shared" si="0"/>
        <v>5520</v>
      </c>
    </row>
    <row r="261" spans="1:6">
      <c r="A261" s="455"/>
      <c r="B261" s="435" t="s">
        <v>1898</v>
      </c>
      <c r="C261" s="457" t="s">
        <v>748</v>
      </c>
      <c r="D261" s="457">
        <v>200</v>
      </c>
      <c r="E261" s="528">
        <v>3.2</v>
      </c>
      <c r="F261" s="481">
        <f t="shared" si="0"/>
        <v>640</v>
      </c>
    </row>
    <row r="262" spans="1:6">
      <c r="A262" s="455"/>
      <c r="F262" s="481"/>
    </row>
    <row r="263" spans="1:6">
      <c r="A263" s="452" t="str">
        <f>A246</f>
        <v>36.00.</v>
      </c>
      <c r="B263" s="483" t="str">
        <f>B246</f>
        <v>INSTALACIJSKI KABELI</v>
      </c>
      <c r="C263" s="462" t="s">
        <v>1703</v>
      </c>
      <c r="D263" s="462"/>
      <c r="E263" s="471"/>
      <c r="F263" s="471">
        <f>SUM(F249:F262)</f>
        <v>64858.400000000001</v>
      </c>
    </row>
    <row r="264" spans="1:6">
      <c r="A264" s="455"/>
      <c r="B264" s="482"/>
      <c r="C264" s="462"/>
      <c r="D264" s="462"/>
      <c r="E264" s="524"/>
      <c r="F264" s="525"/>
    </row>
    <row r="265" spans="1:6">
      <c r="A265" s="455"/>
      <c r="B265" s="482"/>
      <c r="C265" s="462"/>
      <c r="D265" s="462"/>
      <c r="E265" s="524"/>
      <c r="F265" s="525"/>
    </row>
    <row r="266" spans="1:6">
      <c r="A266" s="484" t="s">
        <v>1899</v>
      </c>
      <c r="B266" s="522" t="s">
        <v>1900</v>
      </c>
      <c r="C266" s="523"/>
      <c r="D266" s="523"/>
      <c r="E266" s="471"/>
      <c r="F266" s="471"/>
    </row>
    <row r="267" spans="1:6">
      <c r="C267" s="457"/>
      <c r="D267" s="457"/>
      <c r="E267" s="481"/>
      <c r="F267" s="481"/>
    </row>
    <row r="268" spans="1:6" ht="193.2">
      <c r="A268" s="455" t="s">
        <v>1901</v>
      </c>
      <c r="B268" s="435" t="s">
        <v>1885</v>
      </c>
      <c r="C268" s="457"/>
      <c r="D268" s="457"/>
      <c r="F268" s="481"/>
    </row>
    <row r="269" spans="1:6">
      <c r="A269" s="455"/>
      <c r="B269" s="435" t="s">
        <v>1902</v>
      </c>
      <c r="C269" s="457" t="s">
        <v>748</v>
      </c>
      <c r="D269" s="457">
        <v>70</v>
      </c>
      <c r="E269" s="528">
        <v>85</v>
      </c>
      <c r="F269" s="481">
        <f>D269*E269</f>
        <v>5950</v>
      </c>
    </row>
    <row r="270" spans="1:6">
      <c r="A270" s="455"/>
      <c r="B270" s="435" t="s">
        <v>1903</v>
      </c>
      <c r="C270" s="457" t="s">
        <v>748</v>
      </c>
      <c r="D270" s="457">
        <v>150</v>
      </c>
      <c r="E270" s="528">
        <v>21.56</v>
      </c>
      <c r="F270" s="481">
        <f>D270*E270</f>
        <v>3234</v>
      </c>
    </row>
    <row r="271" spans="1:6">
      <c r="A271" s="455"/>
      <c r="B271" s="435" t="s">
        <v>1892</v>
      </c>
      <c r="C271" s="457" t="s">
        <v>748</v>
      </c>
      <c r="D271" s="457">
        <v>130</v>
      </c>
      <c r="E271" s="528">
        <v>21.38</v>
      </c>
      <c r="F271" s="481">
        <f>D271*E271</f>
        <v>2779.4</v>
      </c>
    </row>
    <row r="272" spans="1:6">
      <c r="A272" s="455"/>
      <c r="B272" s="435" t="s">
        <v>1904</v>
      </c>
      <c r="C272" s="457" t="s">
        <v>748</v>
      </c>
      <c r="D272" s="457">
        <v>20</v>
      </c>
      <c r="E272" s="528">
        <v>12.74</v>
      </c>
      <c r="F272" s="481">
        <f>D272*E272</f>
        <v>254.8</v>
      </c>
    </row>
    <row r="273" spans="1:7">
      <c r="C273" s="457"/>
      <c r="D273" s="457"/>
      <c r="E273" s="481"/>
      <c r="F273" s="481"/>
    </row>
    <row r="274" spans="1:7">
      <c r="A274" s="452" t="str">
        <f>A266</f>
        <v>37.00.</v>
      </c>
      <c r="B274" s="483" t="str">
        <f>B266</f>
        <v>ENERGETSKI RASPLET</v>
      </c>
      <c r="C274" s="462" t="s">
        <v>1703</v>
      </c>
      <c r="D274" s="462"/>
      <c r="E274" s="471"/>
      <c r="F274" s="471">
        <f>SUM(F269:F273)</f>
        <v>12218.199999999999</v>
      </c>
    </row>
    <row r="275" spans="1:7" s="472" customFormat="1">
      <c r="A275" s="455"/>
      <c r="B275" s="482"/>
      <c r="C275" s="462"/>
      <c r="D275" s="462"/>
      <c r="E275" s="524"/>
      <c r="F275" s="525"/>
      <c r="G275" s="438"/>
    </row>
    <row r="276" spans="1:7" s="480" customFormat="1">
      <c r="A276" s="455"/>
      <c r="B276" s="482"/>
      <c r="C276" s="462"/>
      <c r="D276" s="462"/>
      <c r="E276" s="524"/>
      <c r="F276" s="525"/>
      <c r="G276" s="438"/>
    </row>
    <row r="277" spans="1:7">
      <c r="A277" s="484" t="s">
        <v>1905</v>
      </c>
      <c r="B277" s="522" t="s">
        <v>1906</v>
      </c>
      <c r="C277" s="523"/>
      <c r="D277" s="523"/>
      <c r="E277" s="471"/>
      <c r="F277" s="471"/>
    </row>
    <row r="278" spans="1:7" ht="15" customHeight="1">
      <c r="A278" s="440"/>
      <c r="B278" s="474"/>
      <c r="E278" s="475"/>
      <c r="F278" s="471"/>
      <c r="G278" s="476"/>
    </row>
    <row r="279" spans="1:7" ht="82.8">
      <c r="A279" s="477"/>
      <c r="B279" s="478" t="s">
        <v>1907</v>
      </c>
      <c r="C279" s="457"/>
      <c r="D279" s="457"/>
      <c r="E279" s="458"/>
      <c r="F279" s="479"/>
      <c r="G279" s="476"/>
    </row>
    <row r="280" spans="1:7">
      <c r="C280" s="457"/>
      <c r="D280" s="457"/>
      <c r="E280" s="481"/>
      <c r="F280" s="481"/>
    </row>
    <row r="281" spans="1:7" ht="55.2">
      <c r="A281" s="455" t="s">
        <v>1908</v>
      </c>
      <c r="B281" s="435" t="s">
        <v>1909</v>
      </c>
      <c r="C281" s="457" t="s">
        <v>345</v>
      </c>
      <c r="D281" s="457">
        <v>15</v>
      </c>
      <c r="E281" s="439">
        <v>32</v>
      </c>
      <c r="F281" s="481">
        <f>D281*E281</f>
        <v>480</v>
      </c>
    </row>
    <row r="282" spans="1:7">
      <c r="C282" s="457"/>
      <c r="D282" s="457"/>
      <c r="E282" s="528"/>
      <c r="F282" s="481"/>
    </row>
    <row r="283" spans="1:7">
      <c r="A283" s="455" t="s">
        <v>1910</v>
      </c>
      <c r="B283" s="435" t="s">
        <v>1911</v>
      </c>
      <c r="C283" s="457" t="s">
        <v>748</v>
      </c>
      <c r="D283" s="457">
        <v>1000</v>
      </c>
      <c r="E283" s="439">
        <v>3.76</v>
      </c>
      <c r="F283" s="481">
        <f>D283*E283</f>
        <v>3760</v>
      </c>
    </row>
    <row r="284" spans="1:7">
      <c r="C284" s="457"/>
      <c r="D284" s="457"/>
      <c r="E284" s="528"/>
      <c r="F284" s="481"/>
    </row>
    <row r="285" spans="1:7">
      <c r="A285" s="455" t="s">
        <v>1912</v>
      </c>
      <c r="B285" s="435" t="s">
        <v>1913</v>
      </c>
      <c r="C285" s="457" t="s">
        <v>748</v>
      </c>
      <c r="D285" s="457">
        <v>700</v>
      </c>
      <c r="E285" s="439">
        <v>2.5299999999999998</v>
      </c>
      <c r="F285" s="481">
        <f>D285*E285</f>
        <v>1770.9999999999998</v>
      </c>
    </row>
    <row r="286" spans="1:7">
      <c r="C286" s="457"/>
      <c r="D286" s="457"/>
      <c r="E286" s="481"/>
      <c r="F286" s="481"/>
    </row>
    <row r="287" spans="1:7">
      <c r="A287" s="452" t="s">
        <v>1914</v>
      </c>
      <c r="B287" s="483" t="str">
        <f>B277</f>
        <v>IZJEDNAČENJE POTENCIJALA</v>
      </c>
      <c r="C287" s="462" t="s">
        <v>1703</v>
      </c>
      <c r="D287" s="462"/>
      <c r="E287" s="471"/>
      <c r="F287" s="471">
        <f>SUM(F277:F286)</f>
        <v>6011</v>
      </c>
    </row>
    <row r="288" spans="1:7" s="472" customFormat="1">
      <c r="A288" s="455"/>
      <c r="B288" s="482"/>
      <c r="C288" s="462"/>
      <c r="D288" s="462"/>
      <c r="E288" s="524"/>
      <c r="F288" s="525"/>
      <c r="G288" s="438"/>
    </row>
    <row r="289" spans="1:7" s="480" customFormat="1">
      <c r="A289" s="455"/>
      <c r="B289" s="482"/>
      <c r="C289" s="462"/>
      <c r="D289" s="462"/>
      <c r="E289" s="524"/>
      <c r="F289" s="525"/>
      <c r="G289" s="438"/>
    </row>
    <row r="290" spans="1:7" s="480" customFormat="1">
      <c r="A290" s="484" t="s">
        <v>1915</v>
      </c>
      <c r="B290" s="522" t="s">
        <v>1916</v>
      </c>
      <c r="C290" s="523"/>
      <c r="D290" s="523"/>
      <c r="E290" s="471"/>
      <c r="F290" s="471"/>
      <c r="G290" s="438"/>
    </row>
    <row r="291" spans="1:7" s="480" customFormat="1" ht="15" customHeight="1">
      <c r="A291" s="440"/>
      <c r="B291" s="474"/>
      <c r="C291" s="436"/>
      <c r="D291" s="436"/>
      <c r="E291" s="475"/>
      <c r="F291" s="471"/>
      <c r="G291" s="476"/>
    </row>
    <row r="292" spans="1:7" s="480" customFormat="1" ht="69">
      <c r="A292" s="477"/>
      <c r="B292" s="478" t="s">
        <v>1917</v>
      </c>
      <c r="C292" s="457"/>
      <c r="D292" s="457"/>
      <c r="E292" s="458"/>
      <c r="F292" s="479"/>
      <c r="G292" s="476"/>
    </row>
    <row r="293" spans="1:7">
      <c r="A293" s="477"/>
      <c r="B293" s="478"/>
      <c r="C293" s="457"/>
      <c r="D293" s="457"/>
      <c r="E293" s="458"/>
      <c r="F293" s="479"/>
      <c r="G293" s="476"/>
    </row>
    <row r="294" spans="1:7">
      <c r="A294" s="440" t="s">
        <v>1918</v>
      </c>
      <c r="B294" s="478" t="s">
        <v>1919</v>
      </c>
      <c r="C294" s="457"/>
      <c r="D294" s="457"/>
      <c r="E294" s="458"/>
      <c r="F294" s="479"/>
      <c r="G294" s="476"/>
    </row>
    <row r="295" spans="1:7" ht="41.4">
      <c r="A295" s="477"/>
      <c r="B295" s="478" t="s">
        <v>1920</v>
      </c>
      <c r="C295" s="457"/>
      <c r="D295" s="457"/>
      <c r="E295" s="458"/>
      <c r="F295" s="479"/>
      <c r="G295" s="476"/>
    </row>
    <row r="296" spans="1:7">
      <c r="B296" s="435" t="s">
        <v>1921</v>
      </c>
      <c r="C296" s="457" t="s">
        <v>748</v>
      </c>
      <c r="D296" s="457">
        <v>300</v>
      </c>
      <c r="E296" s="528">
        <v>3</v>
      </c>
      <c r="F296" s="481">
        <f t="shared" ref="F296:F301" si="1">D296*E296</f>
        <v>900</v>
      </c>
    </row>
    <row r="297" spans="1:7" s="480" customFormat="1">
      <c r="A297" s="434"/>
      <c r="B297" s="435" t="s">
        <v>1922</v>
      </c>
      <c r="C297" s="457" t="s">
        <v>748</v>
      </c>
      <c r="D297" s="457">
        <v>11000</v>
      </c>
      <c r="E297" s="528">
        <v>1.6</v>
      </c>
      <c r="F297" s="481">
        <f t="shared" si="1"/>
        <v>17600</v>
      </c>
      <c r="G297" s="438"/>
    </row>
    <row r="298" spans="1:7" s="480" customFormat="1">
      <c r="A298" s="434"/>
      <c r="B298" s="435" t="s">
        <v>1923</v>
      </c>
      <c r="C298" s="457" t="s">
        <v>748</v>
      </c>
      <c r="D298" s="457">
        <v>800</v>
      </c>
      <c r="E298" s="528">
        <v>3</v>
      </c>
      <c r="F298" s="481">
        <f t="shared" si="1"/>
        <v>2400</v>
      </c>
      <c r="G298" s="438"/>
    </row>
    <row r="299" spans="1:7" s="480" customFormat="1">
      <c r="A299" s="434"/>
      <c r="B299" s="435" t="s">
        <v>1924</v>
      </c>
      <c r="C299" s="457" t="s">
        <v>748</v>
      </c>
      <c r="D299" s="457">
        <v>700</v>
      </c>
      <c r="E299" s="528">
        <v>4.2</v>
      </c>
      <c r="F299" s="481">
        <f t="shared" si="1"/>
        <v>2940</v>
      </c>
      <c r="G299" s="438"/>
    </row>
    <row r="300" spans="1:7" s="480" customFormat="1">
      <c r="A300" s="477"/>
      <c r="B300" s="478" t="s">
        <v>1925</v>
      </c>
      <c r="C300" s="457" t="s">
        <v>748</v>
      </c>
      <c r="D300" s="457">
        <v>200</v>
      </c>
      <c r="E300" s="528">
        <v>5</v>
      </c>
      <c r="F300" s="481">
        <f t="shared" si="1"/>
        <v>1000</v>
      </c>
      <c r="G300" s="476"/>
    </row>
    <row r="301" spans="1:7">
      <c r="A301" s="477"/>
      <c r="B301" s="478" t="s">
        <v>1926</v>
      </c>
      <c r="C301" s="457" t="s">
        <v>748</v>
      </c>
      <c r="D301" s="457">
        <v>700</v>
      </c>
      <c r="E301" s="528">
        <v>5</v>
      </c>
      <c r="F301" s="481">
        <f t="shared" si="1"/>
        <v>3500</v>
      </c>
      <c r="G301" s="476"/>
    </row>
    <row r="302" spans="1:7">
      <c r="A302" s="477"/>
      <c r="B302" s="478"/>
      <c r="C302" s="457"/>
      <c r="D302" s="457"/>
      <c r="E302" s="528"/>
      <c r="F302" s="481"/>
      <c r="G302" s="476"/>
    </row>
    <row r="303" spans="1:7" ht="27.6">
      <c r="A303" s="440" t="s">
        <v>1927</v>
      </c>
      <c r="B303" s="526" t="s">
        <v>1928</v>
      </c>
      <c r="C303" s="527" t="s">
        <v>345</v>
      </c>
      <c r="D303" s="527">
        <v>1</v>
      </c>
      <c r="E303" s="528">
        <v>1100</v>
      </c>
      <c r="F303" s="528">
        <f>D303*E303</f>
        <v>1100</v>
      </c>
      <c r="G303" s="476"/>
    </row>
    <row r="304" spans="1:7">
      <c r="C304" s="457"/>
      <c r="D304" s="457"/>
      <c r="E304" s="481"/>
      <c r="F304" s="481"/>
    </row>
    <row r="305" spans="1:7">
      <c r="A305" s="452" t="str">
        <f>A290</f>
        <v>39.00.</v>
      </c>
      <c r="B305" s="483" t="str">
        <f>B290</f>
        <v>INSTALACIJSKE CIJEVI I ZDENCI</v>
      </c>
      <c r="C305" s="462" t="s">
        <v>1703</v>
      </c>
      <c r="D305" s="462"/>
      <c r="E305" s="471"/>
      <c r="F305" s="471">
        <f>SUM(F290:F304)</f>
        <v>29440</v>
      </c>
    </row>
    <row r="306" spans="1:7" s="472" customFormat="1">
      <c r="A306" s="455"/>
      <c r="B306" s="482"/>
      <c r="C306" s="462"/>
      <c r="D306" s="462"/>
      <c r="E306" s="524"/>
      <c r="F306" s="525"/>
      <c r="G306" s="438"/>
    </row>
    <row r="307" spans="1:7" s="480" customFormat="1">
      <c r="A307" s="455"/>
      <c r="B307" s="482"/>
      <c r="C307" s="462"/>
      <c r="D307" s="462"/>
      <c r="E307" s="524"/>
      <c r="F307" s="525"/>
      <c r="G307" s="438"/>
    </row>
    <row r="308" spans="1:7">
      <c r="A308" s="484" t="s">
        <v>1929</v>
      </c>
      <c r="B308" s="522" t="s">
        <v>1930</v>
      </c>
      <c r="C308" s="523"/>
      <c r="D308" s="523"/>
      <c r="E308" s="471"/>
      <c r="F308" s="471"/>
    </row>
    <row r="309" spans="1:7" ht="15" customHeight="1">
      <c r="A309" s="440"/>
      <c r="B309" s="474"/>
      <c r="E309" s="475"/>
      <c r="F309" s="471"/>
      <c r="G309" s="476"/>
    </row>
    <row r="310" spans="1:7" ht="96.6">
      <c r="A310" s="477"/>
      <c r="B310" s="478" t="s">
        <v>1931</v>
      </c>
      <c r="C310" s="457"/>
      <c r="D310" s="457"/>
      <c r="E310" s="458"/>
      <c r="F310" s="479"/>
      <c r="G310" s="476"/>
    </row>
    <row r="311" spans="1:7">
      <c r="A311" s="440"/>
      <c r="B311" s="529"/>
      <c r="C311" s="530"/>
      <c r="D311" s="530"/>
      <c r="F311" s="451"/>
    </row>
    <row r="312" spans="1:7" ht="27.6">
      <c r="A312" s="440" t="s">
        <v>1932</v>
      </c>
      <c r="B312" s="435" t="s">
        <v>1933</v>
      </c>
    </row>
    <row r="313" spans="1:7">
      <c r="A313" s="440"/>
      <c r="B313" s="435" t="s">
        <v>1934</v>
      </c>
      <c r="C313" s="436" t="s">
        <v>345</v>
      </c>
      <c r="D313" s="436">
        <v>106</v>
      </c>
      <c r="E313" s="437">
        <v>11.4</v>
      </c>
      <c r="F313" s="437">
        <f>D313*E313</f>
        <v>1208.4000000000001</v>
      </c>
    </row>
    <row r="314" spans="1:7">
      <c r="A314" s="440"/>
      <c r="B314" s="497" t="s">
        <v>1935</v>
      </c>
      <c r="C314" s="531" t="s">
        <v>345</v>
      </c>
      <c r="D314" s="531">
        <v>6</v>
      </c>
      <c r="E314" s="439">
        <v>12</v>
      </c>
      <c r="F314" s="439">
        <f>D314*E314</f>
        <v>72</v>
      </c>
    </row>
    <row r="315" spans="1:7">
      <c r="A315" s="440"/>
      <c r="B315" s="497"/>
      <c r="C315" s="531"/>
      <c r="D315" s="531"/>
      <c r="E315" s="439"/>
      <c r="F315" s="439"/>
    </row>
    <row r="316" spans="1:7" ht="27.6">
      <c r="A316" s="440" t="s">
        <v>1936</v>
      </c>
      <c r="B316" s="497" t="s">
        <v>1937</v>
      </c>
      <c r="C316" s="531" t="s">
        <v>345</v>
      </c>
      <c r="D316" s="531"/>
      <c r="E316" s="439"/>
      <c r="F316" s="439"/>
    </row>
    <row r="317" spans="1:7">
      <c r="A317" s="440"/>
      <c r="B317" s="497" t="s">
        <v>1934</v>
      </c>
      <c r="C317" s="531" t="s">
        <v>345</v>
      </c>
      <c r="D317" s="531">
        <v>8</v>
      </c>
      <c r="E317" s="439">
        <v>12.4</v>
      </c>
      <c r="F317" s="439">
        <f>D317*E317</f>
        <v>99.2</v>
      </c>
    </row>
    <row r="318" spans="1:7">
      <c r="A318" s="440"/>
      <c r="B318" s="497" t="s">
        <v>1935</v>
      </c>
      <c r="C318" s="531" t="s">
        <v>345</v>
      </c>
      <c r="D318" s="531">
        <v>2</v>
      </c>
      <c r="E318" s="439">
        <v>13</v>
      </c>
      <c r="F318" s="439">
        <f>D318*E318</f>
        <v>26</v>
      </c>
    </row>
    <row r="319" spans="1:7">
      <c r="A319" s="440"/>
      <c r="B319" s="497"/>
      <c r="C319" s="531"/>
      <c r="D319" s="531"/>
      <c r="E319" s="439"/>
      <c r="F319" s="439"/>
    </row>
    <row r="320" spans="1:7" ht="27.6">
      <c r="A320" s="440" t="s">
        <v>1938</v>
      </c>
      <c r="B320" s="497" t="s">
        <v>1939</v>
      </c>
      <c r="C320" s="531" t="s">
        <v>345</v>
      </c>
      <c r="D320" s="531">
        <v>4</v>
      </c>
      <c r="E320" s="439">
        <v>15</v>
      </c>
      <c r="F320" s="439">
        <f>D320*E320</f>
        <v>60</v>
      </c>
    </row>
    <row r="321" spans="1:7">
      <c r="A321" s="440"/>
    </row>
    <row r="322" spans="1:7" ht="27.6">
      <c r="A322" s="440" t="s">
        <v>1940</v>
      </c>
      <c r="B322" s="435" t="s">
        <v>1941</v>
      </c>
      <c r="C322" s="436" t="s">
        <v>345</v>
      </c>
      <c r="D322" s="436">
        <v>57</v>
      </c>
      <c r="E322" s="437">
        <v>56</v>
      </c>
      <c r="F322" s="437">
        <f>D322*E322</f>
        <v>3192</v>
      </c>
    </row>
    <row r="323" spans="1:7">
      <c r="A323" s="455"/>
    </row>
    <row r="324" spans="1:7">
      <c r="A324" s="452" t="str">
        <f>A308</f>
        <v>40.00.</v>
      </c>
      <c r="B324" s="483" t="str">
        <f>B308</f>
        <v>PREKIDAČI</v>
      </c>
      <c r="C324" s="462" t="s">
        <v>1703</v>
      </c>
      <c r="D324" s="462"/>
      <c r="E324" s="471"/>
      <c r="F324" s="471">
        <f>SUM(F312:F323)</f>
        <v>4657.6000000000004</v>
      </c>
    </row>
    <row r="325" spans="1:7" s="472" customFormat="1">
      <c r="A325" s="455"/>
      <c r="B325" s="482"/>
      <c r="C325" s="462"/>
      <c r="D325" s="462"/>
      <c r="E325" s="524"/>
      <c r="F325" s="525"/>
      <c r="G325" s="438"/>
    </row>
    <row r="326" spans="1:7" s="480" customFormat="1">
      <c r="A326" s="455"/>
      <c r="B326" s="482"/>
      <c r="C326" s="462"/>
      <c r="D326" s="462"/>
      <c r="E326" s="524"/>
      <c r="F326" s="525"/>
      <c r="G326" s="438"/>
    </row>
    <row r="327" spans="1:7">
      <c r="A327" s="484" t="s">
        <v>1942</v>
      </c>
      <c r="B327" s="522" t="s">
        <v>1943</v>
      </c>
      <c r="C327" s="523"/>
      <c r="D327" s="523"/>
      <c r="E327" s="471"/>
      <c r="F327" s="471"/>
    </row>
    <row r="328" spans="1:7" ht="15" customHeight="1">
      <c r="A328" s="440"/>
      <c r="B328" s="474"/>
      <c r="E328" s="475"/>
      <c r="F328" s="471"/>
      <c r="G328" s="476"/>
    </row>
    <row r="329" spans="1:7" ht="110.4">
      <c r="A329" s="477"/>
      <c r="B329" s="478" t="s">
        <v>1944</v>
      </c>
      <c r="C329" s="457"/>
      <c r="D329" s="457"/>
      <c r="E329" s="458"/>
      <c r="F329" s="479"/>
      <c r="G329" s="476"/>
    </row>
    <row r="330" spans="1:7" s="438" customFormat="1">
      <c r="A330" s="434"/>
      <c r="B330" s="435"/>
      <c r="C330" s="436"/>
      <c r="D330" s="436"/>
      <c r="E330" s="437"/>
      <c r="F330" s="437"/>
    </row>
    <row r="331" spans="1:7" s="438" customFormat="1" ht="27.6">
      <c r="A331" s="440" t="s">
        <v>1945</v>
      </c>
      <c r="B331" s="497" t="s">
        <v>1946</v>
      </c>
      <c r="C331" s="531" t="s">
        <v>345</v>
      </c>
      <c r="D331" s="531">
        <v>113</v>
      </c>
      <c r="E331" s="439">
        <v>13.55</v>
      </c>
      <c r="F331" s="439">
        <f>D331*E331</f>
        <v>1531.15</v>
      </c>
    </row>
    <row r="332" spans="1:7" s="438" customFormat="1">
      <c r="A332" s="440"/>
      <c r="B332" s="497"/>
      <c r="C332" s="531"/>
      <c r="D332" s="531"/>
      <c r="E332" s="439"/>
      <c r="F332" s="439"/>
    </row>
    <row r="333" spans="1:7" ht="27.6">
      <c r="A333" s="440" t="s">
        <v>1947</v>
      </c>
      <c r="B333" s="532" t="s">
        <v>1948</v>
      </c>
      <c r="C333" s="531" t="s">
        <v>345</v>
      </c>
      <c r="D333" s="533">
        <v>10</v>
      </c>
      <c r="E333" s="736">
        <v>27</v>
      </c>
      <c r="F333" s="534">
        <f>$D333*E333</f>
        <v>270</v>
      </c>
    </row>
    <row r="334" spans="1:7" s="438" customFormat="1">
      <c r="A334" s="535"/>
      <c r="B334" s="532"/>
      <c r="C334" s="531"/>
      <c r="D334" s="533"/>
      <c r="E334" s="736"/>
      <c r="F334" s="534"/>
    </row>
    <row r="335" spans="1:7" ht="27.6">
      <c r="A335" s="440" t="s">
        <v>1949</v>
      </c>
      <c r="B335" s="532" t="s">
        <v>1950</v>
      </c>
      <c r="C335" s="531" t="s">
        <v>345</v>
      </c>
      <c r="D335" s="533">
        <v>4</v>
      </c>
      <c r="E335" s="736">
        <v>40</v>
      </c>
      <c r="F335" s="534">
        <f>$D335*E335</f>
        <v>160</v>
      </c>
    </row>
    <row r="336" spans="1:7" s="438" customFormat="1">
      <c r="A336" s="535"/>
      <c r="B336" s="536"/>
      <c r="C336" s="436"/>
      <c r="D336" s="467"/>
      <c r="E336" s="736"/>
      <c r="F336" s="451"/>
    </row>
    <row r="337" spans="1:6" ht="27.6">
      <c r="A337" s="440" t="s">
        <v>1951</v>
      </c>
      <c r="B337" s="536" t="s">
        <v>1952</v>
      </c>
      <c r="C337" s="436" t="s">
        <v>345</v>
      </c>
      <c r="D337" s="467">
        <v>25</v>
      </c>
      <c r="E337" s="736">
        <v>15</v>
      </c>
      <c r="F337" s="451">
        <f>$D337*E337</f>
        <v>375</v>
      </c>
    </row>
    <row r="338" spans="1:6" s="438" customFormat="1">
      <c r="A338" s="440"/>
      <c r="B338" s="537"/>
      <c r="C338" s="436"/>
      <c r="D338" s="467"/>
      <c r="E338" s="736"/>
      <c r="F338" s="451"/>
    </row>
    <row r="339" spans="1:6">
      <c r="A339" s="440" t="s">
        <v>1953</v>
      </c>
      <c r="B339" s="536" t="s">
        <v>1954</v>
      </c>
      <c r="C339" s="436" t="s">
        <v>345</v>
      </c>
      <c r="D339" s="467">
        <v>1</v>
      </c>
      <c r="E339" s="736">
        <v>27</v>
      </c>
      <c r="F339" s="451">
        <f>$D339*E339</f>
        <v>27</v>
      </c>
    </row>
    <row r="340" spans="1:6" s="438" customFormat="1">
      <c r="A340" s="535"/>
      <c r="B340" s="536"/>
      <c r="C340" s="436"/>
      <c r="D340" s="467"/>
      <c r="E340" s="736"/>
      <c r="F340" s="451"/>
    </row>
    <row r="341" spans="1:6" ht="13.5" customHeight="1">
      <c r="A341" s="440" t="s">
        <v>1955</v>
      </c>
      <c r="B341" s="536" t="s">
        <v>1956</v>
      </c>
      <c r="C341" s="436" t="s">
        <v>345</v>
      </c>
      <c r="D341" s="467">
        <v>7</v>
      </c>
      <c r="E341" s="736">
        <v>15</v>
      </c>
      <c r="F341" s="451">
        <f>$D341*E341</f>
        <v>105</v>
      </c>
    </row>
    <row r="342" spans="1:6" s="438" customFormat="1">
      <c r="A342" s="440"/>
      <c r="B342" s="537"/>
      <c r="C342" s="436"/>
      <c r="D342" s="467"/>
      <c r="E342" s="736"/>
      <c r="F342" s="451"/>
    </row>
    <row r="343" spans="1:6" ht="41.4">
      <c r="A343" s="440" t="s">
        <v>1957</v>
      </c>
      <c r="B343" s="435" t="s">
        <v>1958</v>
      </c>
      <c r="C343" s="436" t="s">
        <v>345</v>
      </c>
      <c r="D343" s="467">
        <v>22</v>
      </c>
      <c r="E343" s="736">
        <v>31</v>
      </c>
      <c r="F343" s="451">
        <f>$D343*E343</f>
        <v>682</v>
      </c>
    </row>
    <row r="344" spans="1:6">
      <c r="A344" s="440"/>
      <c r="B344" s="537"/>
      <c r="D344" s="467"/>
      <c r="E344" s="534"/>
      <c r="F344" s="451"/>
    </row>
    <row r="345" spans="1:6" ht="55.2">
      <c r="A345" s="440" t="s">
        <v>1959</v>
      </c>
      <c r="B345" s="435" t="s">
        <v>1960</v>
      </c>
      <c r="C345" s="436" t="s">
        <v>345</v>
      </c>
      <c r="D345" s="467">
        <v>4</v>
      </c>
      <c r="E345" s="736">
        <v>78</v>
      </c>
      <c r="F345" s="451">
        <f>$D345*E345</f>
        <v>312</v>
      </c>
    </row>
    <row r="346" spans="1:6">
      <c r="A346" s="440"/>
      <c r="B346" s="537"/>
      <c r="D346" s="467"/>
      <c r="E346" s="534"/>
      <c r="F346" s="451"/>
    </row>
    <row r="347" spans="1:6" ht="41.4">
      <c r="A347" s="440" t="s">
        <v>1961</v>
      </c>
      <c r="B347" s="435" t="s">
        <v>1962</v>
      </c>
      <c r="E347" s="439"/>
    </row>
    <row r="348" spans="1:6" ht="15" customHeight="1">
      <c r="A348" s="440"/>
      <c r="B348" s="435" t="s">
        <v>1963</v>
      </c>
      <c r="C348" s="436" t="s">
        <v>345</v>
      </c>
      <c r="D348" s="436">
        <v>3</v>
      </c>
      <c r="E348" s="439">
        <v>210</v>
      </c>
      <c r="F348" s="437">
        <f>D348*E348</f>
        <v>630</v>
      </c>
    </row>
    <row r="349" spans="1:6" ht="15" customHeight="1">
      <c r="A349" s="440"/>
      <c r="B349" s="435" t="s">
        <v>1964</v>
      </c>
      <c r="C349" s="436" t="s">
        <v>345</v>
      </c>
      <c r="D349" s="436">
        <v>1</v>
      </c>
      <c r="E349" s="439">
        <v>98</v>
      </c>
      <c r="F349" s="437">
        <f>D349*E349</f>
        <v>98</v>
      </c>
    </row>
    <row r="350" spans="1:6" ht="15" customHeight="1">
      <c r="A350" s="440"/>
      <c r="E350" s="439"/>
    </row>
    <row r="351" spans="1:6" ht="25.5" customHeight="1">
      <c r="A351" s="440" t="s">
        <v>1965</v>
      </c>
      <c r="B351" s="435" t="s">
        <v>1966</v>
      </c>
      <c r="C351" s="436" t="s">
        <v>345</v>
      </c>
      <c r="D351" s="436">
        <v>34</v>
      </c>
      <c r="E351" s="439">
        <v>16.5</v>
      </c>
      <c r="F351" s="437">
        <f>D351*E351</f>
        <v>561</v>
      </c>
    </row>
    <row r="352" spans="1:6" ht="14.25" customHeight="1"/>
    <row r="353" spans="1:7">
      <c r="A353" s="452" t="str">
        <f>A327</f>
        <v>41.00.</v>
      </c>
      <c r="B353" s="483" t="str">
        <f>B327</f>
        <v>UTIČNICE I PODNE KUTIJE</v>
      </c>
      <c r="C353" s="462" t="s">
        <v>1703</v>
      </c>
      <c r="D353" s="462"/>
      <c r="E353" s="471"/>
      <c r="F353" s="471">
        <f>SUM(F331:F352)</f>
        <v>4751.1499999999996</v>
      </c>
    </row>
    <row r="354" spans="1:7">
      <c r="A354" s="455"/>
      <c r="B354" s="482"/>
      <c r="C354" s="462"/>
      <c r="D354" s="462"/>
      <c r="E354" s="524"/>
      <c r="F354" s="525"/>
    </row>
    <row r="355" spans="1:7">
      <c r="A355" s="455"/>
      <c r="B355" s="482"/>
      <c r="C355" s="462"/>
      <c r="D355" s="462"/>
      <c r="E355" s="524"/>
      <c r="F355" s="525"/>
    </row>
    <row r="356" spans="1:7">
      <c r="A356" s="484" t="s">
        <v>1967</v>
      </c>
      <c r="B356" s="522" t="s">
        <v>1968</v>
      </c>
      <c r="C356" s="523"/>
      <c r="D356" s="523"/>
      <c r="E356" s="471"/>
      <c r="F356" s="471"/>
    </row>
    <row r="357" spans="1:7">
      <c r="A357" s="440"/>
      <c r="B357" s="529"/>
      <c r="E357" s="451"/>
      <c r="F357" s="451"/>
    </row>
    <row r="358" spans="1:7" ht="69">
      <c r="A358" s="440" t="s">
        <v>1969</v>
      </c>
      <c r="B358" s="435" t="s">
        <v>1970</v>
      </c>
      <c r="C358" s="436" t="s">
        <v>748</v>
      </c>
      <c r="D358" s="436">
        <v>150</v>
      </c>
      <c r="E358" s="439">
        <v>45</v>
      </c>
      <c r="F358" s="437">
        <f>D358*E358</f>
        <v>6750</v>
      </c>
    </row>
    <row r="359" spans="1:7">
      <c r="A359" s="440"/>
      <c r="E359" s="439"/>
    </row>
    <row r="360" spans="1:7" ht="55.2">
      <c r="A360" s="440" t="s">
        <v>1971</v>
      </c>
      <c r="B360" s="435" t="s">
        <v>1972</v>
      </c>
      <c r="C360" s="436" t="s">
        <v>748</v>
      </c>
      <c r="D360" s="436">
        <v>100</v>
      </c>
      <c r="E360" s="439">
        <v>38</v>
      </c>
      <c r="F360" s="437">
        <f>D360*E360</f>
        <v>3800</v>
      </c>
    </row>
    <row r="361" spans="1:7">
      <c r="A361" s="440"/>
      <c r="B361" s="529"/>
      <c r="E361" s="534"/>
      <c r="F361" s="451"/>
    </row>
    <row r="362" spans="1:7" ht="55.2">
      <c r="A362" s="440" t="s">
        <v>1973</v>
      </c>
      <c r="B362" s="435" t="s">
        <v>1974</v>
      </c>
      <c r="C362" s="436" t="s">
        <v>748</v>
      </c>
      <c r="D362" s="436">
        <v>120</v>
      </c>
      <c r="E362" s="439">
        <v>29</v>
      </c>
      <c r="F362" s="437">
        <f>D362*E362</f>
        <v>3480</v>
      </c>
    </row>
    <row r="363" spans="1:7">
      <c r="A363" s="440"/>
      <c r="B363" s="529"/>
      <c r="E363" s="451"/>
      <c r="F363" s="451"/>
    </row>
    <row r="364" spans="1:7">
      <c r="A364" s="452" t="str">
        <f>A356</f>
        <v>42.00.</v>
      </c>
      <c r="B364" s="483" t="str">
        <f>B356</f>
        <v>KABELSKE KANALICE</v>
      </c>
      <c r="C364" s="462" t="s">
        <v>1703</v>
      </c>
      <c r="D364" s="462"/>
      <c r="E364" s="471"/>
      <c r="F364" s="471">
        <f>SUM(F358:F363)</f>
        <v>14030</v>
      </c>
    </row>
    <row r="365" spans="1:7">
      <c r="A365" s="455"/>
      <c r="B365" s="482"/>
      <c r="C365" s="462"/>
      <c r="D365" s="462"/>
      <c r="E365" s="524"/>
      <c r="F365" s="525"/>
    </row>
    <row r="366" spans="1:7" s="480" customFormat="1">
      <c r="A366" s="455"/>
      <c r="B366" s="482"/>
      <c r="C366" s="462"/>
      <c r="D366" s="462"/>
      <c r="E366" s="524"/>
      <c r="F366" s="525"/>
      <c r="G366" s="438"/>
    </row>
    <row r="367" spans="1:7">
      <c r="A367" s="484" t="s">
        <v>1975</v>
      </c>
      <c r="B367" s="522" t="s">
        <v>1976</v>
      </c>
      <c r="C367" s="523"/>
      <c r="D367" s="523"/>
      <c r="E367" s="471"/>
      <c r="F367" s="471"/>
    </row>
    <row r="368" spans="1:7">
      <c r="A368" s="440"/>
      <c r="B368" s="529"/>
      <c r="E368" s="451"/>
      <c r="F368" s="451"/>
    </row>
    <row r="369" spans="1:7" ht="409.6">
      <c r="A369" s="477"/>
      <c r="B369" s="478" t="s">
        <v>1977</v>
      </c>
      <c r="C369" s="457"/>
      <c r="D369" s="457"/>
      <c r="E369" s="458"/>
      <c r="F369" s="479"/>
      <c r="G369" s="476"/>
    </row>
    <row r="370" spans="1:7">
      <c r="A370" s="440"/>
      <c r="B370" s="529"/>
      <c r="E370" s="451"/>
      <c r="F370" s="451"/>
    </row>
    <row r="371" spans="1:7" ht="358.8">
      <c r="A371" s="440" t="s">
        <v>1978</v>
      </c>
      <c r="B371" s="538" t="s">
        <v>1979</v>
      </c>
      <c r="C371" s="436" t="s">
        <v>345</v>
      </c>
      <c r="D371" s="436">
        <v>7</v>
      </c>
      <c r="E371" s="437">
        <v>330</v>
      </c>
      <c r="F371" s="437">
        <f>D371*E371</f>
        <v>2310</v>
      </c>
    </row>
    <row r="372" spans="1:7">
      <c r="A372" s="440"/>
    </row>
    <row r="373" spans="1:7" ht="345">
      <c r="A373" s="440" t="s">
        <v>1980</v>
      </c>
      <c r="B373" s="538" t="s">
        <v>1981</v>
      </c>
      <c r="C373" s="436" t="s">
        <v>345</v>
      </c>
      <c r="D373" s="436">
        <v>12</v>
      </c>
      <c r="E373" s="437">
        <v>206</v>
      </c>
      <c r="F373" s="437">
        <f>D373*E373</f>
        <v>2472</v>
      </c>
    </row>
    <row r="374" spans="1:7">
      <c r="A374" s="440"/>
      <c r="B374" s="529"/>
      <c r="E374" s="451"/>
      <c r="F374" s="451"/>
    </row>
    <row r="375" spans="1:7" ht="345">
      <c r="A375" s="440" t="s">
        <v>1982</v>
      </c>
      <c r="B375" s="435" t="s">
        <v>1983</v>
      </c>
      <c r="C375" s="436" t="s">
        <v>345</v>
      </c>
      <c r="D375" s="436">
        <v>6</v>
      </c>
      <c r="E375" s="437">
        <v>148</v>
      </c>
      <c r="F375" s="437">
        <f>D375*E375</f>
        <v>888</v>
      </c>
    </row>
    <row r="376" spans="1:7">
      <c r="A376" s="440"/>
      <c r="B376" s="529"/>
      <c r="E376" s="451"/>
      <c r="F376" s="451"/>
    </row>
    <row r="377" spans="1:7" ht="386.4">
      <c r="A377" s="440" t="s">
        <v>1984</v>
      </c>
      <c r="B377" s="435" t="s">
        <v>1985</v>
      </c>
      <c r="C377" s="436" t="s">
        <v>345</v>
      </c>
      <c r="D377" s="436">
        <v>24</v>
      </c>
      <c r="E377" s="437">
        <v>155</v>
      </c>
      <c r="F377" s="437">
        <f>D377*E377</f>
        <v>3720</v>
      </c>
    </row>
    <row r="378" spans="1:7">
      <c r="A378" s="440"/>
    </row>
    <row r="379" spans="1:7" ht="386.4">
      <c r="A379" s="440" t="s">
        <v>1986</v>
      </c>
      <c r="B379" s="435" t="s">
        <v>1987</v>
      </c>
      <c r="C379" s="436" t="s">
        <v>345</v>
      </c>
      <c r="D379" s="436">
        <v>28</v>
      </c>
      <c r="E379" s="437">
        <v>145</v>
      </c>
      <c r="F379" s="437">
        <f>D379*E379</f>
        <v>4060</v>
      </c>
    </row>
    <row r="380" spans="1:7">
      <c r="A380" s="440"/>
    </row>
    <row r="381" spans="1:7" ht="386.4">
      <c r="A381" s="440" t="s">
        <v>1988</v>
      </c>
      <c r="B381" s="538" t="s">
        <v>1989</v>
      </c>
      <c r="C381" s="436" t="s">
        <v>345</v>
      </c>
      <c r="D381" s="436">
        <v>139</v>
      </c>
      <c r="E381" s="439">
        <v>85</v>
      </c>
      <c r="F381" s="437">
        <f>D381*E381</f>
        <v>11815</v>
      </c>
    </row>
    <row r="382" spans="1:7">
      <c r="A382" s="440"/>
      <c r="E382" s="439"/>
    </row>
    <row r="383" spans="1:7" ht="358.8">
      <c r="A383" s="440" t="s">
        <v>1990</v>
      </c>
      <c r="B383" s="538" t="s">
        <v>1991</v>
      </c>
      <c r="C383" s="436" t="s">
        <v>345</v>
      </c>
      <c r="D383" s="436">
        <v>14</v>
      </c>
      <c r="E383" s="439">
        <v>500</v>
      </c>
      <c r="F383" s="437">
        <f>D383*E383</f>
        <v>7000</v>
      </c>
    </row>
    <row r="384" spans="1:7">
      <c r="A384" s="440"/>
      <c r="E384" s="439"/>
    </row>
    <row r="385" spans="1:7" ht="358.8">
      <c r="A385" s="440" t="s">
        <v>1992</v>
      </c>
      <c r="B385" s="538" t="s">
        <v>1993</v>
      </c>
      <c r="C385" s="436" t="s">
        <v>345</v>
      </c>
      <c r="D385" s="436">
        <v>4</v>
      </c>
      <c r="E385" s="439">
        <v>244</v>
      </c>
      <c r="F385" s="437">
        <f>D385*E385</f>
        <v>976</v>
      </c>
    </row>
    <row r="386" spans="1:7">
      <c r="A386" s="440"/>
      <c r="E386" s="439"/>
    </row>
    <row r="387" spans="1:7" ht="358.8">
      <c r="A387" s="440" t="s">
        <v>1994</v>
      </c>
      <c r="B387" s="538" t="s">
        <v>1995</v>
      </c>
      <c r="C387" s="436" t="s">
        <v>345</v>
      </c>
      <c r="D387" s="436">
        <v>14</v>
      </c>
      <c r="E387" s="439">
        <v>302</v>
      </c>
      <c r="F387" s="437">
        <f>D387*E387</f>
        <v>4228</v>
      </c>
    </row>
    <row r="388" spans="1:7">
      <c r="A388" s="440"/>
      <c r="E388" s="439"/>
    </row>
    <row r="389" spans="1:7" ht="345">
      <c r="A389" s="440" t="s">
        <v>1996</v>
      </c>
      <c r="B389" s="538" t="s">
        <v>1997</v>
      </c>
      <c r="C389" s="436" t="s">
        <v>345</v>
      </c>
      <c r="D389" s="436">
        <v>14</v>
      </c>
      <c r="E389" s="439">
        <v>162</v>
      </c>
      <c r="F389" s="437">
        <f>D389*E389</f>
        <v>2268</v>
      </c>
    </row>
    <row r="390" spans="1:7">
      <c r="A390" s="440"/>
      <c r="E390" s="439"/>
    </row>
    <row r="391" spans="1:7" ht="303.60000000000002">
      <c r="A391" s="440" t="s">
        <v>1998</v>
      </c>
      <c r="B391" s="538" t="s">
        <v>1999</v>
      </c>
      <c r="C391" s="436" t="s">
        <v>345</v>
      </c>
      <c r="D391" s="436">
        <v>6</v>
      </c>
      <c r="E391" s="439">
        <v>74</v>
      </c>
      <c r="F391" s="437">
        <f>D391*E391</f>
        <v>444</v>
      </c>
    </row>
    <row r="392" spans="1:7">
      <c r="A392" s="440"/>
      <c r="E392" s="439"/>
    </row>
    <row r="393" spans="1:7" ht="303.60000000000002">
      <c r="A393" s="440" t="s">
        <v>2000</v>
      </c>
      <c r="B393" s="538" t="s">
        <v>2001</v>
      </c>
      <c r="C393" s="436" t="s">
        <v>345</v>
      </c>
      <c r="D393" s="436">
        <v>13</v>
      </c>
      <c r="E393" s="439">
        <v>107</v>
      </c>
      <c r="F393" s="437">
        <f>D393*E393</f>
        <v>1391</v>
      </c>
    </row>
    <row r="394" spans="1:7">
      <c r="A394" s="440"/>
      <c r="E394" s="439"/>
    </row>
    <row r="395" spans="1:7" ht="331.2">
      <c r="A395" s="440" t="s">
        <v>2002</v>
      </c>
      <c r="B395" s="538" t="s">
        <v>2003</v>
      </c>
      <c r="C395" s="436" t="s">
        <v>345</v>
      </c>
      <c r="D395" s="436">
        <v>1</v>
      </c>
      <c r="E395" s="439">
        <v>498</v>
      </c>
      <c r="F395" s="437">
        <f>D395*E395</f>
        <v>498</v>
      </c>
      <c r="G395" s="539"/>
    </row>
    <row r="396" spans="1:7">
      <c r="A396" s="440"/>
      <c r="E396" s="439"/>
    </row>
    <row r="397" spans="1:7" ht="317.39999999999998">
      <c r="A397" s="440" t="s">
        <v>2004</v>
      </c>
      <c r="B397" s="435" t="s">
        <v>2005</v>
      </c>
      <c r="C397" s="436" t="s">
        <v>345</v>
      </c>
      <c r="D397" s="436">
        <v>10</v>
      </c>
      <c r="E397" s="439">
        <v>500</v>
      </c>
      <c r="F397" s="437">
        <f>D397*E397</f>
        <v>5000</v>
      </c>
    </row>
    <row r="398" spans="1:7">
      <c r="A398" s="440"/>
      <c r="E398" s="439"/>
    </row>
    <row r="399" spans="1:7" ht="317.39999999999998">
      <c r="A399" s="440" t="s">
        <v>2006</v>
      </c>
      <c r="B399" s="435" t="s">
        <v>2007</v>
      </c>
      <c r="C399" s="436" t="s">
        <v>345</v>
      </c>
      <c r="D399" s="436">
        <v>2</v>
      </c>
      <c r="E399" s="439">
        <v>410</v>
      </c>
      <c r="F399" s="437">
        <f>D399*E399</f>
        <v>820</v>
      </c>
    </row>
    <row r="400" spans="1:7">
      <c r="A400" s="440"/>
      <c r="E400" s="439"/>
    </row>
    <row r="401" spans="1:6" ht="317.39999999999998">
      <c r="A401" s="440" t="s">
        <v>2008</v>
      </c>
      <c r="B401" s="435" t="s">
        <v>2009</v>
      </c>
      <c r="C401" s="436" t="s">
        <v>345</v>
      </c>
      <c r="D401" s="436">
        <v>2</v>
      </c>
      <c r="E401" s="439">
        <v>335</v>
      </c>
      <c r="F401" s="437">
        <f>D401*E401</f>
        <v>670</v>
      </c>
    </row>
    <row r="402" spans="1:6">
      <c r="A402" s="440"/>
      <c r="E402" s="439"/>
    </row>
    <row r="403" spans="1:6" ht="372.6">
      <c r="A403" s="440" t="s">
        <v>2010</v>
      </c>
      <c r="B403" s="435" t="s">
        <v>2011</v>
      </c>
      <c r="C403" s="436" t="s">
        <v>345</v>
      </c>
      <c r="D403" s="436">
        <v>22</v>
      </c>
      <c r="E403" s="439">
        <v>75</v>
      </c>
      <c r="F403" s="437">
        <f>D403*E403</f>
        <v>1650</v>
      </c>
    </row>
    <row r="404" spans="1:6">
      <c r="A404" s="440"/>
      <c r="E404" s="439"/>
    </row>
    <row r="405" spans="1:6" ht="372.6">
      <c r="A405" s="440" t="s">
        <v>2012</v>
      </c>
      <c r="B405" s="538" t="s">
        <v>2013</v>
      </c>
      <c r="C405" s="436" t="s">
        <v>345</v>
      </c>
      <c r="D405" s="436">
        <v>4</v>
      </c>
      <c r="E405" s="439">
        <v>338</v>
      </c>
      <c r="F405" s="437">
        <f>D405*E405</f>
        <v>1352</v>
      </c>
    </row>
    <row r="406" spans="1:6">
      <c r="A406" s="440"/>
      <c r="E406" s="439"/>
    </row>
    <row r="407" spans="1:6" ht="358.8">
      <c r="A407" s="440" t="s">
        <v>2014</v>
      </c>
      <c r="B407" s="538" t="s">
        <v>2015</v>
      </c>
      <c r="C407" s="436" t="s">
        <v>345</v>
      </c>
      <c r="D407" s="436">
        <v>2</v>
      </c>
      <c r="E407" s="439">
        <v>243</v>
      </c>
      <c r="F407" s="437">
        <f>D407*E407</f>
        <v>486</v>
      </c>
    </row>
    <row r="408" spans="1:6">
      <c r="A408" s="440"/>
      <c r="E408" s="439"/>
    </row>
    <row r="409" spans="1:6" ht="317.39999999999998">
      <c r="A409" s="440" t="s">
        <v>2016</v>
      </c>
      <c r="B409" s="435" t="s">
        <v>2017</v>
      </c>
      <c r="C409" s="436" t="s">
        <v>345</v>
      </c>
      <c r="D409" s="436">
        <v>22</v>
      </c>
      <c r="E409" s="439">
        <v>186</v>
      </c>
      <c r="F409" s="437">
        <f>D409*E409</f>
        <v>4092</v>
      </c>
    </row>
    <row r="410" spans="1:6">
      <c r="A410" s="440"/>
      <c r="E410" s="439"/>
    </row>
    <row r="411" spans="1:6" ht="303.60000000000002">
      <c r="A411" s="440" t="s">
        <v>2018</v>
      </c>
      <c r="B411" s="435" t="s">
        <v>2019</v>
      </c>
      <c r="C411" s="436" t="s">
        <v>345</v>
      </c>
      <c r="D411" s="436">
        <v>5</v>
      </c>
      <c r="E411" s="439">
        <v>75</v>
      </c>
      <c r="F411" s="437">
        <f>D411*E411</f>
        <v>375</v>
      </c>
    </row>
    <row r="412" spans="1:6">
      <c r="A412" s="440"/>
      <c r="E412" s="439"/>
    </row>
    <row r="413" spans="1:6" ht="303.60000000000002">
      <c r="A413" s="440" t="s">
        <v>2020</v>
      </c>
      <c r="B413" s="435" t="s">
        <v>2021</v>
      </c>
      <c r="C413" s="436" t="s">
        <v>345</v>
      </c>
      <c r="D413" s="436">
        <v>5</v>
      </c>
      <c r="E413" s="439">
        <v>67</v>
      </c>
      <c r="F413" s="437">
        <f>D413*E413</f>
        <v>335</v>
      </c>
    </row>
    <row r="414" spans="1:6">
      <c r="A414" s="440"/>
      <c r="E414" s="439"/>
    </row>
    <row r="415" spans="1:6" ht="262.2">
      <c r="A415" s="440" t="s">
        <v>2022</v>
      </c>
      <c r="B415" s="435" t="s">
        <v>2023</v>
      </c>
      <c r="C415" s="436" t="s">
        <v>345</v>
      </c>
      <c r="D415" s="436">
        <v>19</v>
      </c>
      <c r="E415" s="439">
        <v>640</v>
      </c>
      <c r="F415" s="437">
        <f>D415*E415</f>
        <v>12160</v>
      </c>
    </row>
    <row r="416" spans="1:6">
      <c r="A416" s="440"/>
      <c r="E416" s="439"/>
    </row>
    <row r="417" spans="1:7" ht="409.6">
      <c r="A417" s="440" t="s">
        <v>2024</v>
      </c>
      <c r="B417" s="538" t="s">
        <v>2025</v>
      </c>
      <c r="C417" s="436" t="s">
        <v>345</v>
      </c>
      <c r="D417" s="436">
        <v>6</v>
      </c>
      <c r="E417" s="439">
        <v>750</v>
      </c>
      <c r="F417" s="437">
        <f>D417*E417</f>
        <v>4500</v>
      </c>
    </row>
    <row r="418" spans="1:7">
      <c r="A418" s="440"/>
      <c r="E418" s="439"/>
    </row>
    <row r="419" spans="1:7" ht="179.4">
      <c r="A419" s="440" t="s">
        <v>2026</v>
      </c>
      <c r="B419" s="435" t="s">
        <v>2027</v>
      </c>
      <c r="C419" s="436" t="s">
        <v>345</v>
      </c>
      <c r="D419" s="436">
        <v>14</v>
      </c>
      <c r="E419" s="439">
        <v>62</v>
      </c>
      <c r="F419" s="437">
        <f>D419*E419</f>
        <v>868</v>
      </c>
    </row>
    <row r="420" spans="1:7">
      <c r="A420" s="440"/>
    </row>
    <row r="421" spans="1:7">
      <c r="A421" s="452" t="str">
        <f>A367</f>
        <v>43.00</v>
      </c>
      <c r="B421" s="483" t="str">
        <f>B367</f>
        <v>OPĆA RASVJETA</v>
      </c>
      <c r="C421" s="462" t="s">
        <v>1703</v>
      </c>
      <c r="D421" s="462"/>
      <c r="E421" s="471"/>
      <c r="F421" s="471">
        <f>SUM(F371:F420)</f>
        <v>74378</v>
      </c>
    </row>
    <row r="422" spans="1:7">
      <c r="A422" s="455"/>
      <c r="B422" s="482"/>
      <c r="C422" s="462"/>
      <c r="D422" s="462"/>
      <c r="E422" s="524"/>
      <c r="F422" s="525"/>
    </row>
    <row r="423" spans="1:7">
      <c r="A423" s="455"/>
      <c r="B423" s="482"/>
      <c r="C423" s="462"/>
      <c r="D423" s="462"/>
      <c r="E423" s="524"/>
      <c r="F423" s="525"/>
    </row>
    <row r="424" spans="1:7">
      <c r="A424" s="484" t="s">
        <v>2028</v>
      </c>
      <c r="B424" s="522" t="s">
        <v>2029</v>
      </c>
      <c r="C424" s="523"/>
      <c r="D424" s="523"/>
      <c r="E424" s="471"/>
      <c r="F424" s="471"/>
    </row>
    <row r="425" spans="1:7">
      <c r="A425" s="440"/>
      <c r="B425" s="529"/>
      <c r="E425" s="451"/>
      <c r="F425" s="451"/>
    </row>
    <row r="426" spans="1:7" ht="234.6">
      <c r="A426" s="440"/>
      <c r="B426" s="529" t="s">
        <v>2030</v>
      </c>
      <c r="E426" s="451"/>
      <c r="F426" s="451"/>
    </row>
    <row r="427" spans="1:7">
      <c r="A427" s="440"/>
      <c r="B427" s="529"/>
      <c r="E427" s="451"/>
      <c r="F427" s="451"/>
    </row>
    <row r="428" spans="1:7" s="540" customFormat="1" ht="276">
      <c r="A428" s="440" t="s">
        <v>2031</v>
      </c>
      <c r="B428" s="435" t="s">
        <v>2032</v>
      </c>
      <c r="C428" s="436" t="s">
        <v>345</v>
      </c>
      <c r="D428" s="436">
        <v>62</v>
      </c>
      <c r="E428" s="439">
        <v>75</v>
      </c>
      <c r="F428" s="437">
        <f>D428*E428</f>
        <v>4650</v>
      </c>
      <c r="G428" s="438"/>
    </row>
    <row r="429" spans="1:7">
      <c r="A429" s="440"/>
      <c r="E429" s="439"/>
    </row>
    <row r="430" spans="1:7" ht="276">
      <c r="A430" s="440" t="s">
        <v>2033</v>
      </c>
      <c r="B430" s="435" t="s">
        <v>2034</v>
      </c>
      <c r="C430" s="436" t="s">
        <v>345</v>
      </c>
      <c r="D430" s="436">
        <v>7</v>
      </c>
      <c r="E430" s="439">
        <v>75</v>
      </c>
      <c r="F430" s="437">
        <f>D430*E430</f>
        <v>525</v>
      </c>
    </row>
    <row r="431" spans="1:7" s="540" customFormat="1" ht="12.75" customHeight="1">
      <c r="A431" s="434"/>
      <c r="B431" s="541"/>
      <c r="C431" s="542"/>
      <c r="D431" s="436"/>
      <c r="E431" s="439"/>
      <c r="F431" s="437"/>
    </row>
    <row r="432" spans="1:7">
      <c r="A432" s="440"/>
      <c r="B432" s="529"/>
      <c r="E432" s="534"/>
      <c r="F432" s="451"/>
    </row>
    <row r="433" spans="1:7" ht="276">
      <c r="A433" s="440" t="s">
        <v>2035</v>
      </c>
      <c r="B433" s="435" t="s">
        <v>2036</v>
      </c>
      <c r="C433" s="436" t="s">
        <v>345</v>
      </c>
      <c r="D433" s="436">
        <v>6</v>
      </c>
      <c r="E433" s="439">
        <v>75</v>
      </c>
      <c r="F433" s="437">
        <f>D433*E433</f>
        <v>450</v>
      </c>
    </row>
    <row r="434" spans="1:7" ht="12.75" customHeight="1">
      <c r="B434" s="541"/>
      <c r="C434" s="542"/>
      <c r="E434" s="439"/>
      <c r="G434" s="540"/>
    </row>
    <row r="435" spans="1:7">
      <c r="A435" s="440"/>
      <c r="B435" s="529"/>
      <c r="E435" s="534"/>
      <c r="F435" s="451"/>
    </row>
    <row r="436" spans="1:7" ht="248.4">
      <c r="A436" s="440" t="s">
        <v>2037</v>
      </c>
      <c r="B436" s="435" t="s">
        <v>2038</v>
      </c>
      <c r="C436" s="436" t="s">
        <v>345</v>
      </c>
      <c r="D436" s="436">
        <v>20</v>
      </c>
      <c r="E436" s="439">
        <v>91</v>
      </c>
      <c r="F436" s="437">
        <f>D436*E436</f>
        <v>1820</v>
      </c>
    </row>
    <row r="437" spans="1:7">
      <c r="A437" s="440"/>
      <c r="B437" s="529"/>
      <c r="E437" s="534"/>
      <c r="F437" s="451"/>
    </row>
    <row r="438" spans="1:7" ht="262.2">
      <c r="A438" s="440" t="s">
        <v>2039</v>
      </c>
      <c r="B438" s="435" t="s">
        <v>2040</v>
      </c>
      <c r="C438" s="436" t="s">
        <v>345</v>
      </c>
      <c r="D438" s="436">
        <v>18</v>
      </c>
      <c r="E438" s="439">
        <v>106</v>
      </c>
      <c r="F438" s="437">
        <f>D438*E438</f>
        <v>1908</v>
      </c>
    </row>
    <row r="439" spans="1:7">
      <c r="A439" s="440"/>
      <c r="B439" s="529"/>
      <c r="E439" s="534"/>
      <c r="F439" s="451"/>
    </row>
    <row r="440" spans="1:7" ht="262.2">
      <c r="A440" s="440" t="s">
        <v>2041</v>
      </c>
      <c r="B440" s="435" t="s">
        <v>2042</v>
      </c>
      <c r="C440" s="436" t="s">
        <v>345</v>
      </c>
      <c r="D440" s="436">
        <v>2</v>
      </c>
      <c r="E440" s="439">
        <v>79</v>
      </c>
      <c r="F440" s="437">
        <f>D440*E440</f>
        <v>158</v>
      </c>
    </row>
    <row r="441" spans="1:7">
      <c r="A441" s="440"/>
      <c r="B441" s="529"/>
      <c r="E441" s="451"/>
      <c r="F441" s="451"/>
    </row>
    <row r="442" spans="1:7">
      <c r="A442" s="452" t="str">
        <f>A424</f>
        <v>44.00.</v>
      </c>
      <c r="B442" s="483" t="str">
        <f>B424</f>
        <v>SIGURNOSNA RASVJETA</v>
      </c>
      <c r="C442" s="462" t="s">
        <v>1703</v>
      </c>
      <c r="D442" s="462"/>
      <c r="E442" s="471"/>
      <c r="F442" s="471">
        <f>SUM(F428:F441)</f>
        <v>9511</v>
      </c>
    </row>
    <row r="443" spans="1:7">
      <c r="A443" s="455"/>
      <c r="B443" s="482"/>
      <c r="C443" s="462"/>
      <c r="D443" s="462"/>
      <c r="E443" s="524"/>
      <c r="F443" s="525"/>
    </row>
    <row r="444" spans="1:7" s="480" customFormat="1">
      <c r="A444" s="455"/>
      <c r="B444" s="482"/>
      <c r="C444" s="462"/>
      <c r="D444" s="462"/>
      <c r="E444" s="524"/>
      <c r="F444" s="525"/>
      <c r="G444" s="438"/>
    </row>
    <row r="445" spans="1:7">
      <c r="A445" s="484" t="s">
        <v>2043</v>
      </c>
      <c r="B445" s="522" t="s">
        <v>2044</v>
      </c>
      <c r="C445" s="523"/>
      <c r="D445" s="523"/>
      <c r="E445" s="471"/>
      <c r="F445" s="471"/>
    </row>
    <row r="446" spans="1:7">
      <c r="A446" s="440"/>
      <c r="B446" s="529"/>
      <c r="E446" s="451"/>
      <c r="F446" s="451"/>
    </row>
    <row r="447" spans="1:7" ht="96.6">
      <c r="A447" s="477"/>
      <c r="B447" s="478" t="s">
        <v>2045</v>
      </c>
      <c r="C447" s="457"/>
      <c r="D447" s="457"/>
      <c r="E447" s="458"/>
      <c r="F447" s="479"/>
      <c r="G447" s="476"/>
    </row>
    <row r="448" spans="1:7">
      <c r="A448" s="455"/>
      <c r="B448" s="478"/>
      <c r="C448" s="457"/>
      <c r="D448" s="457"/>
      <c r="E448" s="481"/>
      <c r="F448" s="481"/>
    </row>
    <row r="449" spans="1:6">
      <c r="A449" s="440" t="s">
        <v>2046</v>
      </c>
      <c r="B449" s="435" t="s">
        <v>2047</v>
      </c>
      <c r="C449" s="436" t="s">
        <v>748</v>
      </c>
      <c r="D449" s="436">
        <v>250</v>
      </c>
      <c r="E449" s="439">
        <v>8.5</v>
      </c>
      <c r="F449" s="451">
        <f>D449*E449</f>
        <v>2125</v>
      </c>
    </row>
    <row r="450" spans="1:6">
      <c r="A450" s="440"/>
      <c r="E450" s="439"/>
      <c r="F450" s="451"/>
    </row>
    <row r="451" spans="1:6" ht="55.2">
      <c r="A451" s="440" t="s">
        <v>2048</v>
      </c>
      <c r="B451" s="435" t="s">
        <v>2049</v>
      </c>
      <c r="C451" s="436" t="s">
        <v>748</v>
      </c>
      <c r="D451" s="436">
        <v>250</v>
      </c>
      <c r="E451" s="439">
        <v>8</v>
      </c>
      <c r="F451" s="451">
        <f>D451*E451</f>
        <v>2000</v>
      </c>
    </row>
    <row r="452" spans="1:6">
      <c r="A452" s="440"/>
      <c r="E452" s="439"/>
      <c r="F452" s="451"/>
    </row>
    <row r="453" spans="1:6" ht="41.4">
      <c r="A453" s="440" t="s">
        <v>2050</v>
      </c>
      <c r="B453" s="435" t="s">
        <v>2051</v>
      </c>
      <c r="C453" s="436" t="s">
        <v>748</v>
      </c>
      <c r="D453" s="436">
        <v>20</v>
      </c>
      <c r="E453" s="439">
        <v>9.6999999999999993</v>
      </c>
      <c r="F453" s="451">
        <f>D453*E453</f>
        <v>194</v>
      </c>
    </row>
    <row r="454" spans="1:6">
      <c r="A454" s="440"/>
      <c r="E454" s="439"/>
      <c r="F454" s="451"/>
    </row>
    <row r="455" spans="1:6" ht="41.4">
      <c r="A455" s="440" t="s">
        <v>2052</v>
      </c>
      <c r="B455" s="435" t="s">
        <v>2053</v>
      </c>
      <c r="C455" s="436" t="s">
        <v>748</v>
      </c>
      <c r="D455" s="436">
        <v>25</v>
      </c>
      <c r="E455" s="439">
        <v>9</v>
      </c>
      <c r="F455" s="451">
        <f>D455*E455</f>
        <v>225</v>
      </c>
    </row>
    <row r="456" spans="1:6">
      <c r="A456" s="440"/>
      <c r="E456" s="439"/>
      <c r="F456" s="451"/>
    </row>
    <row r="457" spans="1:6" ht="27.6">
      <c r="A457" s="440" t="s">
        <v>2054</v>
      </c>
      <c r="B457" s="435" t="s">
        <v>2055</v>
      </c>
      <c r="C457" s="436" t="s">
        <v>748</v>
      </c>
      <c r="D457" s="436">
        <v>400</v>
      </c>
      <c r="E457" s="439">
        <v>8.9</v>
      </c>
      <c r="F457" s="451">
        <f>D457*E457</f>
        <v>3560</v>
      </c>
    </row>
    <row r="458" spans="1:6">
      <c r="A458" s="440"/>
      <c r="E458" s="439"/>
      <c r="F458" s="451"/>
    </row>
    <row r="459" spans="1:6" ht="27.6">
      <c r="A459" s="440" t="s">
        <v>2056</v>
      </c>
      <c r="B459" s="435" t="s">
        <v>2057</v>
      </c>
      <c r="C459" s="436" t="s">
        <v>345</v>
      </c>
      <c r="D459" s="436">
        <v>10</v>
      </c>
      <c r="E459" s="439">
        <v>65</v>
      </c>
      <c r="F459" s="451">
        <f>D459*E459</f>
        <v>650</v>
      </c>
    </row>
    <row r="460" spans="1:6">
      <c r="A460" s="440"/>
      <c r="E460" s="439"/>
      <c r="F460" s="451"/>
    </row>
    <row r="461" spans="1:6" ht="82.8">
      <c r="A461" s="440" t="s">
        <v>2058</v>
      </c>
      <c r="B461" s="538" t="s">
        <v>2059</v>
      </c>
      <c r="C461" s="436" t="s">
        <v>227</v>
      </c>
      <c r="D461" s="436">
        <v>1</v>
      </c>
      <c r="E461" s="439">
        <v>540</v>
      </c>
      <c r="F461" s="451">
        <f>D461*E461</f>
        <v>540</v>
      </c>
    </row>
    <row r="462" spans="1:6">
      <c r="A462" s="440"/>
      <c r="E462" s="439"/>
      <c r="F462" s="451"/>
    </row>
    <row r="463" spans="1:6">
      <c r="A463" s="434" t="s">
        <v>2060</v>
      </c>
      <c r="B463" s="435" t="s">
        <v>2061</v>
      </c>
      <c r="C463" s="436" t="s">
        <v>227</v>
      </c>
      <c r="D463" s="436">
        <v>1</v>
      </c>
      <c r="E463" s="439">
        <v>500</v>
      </c>
      <c r="F463" s="451">
        <f>D463*E463</f>
        <v>500</v>
      </c>
    </row>
    <row r="464" spans="1:6">
      <c r="A464" s="440"/>
    </row>
    <row r="465" spans="1:6">
      <c r="A465" s="452" t="str">
        <f>A445</f>
        <v>45.00.</v>
      </c>
      <c r="B465" s="483" t="str">
        <f>B445</f>
        <v>SUSTAV ZAŠTITE OD MUNJE</v>
      </c>
      <c r="C465" s="462" t="s">
        <v>1703</v>
      </c>
      <c r="D465" s="462"/>
      <c r="E465" s="471"/>
      <c r="F465" s="471">
        <f>SUM(F445:F464)</f>
        <v>9794</v>
      </c>
    </row>
    <row r="466" spans="1:6">
      <c r="A466" s="455"/>
      <c r="B466" s="482"/>
      <c r="C466" s="462"/>
      <c r="D466" s="462"/>
      <c r="E466" s="524"/>
      <c r="F466" s="525"/>
    </row>
    <row r="467" spans="1:6">
      <c r="A467" s="455"/>
      <c r="B467" s="482"/>
      <c r="C467" s="462"/>
      <c r="D467" s="462"/>
      <c r="E467" s="524"/>
      <c r="F467" s="525"/>
    </row>
    <row r="468" spans="1:6">
      <c r="A468" s="484" t="s">
        <v>2062</v>
      </c>
      <c r="B468" s="522" t="s">
        <v>2063</v>
      </c>
      <c r="C468" s="523"/>
      <c r="D468" s="523"/>
      <c r="E468" s="471"/>
      <c r="F468" s="471"/>
    </row>
    <row r="470" spans="1:6" ht="55.2">
      <c r="A470" s="440"/>
      <c r="B470" s="435" t="s">
        <v>2064</v>
      </c>
    </row>
    <row r="471" spans="1:6">
      <c r="A471" s="440"/>
    </row>
    <row r="472" spans="1:6" ht="27.6">
      <c r="A472" s="434" t="s">
        <v>2065</v>
      </c>
      <c r="B472" s="435" t="s">
        <v>2066</v>
      </c>
      <c r="C472" s="436" t="s">
        <v>227</v>
      </c>
      <c r="D472" s="436">
        <v>1</v>
      </c>
      <c r="E472" s="439">
        <v>550</v>
      </c>
      <c r="F472" s="437">
        <f>D472*E472</f>
        <v>550</v>
      </c>
    </row>
    <row r="473" spans="1:6">
      <c r="E473" s="439"/>
    </row>
    <row r="474" spans="1:6">
      <c r="A474" s="434" t="s">
        <v>2067</v>
      </c>
      <c r="B474" s="435" t="s">
        <v>2068</v>
      </c>
      <c r="C474" s="436" t="s">
        <v>227</v>
      </c>
      <c r="D474" s="436">
        <v>1</v>
      </c>
      <c r="E474" s="439">
        <v>350</v>
      </c>
      <c r="F474" s="437">
        <f>D474*E474</f>
        <v>350</v>
      </c>
    </row>
    <row r="475" spans="1:6">
      <c r="E475" s="439"/>
    </row>
    <row r="476" spans="1:6" ht="27.6">
      <c r="A476" s="434" t="s">
        <v>2069</v>
      </c>
      <c r="B476" s="435" t="s">
        <v>2070</v>
      </c>
      <c r="C476" s="436" t="s">
        <v>227</v>
      </c>
      <c r="D476" s="436">
        <v>1</v>
      </c>
      <c r="E476" s="439">
        <v>350</v>
      </c>
      <c r="F476" s="437">
        <f>D476*E476</f>
        <v>350</v>
      </c>
    </row>
    <row r="477" spans="1:6">
      <c r="E477" s="439"/>
    </row>
    <row r="478" spans="1:6">
      <c r="A478" s="434" t="s">
        <v>2071</v>
      </c>
      <c r="B478" s="435" t="s">
        <v>2072</v>
      </c>
      <c r="C478" s="436" t="s">
        <v>227</v>
      </c>
      <c r="D478" s="436">
        <v>1</v>
      </c>
      <c r="E478" s="439">
        <v>300</v>
      </c>
      <c r="F478" s="437">
        <f>D478*E478</f>
        <v>300</v>
      </c>
    </row>
    <row r="479" spans="1:6">
      <c r="E479" s="439"/>
    </row>
    <row r="480" spans="1:6">
      <c r="A480" s="434" t="s">
        <v>2073</v>
      </c>
      <c r="B480" s="435" t="s">
        <v>2074</v>
      </c>
      <c r="C480" s="436" t="s">
        <v>227</v>
      </c>
      <c r="D480" s="436">
        <v>1</v>
      </c>
      <c r="E480" s="439">
        <v>750</v>
      </c>
      <c r="F480" s="437">
        <f>D480*E480</f>
        <v>750</v>
      </c>
    </row>
    <row r="481" spans="1:7">
      <c r="E481" s="439"/>
    </row>
    <row r="482" spans="1:7">
      <c r="A482" s="434" t="s">
        <v>2075</v>
      </c>
      <c r="B482" s="435" t="s">
        <v>2076</v>
      </c>
      <c r="C482" s="436" t="s">
        <v>227</v>
      </c>
      <c r="D482" s="436">
        <v>1</v>
      </c>
      <c r="E482" s="439">
        <v>500</v>
      </c>
      <c r="F482" s="437">
        <f>D482*E482</f>
        <v>500</v>
      </c>
    </row>
    <row r="483" spans="1:7">
      <c r="E483" s="439"/>
    </row>
    <row r="484" spans="1:7" ht="27.6">
      <c r="A484" s="434" t="s">
        <v>2077</v>
      </c>
      <c r="B484" s="435" t="s">
        <v>2078</v>
      </c>
      <c r="C484" s="436" t="s">
        <v>227</v>
      </c>
      <c r="D484" s="436">
        <v>1</v>
      </c>
      <c r="E484" s="439">
        <v>210</v>
      </c>
      <c r="F484" s="437">
        <f>D484*E484</f>
        <v>210</v>
      </c>
    </row>
    <row r="485" spans="1:7">
      <c r="E485" s="439"/>
    </row>
    <row r="486" spans="1:7" ht="27.6">
      <c r="A486" s="434" t="s">
        <v>2079</v>
      </c>
      <c r="B486" s="435" t="s">
        <v>2080</v>
      </c>
      <c r="C486" s="436" t="s">
        <v>227</v>
      </c>
      <c r="D486" s="436">
        <v>1</v>
      </c>
      <c r="E486" s="439">
        <v>210</v>
      </c>
      <c r="F486" s="437">
        <f>D486*E486</f>
        <v>210</v>
      </c>
    </row>
    <row r="487" spans="1:7">
      <c r="E487" s="439"/>
    </row>
    <row r="488" spans="1:7">
      <c r="A488" s="434" t="s">
        <v>2079</v>
      </c>
      <c r="B488" s="435" t="s">
        <v>2081</v>
      </c>
      <c r="C488" s="436" t="s">
        <v>227</v>
      </c>
      <c r="D488" s="436">
        <v>1</v>
      </c>
      <c r="E488" s="439">
        <v>450</v>
      </c>
      <c r="F488" s="437">
        <f>D488*E488</f>
        <v>450</v>
      </c>
    </row>
    <row r="489" spans="1:7">
      <c r="E489" s="439"/>
    </row>
    <row r="490" spans="1:7" ht="41.4">
      <c r="A490" s="434" t="s">
        <v>2082</v>
      </c>
      <c r="B490" s="435" t="s">
        <v>2083</v>
      </c>
      <c r="C490" s="436" t="s">
        <v>227</v>
      </c>
      <c r="D490" s="436">
        <v>1</v>
      </c>
      <c r="E490" s="439">
        <v>650</v>
      </c>
      <c r="F490" s="437">
        <f>D490*E490</f>
        <v>650</v>
      </c>
    </row>
    <row r="491" spans="1:7">
      <c r="E491" s="439"/>
    </row>
    <row r="492" spans="1:7">
      <c r="A492" s="544"/>
      <c r="B492" s="545"/>
      <c r="C492" s="546"/>
      <c r="D492" s="546"/>
      <c r="E492" s="547"/>
      <c r="F492" s="547"/>
      <c r="G492" s="548"/>
    </row>
    <row r="493" spans="1:7">
      <c r="A493" s="452" t="str">
        <f>A468</f>
        <v>46.00.</v>
      </c>
      <c r="B493" s="483" t="str">
        <f>B468</f>
        <v>ISPITIVANJA I ATESTI</v>
      </c>
      <c r="C493" s="462" t="s">
        <v>1703</v>
      </c>
      <c r="D493" s="462"/>
      <c r="E493" s="471"/>
      <c r="F493" s="471">
        <f>SUM(F468:F492)</f>
        <v>4320</v>
      </c>
    </row>
    <row r="496" spans="1:7" ht="12" customHeight="1">
      <c r="A496" s="469" t="s">
        <v>2084</v>
      </c>
      <c r="B496" s="470" t="s">
        <v>2085</v>
      </c>
      <c r="E496" s="471"/>
      <c r="F496" s="471"/>
    </row>
    <row r="497" spans="1:7">
      <c r="A497" s="455"/>
      <c r="F497" s="481"/>
    </row>
    <row r="498" spans="1:7">
      <c r="A498" s="484" t="s">
        <v>2086</v>
      </c>
      <c r="B498" s="522" t="s">
        <v>2087</v>
      </c>
      <c r="C498" s="523"/>
      <c r="D498" s="523"/>
      <c r="E498" s="471"/>
      <c r="F498" s="471"/>
    </row>
    <row r="500" spans="1:7">
      <c r="B500" s="549" t="s">
        <v>2088</v>
      </c>
    </row>
    <row r="501" spans="1:7" s="540" customFormat="1" ht="27.6">
      <c r="A501" s="434" t="s">
        <v>2089</v>
      </c>
      <c r="B501" s="550" t="s">
        <v>2090</v>
      </c>
      <c r="C501" s="436" t="s">
        <v>227</v>
      </c>
      <c r="D501" s="436">
        <v>1</v>
      </c>
      <c r="E501" s="437">
        <v>7520</v>
      </c>
      <c r="F501" s="437">
        <f>D501*E501</f>
        <v>7520</v>
      </c>
      <c r="G501" s="438"/>
    </row>
    <row r="502" spans="1:7" s="540" customFormat="1" ht="27.6">
      <c r="A502" s="440"/>
      <c r="B502" s="550" t="s">
        <v>2091</v>
      </c>
      <c r="C502" s="551"/>
      <c r="D502" s="436"/>
      <c r="E502" s="437"/>
      <c r="F502" s="437"/>
      <c r="G502" s="438"/>
    </row>
    <row r="503" spans="1:7" s="540" customFormat="1" ht="13.5" customHeight="1">
      <c r="A503" s="440"/>
      <c r="B503" s="550" t="s">
        <v>2092</v>
      </c>
      <c r="C503" s="551"/>
      <c r="D503" s="436"/>
      <c r="E503" s="437"/>
      <c r="F503" s="437"/>
      <c r="G503" s="438"/>
    </row>
    <row r="504" spans="1:7" s="540" customFormat="1" ht="14.25" customHeight="1">
      <c r="A504" s="434"/>
      <c r="B504" s="550" t="s">
        <v>2093</v>
      </c>
      <c r="C504" s="552"/>
      <c r="D504" s="436"/>
      <c r="E504" s="437"/>
      <c r="F504" s="437"/>
    </row>
    <row r="505" spans="1:7" s="540" customFormat="1" ht="27.6">
      <c r="A505" s="434"/>
      <c r="B505" s="550" t="s">
        <v>2094</v>
      </c>
      <c r="C505" s="552"/>
      <c r="D505" s="436"/>
      <c r="E505" s="437"/>
      <c r="F505" s="437"/>
    </row>
    <row r="506" spans="1:7" s="540" customFormat="1" ht="82.8">
      <c r="A506" s="434"/>
      <c r="B506" s="541" t="s">
        <v>2095</v>
      </c>
      <c r="C506" s="542"/>
      <c r="D506" s="436"/>
      <c r="E506" s="437"/>
      <c r="F506" s="437"/>
    </row>
    <row r="507" spans="1:7" s="540" customFormat="1" ht="48.75" customHeight="1">
      <c r="A507" s="434"/>
      <c r="B507" s="541" t="s">
        <v>2096</v>
      </c>
      <c r="C507" s="542"/>
      <c r="D507" s="436"/>
      <c r="E507" s="437"/>
      <c r="F507" s="437"/>
    </row>
    <row r="508" spans="1:7" s="540" customFormat="1" ht="13.5" customHeight="1">
      <c r="A508" s="434"/>
      <c r="B508" s="550" t="s">
        <v>2097</v>
      </c>
      <c r="C508" s="553"/>
      <c r="D508" s="436"/>
      <c r="E508" s="437"/>
      <c r="F508" s="437"/>
    </row>
    <row r="509" spans="1:7" s="540" customFormat="1" ht="32.25" customHeight="1">
      <c r="A509" s="434"/>
      <c r="B509" s="550" t="s">
        <v>2094</v>
      </c>
      <c r="C509" s="552"/>
      <c r="D509" s="436"/>
      <c r="E509" s="437"/>
      <c r="F509" s="437"/>
    </row>
    <row r="510" spans="1:7" s="540" customFormat="1" ht="72.75" customHeight="1">
      <c r="A510" s="434"/>
      <c r="B510" s="554" t="s">
        <v>2098</v>
      </c>
      <c r="C510" s="542"/>
      <c r="D510" s="436"/>
      <c r="E510" s="437"/>
      <c r="F510" s="437"/>
    </row>
    <row r="511" spans="1:7" s="540" customFormat="1" ht="72.75" customHeight="1">
      <c r="A511" s="434"/>
      <c r="B511" s="541" t="s">
        <v>2099</v>
      </c>
      <c r="C511" s="542"/>
      <c r="D511" s="436"/>
      <c r="E511" s="437"/>
      <c r="F511" s="437"/>
    </row>
    <row r="512" spans="1:7" ht="30" customHeight="1">
      <c r="B512" s="541" t="s">
        <v>2096</v>
      </c>
      <c r="C512" s="542"/>
      <c r="G512" s="540"/>
    </row>
    <row r="513" spans="1:7" s="540" customFormat="1">
      <c r="A513" s="434"/>
      <c r="B513" s="550" t="s">
        <v>2100</v>
      </c>
      <c r="C513" s="552"/>
      <c r="D513" s="436"/>
      <c r="E513" s="437"/>
      <c r="F513" s="437"/>
    </row>
    <row r="514" spans="1:7" s="540" customFormat="1" ht="25.5" customHeight="1">
      <c r="A514" s="434"/>
      <c r="B514" s="550" t="s">
        <v>2094</v>
      </c>
      <c r="C514" s="552"/>
      <c r="D514" s="436"/>
      <c r="E514" s="437"/>
      <c r="F514" s="437"/>
    </row>
    <row r="515" spans="1:7" s="540" customFormat="1" ht="193.2">
      <c r="A515" s="434"/>
      <c r="B515" s="555" t="s">
        <v>2101</v>
      </c>
      <c r="C515" s="556"/>
      <c r="D515" s="436"/>
      <c r="E515" s="437"/>
      <c r="F515" s="437"/>
      <c r="G515" s="438"/>
    </row>
    <row r="516" spans="1:7" s="540" customFormat="1" ht="45" customHeight="1">
      <c r="A516" s="434"/>
      <c r="B516" s="541" t="s">
        <v>2096</v>
      </c>
      <c r="C516" s="542"/>
      <c r="D516" s="436"/>
      <c r="E516" s="437"/>
      <c r="F516" s="437"/>
    </row>
    <row r="517" spans="1:7" s="540" customFormat="1" ht="27.6">
      <c r="A517" s="434"/>
      <c r="B517" s="557" t="s">
        <v>2102</v>
      </c>
      <c r="C517" s="558"/>
      <c r="D517" s="436"/>
      <c r="E517" s="437"/>
      <c r="F517" s="437"/>
    </row>
    <row r="518" spans="1:7" s="540" customFormat="1" ht="27.6">
      <c r="A518" s="434"/>
      <c r="B518" s="557" t="s">
        <v>2094</v>
      </c>
      <c r="C518" s="558"/>
      <c r="D518" s="436"/>
      <c r="E518" s="437"/>
      <c r="F518" s="437"/>
    </row>
    <row r="519" spans="1:7" ht="151.80000000000001">
      <c r="B519" s="541" t="s">
        <v>2103</v>
      </c>
      <c r="C519" s="542"/>
      <c r="G519" s="540"/>
    </row>
    <row r="520" spans="1:7" s="540" customFormat="1" ht="35.25" customHeight="1">
      <c r="A520" s="434"/>
      <c r="B520" s="541" t="s">
        <v>2096</v>
      </c>
      <c r="C520" s="542"/>
      <c r="D520" s="436"/>
      <c r="E520" s="437"/>
      <c r="F520" s="437"/>
    </row>
    <row r="521" spans="1:7" s="540" customFormat="1" ht="27" customHeight="1">
      <c r="A521" s="434"/>
      <c r="B521" s="550" t="s">
        <v>2104</v>
      </c>
      <c r="C521" s="551"/>
      <c r="D521" s="436"/>
      <c r="E521" s="437"/>
      <c r="F521" s="437"/>
    </row>
    <row r="522" spans="1:7" s="540" customFormat="1" ht="27.6">
      <c r="A522" s="434"/>
      <c r="B522" s="550" t="s">
        <v>2094</v>
      </c>
      <c r="C522" s="559"/>
      <c r="D522" s="436"/>
      <c r="E522" s="437"/>
      <c r="F522" s="437"/>
      <c r="G522" s="438"/>
    </row>
    <row r="523" spans="1:7" s="540" customFormat="1" ht="138">
      <c r="A523" s="434"/>
      <c r="B523" s="541" t="s">
        <v>2105</v>
      </c>
      <c r="C523" s="542"/>
      <c r="D523" s="436"/>
      <c r="E523" s="437"/>
      <c r="F523" s="437"/>
    </row>
    <row r="524" spans="1:7" s="540" customFormat="1" ht="37.5" customHeight="1">
      <c r="A524" s="434"/>
      <c r="B524" s="541" t="s">
        <v>2096</v>
      </c>
      <c r="C524" s="542"/>
      <c r="D524" s="436"/>
      <c r="E524" s="437"/>
      <c r="F524" s="437"/>
    </row>
    <row r="525" spans="1:7" s="540" customFormat="1" ht="13.5" customHeight="1">
      <c r="A525" s="434"/>
      <c r="B525" s="550" t="s">
        <v>2106</v>
      </c>
      <c r="C525" s="551"/>
      <c r="D525" s="436"/>
      <c r="E525" s="437"/>
      <c r="F525" s="437"/>
    </row>
    <row r="526" spans="1:7" s="540" customFormat="1" ht="27.6">
      <c r="A526" s="434"/>
      <c r="B526" s="550" t="s">
        <v>2094</v>
      </c>
      <c r="C526" s="559"/>
      <c r="D526" s="436"/>
      <c r="E526" s="437"/>
      <c r="F526" s="437"/>
    </row>
    <row r="527" spans="1:7" s="540" customFormat="1" ht="96.6">
      <c r="A527" s="434"/>
      <c r="B527" s="555" t="s">
        <v>2107</v>
      </c>
      <c r="C527" s="556"/>
      <c r="D527" s="436"/>
      <c r="E527" s="437"/>
      <c r="F527" s="437"/>
    </row>
    <row r="528" spans="1:7" s="540" customFormat="1" ht="38.25" customHeight="1">
      <c r="A528" s="434"/>
      <c r="B528" s="541" t="s">
        <v>2096</v>
      </c>
      <c r="C528" s="542"/>
      <c r="D528" s="436"/>
      <c r="E528" s="437"/>
      <c r="F528" s="437"/>
    </row>
    <row r="529" spans="1:7" s="540" customFormat="1" ht="13.5" customHeight="1">
      <c r="A529" s="434"/>
      <c r="B529" s="550" t="s">
        <v>2108</v>
      </c>
      <c r="C529" s="551"/>
      <c r="D529" s="436"/>
      <c r="E529" s="437"/>
      <c r="F529" s="437"/>
    </row>
    <row r="530" spans="1:7" s="540" customFormat="1" ht="27.6">
      <c r="A530" s="434"/>
      <c r="B530" s="550" t="s">
        <v>2094</v>
      </c>
      <c r="C530" s="559"/>
      <c r="D530" s="436"/>
      <c r="E530" s="437"/>
      <c r="F530" s="437"/>
    </row>
    <row r="531" spans="1:7" s="540" customFormat="1" ht="124.2">
      <c r="A531" s="434"/>
      <c r="B531" s="541" t="s">
        <v>2109</v>
      </c>
      <c r="C531" s="542"/>
      <c r="D531" s="436"/>
      <c r="E531" s="437"/>
      <c r="F531" s="437"/>
    </row>
    <row r="532" spans="1:7" s="540" customFormat="1" ht="29.25" customHeight="1">
      <c r="A532" s="434"/>
      <c r="B532" s="541" t="s">
        <v>2096</v>
      </c>
      <c r="C532" s="542"/>
      <c r="D532" s="436"/>
      <c r="E532" s="437"/>
      <c r="F532" s="437"/>
    </row>
    <row r="533" spans="1:7" s="540" customFormat="1" ht="12.75" customHeight="1">
      <c r="A533" s="434"/>
      <c r="B533" s="550" t="s">
        <v>2110</v>
      </c>
      <c r="C533" s="560"/>
      <c r="D533" s="436"/>
      <c r="E533" s="437"/>
      <c r="F533" s="437"/>
    </row>
    <row r="534" spans="1:7" ht="27.6">
      <c r="B534" s="550" t="s">
        <v>2094</v>
      </c>
      <c r="C534" s="552"/>
      <c r="G534" s="540"/>
    </row>
    <row r="535" spans="1:7" s="540" customFormat="1" ht="27.6">
      <c r="A535" s="434"/>
      <c r="B535" s="541" t="s">
        <v>2111</v>
      </c>
      <c r="C535" s="542"/>
      <c r="D535" s="436"/>
      <c r="E535" s="437"/>
      <c r="F535" s="437"/>
    </row>
    <row r="536" spans="1:7" s="540" customFormat="1" ht="41.4">
      <c r="A536" s="434"/>
      <c r="B536" s="541" t="s">
        <v>2096</v>
      </c>
      <c r="C536" s="542"/>
      <c r="D536" s="436"/>
      <c r="E536" s="437"/>
      <c r="F536" s="437"/>
    </row>
    <row r="537" spans="1:7" s="540" customFormat="1" ht="29.25" customHeight="1">
      <c r="A537" s="434"/>
      <c r="B537" s="550" t="s">
        <v>2112</v>
      </c>
      <c r="C537" s="551"/>
      <c r="D537" s="436"/>
      <c r="E537" s="437"/>
      <c r="F537" s="437"/>
      <c r="G537" s="438"/>
    </row>
    <row r="538" spans="1:7" s="540" customFormat="1" ht="27.6">
      <c r="A538" s="434"/>
      <c r="B538" s="550" t="s">
        <v>2113</v>
      </c>
      <c r="C538" s="551"/>
      <c r="D538" s="436"/>
      <c r="E538" s="437"/>
      <c r="F538" s="437"/>
    </row>
    <row r="539" spans="1:7" ht="124.2">
      <c r="B539" s="541" t="s">
        <v>2114</v>
      </c>
      <c r="C539" s="542"/>
      <c r="G539" s="540"/>
    </row>
    <row r="540" spans="1:7" s="540" customFormat="1" ht="68.400000000000006">
      <c r="A540" s="434"/>
      <c r="B540" s="561" t="s">
        <v>2115</v>
      </c>
      <c r="C540" s="542"/>
      <c r="D540" s="436"/>
      <c r="E540" s="437"/>
      <c r="F540" s="437"/>
    </row>
    <row r="541" spans="1:7" s="540" customFormat="1" ht="68.400000000000006">
      <c r="A541" s="434"/>
      <c r="B541" s="561" t="s">
        <v>2116</v>
      </c>
      <c r="C541" s="542"/>
      <c r="D541" s="436"/>
      <c r="E541" s="437"/>
      <c r="F541" s="437"/>
    </row>
    <row r="542" spans="1:7" s="540" customFormat="1" ht="57">
      <c r="A542" s="434"/>
      <c r="B542" s="562" t="s">
        <v>2117</v>
      </c>
      <c r="C542" s="563"/>
      <c r="D542" s="436"/>
      <c r="E542" s="437"/>
      <c r="F542" s="437"/>
      <c r="G542" s="438"/>
    </row>
    <row r="543" spans="1:7" s="540" customFormat="1" ht="45.6">
      <c r="A543" s="434"/>
      <c r="B543" s="561" t="s">
        <v>2118</v>
      </c>
      <c r="C543" s="542"/>
      <c r="D543" s="436"/>
      <c r="E543" s="437"/>
      <c r="F543" s="437"/>
    </row>
    <row r="544" spans="1:7" s="540" customFormat="1" ht="29.25" customHeight="1">
      <c r="A544" s="434"/>
      <c r="B544" s="541" t="s">
        <v>2096</v>
      </c>
      <c r="C544" s="542"/>
      <c r="D544" s="436"/>
      <c r="E544" s="437"/>
      <c r="F544" s="437"/>
    </row>
    <row r="545" spans="1:6" s="540" customFormat="1" ht="27.6">
      <c r="A545" s="434"/>
      <c r="B545" s="550" t="s">
        <v>2119</v>
      </c>
      <c r="C545" s="564"/>
      <c r="D545" s="436"/>
      <c r="E545" s="437"/>
      <c r="F545" s="437"/>
    </row>
    <row r="546" spans="1:6" s="540" customFormat="1" ht="27.6">
      <c r="A546" s="434"/>
      <c r="B546" s="550" t="s">
        <v>2094</v>
      </c>
      <c r="C546" s="552"/>
      <c r="D546" s="436"/>
      <c r="E546" s="437"/>
      <c r="F546" s="437"/>
    </row>
    <row r="547" spans="1:6" s="540" customFormat="1" ht="124.2">
      <c r="A547" s="434"/>
      <c r="B547" s="555" t="s">
        <v>2120</v>
      </c>
      <c r="C547" s="556"/>
      <c r="D547" s="436"/>
      <c r="E547" s="437"/>
      <c r="F547" s="437"/>
    </row>
    <row r="548" spans="1:6" s="540" customFormat="1" ht="14.25" customHeight="1">
      <c r="A548" s="434"/>
      <c r="B548" s="550" t="s">
        <v>2121</v>
      </c>
      <c r="C548" s="551"/>
      <c r="D548" s="436"/>
      <c r="E548" s="437"/>
      <c r="F548" s="437"/>
    </row>
    <row r="549" spans="1:6" s="540" customFormat="1" ht="27.6">
      <c r="A549" s="434"/>
      <c r="B549" s="555" t="s">
        <v>2122</v>
      </c>
      <c r="C549" s="556"/>
      <c r="D549" s="436"/>
      <c r="E549" s="437"/>
      <c r="F549" s="437"/>
    </row>
    <row r="550" spans="1:6" s="540" customFormat="1">
      <c r="A550" s="434"/>
      <c r="B550" s="550" t="s">
        <v>2123</v>
      </c>
      <c r="C550" s="565"/>
      <c r="D550" s="436"/>
      <c r="E550" s="437"/>
      <c r="F550" s="437"/>
    </row>
    <row r="551" spans="1:6" s="540" customFormat="1" ht="27.6">
      <c r="A551" s="434"/>
      <c r="B551" s="550" t="s">
        <v>2113</v>
      </c>
      <c r="C551" s="551"/>
      <c r="D551" s="436"/>
      <c r="E551" s="437"/>
      <c r="F551" s="437"/>
    </row>
    <row r="552" spans="1:6" s="540" customFormat="1" ht="55.2">
      <c r="A552" s="434"/>
      <c r="B552" s="555" t="s">
        <v>2124</v>
      </c>
      <c r="C552" s="556"/>
      <c r="D552" s="436"/>
      <c r="E552" s="437"/>
      <c r="F552" s="437"/>
    </row>
    <row r="553" spans="1:6" s="540" customFormat="1" ht="16.5" customHeight="1">
      <c r="A553" s="434"/>
      <c r="B553" s="550" t="s">
        <v>2125</v>
      </c>
      <c r="C553" s="552"/>
      <c r="D553" s="436"/>
      <c r="E553" s="437"/>
      <c r="F553" s="437"/>
    </row>
    <row r="554" spans="1:6" s="540" customFormat="1" ht="110.4">
      <c r="A554" s="434"/>
      <c r="B554" s="541" t="s">
        <v>2126</v>
      </c>
      <c r="C554" s="563"/>
      <c r="D554" s="436"/>
      <c r="E554" s="437"/>
      <c r="F554" s="437"/>
    </row>
    <row r="555" spans="1:6" s="540" customFormat="1" ht="15" customHeight="1">
      <c r="A555" s="434"/>
      <c r="B555" s="550"/>
      <c r="C555" s="551"/>
      <c r="D555" s="436"/>
      <c r="E555" s="437"/>
      <c r="F555" s="437"/>
    </row>
    <row r="556" spans="1:6" s="540" customFormat="1">
      <c r="A556" s="434" t="s">
        <v>2127</v>
      </c>
      <c r="B556" s="557" t="s">
        <v>2128</v>
      </c>
      <c r="C556" s="436" t="s">
        <v>345</v>
      </c>
      <c r="D556" s="436">
        <v>2</v>
      </c>
      <c r="E556" s="439">
        <v>468</v>
      </c>
      <c r="F556" s="437">
        <f>D556*E556</f>
        <v>936</v>
      </c>
    </row>
    <row r="557" spans="1:6" s="540" customFormat="1" ht="33.75" customHeight="1">
      <c r="A557" s="434"/>
      <c r="B557" s="557" t="s">
        <v>2631</v>
      </c>
      <c r="C557" s="559"/>
      <c r="D557" s="436"/>
      <c r="E557" s="439"/>
      <c r="F557" s="437"/>
    </row>
    <row r="558" spans="1:6" s="540" customFormat="1" ht="165.6">
      <c r="A558" s="434"/>
      <c r="B558" s="541" t="s">
        <v>2129</v>
      </c>
      <c r="C558" s="542"/>
      <c r="D558" s="436"/>
      <c r="E558" s="439"/>
      <c r="F558" s="437"/>
    </row>
    <row r="559" spans="1:6" s="540" customFormat="1" ht="33.75" customHeight="1">
      <c r="A559" s="434"/>
      <c r="B559" s="541" t="s">
        <v>2096</v>
      </c>
      <c r="C559" s="542"/>
      <c r="D559" s="436"/>
      <c r="E559" s="439"/>
      <c r="F559" s="437"/>
    </row>
    <row r="560" spans="1:6" s="540" customFormat="1">
      <c r="A560" s="434"/>
      <c r="B560" s="550"/>
      <c r="C560" s="566"/>
      <c r="D560" s="436"/>
      <c r="E560" s="439"/>
      <c r="F560" s="437"/>
    </row>
    <row r="561" spans="1:6" s="540" customFormat="1" ht="13.5" customHeight="1">
      <c r="A561" s="434" t="s">
        <v>2130</v>
      </c>
      <c r="B561" s="550" t="s">
        <v>2131</v>
      </c>
      <c r="C561" s="436" t="s">
        <v>227</v>
      </c>
      <c r="D561" s="436">
        <v>8</v>
      </c>
      <c r="E561" s="439">
        <v>109</v>
      </c>
      <c r="F561" s="437">
        <f>D561*E561</f>
        <v>872</v>
      </c>
    </row>
    <row r="562" spans="1:6" s="540" customFormat="1" ht="27.6">
      <c r="A562" s="434"/>
      <c r="B562" s="550" t="s">
        <v>2132</v>
      </c>
      <c r="C562" s="551"/>
      <c r="D562" s="436"/>
      <c r="E562" s="439"/>
      <c r="F562" s="437"/>
    </row>
    <row r="563" spans="1:6" s="540" customFormat="1" ht="138">
      <c r="A563" s="434"/>
      <c r="B563" s="541" t="s">
        <v>2133</v>
      </c>
      <c r="C563" s="563"/>
      <c r="D563" s="436"/>
      <c r="E563" s="439"/>
      <c r="F563" s="437"/>
    </row>
    <row r="564" spans="1:6" s="540" customFormat="1" ht="33.75" customHeight="1">
      <c r="A564" s="434"/>
      <c r="B564" s="541" t="s">
        <v>2096</v>
      </c>
      <c r="C564" s="542"/>
      <c r="D564" s="436"/>
      <c r="E564" s="439"/>
      <c r="F564" s="437"/>
    </row>
    <row r="565" spans="1:6" s="540" customFormat="1">
      <c r="A565" s="434"/>
      <c r="B565" s="550"/>
      <c r="C565" s="564"/>
      <c r="D565" s="436"/>
      <c r="E565" s="439"/>
      <c r="F565" s="437"/>
    </row>
    <row r="566" spans="1:6" s="540" customFormat="1" ht="13.5" customHeight="1">
      <c r="A566" s="434" t="s">
        <v>2134</v>
      </c>
      <c r="B566" s="550" t="s">
        <v>2135</v>
      </c>
      <c r="C566" s="436" t="s">
        <v>227</v>
      </c>
      <c r="D566" s="436">
        <v>1</v>
      </c>
      <c r="E566" s="439">
        <v>560</v>
      </c>
      <c r="F566" s="437">
        <f>D566*E566</f>
        <v>560</v>
      </c>
    </row>
    <row r="567" spans="1:6" s="540" customFormat="1" ht="12.75" customHeight="1">
      <c r="A567" s="434"/>
      <c r="B567" s="550" t="s">
        <v>2136</v>
      </c>
      <c r="C567" s="552"/>
      <c r="D567" s="436"/>
      <c r="E567" s="439"/>
      <c r="F567" s="437"/>
    </row>
    <row r="568" spans="1:6" s="540" customFormat="1" ht="15" customHeight="1">
      <c r="A568" s="434"/>
      <c r="B568" s="550" t="s">
        <v>2647</v>
      </c>
      <c r="C568" s="552"/>
      <c r="D568" s="436"/>
      <c r="E568" s="439"/>
      <c r="F568" s="437"/>
    </row>
    <row r="569" spans="1:6" s="540" customFormat="1" ht="151.80000000000001">
      <c r="A569" s="434"/>
      <c r="B569" s="555" t="s">
        <v>2137</v>
      </c>
      <c r="C569" s="556"/>
      <c r="D569" s="436"/>
      <c r="E569" s="439"/>
      <c r="F569" s="437"/>
    </row>
    <row r="570" spans="1:6" s="540" customFormat="1" ht="37.5" customHeight="1">
      <c r="A570" s="434"/>
      <c r="B570" s="541" t="s">
        <v>2096</v>
      </c>
      <c r="C570" s="542"/>
      <c r="D570" s="436"/>
      <c r="E570" s="439"/>
      <c r="F570" s="437"/>
    </row>
    <row r="571" spans="1:6" s="540" customFormat="1">
      <c r="A571" s="434"/>
      <c r="B571" s="550"/>
      <c r="C571" s="552"/>
      <c r="D571" s="436"/>
      <c r="E571" s="439"/>
      <c r="F571" s="437"/>
    </row>
    <row r="572" spans="1:6" s="540" customFormat="1" ht="26.25" customHeight="1">
      <c r="A572" s="434" t="s">
        <v>2138</v>
      </c>
      <c r="B572" s="550" t="s">
        <v>2139</v>
      </c>
      <c r="C572" s="436" t="s">
        <v>345</v>
      </c>
      <c r="D572" s="436">
        <v>1</v>
      </c>
      <c r="E572" s="439">
        <v>2345</v>
      </c>
      <c r="F572" s="437">
        <f>D572*E572</f>
        <v>2345</v>
      </c>
    </row>
    <row r="573" spans="1:6" s="540" customFormat="1">
      <c r="A573" s="434"/>
      <c r="B573" s="567" t="s">
        <v>2648</v>
      </c>
      <c r="C573" s="568"/>
      <c r="D573" s="436"/>
      <c r="E573" s="439"/>
      <c r="F573" s="437"/>
    </row>
    <row r="574" spans="1:6" s="540" customFormat="1" ht="125.4">
      <c r="A574" s="434"/>
      <c r="B574" s="561" t="s">
        <v>2140</v>
      </c>
      <c r="C574" s="542"/>
      <c r="D574" s="436"/>
      <c r="E574" s="439"/>
      <c r="F574" s="437"/>
    </row>
    <row r="575" spans="1:6" s="540" customFormat="1" ht="102.6">
      <c r="A575" s="434"/>
      <c r="B575" s="561" t="s">
        <v>2141</v>
      </c>
      <c r="C575" s="542"/>
      <c r="D575" s="436"/>
      <c r="E575" s="439"/>
      <c r="F575" s="437"/>
    </row>
    <row r="576" spans="1:6" s="540" customFormat="1" ht="79.8">
      <c r="A576" s="434"/>
      <c r="B576" s="561" t="s">
        <v>2142</v>
      </c>
      <c r="C576" s="542"/>
      <c r="D576" s="436"/>
      <c r="E576" s="439"/>
      <c r="F576" s="437"/>
    </row>
    <row r="577" spans="1:7" s="540" customFormat="1" ht="31.5" customHeight="1">
      <c r="A577" s="434"/>
      <c r="B577" s="541" t="s">
        <v>2096</v>
      </c>
      <c r="C577" s="542"/>
      <c r="D577" s="436"/>
      <c r="E577" s="439"/>
      <c r="F577" s="437"/>
    </row>
    <row r="578" spans="1:7" s="540" customFormat="1">
      <c r="A578" s="434"/>
      <c r="B578" s="550"/>
      <c r="C578" s="436"/>
      <c r="D578" s="436"/>
      <c r="E578" s="439"/>
      <c r="F578" s="437"/>
    </row>
    <row r="579" spans="1:7" s="540" customFormat="1" ht="27.6">
      <c r="A579" s="434" t="s">
        <v>2143</v>
      </c>
      <c r="B579" s="719" t="s">
        <v>2144</v>
      </c>
      <c r="C579" s="720" t="s">
        <v>345</v>
      </c>
      <c r="D579" s="720">
        <v>1</v>
      </c>
      <c r="E579" s="439">
        <v>109</v>
      </c>
      <c r="F579" s="543">
        <f>D579*E579</f>
        <v>109</v>
      </c>
    </row>
    <row r="580" spans="1:7" s="540" customFormat="1" ht="27" customHeight="1">
      <c r="A580" s="434"/>
      <c r="B580" s="719" t="s">
        <v>2649</v>
      </c>
      <c r="C580" s="721"/>
      <c r="D580" s="720"/>
      <c r="E580" s="439"/>
      <c r="F580" s="543"/>
    </row>
    <row r="581" spans="1:7" ht="69">
      <c r="B581" s="555" t="s">
        <v>2145</v>
      </c>
      <c r="C581" s="556"/>
      <c r="E581" s="439"/>
      <c r="G581" s="540"/>
    </row>
    <row r="582" spans="1:7" ht="14.25" customHeight="1">
      <c r="B582" s="555"/>
      <c r="C582" s="556"/>
      <c r="E582" s="439"/>
      <c r="G582" s="540"/>
    </row>
    <row r="583" spans="1:7" s="540" customFormat="1" ht="27.6">
      <c r="A583" s="434" t="s">
        <v>2146</v>
      </c>
      <c r="B583" s="550" t="s">
        <v>2147</v>
      </c>
      <c r="C583" s="436" t="s">
        <v>345</v>
      </c>
      <c r="D583" s="436">
        <v>1</v>
      </c>
      <c r="E583" s="439">
        <v>1415</v>
      </c>
      <c r="F583" s="437">
        <f>D583*E583</f>
        <v>1415</v>
      </c>
    </row>
    <row r="584" spans="1:7" s="540" customFormat="1">
      <c r="A584" s="434"/>
      <c r="B584" s="550" t="s">
        <v>2148</v>
      </c>
      <c r="C584" s="552"/>
      <c r="D584" s="436"/>
      <c r="E584" s="439"/>
      <c r="F584" s="437"/>
      <c r="G584" s="438"/>
    </row>
    <row r="585" spans="1:7" s="540" customFormat="1">
      <c r="A585" s="434"/>
      <c r="B585" s="550" t="s">
        <v>2650</v>
      </c>
      <c r="C585" s="552"/>
      <c r="D585" s="436"/>
      <c r="E585" s="439"/>
      <c r="F585" s="437"/>
      <c r="G585" s="438"/>
    </row>
    <row r="586" spans="1:7" s="540" customFormat="1" ht="69">
      <c r="A586" s="434"/>
      <c r="B586" s="541" t="s">
        <v>2149</v>
      </c>
      <c r="C586" s="542"/>
      <c r="D586" s="436"/>
      <c r="E586" s="439"/>
      <c r="F586" s="437"/>
    </row>
    <row r="587" spans="1:7" s="540" customFormat="1" ht="33" customHeight="1">
      <c r="A587" s="434"/>
      <c r="B587" s="541" t="s">
        <v>2096</v>
      </c>
      <c r="C587" s="542"/>
      <c r="D587" s="436"/>
      <c r="E587" s="439"/>
      <c r="F587" s="437"/>
    </row>
    <row r="588" spans="1:7" ht="13.5" customHeight="1">
      <c r="B588" s="541"/>
      <c r="C588" s="542"/>
      <c r="E588" s="439"/>
      <c r="G588" s="540"/>
    </row>
    <row r="589" spans="1:7" ht="31.5" customHeight="1">
      <c r="A589" s="434" t="s">
        <v>2150</v>
      </c>
      <c r="B589" s="550" t="s">
        <v>2151</v>
      </c>
      <c r="C589" s="436" t="s">
        <v>345</v>
      </c>
      <c r="D589" s="436">
        <v>1</v>
      </c>
      <c r="E589" s="439">
        <v>17</v>
      </c>
      <c r="F589" s="437">
        <f>D589*E589</f>
        <v>17</v>
      </c>
      <c r="G589" s="540"/>
    </row>
    <row r="590" spans="1:7">
      <c r="B590" s="550" t="s">
        <v>2152</v>
      </c>
      <c r="C590" s="552"/>
      <c r="E590" s="439"/>
      <c r="G590" s="540"/>
    </row>
    <row r="591" spans="1:7" s="540" customFormat="1">
      <c r="A591" s="440"/>
      <c r="B591" s="550" t="s">
        <v>2631</v>
      </c>
      <c r="C591" s="552"/>
      <c r="D591" s="436"/>
      <c r="E591" s="439"/>
      <c r="F591" s="437"/>
      <c r="G591" s="438"/>
    </row>
    <row r="592" spans="1:7" s="540" customFormat="1" ht="41.4">
      <c r="A592" s="440"/>
      <c r="B592" s="555" t="s">
        <v>2153</v>
      </c>
      <c r="C592" s="556"/>
      <c r="D592" s="436"/>
      <c r="E592" s="439"/>
      <c r="F592" s="437"/>
      <c r="G592" s="438"/>
    </row>
    <row r="593" spans="1:7" s="540" customFormat="1" ht="13.5" customHeight="1">
      <c r="A593" s="440"/>
      <c r="B593" s="555"/>
      <c r="C593" s="556"/>
      <c r="D593" s="436"/>
      <c r="E593" s="439"/>
      <c r="F593" s="437"/>
      <c r="G593" s="438"/>
    </row>
    <row r="594" spans="1:7" s="540" customFormat="1" ht="27.6">
      <c r="A594" s="434" t="s">
        <v>2154</v>
      </c>
      <c r="B594" s="569" t="s">
        <v>2155</v>
      </c>
      <c r="C594" s="436" t="s">
        <v>345</v>
      </c>
      <c r="D594" s="436">
        <v>1</v>
      </c>
      <c r="E594" s="439">
        <v>856</v>
      </c>
      <c r="F594" s="437">
        <f>D594*E594</f>
        <v>856</v>
      </c>
    </row>
    <row r="595" spans="1:7" s="540" customFormat="1" ht="28.5" customHeight="1">
      <c r="A595" s="434"/>
      <c r="B595" s="569" t="s">
        <v>2651</v>
      </c>
      <c r="C595" s="559"/>
      <c r="D595" s="436"/>
      <c r="E595" s="439"/>
      <c r="F595" s="437"/>
    </row>
    <row r="596" spans="1:7" s="540" customFormat="1" ht="69">
      <c r="A596" s="434"/>
      <c r="B596" s="541" t="s">
        <v>2156</v>
      </c>
      <c r="C596" s="542"/>
      <c r="D596" s="436"/>
      <c r="E596" s="439"/>
      <c r="F596" s="437"/>
    </row>
    <row r="597" spans="1:7" s="540" customFormat="1" ht="39" customHeight="1">
      <c r="A597" s="434"/>
      <c r="B597" s="541" t="s">
        <v>2096</v>
      </c>
      <c r="C597" s="542"/>
      <c r="D597" s="436"/>
      <c r="E597" s="439"/>
      <c r="F597" s="437"/>
    </row>
    <row r="598" spans="1:7" s="540" customFormat="1" ht="13.5" customHeight="1">
      <c r="A598" s="434"/>
      <c r="B598" s="541"/>
      <c r="C598" s="542"/>
      <c r="D598" s="436"/>
      <c r="E598" s="439"/>
      <c r="F598" s="437"/>
    </row>
    <row r="599" spans="1:7" s="540" customFormat="1" ht="27.6">
      <c r="A599" s="434" t="s">
        <v>2157</v>
      </c>
      <c r="B599" s="482" t="s">
        <v>2158</v>
      </c>
      <c r="C599" s="436" t="s">
        <v>345</v>
      </c>
      <c r="D599" s="436">
        <v>1</v>
      </c>
      <c r="E599" s="439">
        <v>157</v>
      </c>
      <c r="F599" s="437">
        <f>D599*E599</f>
        <v>157</v>
      </c>
    </row>
    <row r="600" spans="1:7" s="540" customFormat="1">
      <c r="A600" s="434"/>
      <c r="B600" s="482" t="s">
        <v>2159</v>
      </c>
      <c r="C600" s="559"/>
      <c r="D600" s="436"/>
      <c r="E600" s="439"/>
      <c r="F600" s="437"/>
    </row>
    <row r="601" spans="1:7" s="540" customFormat="1">
      <c r="A601" s="434"/>
      <c r="B601" s="482" t="s">
        <v>2631</v>
      </c>
      <c r="C601" s="559"/>
      <c r="D601" s="436"/>
      <c r="E601" s="439"/>
      <c r="F601" s="437"/>
    </row>
    <row r="602" spans="1:7" s="540" customFormat="1" ht="27.6">
      <c r="A602" s="434"/>
      <c r="B602" s="555" t="s">
        <v>2160</v>
      </c>
      <c r="C602" s="556"/>
      <c r="D602" s="436"/>
      <c r="E602" s="439"/>
      <c r="F602" s="437"/>
    </row>
    <row r="603" spans="1:7" s="540" customFormat="1" ht="13.5" customHeight="1">
      <c r="A603" s="434"/>
      <c r="B603" s="555"/>
      <c r="C603" s="556"/>
      <c r="D603" s="436"/>
      <c r="E603" s="439"/>
      <c r="F603" s="437"/>
    </row>
    <row r="604" spans="1:7" s="540" customFormat="1" ht="27.6">
      <c r="A604" s="434" t="s">
        <v>2161</v>
      </c>
      <c r="B604" s="722" t="s">
        <v>2162</v>
      </c>
      <c r="C604" s="723" t="s">
        <v>345</v>
      </c>
      <c r="D604" s="723">
        <v>1</v>
      </c>
      <c r="E604" s="439">
        <v>75</v>
      </c>
      <c r="F604" s="724">
        <f>D604*E604</f>
        <v>75</v>
      </c>
    </row>
    <row r="605" spans="1:7" s="540" customFormat="1">
      <c r="A605" s="434"/>
      <c r="B605" s="725" t="s">
        <v>2652</v>
      </c>
      <c r="C605" s="726"/>
      <c r="D605" s="723"/>
      <c r="E605" s="439"/>
      <c r="F605" s="724"/>
    </row>
    <row r="606" spans="1:7" ht="41.4">
      <c r="B606" s="541" t="s">
        <v>2163</v>
      </c>
      <c r="C606" s="563"/>
      <c r="E606" s="439"/>
      <c r="G606" s="540"/>
    </row>
    <row r="607" spans="1:7" ht="13.5" customHeight="1">
      <c r="B607" s="561"/>
      <c r="C607" s="563"/>
      <c r="E607" s="439"/>
      <c r="G607" s="540"/>
    </row>
    <row r="608" spans="1:7" s="540" customFormat="1" ht="27.6">
      <c r="A608" s="434" t="s">
        <v>2164</v>
      </c>
      <c r="B608" s="719" t="s">
        <v>2162</v>
      </c>
      <c r="C608" s="720" t="s">
        <v>345</v>
      </c>
      <c r="D608" s="720">
        <v>1</v>
      </c>
      <c r="E608" s="439">
        <v>125</v>
      </c>
      <c r="F608" s="543">
        <f>D608*E608</f>
        <v>125</v>
      </c>
    </row>
    <row r="609" spans="1:7" s="540" customFormat="1" ht="27.75" customHeight="1">
      <c r="A609" s="434"/>
      <c r="B609" s="727" t="s">
        <v>2653</v>
      </c>
      <c r="C609" s="726"/>
      <c r="D609" s="723"/>
      <c r="E609" s="439"/>
      <c r="F609" s="724"/>
      <c r="G609" s="438"/>
    </row>
    <row r="610" spans="1:7" s="540" customFormat="1" ht="41.4">
      <c r="A610" s="434"/>
      <c r="B610" s="541" t="s">
        <v>2165</v>
      </c>
      <c r="C610" s="563"/>
      <c r="D610" s="436"/>
      <c r="E610" s="439"/>
      <c r="F610" s="437"/>
      <c r="G610" s="438"/>
    </row>
    <row r="611" spans="1:7" s="540" customFormat="1">
      <c r="A611" s="434"/>
      <c r="B611" s="550"/>
      <c r="C611" s="436"/>
      <c r="D611" s="436"/>
      <c r="E611" s="439"/>
      <c r="F611" s="437"/>
    </row>
    <row r="612" spans="1:7" s="540" customFormat="1">
      <c r="A612" s="434"/>
      <c r="B612" s="550" t="s">
        <v>2166</v>
      </c>
      <c r="C612" s="551"/>
      <c r="D612" s="436"/>
      <c r="E612" s="439"/>
      <c r="F612" s="437"/>
    </row>
    <row r="613" spans="1:7" s="540" customFormat="1" ht="27.6">
      <c r="A613" s="434" t="s">
        <v>2167</v>
      </c>
      <c r="B613" s="550" t="s">
        <v>2168</v>
      </c>
      <c r="C613" s="436" t="s">
        <v>345</v>
      </c>
      <c r="D613" s="436">
        <v>1</v>
      </c>
      <c r="E613" s="439">
        <v>195</v>
      </c>
      <c r="F613" s="437">
        <f>D613*E613</f>
        <v>195</v>
      </c>
    </row>
    <row r="614" spans="1:7" s="540" customFormat="1" ht="18" customHeight="1">
      <c r="A614" s="434"/>
      <c r="B614" s="550" t="s">
        <v>2654</v>
      </c>
      <c r="C614" s="551"/>
      <c r="D614" s="436"/>
      <c r="E614" s="439"/>
      <c r="F614" s="437"/>
    </row>
    <row r="615" spans="1:7" s="540" customFormat="1" ht="124.2">
      <c r="A615" s="434"/>
      <c r="B615" s="541" t="s">
        <v>2169</v>
      </c>
      <c r="C615" s="542"/>
      <c r="D615" s="436"/>
      <c r="E615" s="439"/>
      <c r="F615" s="437"/>
    </row>
    <row r="616" spans="1:7" ht="13.5" customHeight="1">
      <c r="B616" s="541"/>
      <c r="C616" s="542"/>
      <c r="E616" s="439"/>
      <c r="G616" s="540"/>
    </row>
    <row r="617" spans="1:7" s="540" customFormat="1" ht="27.6">
      <c r="A617" s="434" t="s">
        <v>2170</v>
      </c>
      <c r="B617" s="550" t="s">
        <v>2171</v>
      </c>
      <c r="C617" s="436" t="s">
        <v>345</v>
      </c>
      <c r="D617" s="436">
        <v>1</v>
      </c>
      <c r="E617" s="439">
        <v>45</v>
      </c>
      <c r="F617" s="437">
        <f>D617*E617</f>
        <v>45</v>
      </c>
    </row>
    <row r="618" spans="1:7" s="540" customFormat="1">
      <c r="A618" s="434"/>
      <c r="B618" s="550" t="s">
        <v>2655</v>
      </c>
      <c r="C618" s="551"/>
      <c r="D618" s="436"/>
      <c r="E618" s="439"/>
      <c r="F618" s="437"/>
    </row>
    <row r="619" spans="1:7" s="540" customFormat="1" ht="13.5" customHeight="1">
      <c r="A619" s="434"/>
      <c r="B619" s="550" t="s">
        <v>2650</v>
      </c>
      <c r="C619" s="551"/>
      <c r="D619" s="436"/>
      <c r="E619" s="439"/>
      <c r="F619" s="437"/>
      <c r="G619" s="438"/>
    </row>
    <row r="620" spans="1:7" s="540" customFormat="1" ht="82.8">
      <c r="A620" s="434"/>
      <c r="B620" s="541" t="s">
        <v>2172</v>
      </c>
      <c r="C620" s="542"/>
      <c r="D620" s="436"/>
      <c r="E620" s="439"/>
      <c r="F620" s="437"/>
    </row>
    <row r="621" spans="1:7" s="540" customFormat="1" ht="13.5" customHeight="1">
      <c r="A621" s="434"/>
      <c r="B621" s="541"/>
      <c r="C621" s="542"/>
      <c r="D621" s="436"/>
      <c r="E621" s="439"/>
      <c r="F621" s="437"/>
    </row>
    <row r="622" spans="1:7" s="540" customFormat="1" ht="27.6">
      <c r="A622" s="434" t="s">
        <v>2173</v>
      </c>
      <c r="B622" s="719" t="s">
        <v>2174</v>
      </c>
      <c r="C622" s="720" t="s">
        <v>345</v>
      </c>
      <c r="D622" s="720">
        <v>2</v>
      </c>
      <c r="E622" s="439">
        <v>45</v>
      </c>
      <c r="F622" s="543">
        <f>D622*E622</f>
        <v>90</v>
      </c>
    </row>
    <row r="623" spans="1:7" s="540" customFormat="1">
      <c r="A623" s="434"/>
      <c r="B623" s="719" t="s">
        <v>2649</v>
      </c>
      <c r="C623" s="728"/>
      <c r="D623" s="720"/>
      <c r="E623" s="439"/>
      <c r="F623" s="543"/>
    </row>
    <row r="624" spans="1:7" s="540" customFormat="1" ht="69">
      <c r="A624" s="434"/>
      <c r="B624" s="541" t="s">
        <v>2175</v>
      </c>
      <c r="C624" s="542"/>
      <c r="D624" s="436"/>
      <c r="E624" s="439"/>
      <c r="F624" s="437"/>
    </row>
    <row r="625" spans="1:7" s="540" customFormat="1" ht="13.5" customHeight="1">
      <c r="A625" s="434"/>
      <c r="B625" s="478"/>
      <c r="C625" s="542"/>
      <c r="D625" s="436"/>
      <c r="E625" s="439"/>
      <c r="F625" s="437"/>
    </row>
    <row r="626" spans="1:7" s="540" customFormat="1">
      <c r="A626" s="434"/>
      <c r="B626" s="550" t="s">
        <v>2176</v>
      </c>
      <c r="C626" s="436"/>
      <c r="D626" s="436"/>
      <c r="E626" s="439"/>
      <c r="F626" s="437"/>
    </row>
    <row r="627" spans="1:7" s="540" customFormat="1" ht="27.6">
      <c r="A627" s="434" t="s">
        <v>2177</v>
      </c>
      <c r="B627" s="570" t="s">
        <v>2178</v>
      </c>
      <c r="C627" s="436" t="s">
        <v>227</v>
      </c>
      <c r="D627" s="436">
        <v>2</v>
      </c>
      <c r="E627" s="439">
        <v>3348</v>
      </c>
      <c r="F627" s="437">
        <f>D627*E627</f>
        <v>6696</v>
      </c>
    </row>
    <row r="628" spans="1:7" s="540" customFormat="1" ht="27.6">
      <c r="A628" s="434"/>
      <c r="B628" s="570" t="s">
        <v>2179</v>
      </c>
      <c r="C628" s="559"/>
      <c r="D628" s="436"/>
      <c r="E628" s="439"/>
      <c r="F628" s="437"/>
    </row>
    <row r="629" spans="1:7" ht="27.75" customHeight="1">
      <c r="B629" s="570" t="s">
        <v>2646</v>
      </c>
      <c r="C629" s="559"/>
      <c r="E629" s="439"/>
      <c r="G629" s="540"/>
    </row>
    <row r="630" spans="1:7" s="540" customFormat="1" ht="248.4">
      <c r="A630" s="434"/>
      <c r="B630" s="541" t="s">
        <v>2180</v>
      </c>
      <c r="C630" s="563"/>
      <c r="D630" s="436"/>
      <c r="E630" s="439"/>
      <c r="F630" s="437"/>
    </row>
    <row r="631" spans="1:7" s="540" customFormat="1" ht="102.6">
      <c r="A631" s="434"/>
      <c r="B631" s="561" t="s">
        <v>2181</v>
      </c>
      <c r="C631" s="563"/>
      <c r="D631" s="436"/>
      <c r="E631" s="439"/>
      <c r="F631" s="437"/>
    </row>
    <row r="632" spans="1:7" s="540" customFormat="1" ht="68.400000000000006">
      <c r="A632" s="434"/>
      <c r="B632" s="571" t="s">
        <v>2182</v>
      </c>
      <c r="C632" s="563"/>
      <c r="D632" s="436"/>
      <c r="E632" s="439"/>
      <c r="F632" s="437"/>
      <c r="G632" s="438"/>
    </row>
    <row r="633" spans="1:7" s="540" customFormat="1" ht="125.4">
      <c r="A633" s="434"/>
      <c r="B633" s="571" t="s">
        <v>2183</v>
      </c>
      <c r="C633" s="563"/>
      <c r="D633" s="436"/>
      <c r="E633" s="439"/>
      <c r="F633" s="437"/>
    </row>
    <row r="634" spans="1:7" s="540" customFormat="1" ht="33" customHeight="1">
      <c r="A634" s="434"/>
      <c r="B634" s="541" t="s">
        <v>2096</v>
      </c>
      <c r="C634" s="542"/>
      <c r="D634" s="436"/>
      <c r="E634" s="439"/>
      <c r="F634" s="437"/>
    </row>
    <row r="635" spans="1:7" s="540" customFormat="1" ht="13.5" customHeight="1">
      <c r="A635" s="434"/>
      <c r="B635" s="561"/>
      <c r="C635" s="563"/>
      <c r="D635" s="436"/>
      <c r="E635" s="439"/>
      <c r="F635" s="437"/>
    </row>
    <row r="636" spans="1:7" s="540" customFormat="1" ht="27.6">
      <c r="A636" s="434" t="s">
        <v>2184</v>
      </c>
      <c r="B636" s="550" t="s">
        <v>2185</v>
      </c>
      <c r="C636" s="436" t="s">
        <v>227</v>
      </c>
      <c r="D636" s="436">
        <v>2</v>
      </c>
      <c r="E636" s="439">
        <v>79</v>
      </c>
      <c r="F636" s="437">
        <f>D636*E636</f>
        <v>158</v>
      </c>
    </row>
    <row r="637" spans="1:7" s="540" customFormat="1">
      <c r="A637" s="434"/>
      <c r="B637" s="549" t="s">
        <v>2630</v>
      </c>
      <c r="C637" s="542"/>
      <c r="D637" s="436"/>
      <c r="E637" s="439"/>
      <c r="F637" s="437"/>
    </row>
    <row r="638" spans="1:7" s="540" customFormat="1" ht="27.6">
      <c r="A638" s="434"/>
      <c r="B638" s="541" t="s">
        <v>2186</v>
      </c>
      <c r="C638" s="542"/>
      <c r="D638" s="436"/>
      <c r="E638" s="439"/>
      <c r="F638" s="437"/>
    </row>
    <row r="639" spans="1:7" s="540" customFormat="1">
      <c r="A639" s="434"/>
      <c r="B639" s="541"/>
      <c r="C639" s="542"/>
      <c r="D639" s="436"/>
      <c r="E639" s="439"/>
      <c r="F639" s="437"/>
    </row>
    <row r="640" spans="1:7" ht="12.75" customHeight="1">
      <c r="A640" s="434" t="s">
        <v>2187</v>
      </c>
      <c r="B640" s="482" t="s">
        <v>2188</v>
      </c>
      <c r="C640" s="436" t="s">
        <v>345</v>
      </c>
      <c r="D640" s="436">
        <v>2</v>
      </c>
      <c r="E640" s="439">
        <v>155</v>
      </c>
      <c r="F640" s="437">
        <f>D640*E640</f>
        <v>310</v>
      </c>
      <c r="G640" s="540"/>
    </row>
    <row r="641" spans="1:7" ht="14.25" customHeight="1">
      <c r="B641" s="482" t="s">
        <v>2189</v>
      </c>
      <c r="C641" s="559"/>
      <c r="E641" s="439"/>
      <c r="G641" s="540"/>
    </row>
    <row r="642" spans="1:7" s="540" customFormat="1">
      <c r="A642" s="434"/>
      <c r="B642" s="482" t="s">
        <v>2631</v>
      </c>
      <c r="C642" s="559"/>
      <c r="D642" s="436"/>
      <c r="E642" s="439"/>
      <c r="F642" s="437"/>
    </row>
    <row r="643" spans="1:7" s="540" customFormat="1" ht="27.6">
      <c r="A643" s="434"/>
      <c r="B643" s="541" t="s">
        <v>2190</v>
      </c>
      <c r="C643" s="563"/>
      <c r="D643" s="436"/>
      <c r="E643" s="439"/>
      <c r="F643" s="437"/>
      <c r="G643" s="438"/>
    </row>
    <row r="644" spans="1:7" s="540" customFormat="1" ht="13.5" customHeight="1">
      <c r="A644" s="434"/>
      <c r="B644" s="561"/>
      <c r="C644" s="563"/>
      <c r="D644" s="436"/>
      <c r="E644" s="439"/>
      <c r="F644" s="437"/>
      <c r="G644" s="438"/>
    </row>
    <row r="645" spans="1:7" s="540" customFormat="1" ht="27.6">
      <c r="A645" s="434" t="s">
        <v>2191</v>
      </c>
      <c r="B645" s="550" t="s">
        <v>2162</v>
      </c>
      <c r="C645" s="436" t="s">
        <v>227</v>
      </c>
      <c r="D645" s="436">
        <v>2</v>
      </c>
      <c r="E645" s="439">
        <v>88</v>
      </c>
      <c r="F645" s="437">
        <f>D645*E645</f>
        <v>176</v>
      </c>
    </row>
    <row r="646" spans="1:7" s="540" customFormat="1">
      <c r="A646" s="434"/>
      <c r="B646" s="567" t="s">
        <v>2632</v>
      </c>
      <c r="C646" s="551"/>
      <c r="D646" s="436"/>
      <c r="E646" s="439"/>
      <c r="F646" s="437"/>
    </row>
    <row r="647" spans="1:7" s="540" customFormat="1" ht="55.2">
      <c r="A647" s="434"/>
      <c r="B647" s="541" t="s">
        <v>2192</v>
      </c>
      <c r="C647" s="563"/>
      <c r="D647" s="436"/>
      <c r="E647" s="439"/>
      <c r="F647" s="437"/>
    </row>
    <row r="648" spans="1:7" s="540" customFormat="1" ht="13.5" customHeight="1">
      <c r="A648" s="434"/>
      <c r="B648" s="561"/>
      <c r="C648" s="563"/>
      <c r="D648" s="436"/>
      <c r="E648" s="439"/>
      <c r="F648" s="437"/>
    </row>
    <row r="649" spans="1:7" s="540" customFormat="1" ht="27.6">
      <c r="A649" s="434" t="s">
        <v>2193</v>
      </c>
      <c r="B649" s="550" t="s">
        <v>2162</v>
      </c>
      <c r="C649" s="436" t="s">
        <v>227</v>
      </c>
      <c r="D649" s="436">
        <v>2</v>
      </c>
      <c r="E649" s="439">
        <v>65</v>
      </c>
      <c r="F649" s="437">
        <f>D649*E649</f>
        <v>130</v>
      </c>
    </row>
    <row r="650" spans="1:7" s="540" customFormat="1">
      <c r="A650" s="434"/>
      <c r="B650" s="567" t="s">
        <v>2633</v>
      </c>
      <c r="C650" s="551"/>
      <c r="D650" s="436"/>
      <c r="E650" s="439"/>
      <c r="F650" s="437"/>
    </row>
    <row r="651" spans="1:7" s="540" customFormat="1" ht="41.4">
      <c r="A651" s="434"/>
      <c r="B651" s="541" t="s">
        <v>2194</v>
      </c>
      <c r="C651" s="563"/>
      <c r="D651" s="436"/>
      <c r="E651" s="439"/>
      <c r="F651" s="437"/>
    </row>
    <row r="652" spans="1:7" s="540" customFormat="1" ht="13.5" customHeight="1">
      <c r="A652" s="434"/>
      <c r="B652" s="561"/>
      <c r="C652" s="563"/>
      <c r="D652" s="436"/>
      <c r="E652" s="439"/>
      <c r="F652" s="437"/>
    </row>
    <row r="653" spans="1:7" s="540" customFormat="1" ht="27.6">
      <c r="A653" s="434" t="s">
        <v>2195</v>
      </c>
      <c r="B653" s="550" t="s">
        <v>2196</v>
      </c>
      <c r="C653" s="436" t="s">
        <v>345</v>
      </c>
      <c r="D653" s="436">
        <v>2</v>
      </c>
      <c r="E653" s="439">
        <v>98</v>
      </c>
      <c r="F653" s="437">
        <f>D653*E653</f>
        <v>196</v>
      </c>
    </row>
    <row r="654" spans="1:7" s="540" customFormat="1">
      <c r="A654" s="434"/>
      <c r="B654" s="550" t="s">
        <v>2635</v>
      </c>
      <c r="C654" s="551"/>
      <c r="D654" s="436"/>
      <c r="E654" s="439"/>
      <c r="F654" s="437"/>
    </row>
    <row r="655" spans="1:7">
      <c r="B655" s="550" t="s">
        <v>2634</v>
      </c>
      <c r="C655" s="551"/>
      <c r="E655" s="439"/>
      <c r="G655" s="540"/>
    </row>
    <row r="656" spans="1:7" ht="151.80000000000001">
      <c r="B656" s="541" t="s">
        <v>2197</v>
      </c>
      <c r="C656" s="542"/>
      <c r="E656" s="439"/>
      <c r="G656" s="540"/>
    </row>
    <row r="657" spans="1:7" ht="13.5" customHeight="1">
      <c r="B657" s="541"/>
      <c r="C657" s="542"/>
      <c r="E657" s="439"/>
      <c r="G657" s="540"/>
    </row>
    <row r="658" spans="1:7" ht="27.6">
      <c r="A658" s="434" t="s">
        <v>2198</v>
      </c>
      <c r="B658" s="550" t="s">
        <v>2199</v>
      </c>
      <c r="C658" s="436" t="s">
        <v>345</v>
      </c>
      <c r="D658" s="436">
        <v>2</v>
      </c>
      <c r="E658" s="439">
        <v>15</v>
      </c>
      <c r="F658" s="437">
        <f>D658*E658</f>
        <v>30</v>
      </c>
    </row>
    <row r="659" spans="1:7" s="540" customFormat="1">
      <c r="A659" s="434"/>
      <c r="B659" s="567" t="s">
        <v>2635</v>
      </c>
      <c r="C659" s="551"/>
      <c r="D659" s="436"/>
      <c r="E659" s="439"/>
      <c r="F659" s="437"/>
      <c r="G659" s="438"/>
    </row>
    <row r="660" spans="1:7" s="540" customFormat="1" ht="27.6">
      <c r="A660" s="434"/>
      <c r="B660" s="541" t="s">
        <v>2200</v>
      </c>
      <c r="C660" s="563"/>
      <c r="D660" s="436"/>
      <c r="E660" s="439"/>
      <c r="F660" s="437"/>
      <c r="G660" s="438"/>
    </row>
    <row r="661" spans="1:7" s="540" customFormat="1" ht="13.5" customHeight="1">
      <c r="A661" s="434"/>
      <c r="B661" s="561"/>
      <c r="C661" s="563"/>
      <c r="D661" s="436"/>
      <c r="E661" s="439"/>
      <c r="F661" s="437"/>
      <c r="G661" s="438"/>
    </row>
    <row r="662" spans="1:7" s="540" customFormat="1" ht="27.6">
      <c r="A662" s="434" t="s">
        <v>2201</v>
      </c>
      <c r="B662" s="549" t="s">
        <v>2202</v>
      </c>
      <c r="C662" s="436" t="s">
        <v>345</v>
      </c>
      <c r="D662" s="436">
        <v>2</v>
      </c>
      <c r="E662" s="439">
        <v>45</v>
      </c>
      <c r="F662" s="437">
        <f>D662*E662</f>
        <v>90</v>
      </c>
    </row>
    <row r="663" spans="1:7" s="540" customFormat="1">
      <c r="A663" s="434"/>
      <c r="B663" s="549" t="s">
        <v>2636</v>
      </c>
      <c r="C663" s="551"/>
      <c r="D663" s="436"/>
      <c r="E663" s="439"/>
      <c r="F663" s="437"/>
    </row>
    <row r="664" spans="1:7" s="540" customFormat="1" ht="82.8">
      <c r="A664" s="434"/>
      <c r="B664" s="541" t="s">
        <v>2203</v>
      </c>
      <c r="C664" s="542"/>
      <c r="D664" s="436"/>
      <c r="E664" s="439"/>
      <c r="F664" s="437"/>
    </row>
    <row r="665" spans="1:7" s="540" customFormat="1" ht="12.75" customHeight="1">
      <c r="A665" s="434"/>
      <c r="B665" s="435"/>
      <c r="C665" s="556"/>
      <c r="D665" s="436"/>
      <c r="E665" s="439"/>
      <c r="F665" s="437"/>
    </row>
    <row r="666" spans="1:7" s="540" customFormat="1">
      <c r="A666" s="434"/>
      <c r="B666" s="549" t="s">
        <v>2204</v>
      </c>
      <c r="C666" s="572"/>
      <c r="D666" s="436"/>
      <c r="E666" s="439"/>
      <c r="F666" s="437"/>
    </row>
    <row r="667" spans="1:7" s="540" customFormat="1" ht="27.6">
      <c r="A667" s="434" t="s">
        <v>2205</v>
      </c>
      <c r="B667" s="549" t="s">
        <v>2206</v>
      </c>
      <c r="C667" s="436" t="s">
        <v>227</v>
      </c>
      <c r="D667" s="436">
        <v>1</v>
      </c>
      <c r="E667" s="439">
        <v>278</v>
      </c>
      <c r="F667" s="437">
        <f>D667*E667</f>
        <v>278</v>
      </c>
    </row>
    <row r="668" spans="1:7" s="540" customFormat="1" ht="27.6">
      <c r="A668" s="434"/>
      <c r="B668" s="549" t="s">
        <v>2207</v>
      </c>
      <c r="C668" s="551"/>
      <c r="D668" s="436"/>
      <c r="E668" s="439"/>
      <c r="F668" s="437"/>
    </row>
    <row r="669" spans="1:7" s="540" customFormat="1">
      <c r="A669" s="434"/>
      <c r="B669" s="550" t="s">
        <v>2208</v>
      </c>
      <c r="C669" s="551"/>
      <c r="D669" s="436"/>
      <c r="E669" s="439"/>
      <c r="F669" s="437"/>
    </row>
    <row r="670" spans="1:7" s="540" customFormat="1" ht="55.2">
      <c r="A670" s="434"/>
      <c r="B670" s="541" t="s">
        <v>2209</v>
      </c>
      <c r="C670" s="542"/>
      <c r="D670" s="436"/>
      <c r="E670" s="439"/>
      <c r="F670" s="437"/>
    </row>
    <row r="671" spans="1:7" s="540" customFormat="1" ht="13.5" customHeight="1">
      <c r="A671" s="434"/>
      <c r="B671" s="541"/>
      <c r="C671" s="542"/>
      <c r="D671" s="436"/>
      <c r="E671" s="439"/>
      <c r="F671" s="437"/>
    </row>
    <row r="672" spans="1:7">
      <c r="A672" s="434" t="s">
        <v>2210</v>
      </c>
      <c r="B672" s="549" t="s">
        <v>2211</v>
      </c>
      <c r="C672" s="436" t="s">
        <v>227</v>
      </c>
      <c r="D672" s="436">
        <v>1</v>
      </c>
      <c r="E672" s="439">
        <v>1555</v>
      </c>
      <c r="F672" s="437">
        <f>D672*E672</f>
        <v>1555</v>
      </c>
      <c r="G672" s="540"/>
    </row>
    <row r="673" spans="1:7" s="540" customFormat="1" ht="124.2">
      <c r="A673" s="434"/>
      <c r="B673" s="541" t="s">
        <v>2212</v>
      </c>
      <c r="C673" s="542"/>
      <c r="D673" s="436"/>
      <c r="E673" s="439"/>
      <c r="F673" s="437"/>
    </row>
    <row r="674" spans="1:7" s="540" customFormat="1">
      <c r="A674" s="434"/>
      <c r="B674" s="550"/>
      <c r="C674" s="566"/>
      <c r="D674" s="436"/>
      <c r="E674" s="439"/>
      <c r="F674" s="437"/>
    </row>
    <row r="675" spans="1:7" s="540" customFormat="1">
      <c r="A675" s="434"/>
      <c r="B675" s="550" t="s">
        <v>1883</v>
      </c>
      <c r="C675" s="551"/>
      <c r="D675" s="436"/>
      <c r="E675" s="439"/>
      <c r="F675" s="437"/>
      <c r="G675" s="438"/>
    </row>
    <row r="676" spans="1:7" s="540" customFormat="1" ht="25.5" customHeight="1">
      <c r="A676" s="434" t="s">
        <v>2213</v>
      </c>
      <c r="B676" s="550" t="s">
        <v>2214</v>
      </c>
      <c r="C676" s="436" t="s">
        <v>748</v>
      </c>
      <c r="D676" s="436">
        <v>120</v>
      </c>
      <c r="E676" s="439">
        <v>3.55</v>
      </c>
      <c r="F676" s="437">
        <f>D676*E676</f>
        <v>426</v>
      </c>
    </row>
    <row r="677" spans="1:7" s="540" customFormat="1">
      <c r="A677" s="434"/>
      <c r="B677" s="550" t="s">
        <v>2215</v>
      </c>
      <c r="C677" s="551"/>
      <c r="D677" s="436"/>
      <c r="E677" s="439"/>
      <c r="F677" s="437"/>
    </row>
    <row r="678" spans="1:7" s="540" customFormat="1">
      <c r="A678" s="434"/>
      <c r="B678" s="550" t="s">
        <v>2637</v>
      </c>
      <c r="C678" s="551"/>
      <c r="D678" s="436"/>
      <c r="E678" s="439"/>
      <c r="F678" s="437"/>
    </row>
    <row r="679" spans="1:7" s="540" customFormat="1" ht="69">
      <c r="A679" s="434"/>
      <c r="B679" s="541" t="s">
        <v>2216</v>
      </c>
      <c r="C679" s="542"/>
      <c r="D679" s="436"/>
      <c r="E679" s="439"/>
      <c r="F679" s="437"/>
    </row>
    <row r="680" spans="1:7" ht="13.5" customHeight="1">
      <c r="B680" s="541"/>
      <c r="C680" s="542"/>
      <c r="E680" s="439"/>
      <c r="G680" s="540"/>
    </row>
    <row r="681" spans="1:7" s="540" customFormat="1" ht="27.6">
      <c r="A681" s="434" t="s">
        <v>2217</v>
      </c>
      <c r="B681" s="550" t="s">
        <v>2218</v>
      </c>
      <c r="C681" s="436" t="s">
        <v>748</v>
      </c>
      <c r="D681" s="436">
        <v>100</v>
      </c>
      <c r="E681" s="439">
        <v>3.6</v>
      </c>
      <c r="F681" s="437">
        <f>D681*E681</f>
        <v>360</v>
      </c>
    </row>
    <row r="682" spans="1:7" s="540" customFormat="1" ht="13.5" customHeight="1">
      <c r="A682" s="434"/>
      <c r="B682" s="550" t="s">
        <v>2639</v>
      </c>
      <c r="C682" s="551"/>
      <c r="D682" s="436"/>
      <c r="E682" s="439"/>
      <c r="F682" s="437"/>
    </row>
    <row r="683" spans="1:7" s="540" customFormat="1">
      <c r="A683" s="434"/>
      <c r="B683" s="550" t="s">
        <v>2638</v>
      </c>
      <c r="C683" s="551"/>
      <c r="D683" s="436"/>
      <c r="E683" s="439"/>
      <c r="F683" s="437"/>
      <c r="G683" s="438"/>
    </row>
    <row r="684" spans="1:7" s="540" customFormat="1" ht="82.8">
      <c r="A684" s="434"/>
      <c r="B684" s="555" t="s">
        <v>2219</v>
      </c>
      <c r="C684" s="556"/>
      <c r="D684" s="436"/>
      <c r="E684" s="439"/>
      <c r="F684" s="437"/>
    </row>
    <row r="685" spans="1:7" s="540" customFormat="1" ht="13.5" customHeight="1">
      <c r="A685" s="434"/>
      <c r="B685" s="555"/>
      <c r="C685" s="556"/>
      <c r="D685" s="436"/>
      <c r="E685" s="439"/>
      <c r="F685" s="437"/>
    </row>
    <row r="686" spans="1:7" s="540" customFormat="1">
      <c r="A686" s="434" t="s">
        <v>2220</v>
      </c>
      <c r="B686" s="557" t="s">
        <v>2221</v>
      </c>
      <c r="C686" s="436" t="s">
        <v>748</v>
      </c>
      <c r="D686" s="436">
        <v>50</v>
      </c>
      <c r="E686" s="439">
        <v>3.1</v>
      </c>
      <c r="F686" s="437">
        <f>D686*E686</f>
        <v>155</v>
      </c>
    </row>
    <row r="687" spans="1:7" s="540" customFormat="1">
      <c r="A687" s="434"/>
      <c r="B687" s="557" t="s">
        <v>2640</v>
      </c>
      <c r="C687" s="559"/>
      <c r="D687" s="436"/>
      <c r="E687" s="439"/>
      <c r="F687" s="437"/>
    </row>
    <row r="688" spans="1:7" s="540" customFormat="1" ht="69">
      <c r="A688" s="434"/>
      <c r="B688" s="541" t="s">
        <v>2222</v>
      </c>
      <c r="C688" s="542"/>
      <c r="D688" s="436"/>
      <c r="E688" s="439"/>
      <c r="F688" s="437"/>
    </row>
    <row r="689" spans="1:7" s="540" customFormat="1" ht="13.5" customHeight="1">
      <c r="A689" s="434"/>
      <c r="B689" s="541"/>
      <c r="C689" s="542"/>
      <c r="D689" s="436"/>
      <c r="E689" s="439"/>
      <c r="F689" s="437"/>
    </row>
    <row r="690" spans="1:7" s="540" customFormat="1" ht="29.25" customHeight="1">
      <c r="A690" s="434" t="s">
        <v>2223</v>
      </c>
      <c r="B690" s="550" t="s">
        <v>2224</v>
      </c>
      <c r="C690" s="436" t="s">
        <v>748</v>
      </c>
      <c r="D690" s="436">
        <v>100</v>
      </c>
      <c r="E690" s="439">
        <v>2.5499999999999998</v>
      </c>
      <c r="F690" s="437">
        <f>D690*E690</f>
        <v>254.99999999999997</v>
      </c>
    </row>
    <row r="691" spans="1:7" s="540" customFormat="1" ht="27">
      <c r="A691" s="434"/>
      <c r="B691" s="573" t="s">
        <v>2641</v>
      </c>
      <c r="C691" s="551"/>
      <c r="D691" s="436"/>
      <c r="E691" s="439"/>
      <c r="F691" s="437"/>
    </row>
    <row r="692" spans="1:7" s="540" customFormat="1">
      <c r="A692" s="434"/>
      <c r="B692" s="550" t="s">
        <v>2638</v>
      </c>
      <c r="C692" s="551"/>
      <c r="D692" s="436"/>
      <c r="E692" s="439"/>
      <c r="F692" s="437"/>
    </row>
    <row r="693" spans="1:7" s="540" customFormat="1" ht="55.2">
      <c r="A693" s="434"/>
      <c r="B693" s="541" t="s">
        <v>2225</v>
      </c>
      <c r="C693" s="542"/>
      <c r="D693" s="436"/>
      <c r="E693" s="439"/>
      <c r="F693" s="437"/>
    </row>
    <row r="694" spans="1:7" s="540" customFormat="1" ht="13.5" customHeight="1">
      <c r="A694" s="434"/>
      <c r="B694" s="541"/>
      <c r="C694" s="542"/>
      <c r="D694" s="436"/>
      <c r="E694" s="439"/>
      <c r="F694" s="437"/>
    </row>
    <row r="695" spans="1:7" s="540" customFormat="1" ht="13.5" customHeight="1">
      <c r="A695" s="434" t="s">
        <v>2226</v>
      </c>
      <c r="B695" s="550" t="s">
        <v>2643</v>
      </c>
      <c r="C695" s="436" t="s">
        <v>748</v>
      </c>
      <c r="D695" s="436">
        <v>100</v>
      </c>
      <c r="E695" s="439">
        <v>2.87</v>
      </c>
      <c r="F695" s="437">
        <f>D695*E695</f>
        <v>287</v>
      </c>
    </row>
    <row r="696" spans="1:7" s="540" customFormat="1">
      <c r="A696" s="434"/>
      <c r="B696" s="550" t="s">
        <v>2642</v>
      </c>
      <c r="C696" s="551"/>
      <c r="D696" s="436"/>
      <c r="E696" s="439"/>
      <c r="F696" s="437"/>
    </row>
    <row r="697" spans="1:7" s="540" customFormat="1">
      <c r="A697" s="434"/>
      <c r="B697" s="550" t="s">
        <v>2638</v>
      </c>
      <c r="C697" s="551"/>
      <c r="D697" s="436"/>
      <c r="E697" s="439"/>
      <c r="F697" s="437"/>
    </row>
    <row r="698" spans="1:7" s="540" customFormat="1" ht="110.4">
      <c r="A698" s="434"/>
      <c r="B698" s="541" t="s">
        <v>2227</v>
      </c>
      <c r="C698" s="542"/>
      <c r="D698" s="436"/>
      <c r="E698" s="439"/>
      <c r="F698" s="437"/>
    </row>
    <row r="699" spans="1:7" s="540" customFormat="1" ht="13.5" customHeight="1">
      <c r="A699" s="434"/>
      <c r="B699" s="541"/>
      <c r="C699" s="542"/>
      <c r="D699" s="436"/>
      <c r="E699" s="439"/>
      <c r="F699" s="437"/>
    </row>
    <row r="700" spans="1:7" s="540" customFormat="1" ht="27.6">
      <c r="A700" s="434" t="s">
        <v>2228</v>
      </c>
      <c r="B700" s="557" t="s">
        <v>2229</v>
      </c>
      <c r="C700" s="436" t="s">
        <v>748</v>
      </c>
      <c r="D700" s="436">
        <v>50</v>
      </c>
      <c r="E700" s="439">
        <v>4.25</v>
      </c>
      <c r="F700" s="437">
        <f>D700*E700</f>
        <v>212.5</v>
      </c>
    </row>
    <row r="701" spans="1:7" s="540" customFormat="1" ht="25.5" customHeight="1">
      <c r="A701" s="434"/>
      <c r="B701" s="557" t="s">
        <v>2640</v>
      </c>
      <c r="C701" s="559"/>
      <c r="D701" s="436"/>
      <c r="E701" s="439"/>
      <c r="F701" s="437"/>
    </row>
    <row r="702" spans="1:7" s="540" customFormat="1" ht="96.6">
      <c r="A702" s="434"/>
      <c r="B702" s="555" t="s">
        <v>2230</v>
      </c>
      <c r="C702" s="556"/>
      <c r="D702" s="436"/>
      <c r="E702" s="439"/>
      <c r="F702" s="437"/>
    </row>
    <row r="703" spans="1:7" ht="13.5" customHeight="1">
      <c r="B703" s="555"/>
      <c r="C703" s="556"/>
      <c r="E703" s="439"/>
      <c r="G703" s="540"/>
    </row>
    <row r="704" spans="1:7" s="540" customFormat="1" ht="31.5" customHeight="1">
      <c r="A704" s="434" t="s">
        <v>2231</v>
      </c>
      <c r="B704" s="550" t="s">
        <v>2645</v>
      </c>
      <c r="C704" s="436" t="s">
        <v>748</v>
      </c>
      <c r="D704" s="436">
        <v>100</v>
      </c>
      <c r="E704" s="439">
        <v>4.2</v>
      </c>
      <c r="F704" s="437">
        <f>D704*E704</f>
        <v>420</v>
      </c>
    </row>
    <row r="705" spans="1:7">
      <c r="B705" s="550" t="s">
        <v>2644</v>
      </c>
      <c r="C705" s="551"/>
      <c r="E705" s="439"/>
      <c r="G705" s="540"/>
    </row>
    <row r="706" spans="1:7" ht="151.80000000000001">
      <c r="B706" s="541" t="s">
        <v>2232</v>
      </c>
      <c r="C706" s="542"/>
      <c r="E706" s="439"/>
    </row>
    <row r="707" spans="1:7">
      <c r="B707" s="550"/>
      <c r="C707" s="551"/>
      <c r="G707" s="540"/>
    </row>
    <row r="708" spans="1:7">
      <c r="A708" s="452" t="str">
        <f>A498</f>
        <v>47.00.</v>
      </c>
      <c r="B708" s="483" t="str">
        <f>B498</f>
        <v>OZVUČENJE, SOS, PAMETNE PLOČE</v>
      </c>
      <c r="C708" s="462" t="s">
        <v>1703</v>
      </c>
      <c r="D708" s="462"/>
      <c r="E708" s="471"/>
      <c r="F708" s="471">
        <f>SUM(F501:F707)</f>
        <v>27051.5</v>
      </c>
    </row>
    <row r="709" spans="1:7">
      <c r="A709" s="455"/>
      <c r="F709" s="481"/>
    </row>
    <row r="710" spans="1:7">
      <c r="A710" s="455"/>
      <c r="F710" s="481"/>
    </row>
    <row r="711" spans="1:7">
      <c r="A711" s="484" t="s">
        <v>2233</v>
      </c>
      <c r="B711" s="522" t="s">
        <v>2234</v>
      </c>
      <c r="C711" s="523"/>
      <c r="D711" s="523"/>
      <c r="E711" s="471"/>
      <c r="F711" s="471"/>
    </row>
    <row r="713" spans="1:7" ht="27.6">
      <c r="B713" s="435" t="s">
        <v>2235</v>
      </c>
    </row>
    <row r="714" spans="1:7" ht="41.4">
      <c r="A714" s="440"/>
      <c r="B714" s="435" t="s">
        <v>2236</v>
      </c>
    </row>
    <row r="715" spans="1:7">
      <c r="A715" s="440"/>
    </row>
    <row r="716" spans="1:7">
      <c r="A716" s="434" t="s">
        <v>2237</v>
      </c>
      <c r="B716" s="435" t="s">
        <v>2238</v>
      </c>
    </row>
    <row r="717" spans="1:7" ht="82.8">
      <c r="B717" s="555" t="s">
        <v>2239</v>
      </c>
    </row>
    <row r="718" spans="1:7" ht="179.4">
      <c r="B718" s="555" t="s">
        <v>2240</v>
      </c>
      <c r="C718" s="436" t="s">
        <v>345</v>
      </c>
      <c r="D718" s="436">
        <v>1</v>
      </c>
    </row>
    <row r="719" spans="1:7" ht="55.2">
      <c r="B719" s="555" t="s">
        <v>2241</v>
      </c>
      <c r="C719" s="436" t="s">
        <v>345</v>
      </c>
      <c r="D719" s="436">
        <v>1</v>
      </c>
    </row>
    <row r="720" spans="1:7" ht="27.6">
      <c r="B720" s="555" t="s">
        <v>2242</v>
      </c>
      <c r="C720" s="436" t="s">
        <v>345</v>
      </c>
      <c r="D720" s="436">
        <v>1</v>
      </c>
    </row>
    <row r="721" spans="1:6" ht="55.2">
      <c r="B721" s="555" t="s">
        <v>2243</v>
      </c>
      <c r="C721" s="436" t="s">
        <v>345</v>
      </c>
      <c r="D721" s="436">
        <v>1</v>
      </c>
    </row>
    <row r="722" spans="1:6" ht="41.4">
      <c r="B722" s="555" t="s">
        <v>2244</v>
      </c>
      <c r="C722" s="436" t="s">
        <v>345</v>
      </c>
      <c r="D722" s="436">
        <v>1</v>
      </c>
    </row>
    <row r="723" spans="1:6" ht="41.4">
      <c r="B723" s="555" t="s">
        <v>2245</v>
      </c>
      <c r="C723" s="436" t="s">
        <v>345</v>
      </c>
      <c r="D723" s="436">
        <v>1</v>
      </c>
    </row>
    <row r="724" spans="1:6" ht="55.2">
      <c r="B724" s="555" t="s">
        <v>2246</v>
      </c>
      <c r="C724" s="436" t="s">
        <v>345</v>
      </c>
      <c r="D724" s="436">
        <v>1</v>
      </c>
    </row>
    <row r="725" spans="1:6" ht="27.6">
      <c r="B725" s="555" t="s">
        <v>2247</v>
      </c>
      <c r="C725" s="436" t="s">
        <v>345</v>
      </c>
      <c r="D725" s="436">
        <v>1</v>
      </c>
    </row>
    <row r="726" spans="1:6" ht="55.2">
      <c r="B726" s="555" t="s">
        <v>2248</v>
      </c>
      <c r="C726" s="436" t="s">
        <v>345</v>
      </c>
      <c r="D726" s="436">
        <v>2</v>
      </c>
    </row>
    <row r="727" spans="1:6" ht="41.4">
      <c r="B727" s="555" t="s">
        <v>2249</v>
      </c>
      <c r="C727" s="436" t="s">
        <v>345</v>
      </c>
      <c r="D727" s="436">
        <v>48</v>
      </c>
    </row>
    <row r="728" spans="1:6" ht="41.4">
      <c r="B728" s="555" t="s">
        <v>2250</v>
      </c>
      <c r="C728" s="436" t="s">
        <v>345</v>
      </c>
      <c r="D728" s="436">
        <v>48</v>
      </c>
    </row>
    <row r="729" spans="1:6" ht="27.6">
      <c r="B729" s="555" t="s">
        <v>2251</v>
      </c>
      <c r="C729" s="436" t="s">
        <v>345</v>
      </c>
      <c r="D729" s="436">
        <v>12</v>
      </c>
    </row>
    <row r="730" spans="1:6" ht="27.6">
      <c r="B730" s="555" t="s">
        <v>2252</v>
      </c>
      <c r="C730" s="436" t="s">
        <v>345</v>
      </c>
      <c r="D730" s="436">
        <v>1</v>
      </c>
    </row>
    <row r="731" spans="1:6" ht="27.6">
      <c r="B731" s="555" t="s">
        <v>2253</v>
      </c>
      <c r="C731" s="436" t="s">
        <v>345</v>
      </c>
      <c r="D731" s="436">
        <v>1</v>
      </c>
    </row>
    <row r="732" spans="1:6">
      <c r="B732" s="555" t="s">
        <v>2254</v>
      </c>
      <c r="C732" s="436" t="s">
        <v>345</v>
      </c>
      <c r="D732" s="436">
        <v>12</v>
      </c>
    </row>
    <row r="733" spans="1:6">
      <c r="B733" s="574" t="s">
        <v>2255</v>
      </c>
      <c r="C733" s="436" t="s">
        <v>227</v>
      </c>
      <c r="D733" s="436">
        <v>1</v>
      </c>
      <c r="E733" s="451">
        <v>2350</v>
      </c>
      <c r="F733" s="451">
        <f>D733*E733</f>
        <v>2350</v>
      </c>
    </row>
    <row r="735" spans="1:6">
      <c r="A735" s="434" t="s">
        <v>2256</v>
      </c>
      <c r="B735" s="555" t="s">
        <v>2257</v>
      </c>
    </row>
    <row r="736" spans="1:6" ht="41.4">
      <c r="B736" s="555" t="s">
        <v>2258</v>
      </c>
      <c r="C736" s="436" t="s">
        <v>345</v>
      </c>
      <c r="D736" s="436">
        <v>1</v>
      </c>
    </row>
    <row r="737" spans="1:7" ht="27.6">
      <c r="B737" s="555" t="s">
        <v>2259</v>
      </c>
      <c r="C737" s="436" t="s">
        <v>345</v>
      </c>
      <c r="D737" s="436">
        <v>4</v>
      </c>
    </row>
    <row r="738" spans="1:7" s="540" customFormat="1" ht="27.6">
      <c r="A738" s="434"/>
      <c r="B738" s="555" t="s">
        <v>2260</v>
      </c>
      <c r="C738" s="436" t="s">
        <v>345</v>
      </c>
      <c r="D738" s="436">
        <v>1</v>
      </c>
      <c r="E738" s="437"/>
      <c r="F738" s="437"/>
      <c r="G738" s="438"/>
    </row>
    <row r="739" spans="1:7" s="540" customFormat="1" ht="27.6">
      <c r="A739" s="434"/>
      <c r="B739" s="555" t="s">
        <v>2261</v>
      </c>
      <c r="C739" s="436" t="s">
        <v>345</v>
      </c>
      <c r="D739" s="436">
        <v>2</v>
      </c>
      <c r="E739" s="437"/>
      <c r="F739" s="437"/>
      <c r="G739" s="438"/>
    </row>
    <row r="740" spans="1:7" s="540" customFormat="1" ht="27.6">
      <c r="A740" s="434"/>
      <c r="B740" s="555" t="s">
        <v>2262</v>
      </c>
      <c r="C740" s="436" t="s">
        <v>345</v>
      </c>
      <c r="D740" s="436">
        <v>96</v>
      </c>
      <c r="E740" s="437"/>
      <c r="F740" s="437"/>
      <c r="G740" s="438"/>
    </row>
    <row r="741" spans="1:7" s="540" customFormat="1" ht="27.6">
      <c r="A741" s="575"/>
      <c r="B741" s="555" t="s">
        <v>2251</v>
      </c>
      <c r="C741" s="436" t="s">
        <v>345</v>
      </c>
      <c r="D741" s="436">
        <v>12</v>
      </c>
      <c r="E741" s="437"/>
      <c r="F741" s="437"/>
    </row>
    <row r="742" spans="1:7" ht="27.6">
      <c r="A742" s="575"/>
      <c r="B742" s="555" t="s">
        <v>2252</v>
      </c>
      <c r="C742" s="436" t="s">
        <v>345</v>
      </c>
      <c r="D742" s="436">
        <v>1</v>
      </c>
      <c r="G742" s="540"/>
    </row>
    <row r="743" spans="1:7" ht="27.6">
      <c r="A743" s="575"/>
      <c r="B743" s="555" t="s">
        <v>2253</v>
      </c>
      <c r="C743" s="436" t="s">
        <v>345</v>
      </c>
      <c r="D743" s="436">
        <v>1</v>
      </c>
      <c r="G743" s="540"/>
    </row>
    <row r="744" spans="1:7">
      <c r="A744" s="575"/>
      <c r="B744" s="555" t="s">
        <v>2254</v>
      </c>
      <c r="C744" s="436" t="s">
        <v>345</v>
      </c>
      <c r="D744" s="436">
        <v>12</v>
      </c>
      <c r="G744" s="540"/>
    </row>
    <row r="745" spans="1:7">
      <c r="B745" s="576" t="s">
        <v>2263</v>
      </c>
      <c r="C745" s="436" t="s">
        <v>227</v>
      </c>
      <c r="D745" s="436">
        <v>1</v>
      </c>
      <c r="E745" s="451">
        <v>1850</v>
      </c>
      <c r="F745" s="451">
        <f>D745*E745</f>
        <v>1850</v>
      </c>
    </row>
    <row r="746" spans="1:7">
      <c r="B746" s="577"/>
      <c r="E746" s="451"/>
      <c r="F746" s="451"/>
    </row>
    <row r="747" spans="1:7">
      <c r="A747" s="434" t="s">
        <v>2264</v>
      </c>
      <c r="B747" s="435" t="s">
        <v>2265</v>
      </c>
      <c r="C747" s="436" t="s">
        <v>748</v>
      </c>
      <c r="D747" s="436">
        <v>5500</v>
      </c>
      <c r="E747" s="437">
        <v>2.8</v>
      </c>
      <c r="F747" s="437">
        <f>D747*E747</f>
        <v>15399.999999999998</v>
      </c>
    </row>
    <row r="749" spans="1:7" ht="27.6">
      <c r="A749" s="434" t="s">
        <v>2266</v>
      </c>
      <c r="B749" s="435" t="s">
        <v>2267</v>
      </c>
      <c r="C749" s="436" t="s">
        <v>748</v>
      </c>
      <c r="D749" s="436">
        <v>100</v>
      </c>
      <c r="E749" s="437">
        <v>3</v>
      </c>
      <c r="F749" s="437">
        <f>D749*E749</f>
        <v>300</v>
      </c>
    </row>
    <row r="751" spans="1:7" ht="55.2">
      <c r="A751" s="434" t="s">
        <v>2268</v>
      </c>
      <c r="B751" s="435" t="s">
        <v>2269</v>
      </c>
      <c r="C751" s="436" t="s">
        <v>748</v>
      </c>
      <c r="D751" s="436">
        <v>4500</v>
      </c>
      <c r="E751" s="437">
        <v>2.5</v>
      </c>
      <c r="F751" s="437">
        <f>D751*E751</f>
        <v>11250</v>
      </c>
    </row>
    <row r="753" spans="1:6" ht="55.2">
      <c r="A753" s="434" t="s">
        <v>2270</v>
      </c>
      <c r="B753" s="435" t="s">
        <v>2271</v>
      </c>
      <c r="C753" s="436" t="s">
        <v>748</v>
      </c>
      <c r="D753" s="436">
        <v>100</v>
      </c>
      <c r="E753" s="437">
        <v>4.5</v>
      </c>
      <c r="F753" s="437">
        <f>D753*E753</f>
        <v>450</v>
      </c>
    </row>
    <row r="755" spans="1:6">
      <c r="A755" s="434" t="s">
        <v>2272</v>
      </c>
      <c r="B755" s="435" t="s">
        <v>2273</v>
      </c>
      <c r="C755" s="436" t="s">
        <v>227</v>
      </c>
      <c r="D755" s="436">
        <v>1</v>
      </c>
      <c r="E755" s="437">
        <v>550</v>
      </c>
      <c r="F755" s="437">
        <f>D755*E755</f>
        <v>550</v>
      </c>
    </row>
    <row r="757" spans="1:6" ht="27.6">
      <c r="A757" s="434" t="s">
        <v>2274</v>
      </c>
      <c r="B757" s="435" t="s">
        <v>2275</v>
      </c>
      <c r="C757" s="436" t="s">
        <v>227</v>
      </c>
      <c r="D757" s="436">
        <v>1</v>
      </c>
      <c r="E757" s="437">
        <v>700</v>
      </c>
      <c r="F757" s="437">
        <f>D757*E757</f>
        <v>700</v>
      </c>
    </row>
    <row r="759" spans="1:6">
      <c r="A759" s="452" t="str">
        <f>A711</f>
        <v>48.00.</v>
      </c>
      <c r="B759" s="483" t="str">
        <f>B711</f>
        <v>GENERIČKO KABLIRANJE</v>
      </c>
      <c r="C759" s="462" t="s">
        <v>1703</v>
      </c>
      <c r="D759" s="462"/>
      <c r="E759" s="471"/>
      <c r="F759" s="471">
        <f>SUM(F716:F758)</f>
        <v>32850</v>
      </c>
    </row>
    <row r="760" spans="1:6" s="438" customFormat="1">
      <c r="A760" s="455"/>
      <c r="B760" s="482"/>
      <c r="C760" s="462"/>
      <c r="D760" s="462"/>
      <c r="E760" s="524"/>
      <c r="F760" s="525"/>
    </row>
    <row r="761" spans="1:6">
      <c r="A761" s="484" t="s">
        <v>2276</v>
      </c>
      <c r="B761" s="522" t="s">
        <v>2277</v>
      </c>
      <c r="C761" s="523"/>
      <c r="D761" s="523"/>
      <c r="E761" s="471"/>
      <c r="F761" s="471"/>
    </row>
    <row r="763" spans="1:6" ht="55.2">
      <c r="A763" s="578"/>
      <c r="B763" s="579" t="s">
        <v>2278</v>
      </c>
      <c r="C763" s="541"/>
      <c r="D763" s="541"/>
      <c r="E763" s="541"/>
      <c r="F763" s="580"/>
    </row>
    <row r="764" spans="1:6" ht="82.8">
      <c r="A764" s="434" t="s">
        <v>2279</v>
      </c>
      <c r="B764" s="581" t="s">
        <v>2280</v>
      </c>
      <c r="D764" s="467"/>
      <c r="E764" s="451"/>
      <c r="F764" s="580"/>
    </row>
    <row r="765" spans="1:6">
      <c r="B765" s="581" t="s">
        <v>2281</v>
      </c>
      <c r="C765" s="436" t="s">
        <v>2282</v>
      </c>
      <c r="D765" s="467">
        <v>1</v>
      </c>
      <c r="E765" s="736">
        <v>650</v>
      </c>
      <c r="F765" s="451">
        <f>$D765*E765</f>
        <v>650</v>
      </c>
    </row>
    <row r="766" spans="1:6">
      <c r="B766" s="581"/>
      <c r="D766" s="467"/>
      <c r="E766" s="736"/>
      <c r="F766" s="451"/>
    </row>
    <row r="767" spans="1:6" ht="41.4">
      <c r="A767" s="434" t="s">
        <v>2283</v>
      </c>
      <c r="B767" s="581" t="s">
        <v>2284</v>
      </c>
      <c r="D767" s="467"/>
      <c r="E767" s="736"/>
      <c r="F767" s="580"/>
    </row>
    <row r="768" spans="1:6">
      <c r="B768" s="536" t="s">
        <v>2285</v>
      </c>
      <c r="C768" s="436" t="s">
        <v>345</v>
      </c>
      <c r="D768" s="467">
        <v>1</v>
      </c>
      <c r="E768" s="736"/>
      <c r="F768" s="580"/>
    </row>
    <row r="769" spans="1:6">
      <c r="B769" s="581" t="s">
        <v>2286</v>
      </c>
      <c r="C769" s="436" t="s">
        <v>345</v>
      </c>
      <c r="D769" s="467">
        <v>1</v>
      </c>
      <c r="E769" s="736"/>
      <c r="F769" s="451"/>
    </row>
    <row r="770" spans="1:6" ht="25.5" customHeight="1">
      <c r="B770" s="536" t="s">
        <v>2287</v>
      </c>
      <c r="C770" s="436" t="s">
        <v>2282</v>
      </c>
      <c r="D770" s="467">
        <v>1</v>
      </c>
      <c r="E770" s="736"/>
      <c r="F770" s="580"/>
    </row>
    <row r="771" spans="1:6">
      <c r="B771" s="581" t="s">
        <v>2288</v>
      </c>
      <c r="C771" s="436" t="s">
        <v>766</v>
      </c>
      <c r="D771" s="467">
        <v>1</v>
      </c>
      <c r="E771" s="736">
        <v>565</v>
      </c>
      <c r="F771" s="451">
        <f>$D771*E771</f>
        <v>565</v>
      </c>
    </row>
    <row r="772" spans="1:6">
      <c r="B772" s="581"/>
      <c r="D772" s="467"/>
      <c r="E772" s="736"/>
      <c r="F772" s="451"/>
    </row>
    <row r="773" spans="1:6" ht="41.4">
      <c r="A773" s="434" t="s">
        <v>2289</v>
      </c>
      <c r="B773" s="536" t="s">
        <v>2290</v>
      </c>
      <c r="D773" s="467"/>
      <c r="E773" s="736"/>
      <c r="F773" s="451"/>
    </row>
    <row r="774" spans="1:6">
      <c r="B774" s="536" t="s">
        <v>2291</v>
      </c>
      <c r="C774" s="436" t="s">
        <v>345</v>
      </c>
      <c r="D774" s="467">
        <v>1</v>
      </c>
      <c r="E774" s="736"/>
      <c r="F774" s="451"/>
    </row>
    <row r="775" spans="1:6">
      <c r="B775" s="536" t="s">
        <v>2292</v>
      </c>
      <c r="C775" s="436" t="s">
        <v>345</v>
      </c>
      <c r="D775" s="467">
        <v>1</v>
      </c>
      <c r="E775" s="736"/>
      <c r="F775" s="451"/>
    </row>
    <row r="776" spans="1:6">
      <c r="B776" s="536" t="s">
        <v>2293</v>
      </c>
      <c r="C776" s="436" t="s">
        <v>345</v>
      </c>
      <c r="D776" s="467">
        <v>1</v>
      </c>
      <c r="E776" s="736"/>
      <c r="F776" s="451"/>
    </row>
    <row r="777" spans="1:6" ht="31.5" customHeight="1">
      <c r="B777" s="536" t="s">
        <v>2294</v>
      </c>
      <c r="C777" s="436" t="s">
        <v>345</v>
      </c>
      <c r="D777" s="467">
        <v>1</v>
      </c>
      <c r="E777" s="736"/>
      <c r="F777" s="451"/>
    </row>
    <row r="778" spans="1:6">
      <c r="B778" s="536" t="s">
        <v>2295</v>
      </c>
      <c r="C778" s="436" t="s">
        <v>345</v>
      </c>
      <c r="D778" s="467">
        <v>2</v>
      </c>
      <c r="E778" s="736"/>
      <c r="F778" s="451"/>
    </row>
    <row r="779" spans="1:6">
      <c r="B779" s="536" t="s">
        <v>2296</v>
      </c>
      <c r="C779" s="436" t="s">
        <v>2282</v>
      </c>
      <c r="D779" s="467">
        <v>1</v>
      </c>
      <c r="E779" s="736"/>
      <c r="F779" s="451"/>
    </row>
    <row r="780" spans="1:6">
      <c r="B780" s="581" t="s">
        <v>2297</v>
      </c>
      <c r="C780" s="436" t="s">
        <v>766</v>
      </c>
      <c r="D780" s="467">
        <v>1</v>
      </c>
      <c r="E780" s="736">
        <v>357.7</v>
      </c>
      <c r="F780" s="451">
        <f>$D780*E780</f>
        <v>357.7</v>
      </c>
    </row>
    <row r="781" spans="1:6">
      <c r="B781" s="581"/>
      <c r="D781" s="467"/>
      <c r="E781" s="736"/>
      <c r="F781" s="451"/>
    </row>
    <row r="782" spans="1:6" s="438" customFormat="1" ht="41.4">
      <c r="A782" s="434" t="s">
        <v>2298</v>
      </c>
      <c r="B782" s="536" t="s">
        <v>2299</v>
      </c>
      <c r="C782" s="436"/>
      <c r="D782" s="467"/>
      <c r="E782" s="736"/>
      <c r="F782" s="451"/>
    </row>
    <row r="783" spans="1:6">
      <c r="B783" s="581" t="s">
        <v>2300</v>
      </c>
      <c r="C783" s="436" t="s">
        <v>748</v>
      </c>
      <c r="D783" s="467">
        <v>500</v>
      </c>
      <c r="E783" s="736">
        <v>2.5</v>
      </c>
      <c r="F783" s="451">
        <f>$D783*E783</f>
        <v>1250</v>
      </c>
    </row>
    <row r="784" spans="1:6">
      <c r="B784" s="536"/>
      <c r="D784" s="467"/>
      <c r="E784" s="736"/>
      <c r="F784" s="451"/>
    </row>
    <row r="785" spans="1:6" ht="27">
      <c r="A785" s="434" t="s">
        <v>2301</v>
      </c>
      <c r="B785" s="582" t="s">
        <v>2302</v>
      </c>
      <c r="C785" s="583"/>
      <c r="D785" s="467"/>
      <c r="E785" s="737"/>
      <c r="F785" s="451"/>
    </row>
    <row r="786" spans="1:6">
      <c r="B786" s="581" t="s">
        <v>2303</v>
      </c>
      <c r="C786" s="436" t="s">
        <v>748</v>
      </c>
      <c r="D786" s="467">
        <v>500</v>
      </c>
      <c r="E786" s="736">
        <v>2.85</v>
      </c>
      <c r="F786" s="451">
        <f>$D786*E786</f>
        <v>1425</v>
      </c>
    </row>
    <row r="787" spans="1:6">
      <c r="B787" s="536"/>
      <c r="D787" s="467"/>
      <c r="E787" s="736"/>
      <c r="F787" s="451"/>
    </row>
    <row r="788" spans="1:6" ht="52.8">
      <c r="A788" s="434" t="s">
        <v>2304</v>
      </c>
      <c r="B788" s="582" t="s">
        <v>2305</v>
      </c>
      <c r="D788" s="467"/>
      <c r="E788" s="736"/>
      <c r="F788" s="451"/>
    </row>
    <row r="789" spans="1:6">
      <c r="B789" s="581" t="s">
        <v>2306</v>
      </c>
      <c r="C789" s="436" t="s">
        <v>748</v>
      </c>
      <c r="D789" s="467">
        <v>20</v>
      </c>
      <c r="E789" s="736">
        <v>8.9499999999999993</v>
      </c>
      <c r="F789" s="451">
        <f>$D789*E789</f>
        <v>179</v>
      </c>
    </row>
    <row r="790" spans="1:6">
      <c r="B790" s="536"/>
      <c r="D790" s="467"/>
      <c r="E790" s="736"/>
      <c r="F790" s="451"/>
    </row>
    <row r="791" spans="1:6" ht="41.4">
      <c r="A791" s="434" t="s">
        <v>2307</v>
      </c>
      <c r="B791" s="581" t="s">
        <v>2308</v>
      </c>
      <c r="D791" s="467"/>
      <c r="E791" s="736"/>
      <c r="F791" s="451"/>
    </row>
    <row r="792" spans="1:6">
      <c r="B792" s="581" t="s">
        <v>2309</v>
      </c>
      <c r="C792" s="436" t="s">
        <v>2282</v>
      </c>
      <c r="D792" s="467">
        <v>1</v>
      </c>
      <c r="E792" s="736">
        <v>250</v>
      </c>
      <c r="F792" s="451">
        <f>$D792*E792</f>
        <v>250</v>
      </c>
    </row>
    <row r="793" spans="1:6" s="438" customFormat="1">
      <c r="A793" s="434"/>
      <c r="B793" s="536"/>
      <c r="C793" s="436"/>
      <c r="D793" s="467"/>
      <c r="E793" s="736"/>
      <c r="F793" s="451"/>
    </row>
    <row r="794" spans="1:6" ht="40.5" customHeight="1">
      <c r="A794" s="434" t="s">
        <v>2310</v>
      </c>
      <c r="B794" s="581" t="s">
        <v>2311</v>
      </c>
      <c r="D794" s="467"/>
      <c r="E794" s="736"/>
      <c r="F794" s="451"/>
    </row>
    <row r="795" spans="1:6">
      <c r="B795" s="581" t="s">
        <v>2312</v>
      </c>
      <c r="C795" s="436" t="s">
        <v>2282</v>
      </c>
      <c r="D795" s="467">
        <v>1</v>
      </c>
      <c r="E795" s="736">
        <v>550</v>
      </c>
      <c r="F795" s="451">
        <f>$D795*E795</f>
        <v>550</v>
      </c>
    </row>
    <row r="796" spans="1:6">
      <c r="A796" s="585"/>
      <c r="B796" s="582"/>
      <c r="C796" s="583"/>
      <c r="D796" s="467"/>
      <c r="E796" s="584"/>
      <c r="F796" s="451"/>
    </row>
    <row r="797" spans="1:6">
      <c r="A797" s="452" t="s">
        <v>2313</v>
      </c>
      <c r="B797" s="483" t="str">
        <f>B761</f>
        <v>ANTENSKA INSTALACIJA</v>
      </c>
      <c r="C797" s="462" t="s">
        <v>1703</v>
      </c>
      <c r="D797" s="462"/>
      <c r="E797" s="471"/>
      <c r="F797" s="471">
        <f>SUM(F765:F796)</f>
        <v>5226.7</v>
      </c>
    </row>
    <row r="798" spans="1:6">
      <c r="A798" s="455"/>
      <c r="B798" s="482"/>
      <c r="C798" s="462"/>
      <c r="D798" s="462"/>
      <c r="E798" s="524"/>
      <c r="F798" s="525"/>
    </row>
    <row r="799" spans="1:6">
      <c r="A799" s="455"/>
      <c r="B799" s="482"/>
      <c r="C799" s="462"/>
      <c r="D799" s="462"/>
      <c r="E799" s="524"/>
      <c r="F799" s="525"/>
    </row>
    <row r="800" spans="1:6" ht="24.75" customHeight="1">
      <c r="A800" s="469" t="s">
        <v>2314</v>
      </c>
      <c r="B800" s="470" t="s">
        <v>2315</v>
      </c>
      <c r="E800" s="471"/>
      <c r="F800" s="471"/>
    </row>
    <row r="801" spans="1:7" s="472" customFormat="1">
      <c r="A801" s="455"/>
      <c r="B801" s="435"/>
      <c r="C801" s="436"/>
      <c r="D801" s="436"/>
      <c r="E801" s="437"/>
      <c r="F801" s="481"/>
      <c r="G801" s="438"/>
    </row>
    <row r="802" spans="1:7" s="472" customFormat="1">
      <c r="A802" s="484" t="s">
        <v>2316</v>
      </c>
      <c r="B802" s="522" t="s">
        <v>2317</v>
      </c>
      <c r="C802" s="523"/>
      <c r="D802" s="523"/>
      <c r="E802" s="471"/>
      <c r="F802" s="471"/>
      <c r="G802" s="438"/>
    </row>
    <row r="803" spans="1:7" s="472" customFormat="1">
      <c r="A803" s="434"/>
      <c r="B803" s="435"/>
      <c r="C803" s="436"/>
      <c r="D803" s="436"/>
      <c r="E803" s="437"/>
      <c r="F803" s="437"/>
      <c r="G803" s="438"/>
    </row>
    <row r="804" spans="1:7" s="472" customFormat="1" ht="409.6">
      <c r="A804" s="586" t="s">
        <v>2318</v>
      </c>
      <c r="B804" s="587" t="s">
        <v>2319</v>
      </c>
      <c r="C804" s="588"/>
      <c r="D804" s="589"/>
      <c r="E804" s="590"/>
      <c r="F804" s="590"/>
    </row>
    <row r="805" spans="1:7" s="472" customFormat="1" ht="15.75" customHeight="1">
      <c r="A805" s="586"/>
      <c r="B805" s="591"/>
      <c r="C805" s="592" t="s">
        <v>345</v>
      </c>
      <c r="D805" s="589">
        <v>1</v>
      </c>
      <c r="E805" s="473">
        <v>1629</v>
      </c>
      <c r="F805" s="590">
        <f>SUM(D805*E805)</f>
        <v>1629</v>
      </c>
    </row>
    <row r="806" spans="1:7" s="472" customFormat="1" ht="15.75" customHeight="1">
      <c r="A806" s="586"/>
      <c r="B806" s="591"/>
      <c r="C806" s="592"/>
      <c r="D806" s="589"/>
      <c r="E806" s="473"/>
      <c r="F806" s="590"/>
    </row>
    <row r="807" spans="1:7" s="472" customFormat="1" ht="41.4">
      <c r="A807" s="586" t="s">
        <v>2320</v>
      </c>
      <c r="B807" s="587" t="s">
        <v>2321</v>
      </c>
      <c r="C807" s="592"/>
      <c r="D807" s="589"/>
      <c r="E807" s="590"/>
      <c r="F807" s="590"/>
    </row>
    <row r="808" spans="1:7" s="472" customFormat="1">
      <c r="A808" s="586"/>
      <c r="B808" s="591"/>
      <c r="C808" s="592" t="s">
        <v>345</v>
      </c>
      <c r="D808" s="589">
        <v>1</v>
      </c>
      <c r="E808" s="590">
        <v>1350</v>
      </c>
      <c r="F808" s="590">
        <f>SUM(D808*E808)</f>
        <v>1350</v>
      </c>
    </row>
    <row r="809" spans="1:7" s="472" customFormat="1">
      <c r="A809" s="586"/>
      <c r="B809" s="587"/>
      <c r="C809" s="592"/>
      <c r="D809" s="589"/>
      <c r="E809" s="590"/>
      <c r="F809" s="590"/>
    </row>
    <row r="810" spans="1:7" s="593" customFormat="1" ht="41.4">
      <c r="A810" s="586" t="s">
        <v>2322</v>
      </c>
      <c r="B810" s="587" t="s">
        <v>2323</v>
      </c>
      <c r="C810" s="592"/>
      <c r="D810" s="589"/>
      <c r="E810" s="473"/>
      <c r="F810" s="590"/>
      <c r="G810" s="472"/>
    </row>
    <row r="811" spans="1:7" s="472" customFormat="1">
      <c r="A811" s="586"/>
      <c r="B811" s="591"/>
      <c r="C811" s="592" t="s">
        <v>345</v>
      </c>
      <c r="D811" s="589">
        <v>2</v>
      </c>
      <c r="E811" s="473">
        <v>88</v>
      </c>
      <c r="F811" s="590">
        <f>SUM(D811*E811)</f>
        <v>176</v>
      </c>
    </row>
    <row r="812" spans="1:7" s="472" customFormat="1">
      <c r="A812" s="586"/>
      <c r="B812" s="591"/>
      <c r="C812" s="592"/>
      <c r="D812" s="589"/>
      <c r="E812" s="590"/>
      <c r="F812" s="590"/>
    </row>
    <row r="813" spans="1:7" s="472" customFormat="1" ht="273.75" customHeight="1">
      <c r="A813" s="586" t="s">
        <v>2324</v>
      </c>
      <c r="B813" s="594" t="s">
        <v>2325</v>
      </c>
      <c r="C813" s="592"/>
      <c r="D813" s="595"/>
      <c r="E813" s="590"/>
      <c r="F813" s="590"/>
      <c r="G813" s="593"/>
    </row>
    <row r="814" spans="1:7" s="472" customFormat="1">
      <c r="A814" s="586"/>
      <c r="B814" s="591"/>
      <c r="C814" s="592" t="s">
        <v>345</v>
      </c>
      <c r="D814" s="589">
        <v>157</v>
      </c>
      <c r="E814" s="590">
        <v>54</v>
      </c>
      <c r="F814" s="590">
        <f>SUM(D814*E814)</f>
        <v>8478</v>
      </c>
    </row>
    <row r="815" spans="1:7" s="472" customFormat="1">
      <c r="A815" s="586"/>
      <c r="B815" s="591"/>
      <c r="C815" s="592"/>
      <c r="D815" s="589"/>
      <c r="E815" s="590"/>
      <c r="F815" s="590"/>
    </row>
    <row r="816" spans="1:7" s="472" customFormat="1" ht="331.2">
      <c r="A816" s="586" t="s">
        <v>2326</v>
      </c>
      <c r="B816" s="594" t="s">
        <v>2327</v>
      </c>
      <c r="C816" s="592"/>
      <c r="D816" s="589"/>
      <c r="E816" s="590"/>
      <c r="F816" s="590"/>
    </row>
    <row r="817" spans="1:6" s="472" customFormat="1">
      <c r="A817" s="586"/>
      <c r="B817" s="591"/>
      <c r="C817" s="592" t="s">
        <v>345</v>
      </c>
      <c r="D817" s="589">
        <v>8</v>
      </c>
      <c r="E817" s="590">
        <v>60</v>
      </c>
      <c r="F817" s="590">
        <f>SUM(D817*E817)</f>
        <v>480</v>
      </c>
    </row>
    <row r="818" spans="1:6" s="472" customFormat="1">
      <c r="A818" s="586"/>
      <c r="B818" s="591"/>
      <c r="C818" s="592"/>
      <c r="D818" s="589"/>
      <c r="E818" s="590"/>
      <c r="F818" s="590"/>
    </row>
    <row r="819" spans="1:6" s="472" customFormat="1" ht="276">
      <c r="A819" s="586" t="s">
        <v>2328</v>
      </c>
      <c r="B819" s="594" t="s">
        <v>2329</v>
      </c>
      <c r="C819" s="592"/>
      <c r="D819" s="589"/>
      <c r="E819" s="590"/>
      <c r="F819" s="590"/>
    </row>
    <row r="820" spans="1:6" s="472" customFormat="1">
      <c r="A820" s="586"/>
      <c r="B820" s="591"/>
      <c r="C820" s="592" t="s">
        <v>345</v>
      </c>
      <c r="D820" s="589">
        <v>8</v>
      </c>
      <c r="E820" s="590">
        <v>54.8</v>
      </c>
      <c r="F820" s="590">
        <f>SUM(D820*E820)</f>
        <v>438.4</v>
      </c>
    </row>
    <row r="821" spans="1:6" s="472" customFormat="1">
      <c r="A821" s="586"/>
      <c r="B821" s="591"/>
      <c r="C821" s="592"/>
      <c r="D821" s="589"/>
      <c r="E821" s="590"/>
      <c r="F821" s="590"/>
    </row>
    <row r="822" spans="1:6" s="472" customFormat="1" ht="55.2">
      <c r="A822" s="586" t="s">
        <v>2330</v>
      </c>
      <c r="B822" s="587" t="s">
        <v>2331</v>
      </c>
      <c r="C822" s="592"/>
      <c r="D822" s="589"/>
      <c r="E822" s="590"/>
      <c r="F822" s="590"/>
    </row>
    <row r="823" spans="1:6" s="472" customFormat="1">
      <c r="A823" s="586"/>
      <c r="B823" s="591"/>
      <c r="C823" s="592" t="s">
        <v>345</v>
      </c>
      <c r="D823" s="589">
        <f>D814+D817+D820-D826</f>
        <v>161</v>
      </c>
      <c r="E823" s="590">
        <v>16</v>
      </c>
      <c r="F823" s="590">
        <f>SUM(D823*E823)</f>
        <v>2576</v>
      </c>
    </row>
    <row r="824" spans="1:6" s="472" customFormat="1">
      <c r="A824" s="586"/>
      <c r="B824" s="587"/>
      <c r="C824" s="592"/>
      <c r="D824" s="589"/>
      <c r="E824" s="590"/>
      <c r="F824" s="590"/>
    </row>
    <row r="825" spans="1:6" s="472" customFormat="1" ht="151.80000000000001">
      <c r="A825" s="586" t="s">
        <v>2332</v>
      </c>
      <c r="B825" s="594" t="s">
        <v>2333</v>
      </c>
      <c r="C825" s="592"/>
      <c r="D825" s="589"/>
      <c r="E825" s="590"/>
      <c r="F825" s="590"/>
    </row>
    <row r="826" spans="1:6" s="472" customFormat="1">
      <c r="A826" s="586"/>
      <c r="B826" s="591"/>
      <c r="C826" s="592" t="s">
        <v>345</v>
      </c>
      <c r="D826" s="589">
        <v>12</v>
      </c>
      <c r="E826" s="590">
        <v>16</v>
      </c>
      <c r="F826" s="590">
        <f>SUM(D826*E826)</f>
        <v>192</v>
      </c>
    </row>
    <row r="827" spans="1:6" s="472" customFormat="1">
      <c r="A827" s="586"/>
      <c r="B827" s="591"/>
      <c r="C827" s="592"/>
      <c r="D827" s="589"/>
      <c r="E827" s="590"/>
      <c r="F827" s="590"/>
    </row>
    <row r="828" spans="1:6" s="472" customFormat="1" ht="193.2">
      <c r="A828" s="586" t="s">
        <v>2334</v>
      </c>
      <c r="B828" s="596" t="s">
        <v>2335</v>
      </c>
      <c r="C828" s="592"/>
      <c r="D828" s="589"/>
      <c r="E828" s="590"/>
      <c r="F828" s="590"/>
    </row>
    <row r="829" spans="1:6" s="472" customFormat="1">
      <c r="A829" s="586"/>
      <c r="B829" s="591"/>
      <c r="C829" s="592" t="s">
        <v>345</v>
      </c>
      <c r="D829" s="589">
        <v>11</v>
      </c>
      <c r="E829" s="590">
        <v>65</v>
      </c>
      <c r="F829" s="590">
        <f>SUM(D829*E829)</f>
        <v>715</v>
      </c>
    </row>
    <row r="830" spans="1:6" s="472" customFormat="1">
      <c r="A830" s="586"/>
      <c r="B830" s="587"/>
      <c r="C830" s="592"/>
      <c r="D830" s="589"/>
      <c r="E830" s="590"/>
      <c r="F830" s="590"/>
    </row>
    <row r="831" spans="1:6" s="472" customFormat="1" ht="234.6">
      <c r="A831" s="586" t="s">
        <v>2336</v>
      </c>
      <c r="B831" s="594" t="s">
        <v>2337</v>
      </c>
      <c r="C831" s="592"/>
      <c r="D831" s="589"/>
      <c r="E831" s="590"/>
      <c r="F831" s="590"/>
    </row>
    <row r="832" spans="1:6" s="472" customFormat="1">
      <c r="A832" s="586"/>
      <c r="B832" s="591"/>
      <c r="C832" s="592" t="s">
        <v>345</v>
      </c>
      <c r="D832" s="589">
        <v>7</v>
      </c>
      <c r="E832" s="590">
        <v>156</v>
      </c>
      <c r="F832" s="590">
        <f>SUM(D832*E832)</f>
        <v>1092</v>
      </c>
    </row>
    <row r="833" spans="1:6" s="472" customFormat="1">
      <c r="A833" s="586"/>
      <c r="B833" s="591"/>
      <c r="C833" s="592"/>
      <c r="D833" s="589"/>
      <c r="E833" s="590"/>
      <c r="F833" s="590"/>
    </row>
    <row r="834" spans="1:6" s="472" customFormat="1" ht="193.2">
      <c r="A834" s="586" t="s">
        <v>2338</v>
      </c>
      <c r="B834" s="594" t="s">
        <v>2339</v>
      </c>
      <c r="C834" s="592"/>
      <c r="D834" s="589"/>
      <c r="E834" s="590"/>
      <c r="F834" s="590"/>
    </row>
    <row r="835" spans="1:6" s="472" customFormat="1">
      <c r="A835" s="586"/>
      <c r="B835" s="591"/>
      <c r="C835" s="592" t="s">
        <v>345</v>
      </c>
      <c r="D835" s="589">
        <v>1</v>
      </c>
      <c r="E835" s="590">
        <v>51</v>
      </c>
      <c r="F835" s="590">
        <f>SUM(D835*E835)</f>
        <v>51</v>
      </c>
    </row>
    <row r="836" spans="1:6" s="472" customFormat="1">
      <c r="A836" s="586"/>
      <c r="B836" s="591"/>
      <c r="C836" s="592"/>
      <c r="D836" s="589"/>
      <c r="E836" s="590"/>
      <c r="F836" s="590"/>
    </row>
    <row r="837" spans="1:6" s="472" customFormat="1" ht="207">
      <c r="A837" s="586" t="s">
        <v>2340</v>
      </c>
      <c r="B837" s="587" t="s">
        <v>2341</v>
      </c>
      <c r="C837" s="592"/>
      <c r="D837" s="589"/>
      <c r="E837" s="590"/>
      <c r="F837" s="590"/>
    </row>
    <row r="838" spans="1:6" s="472" customFormat="1">
      <c r="A838" s="586"/>
      <c r="B838" s="591"/>
      <c r="C838" s="592" t="s">
        <v>345</v>
      </c>
      <c r="D838" s="589">
        <v>1</v>
      </c>
      <c r="E838" s="590">
        <v>29</v>
      </c>
      <c r="F838" s="590">
        <f>SUM(D838*E838)</f>
        <v>29</v>
      </c>
    </row>
    <row r="839" spans="1:6" s="472" customFormat="1">
      <c r="A839" s="586"/>
      <c r="B839" s="591"/>
      <c r="C839" s="592"/>
      <c r="D839" s="589"/>
      <c r="E839" s="590"/>
      <c r="F839" s="590"/>
    </row>
    <row r="840" spans="1:6" s="472" customFormat="1" ht="69">
      <c r="A840" s="586" t="s">
        <v>2342</v>
      </c>
      <c r="B840" s="587" t="s">
        <v>2343</v>
      </c>
      <c r="C840" s="592"/>
      <c r="D840" s="589"/>
      <c r="E840" s="590"/>
      <c r="F840" s="590"/>
    </row>
    <row r="841" spans="1:6" s="472" customFormat="1">
      <c r="A841" s="586"/>
      <c r="B841" s="591"/>
      <c r="C841" s="592" t="s">
        <v>345</v>
      </c>
      <c r="D841" s="589">
        <f>D838</f>
        <v>1</v>
      </c>
      <c r="E841" s="590">
        <v>15</v>
      </c>
      <c r="F841" s="590">
        <f>SUM(D841*E841)</f>
        <v>15</v>
      </c>
    </row>
    <row r="842" spans="1:6" s="472" customFormat="1">
      <c r="A842" s="586"/>
      <c r="B842" s="591"/>
      <c r="C842" s="592"/>
      <c r="D842" s="589"/>
      <c r="E842" s="590"/>
      <c r="F842" s="590"/>
    </row>
    <row r="843" spans="1:6" s="472" customFormat="1" ht="41.4">
      <c r="A843" s="586" t="s">
        <v>2344</v>
      </c>
      <c r="B843" s="587" t="s">
        <v>2345</v>
      </c>
      <c r="C843" s="592"/>
      <c r="D843" s="589"/>
      <c r="E843" s="590"/>
      <c r="F843" s="590"/>
    </row>
    <row r="844" spans="1:6" s="472" customFormat="1">
      <c r="A844" s="586"/>
      <c r="B844" s="591"/>
      <c r="C844" s="592" t="s">
        <v>345</v>
      </c>
      <c r="D844" s="589">
        <v>83</v>
      </c>
      <c r="E844" s="590">
        <v>15</v>
      </c>
      <c r="F844" s="590">
        <f>SUM(D844*E844)</f>
        <v>1245</v>
      </c>
    </row>
    <row r="845" spans="1:6" s="472" customFormat="1">
      <c r="A845" s="586"/>
      <c r="B845" s="591"/>
      <c r="C845" s="592"/>
      <c r="D845" s="589"/>
      <c r="E845" s="590"/>
      <c r="F845" s="590"/>
    </row>
    <row r="846" spans="1:6" s="472" customFormat="1" ht="248.4">
      <c r="A846" s="586" t="s">
        <v>2346</v>
      </c>
      <c r="B846" s="587" t="s">
        <v>2347</v>
      </c>
      <c r="C846" s="592"/>
      <c r="D846" s="589"/>
      <c r="E846" s="590"/>
      <c r="F846" s="590"/>
    </row>
    <row r="847" spans="1:6" s="472" customFormat="1">
      <c r="A847" s="586"/>
      <c r="B847" s="591"/>
      <c r="C847" s="592" t="s">
        <v>345</v>
      </c>
      <c r="D847" s="589">
        <v>9</v>
      </c>
      <c r="E847" s="590">
        <v>155</v>
      </c>
      <c r="F847" s="590">
        <f>SUM(D847*E847)</f>
        <v>1395</v>
      </c>
    </row>
    <row r="848" spans="1:6" s="472" customFormat="1">
      <c r="A848" s="586"/>
      <c r="B848" s="587"/>
      <c r="C848" s="592"/>
      <c r="D848" s="589"/>
      <c r="E848" s="590"/>
      <c r="F848" s="590"/>
    </row>
    <row r="849" spans="1:6" s="472" customFormat="1" ht="248.4">
      <c r="A849" s="586" t="s">
        <v>2348</v>
      </c>
      <c r="B849" s="587" t="s">
        <v>2349</v>
      </c>
      <c r="C849" s="592"/>
      <c r="D849" s="589"/>
      <c r="E849" s="590"/>
      <c r="F849" s="590"/>
    </row>
    <row r="850" spans="1:6" s="472" customFormat="1">
      <c r="A850" s="586"/>
      <c r="B850" s="591"/>
      <c r="C850" s="592" t="s">
        <v>345</v>
      </c>
      <c r="D850" s="589">
        <v>2</v>
      </c>
      <c r="E850" s="590">
        <v>110</v>
      </c>
      <c r="F850" s="590">
        <f>SUM(D850*E850)</f>
        <v>220</v>
      </c>
    </row>
    <row r="851" spans="1:6" s="472" customFormat="1">
      <c r="A851" s="586"/>
      <c r="B851" s="591"/>
      <c r="C851" s="592"/>
      <c r="D851" s="589"/>
      <c r="E851" s="590"/>
      <c r="F851" s="590"/>
    </row>
    <row r="852" spans="1:6" s="472" customFormat="1" ht="43.8">
      <c r="A852" s="586" t="s">
        <v>2350</v>
      </c>
      <c r="B852" s="597" t="s">
        <v>2351</v>
      </c>
      <c r="C852" s="592" t="s">
        <v>748</v>
      </c>
      <c r="D852" s="589">
        <v>1200</v>
      </c>
      <c r="E852" s="473">
        <v>2.5</v>
      </c>
      <c r="F852" s="590">
        <f>E852*D852</f>
        <v>3000</v>
      </c>
    </row>
    <row r="853" spans="1:6" s="472" customFormat="1">
      <c r="A853" s="586"/>
      <c r="B853" s="597"/>
      <c r="C853" s="598"/>
      <c r="D853" s="599"/>
      <c r="E853" s="473"/>
      <c r="F853" s="590"/>
    </row>
    <row r="854" spans="1:6" s="472" customFormat="1">
      <c r="A854" s="586"/>
      <c r="B854" s="597"/>
      <c r="C854" s="592"/>
      <c r="D854" s="589"/>
      <c r="E854" s="473"/>
      <c r="F854" s="590"/>
    </row>
    <row r="855" spans="1:6" s="472" customFormat="1" ht="41.4">
      <c r="A855" s="586" t="s">
        <v>2352</v>
      </c>
      <c r="B855" s="587" t="s">
        <v>2353</v>
      </c>
      <c r="C855" s="592" t="s">
        <v>748</v>
      </c>
      <c r="D855" s="589">
        <v>409</v>
      </c>
      <c r="E855" s="473">
        <v>2.59</v>
      </c>
      <c r="F855" s="590">
        <f>E855*D855</f>
        <v>1059.31</v>
      </c>
    </row>
    <row r="856" spans="1:6" s="472" customFormat="1">
      <c r="A856" s="586"/>
      <c r="B856" s="597"/>
      <c r="C856" s="592"/>
      <c r="D856" s="589"/>
      <c r="E856" s="473"/>
      <c r="F856" s="590"/>
    </row>
    <row r="857" spans="1:6" s="472" customFormat="1" ht="30">
      <c r="A857" s="586" t="s">
        <v>2354</v>
      </c>
      <c r="B857" s="597" t="s">
        <v>2355</v>
      </c>
      <c r="C857" s="592" t="s">
        <v>748</v>
      </c>
      <c r="D857" s="589">
        <v>50</v>
      </c>
      <c r="E857" s="590">
        <v>3.55</v>
      </c>
      <c r="F857" s="590">
        <f>E857*D857</f>
        <v>177.5</v>
      </c>
    </row>
    <row r="858" spans="1:6" s="472" customFormat="1">
      <c r="A858" s="586"/>
      <c r="B858" s="597"/>
      <c r="C858" s="592"/>
      <c r="D858" s="589"/>
      <c r="E858" s="590"/>
      <c r="F858" s="590"/>
    </row>
    <row r="859" spans="1:6" s="472" customFormat="1" ht="55.2">
      <c r="A859" s="586" t="s">
        <v>2356</v>
      </c>
      <c r="B859" s="587" t="s">
        <v>2357</v>
      </c>
      <c r="C859" s="592" t="s">
        <v>748</v>
      </c>
      <c r="D859" s="589">
        <v>840</v>
      </c>
      <c r="E859" s="590">
        <v>3.1</v>
      </c>
      <c r="F859" s="590">
        <f>E859*D859</f>
        <v>2604</v>
      </c>
    </row>
    <row r="860" spans="1:6" s="472" customFormat="1">
      <c r="A860" s="586"/>
      <c r="B860" s="597"/>
      <c r="C860" s="592"/>
      <c r="D860" s="589"/>
      <c r="E860" s="590"/>
      <c r="F860" s="590"/>
    </row>
    <row r="861" spans="1:6" s="472" customFormat="1" ht="41.4">
      <c r="A861" s="586" t="s">
        <v>2358</v>
      </c>
      <c r="B861" s="587" t="s">
        <v>2359</v>
      </c>
      <c r="C861" s="592" t="s">
        <v>748</v>
      </c>
      <c r="D861" s="589">
        <v>330</v>
      </c>
      <c r="E861" s="590">
        <v>5.4</v>
      </c>
      <c r="F861" s="590">
        <f>E861*D861</f>
        <v>1782.0000000000002</v>
      </c>
    </row>
    <row r="862" spans="1:6" s="472" customFormat="1">
      <c r="A862" s="586"/>
      <c r="B862" s="597"/>
      <c r="C862" s="592"/>
      <c r="D862" s="589"/>
      <c r="E862" s="590"/>
      <c r="F862" s="590"/>
    </row>
    <row r="863" spans="1:6" s="472" customFormat="1">
      <c r="A863" s="586" t="s">
        <v>2360</v>
      </c>
      <c r="B863" s="587" t="s">
        <v>2361</v>
      </c>
      <c r="C863" s="592" t="s">
        <v>780</v>
      </c>
      <c r="D863" s="589">
        <v>1</v>
      </c>
      <c r="E863" s="590">
        <v>450</v>
      </c>
      <c r="F863" s="590">
        <f>E863*D863</f>
        <v>450</v>
      </c>
    </row>
    <row r="864" spans="1:6" s="472" customFormat="1">
      <c r="A864" s="586"/>
      <c r="B864" s="597"/>
      <c r="C864" s="592"/>
      <c r="D864" s="589"/>
      <c r="E864" s="590"/>
      <c r="F864" s="590"/>
    </row>
    <row r="865" spans="1:6" s="472" customFormat="1" ht="41.4">
      <c r="A865" s="586" t="s">
        <v>2362</v>
      </c>
      <c r="B865" s="587" t="s">
        <v>2363</v>
      </c>
      <c r="C865" s="592" t="s">
        <v>345</v>
      </c>
      <c r="D865" s="589">
        <v>83</v>
      </c>
      <c r="E865" s="473">
        <v>40</v>
      </c>
      <c r="F865" s="590">
        <f>E865*D865</f>
        <v>3320</v>
      </c>
    </row>
    <row r="866" spans="1:6" s="472" customFormat="1">
      <c r="A866" s="586"/>
      <c r="B866" s="597"/>
      <c r="C866" s="592"/>
      <c r="D866" s="589"/>
      <c r="E866" s="590"/>
      <c r="F866" s="590"/>
    </row>
    <row r="867" spans="1:6" s="472" customFormat="1" ht="27.6">
      <c r="A867" s="586" t="s">
        <v>2364</v>
      </c>
      <c r="B867" s="587" t="s">
        <v>2365</v>
      </c>
      <c r="C867" s="592" t="s">
        <v>780</v>
      </c>
      <c r="D867" s="589">
        <v>1</v>
      </c>
      <c r="E867" s="590">
        <v>250</v>
      </c>
      <c r="F867" s="590">
        <f>E867*D867</f>
        <v>250</v>
      </c>
    </row>
    <row r="868" spans="1:6" s="472" customFormat="1">
      <c r="A868" s="586"/>
      <c r="B868" s="597"/>
      <c r="C868" s="592"/>
      <c r="D868" s="589"/>
      <c r="E868" s="590"/>
      <c r="F868" s="590"/>
    </row>
    <row r="869" spans="1:6" s="472" customFormat="1" ht="27.6">
      <c r="A869" s="586" t="s">
        <v>2366</v>
      </c>
      <c r="B869" s="587" t="s">
        <v>2367</v>
      </c>
      <c r="C869" s="592" t="s">
        <v>345</v>
      </c>
      <c r="D869" s="589">
        <v>50</v>
      </c>
      <c r="E869" s="590">
        <v>24</v>
      </c>
      <c r="F869" s="590">
        <f>E869*D869</f>
        <v>1200</v>
      </c>
    </row>
    <row r="870" spans="1:6" s="472" customFormat="1">
      <c r="A870" s="586"/>
      <c r="B870" s="597"/>
      <c r="C870" s="592"/>
      <c r="D870" s="589"/>
      <c r="E870" s="590"/>
      <c r="F870" s="590"/>
    </row>
    <row r="871" spans="1:6" s="472" customFormat="1" ht="27.6">
      <c r="A871" s="586" t="s">
        <v>2368</v>
      </c>
      <c r="B871" s="587" t="s">
        <v>2369</v>
      </c>
      <c r="C871" s="592" t="s">
        <v>345</v>
      </c>
      <c r="D871" s="589">
        <v>3</v>
      </c>
      <c r="E871" s="473">
        <v>100</v>
      </c>
      <c r="F871" s="590">
        <f>E871*D871</f>
        <v>300</v>
      </c>
    </row>
    <row r="872" spans="1:6" s="472" customFormat="1">
      <c r="A872" s="586"/>
      <c r="B872" s="597"/>
      <c r="C872" s="592"/>
      <c r="D872" s="589"/>
      <c r="E872" s="738"/>
      <c r="F872" s="590"/>
    </row>
    <row r="873" spans="1:6" s="472" customFormat="1" ht="55.2">
      <c r="A873" s="586" t="s">
        <v>2370</v>
      </c>
      <c r="B873" s="587" t="s">
        <v>2371</v>
      </c>
      <c r="C873" s="592" t="s">
        <v>780</v>
      </c>
      <c r="D873" s="589">
        <v>1</v>
      </c>
      <c r="E873" s="590">
        <v>700</v>
      </c>
      <c r="F873" s="590">
        <f>E873*D873</f>
        <v>700</v>
      </c>
    </row>
    <row r="874" spans="1:6" s="472" customFormat="1">
      <c r="A874" s="586"/>
      <c r="B874" s="597"/>
      <c r="C874" s="592"/>
      <c r="D874" s="589"/>
      <c r="E874" s="590"/>
      <c r="F874" s="590"/>
    </row>
    <row r="875" spans="1:6" s="472" customFormat="1" ht="41.4">
      <c r="A875" s="586" t="s">
        <v>2372</v>
      </c>
      <c r="B875" s="587" t="s">
        <v>2373</v>
      </c>
      <c r="C875" s="592" t="s">
        <v>780</v>
      </c>
      <c r="D875" s="589">
        <v>1</v>
      </c>
      <c r="E875" s="590">
        <v>2000</v>
      </c>
      <c r="F875" s="590">
        <f>E875*D875</f>
        <v>2000</v>
      </c>
    </row>
    <row r="876" spans="1:6" s="472" customFormat="1">
      <c r="A876" s="586"/>
      <c r="B876" s="597"/>
      <c r="C876" s="592"/>
      <c r="D876" s="589"/>
      <c r="E876" s="590"/>
      <c r="F876" s="590"/>
    </row>
    <row r="877" spans="1:6" s="472" customFormat="1" ht="41.4">
      <c r="A877" s="586" t="s">
        <v>2374</v>
      </c>
      <c r="B877" s="587" t="s">
        <v>2375</v>
      </c>
      <c r="C877" s="592" t="s">
        <v>780</v>
      </c>
      <c r="D877" s="589">
        <v>1</v>
      </c>
      <c r="E877" s="590">
        <v>250</v>
      </c>
      <c r="F877" s="590">
        <f>E877*D877</f>
        <v>250</v>
      </c>
    </row>
    <row r="878" spans="1:6" s="472" customFormat="1">
      <c r="A878" s="586"/>
      <c r="B878" s="597"/>
      <c r="C878" s="592"/>
      <c r="D878" s="589"/>
      <c r="E878" s="590"/>
      <c r="F878" s="590"/>
    </row>
    <row r="879" spans="1:6" s="472" customFormat="1" ht="27.6">
      <c r="A879" s="586" t="s">
        <v>2376</v>
      </c>
      <c r="B879" s="587" t="s">
        <v>2377</v>
      </c>
      <c r="C879" s="592" t="s">
        <v>780</v>
      </c>
      <c r="D879" s="589">
        <v>1</v>
      </c>
      <c r="E879" s="590">
        <v>1000</v>
      </c>
      <c r="F879" s="590">
        <f>E879*D879</f>
        <v>1000</v>
      </c>
    </row>
    <row r="880" spans="1:6" s="472" customFormat="1">
      <c r="A880" s="586"/>
      <c r="B880" s="597"/>
      <c r="C880" s="598"/>
      <c r="D880" s="599"/>
      <c r="E880" s="473"/>
      <c r="F880" s="590"/>
    </row>
    <row r="881" spans="1:7" s="472" customFormat="1" ht="55.2">
      <c r="A881" s="586" t="s">
        <v>2378</v>
      </c>
      <c r="B881" s="587" t="s">
        <v>2379</v>
      </c>
      <c r="C881" s="592" t="s">
        <v>780</v>
      </c>
      <c r="D881" s="589">
        <v>1</v>
      </c>
      <c r="E881" s="590">
        <v>950</v>
      </c>
      <c r="F881" s="590">
        <f>E881*D881</f>
        <v>950</v>
      </c>
    </row>
    <row r="882" spans="1:7" s="472" customFormat="1">
      <c r="A882" s="586"/>
      <c r="B882" s="597"/>
      <c r="C882" s="592"/>
      <c r="D882" s="589"/>
      <c r="E882" s="590"/>
      <c r="F882" s="590"/>
    </row>
    <row r="883" spans="1:7" s="472" customFormat="1" ht="55.2">
      <c r="A883" s="586" t="s">
        <v>2380</v>
      </c>
      <c r="B883" s="587" t="s">
        <v>2381</v>
      </c>
      <c r="C883" s="592" t="s">
        <v>780</v>
      </c>
      <c r="D883" s="589">
        <v>1</v>
      </c>
      <c r="E883" s="590">
        <v>850</v>
      </c>
      <c r="F883" s="590">
        <f>E883*D883</f>
        <v>850</v>
      </c>
    </row>
    <row r="884" spans="1:7">
      <c r="A884" s="586"/>
      <c r="B884" s="597"/>
      <c r="C884" s="592"/>
      <c r="D884" s="589"/>
      <c r="E884" s="590"/>
      <c r="F884" s="590"/>
      <c r="G884" s="472"/>
    </row>
    <row r="885" spans="1:7" ht="69">
      <c r="A885" s="586" t="s">
        <v>2382</v>
      </c>
      <c r="B885" s="587" t="s">
        <v>2383</v>
      </c>
      <c r="C885" s="592" t="s">
        <v>780</v>
      </c>
      <c r="D885" s="589">
        <v>1</v>
      </c>
      <c r="E885" s="590">
        <v>200</v>
      </c>
      <c r="F885" s="590">
        <f>E885*D885</f>
        <v>200</v>
      </c>
      <c r="G885" s="472"/>
    </row>
    <row r="886" spans="1:7">
      <c r="A886" s="600"/>
      <c r="B886" s="597"/>
      <c r="C886" s="592"/>
      <c r="D886" s="589"/>
      <c r="E886" s="590"/>
      <c r="F886" s="590"/>
      <c r="G886" s="472"/>
    </row>
    <row r="887" spans="1:7">
      <c r="A887" s="452" t="s">
        <v>2316</v>
      </c>
      <c r="B887" s="483" t="str">
        <f>B802</f>
        <v>VATRODOJAVA</v>
      </c>
      <c r="C887" s="462" t="s">
        <v>1703</v>
      </c>
      <c r="D887" s="462"/>
      <c r="E887" s="471"/>
      <c r="F887" s="471">
        <f>SUM(F804:F886)</f>
        <v>40174.210000000006</v>
      </c>
    </row>
    <row r="889" spans="1:7">
      <c r="A889" s="484" t="s">
        <v>2384</v>
      </c>
      <c r="B889" s="522" t="s">
        <v>2385</v>
      </c>
      <c r="C889" s="523"/>
      <c r="D889" s="523"/>
      <c r="E889" s="471"/>
      <c r="F889" s="471"/>
    </row>
    <row r="890" spans="1:7">
      <c r="A890" s="440"/>
      <c r="B890" s="474"/>
      <c r="C890" s="523"/>
      <c r="D890" s="523"/>
      <c r="E890" s="471"/>
      <c r="F890" s="471"/>
    </row>
    <row r="891" spans="1:7" ht="55.2">
      <c r="A891" s="586" t="s">
        <v>2386</v>
      </c>
      <c r="B891" s="478" t="s">
        <v>2387</v>
      </c>
      <c r="C891" s="436" t="s">
        <v>780</v>
      </c>
      <c r="D891" s="601">
        <v>1</v>
      </c>
      <c r="E891" s="473">
        <v>1200</v>
      </c>
      <c r="F891" s="590">
        <f>SUM(D891*E891)</f>
        <v>1200</v>
      </c>
    </row>
    <row r="892" spans="1:7">
      <c r="A892" s="586"/>
      <c r="B892" s="478"/>
      <c r="D892" s="601"/>
      <c r="E892" s="473"/>
      <c r="F892" s="590"/>
    </row>
    <row r="893" spans="1:7" ht="55.2">
      <c r="A893" s="586" t="s">
        <v>2388</v>
      </c>
      <c r="B893" s="478" t="s">
        <v>2389</v>
      </c>
      <c r="C893" s="436" t="s">
        <v>345</v>
      </c>
      <c r="D893" s="601">
        <v>2</v>
      </c>
      <c r="E893" s="473">
        <v>910</v>
      </c>
      <c r="F893" s="590">
        <f>SUM(D893*E893)</f>
        <v>1820</v>
      </c>
    </row>
    <row r="894" spans="1:7">
      <c r="A894" s="586"/>
      <c r="B894" s="478"/>
      <c r="C894" s="602"/>
      <c r="D894" s="601"/>
      <c r="E894" s="473"/>
      <c r="F894" s="590"/>
    </row>
    <row r="895" spans="1:7" ht="27.6">
      <c r="A895" s="586" t="s">
        <v>2390</v>
      </c>
      <c r="B895" s="478" t="s">
        <v>2391</v>
      </c>
      <c r="C895" s="602" t="s">
        <v>345</v>
      </c>
      <c r="D895" s="601">
        <v>2</v>
      </c>
      <c r="E895" s="473">
        <v>134</v>
      </c>
      <c r="F895" s="590">
        <f>SUM(D895*E895)</f>
        <v>268</v>
      </c>
    </row>
    <row r="896" spans="1:7">
      <c r="A896" s="586"/>
      <c r="B896" s="478"/>
      <c r="C896" s="602"/>
      <c r="D896" s="601"/>
      <c r="E896" s="473"/>
      <c r="F896" s="590"/>
    </row>
    <row r="897" spans="1:7" ht="30">
      <c r="A897" s="586" t="s">
        <v>2392</v>
      </c>
      <c r="B897" s="526" t="s">
        <v>2393</v>
      </c>
      <c r="C897" s="602" t="s">
        <v>748</v>
      </c>
      <c r="D897" s="601">
        <v>250</v>
      </c>
      <c r="E897" s="473">
        <v>3.85</v>
      </c>
      <c r="F897" s="590">
        <f>SUM(D897*E897)</f>
        <v>962.5</v>
      </c>
    </row>
    <row r="898" spans="1:7">
      <c r="A898" s="586"/>
      <c r="B898" s="526"/>
      <c r="C898" s="602"/>
      <c r="D898" s="601"/>
      <c r="E898" s="738"/>
      <c r="F898" s="590"/>
    </row>
    <row r="899" spans="1:7" ht="43.8">
      <c r="A899" s="586" t="s">
        <v>2394</v>
      </c>
      <c r="B899" s="597" t="s">
        <v>2395</v>
      </c>
      <c r="C899" s="592" t="s">
        <v>748</v>
      </c>
      <c r="D899" s="589">
        <v>160</v>
      </c>
      <c r="E899" s="473">
        <v>2.59</v>
      </c>
      <c r="F899" s="590">
        <f>E899*D899</f>
        <v>414.4</v>
      </c>
      <c r="G899" s="603"/>
    </row>
    <row r="900" spans="1:7">
      <c r="A900" s="586"/>
      <c r="B900" s="597"/>
      <c r="C900" s="604"/>
      <c r="D900" s="599"/>
      <c r="E900" s="739"/>
      <c r="F900" s="590"/>
      <c r="G900" s="605"/>
    </row>
    <row r="901" spans="1:7" ht="30">
      <c r="A901" s="586" t="s">
        <v>2396</v>
      </c>
      <c r="B901" s="597" t="s">
        <v>2397</v>
      </c>
      <c r="C901" s="592" t="s">
        <v>748</v>
      </c>
      <c r="D901" s="589">
        <v>50</v>
      </c>
      <c r="E901" s="590">
        <v>4.6500000000000004</v>
      </c>
      <c r="F901" s="590">
        <f>E901*D901</f>
        <v>232.50000000000003</v>
      </c>
      <c r="G901" s="605"/>
    </row>
    <row r="902" spans="1:7">
      <c r="A902" s="586"/>
      <c r="B902" s="597"/>
      <c r="C902" s="592"/>
      <c r="D902" s="589"/>
      <c r="E902" s="590"/>
      <c r="F902" s="590"/>
      <c r="G902" s="603"/>
    </row>
    <row r="903" spans="1:7" ht="55.2">
      <c r="A903" s="586" t="s">
        <v>2398</v>
      </c>
      <c r="B903" s="587" t="s">
        <v>2399</v>
      </c>
      <c r="C903" s="592" t="s">
        <v>780</v>
      </c>
      <c r="D903" s="589">
        <v>1</v>
      </c>
      <c r="E903" s="590">
        <v>200</v>
      </c>
      <c r="F903" s="590">
        <f>E903*D903</f>
        <v>200</v>
      </c>
      <c r="G903" s="603"/>
    </row>
    <row r="904" spans="1:7">
      <c r="A904" s="586"/>
      <c r="B904" s="597"/>
      <c r="C904" s="592"/>
      <c r="D904" s="589"/>
      <c r="E904" s="590"/>
      <c r="F904" s="590"/>
      <c r="G904" s="603"/>
    </row>
    <row r="905" spans="1:7" ht="41.4">
      <c r="A905" s="586" t="s">
        <v>2400</v>
      </c>
      <c r="B905" s="587" t="s">
        <v>2401</v>
      </c>
      <c r="C905" s="602" t="s">
        <v>780</v>
      </c>
      <c r="D905" s="601">
        <v>1</v>
      </c>
      <c r="E905" s="473">
        <v>380</v>
      </c>
      <c r="F905" s="590">
        <f>SUM(D905*E905)</f>
        <v>380</v>
      </c>
    </row>
    <row r="906" spans="1:7">
      <c r="A906" s="586"/>
      <c r="B906" s="526"/>
      <c r="C906" s="602"/>
      <c r="D906" s="601"/>
      <c r="E906" s="473"/>
      <c r="F906" s="590"/>
    </row>
    <row r="907" spans="1:7" ht="82.8">
      <c r="A907" s="586" t="s">
        <v>2402</v>
      </c>
      <c r="B907" s="587" t="s">
        <v>2403</v>
      </c>
      <c r="C907" s="602" t="s">
        <v>780</v>
      </c>
      <c r="D907" s="601">
        <v>1</v>
      </c>
      <c r="E907" s="473">
        <v>300</v>
      </c>
      <c r="F907" s="590">
        <f>SUM(D907*E907)</f>
        <v>300</v>
      </c>
    </row>
    <row r="908" spans="1:7">
      <c r="A908" s="586"/>
      <c r="B908" s="478" t="s">
        <v>2404</v>
      </c>
      <c r="C908" s="553"/>
      <c r="D908" s="601"/>
    </row>
    <row r="909" spans="1:7" ht="27.6">
      <c r="A909" s="586" t="s">
        <v>2405</v>
      </c>
      <c r="B909" s="587" t="s">
        <v>2406</v>
      </c>
      <c r="C909" s="602" t="s">
        <v>780</v>
      </c>
      <c r="D909" s="601">
        <v>1</v>
      </c>
      <c r="E909" s="473">
        <v>250</v>
      </c>
      <c r="F909" s="590">
        <f>SUM(D909*E909)</f>
        <v>250</v>
      </c>
    </row>
    <row r="910" spans="1:7" s="438" customFormat="1">
      <c r="A910" s="586"/>
      <c r="B910" s="478" t="s">
        <v>2404</v>
      </c>
      <c r="C910" s="553"/>
      <c r="D910" s="601"/>
      <c r="E910" s="437"/>
      <c r="F910" s="437"/>
    </row>
    <row r="911" spans="1:7">
      <c r="A911" s="452" t="s">
        <v>2384</v>
      </c>
      <c r="B911" s="483" t="str">
        <f>B889</f>
        <v>PLINODETEKCIJA</v>
      </c>
      <c r="C911" s="462" t="s">
        <v>1703</v>
      </c>
      <c r="D911" s="462"/>
      <c r="E911" s="471"/>
      <c r="F911" s="471">
        <f>SUM(F891:F910)</f>
        <v>6027.4</v>
      </c>
    </row>
    <row r="913" spans="1:7">
      <c r="A913" s="484" t="s">
        <v>2407</v>
      </c>
      <c r="B913" s="606" t="s">
        <v>2408</v>
      </c>
      <c r="C913" s="523"/>
      <c r="D913" s="523"/>
      <c r="E913" s="471"/>
      <c r="F913" s="471"/>
    </row>
    <row r="914" spans="1:7">
      <c r="A914" s="440"/>
      <c r="B914" s="607"/>
    </row>
    <row r="915" spans="1:7">
      <c r="A915" s="586" t="s">
        <v>2409</v>
      </c>
      <c r="B915" s="608" t="s">
        <v>2410</v>
      </c>
      <c r="C915" s="553"/>
      <c r="D915" s="601"/>
    </row>
    <row r="916" spans="1:7" ht="110.4">
      <c r="A916" s="609"/>
      <c r="B916" s="541" t="s">
        <v>2411</v>
      </c>
      <c r="C916" s="457" t="s">
        <v>345</v>
      </c>
      <c r="D916" s="610">
        <v>1</v>
      </c>
      <c r="E916" s="740">
        <v>1680</v>
      </c>
      <c r="F916" s="437">
        <f>SUM(D916*E916)</f>
        <v>1680</v>
      </c>
      <c r="G916" s="611"/>
    </row>
    <row r="917" spans="1:7">
      <c r="A917" s="609"/>
      <c r="B917" s="612"/>
      <c r="C917" s="457"/>
      <c r="D917" s="610"/>
      <c r="E917" s="740"/>
      <c r="G917" s="611"/>
    </row>
    <row r="918" spans="1:7">
      <c r="A918" s="586" t="s">
        <v>2412</v>
      </c>
      <c r="B918" s="608" t="s">
        <v>2410</v>
      </c>
      <c r="C918" s="553"/>
      <c r="D918" s="613"/>
      <c r="E918" s="543"/>
      <c r="G918" s="611"/>
    </row>
    <row r="919" spans="1:7" ht="83.25" customHeight="1">
      <c r="A919" s="609"/>
      <c r="B919" s="614" t="s">
        <v>2413</v>
      </c>
      <c r="C919" s="457" t="s">
        <v>780</v>
      </c>
      <c r="D919" s="615">
        <v>1</v>
      </c>
      <c r="E919" s="740">
        <v>750</v>
      </c>
      <c r="F919" s="479">
        <f>+D919*E919</f>
        <v>750</v>
      </c>
      <c r="G919" s="611"/>
    </row>
    <row r="920" spans="1:7">
      <c r="A920" s="609"/>
      <c r="B920" s="612"/>
      <c r="C920" s="457"/>
      <c r="D920" s="615"/>
      <c r="E920" s="740"/>
      <c r="F920" s="479"/>
      <c r="G920" s="611"/>
    </row>
    <row r="921" spans="1:7">
      <c r="A921" s="586" t="s">
        <v>2414</v>
      </c>
      <c r="B921" s="608" t="s">
        <v>2410</v>
      </c>
      <c r="C921" s="457"/>
      <c r="D921" s="610"/>
      <c r="E921" s="740"/>
      <c r="G921" s="611"/>
    </row>
    <row r="922" spans="1:7" ht="27.6">
      <c r="A922" s="609"/>
      <c r="B922" s="616" t="s">
        <v>2415</v>
      </c>
      <c r="C922" s="617" t="s">
        <v>345</v>
      </c>
      <c r="D922" s="615">
        <v>2</v>
      </c>
      <c r="E922" s="741">
        <v>157</v>
      </c>
      <c r="F922" s="437">
        <f>SUM(D922*E922)</f>
        <v>314</v>
      </c>
    </row>
    <row r="923" spans="1:7">
      <c r="A923" s="609"/>
      <c r="B923" s="616"/>
      <c r="C923" s="617"/>
      <c r="D923" s="615"/>
      <c r="E923" s="741"/>
    </row>
    <row r="924" spans="1:7">
      <c r="A924" s="586" t="s">
        <v>2416</v>
      </c>
      <c r="B924" s="608" t="s">
        <v>2410</v>
      </c>
      <c r="C924" s="617"/>
      <c r="D924" s="615"/>
      <c r="E924" s="741"/>
      <c r="G924" s="611"/>
    </row>
    <row r="925" spans="1:7" ht="82.8">
      <c r="A925" s="609"/>
      <c r="B925" s="618" t="s">
        <v>2417</v>
      </c>
      <c r="C925" s="436" t="s">
        <v>345</v>
      </c>
      <c r="D925" s="601">
        <v>1</v>
      </c>
      <c r="E925" s="534">
        <v>157</v>
      </c>
      <c r="F925" s="437">
        <f>SUM(D925*E925)</f>
        <v>157</v>
      </c>
    </row>
    <row r="926" spans="1:7">
      <c r="A926" s="609"/>
      <c r="B926" s="612"/>
      <c r="D926" s="601"/>
      <c r="E926" s="534"/>
    </row>
    <row r="927" spans="1:7" ht="55.2">
      <c r="A927" s="586" t="s">
        <v>2418</v>
      </c>
      <c r="B927" s="541" t="s">
        <v>2419</v>
      </c>
      <c r="C927" s="436" t="s">
        <v>345</v>
      </c>
      <c r="D927" s="601">
        <v>1</v>
      </c>
      <c r="E927" s="534">
        <v>642</v>
      </c>
      <c r="F927" s="437">
        <f>SUM(D927*E927)</f>
        <v>642</v>
      </c>
    </row>
    <row r="928" spans="1:7">
      <c r="A928" s="609"/>
      <c r="B928" s="619"/>
      <c r="D928" s="601"/>
      <c r="E928" s="742"/>
    </row>
    <row r="929" spans="1:7" ht="42">
      <c r="A929" s="586" t="s">
        <v>2420</v>
      </c>
      <c r="B929" s="620" t="s">
        <v>2421</v>
      </c>
      <c r="C929" s="436" t="s">
        <v>748</v>
      </c>
      <c r="D929" s="601">
        <v>50</v>
      </c>
      <c r="E929" s="439">
        <v>4.55</v>
      </c>
      <c r="F929" s="437">
        <f>SUM(D929*E929)</f>
        <v>227.5</v>
      </c>
    </row>
    <row r="930" spans="1:7">
      <c r="A930" s="621"/>
      <c r="B930" s="622"/>
      <c r="D930" s="601"/>
      <c r="E930" s="543"/>
    </row>
    <row r="931" spans="1:7" s="625" customFormat="1" ht="41.4">
      <c r="A931" s="586" t="s">
        <v>2422</v>
      </c>
      <c r="B931" s="623" t="s">
        <v>2423</v>
      </c>
      <c r="C931" s="595" t="s">
        <v>748</v>
      </c>
      <c r="D931" s="624">
        <v>35</v>
      </c>
      <c r="E931" s="439">
        <v>4</v>
      </c>
      <c r="F931" s="437">
        <f>SUM(D931*E931)</f>
        <v>140</v>
      </c>
      <c r="G931" s="438"/>
    </row>
    <row r="932" spans="1:7">
      <c r="A932" s="621"/>
      <c r="B932" s="620"/>
      <c r="D932" s="601"/>
      <c r="E932" s="439"/>
    </row>
    <row r="933" spans="1:7" ht="41.4">
      <c r="A933" s="586" t="s">
        <v>2424</v>
      </c>
      <c r="B933" s="623" t="s">
        <v>2425</v>
      </c>
      <c r="C933" s="595" t="s">
        <v>748</v>
      </c>
      <c r="D933" s="624">
        <v>15</v>
      </c>
      <c r="E933" s="439">
        <v>4</v>
      </c>
      <c r="F933" s="437">
        <f>SUM(D933*E933)</f>
        <v>60</v>
      </c>
    </row>
    <row r="934" spans="1:7" ht="15" customHeight="1">
      <c r="A934" s="625"/>
      <c r="B934" s="626"/>
      <c r="C934" s="627"/>
      <c r="D934" s="628"/>
      <c r="E934" s="743"/>
      <c r="F934" s="629"/>
      <c r="G934" s="625"/>
    </row>
    <row r="935" spans="1:7" ht="41.4">
      <c r="A935" s="586" t="s">
        <v>2426</v>
      </c>
      <c r="B935" s="623" t="s">
        <v>2427</v>
      </c>
      <c r="C935" s="595" t="s">
        <v>748</v>
      </c>
      <c r="D935" s="624">
        <v>50</v>
      </c>
      <c r="E935" s="439">
        <v>3.85</v>
      </c>
      <c r="F935" s="437">
        <f>SUM(D935*E935)</f>
        <v>192.5</v>
      </c>
    </row>
    <row r="936" spans="1:7">
      <c r="A936" s="621"/>
      <c r="B936" s="620"/>
      <c r="D936" s="601"/>
      <c r="E936" s="439"/>
    </row>
    <row r="937" spans="1:7" ht="27.6">
      <c r="A937" s="586" t="s">
        <v>2428</v>
      </c>
      <c r="B937" s="623" t="s">
        <v>2429</v>
      </c>
      <c r="C937" s="595" t="s">
        <v>748</v>
      </c>
      <c r="D937" s="624">
        <v>150</v>
      </c>
      <c r="E937" s="439">
        <v>3</v>
      </c>
      <c r="F937" s="437">
        <f>SUM(D937*E937)</f>
        <v>450</v>
      </c>
    </row>
    <row r="938" spans="1:7">
      <c r="A938" s="621"/>
      <c r="B938" s="622"/>
      <c r="D938" s="601"/>
      <c r="E938" s="543"/>
    </row>
    <row r="939" spans="1:7">
      <c r="A939" s="586" t="s">
        <v>2430</v>
      </c>
      <c r="B939" s="622" t="s">
        <v>2431</v>
      </c>
      <c r="C939" s="436" t="s">
        <v>345</v>
      </c>
      <c r="D939" s="601">
        <v>1</v>
      </c>
      <c r="E939" s="439">
        <v>300</v>
      </c>
      <c r="F939" s="437">
        <f>SUM(D939*E939)</f>
        <v>300</v>
      </c>
    </row>
    <row r="940" spans="1:7">
      <c r="A940" s="621"/>
      <c r="B940" s="614"/>
      <c r="C940" s="553"/>
      <c r="D940" s="601"/>
      <c r="E940" s="439"/>
    </row>
    <row r="941" spans="1:7">
      <c r="A941" s="586" t="s">
        <v>2432</v>
      </c>
      <c r="B941" s="622" t="s">
        <v>2433</v>
      </c>
      <c r="C941" s="436" t="s">
        <v>345</v>
      </c>
      <c r="D941" s="601">
        <v>1</v>
      </c>
      <c r="E941" s="439">
        <v>420</v>
      </c>
      <c r="F941" s="437">
        <f>SUM(D941*E941)</f>
        <v>420</v>
      </c>
    </row>
    <row r="942" spans="1:7">
      <c r="A942" s="621"/>
      <c r="B942" s="614"/>
      <c r="C942" s="553"/>
      <c r="D942" s="601"/>
      <c r="E942" s="439"/>
    </row>
    <row r="943" spans="1:7" ht="41.4">
      <c r="A943" s="586" t="s">
        <v>2434</v>
      </c>
      <c r="B943" s="622" t="s">
        <v>2435</v>
      </c>
      <c r="C943" s="436" t="s">
        <v>780</v>
      </c>
      <c r="D943" s="601">
        <v>1</v>
      </c>
      <c r="E943" s="439">
        <v>300</v>
      </c>
      <c r="F943" s="437">
        <f>SUM(D943*E943)</f>
        <v>300</v>
      </c>
    </row>
    <row r="944" spans="1:7">
      <c r="A944" s="621"/>
      <c r="B944" s="614"/>
      <c r="C944" s="553"/>
      <c r="D944" s="601"/>
      <c r="E944" s="439"/>
    </row>
    <row r="945" spans="1:7" ht="27.6">
      <c r="A945" s="586" t="s">
        <v>2436</v>
      </c>
      <c r="B945" s="622" t="s">
        <v>2437</v>
      </c>
      <c r="C945" s="436" t="s">
        <v>780</v>
      </c>
      <c r="D945" s="601">
        <v>1</v>
      </c>
      <c r="E945" s="439">
        <v>250</v>
      </c>
      <c r="F945" s="437">
        <f>SUM(D945*E945)</f>
        <v>250</v>
      </c>
    </row>
    <row r="946" spans="1:7" s="438" customFormat="1">
      <c r="A946" s="621"/>
      <c r="B946" s="622" t="s">
        <v>2404</v>
      </c>
      <c r="C946" s="553"/>
      <c r="D946" s="601"/>
      <c r="E946" s="439"/>
      <c r="F946" s="437"/>
    </row>
    <row r="947" spans="1:7">
      <c r="A947" s="586" t="s">
        <v>2438</v>
      </c>
      <c r="B947" s="622" t="s">
        <v>2439</v>
      </c>
      <c r="C947" s="436" t="s">
        <v>780</v>
      </c>
      <c r="D947" s="601">
        <v>1</v>
      </c>
      <c r="E947" s="439">
        <v>175</v>
      </c>
      <c r="F947" s="437">
        <f>SUM(D947*E947)</f>
        <v>175</v>
      </c>
    </row>
    <row r="948" spans="1:7" s="472" customFormat="1">
      <c r="A948" s="586"/>
      <c r="B948" s="620"/>
      <c r="C948" s="436"/>
      <c r="D948" s="601"/>
      <c r="E948" s="437"/>
      <c r="F948" s="437"/>
      <c r="G948" s="438"/>
    </row>
    <row r="949" spans="1:7">
      <c r="A949" s="452" t="s">
        <v>2440</v>
      </c>
      <c r="B949" s="630" t="str">
        <f>B913</f>
        <v>ODIMLJAVANJE STUBIŠTA</v>
      </c>
      <c r="C949" s="462" t="s">
        <v>1703</v>
      </c>
      <c r="D949" s="462"/>
      <c r="E949" s="471"/>
      <c r="F949" s="471">
        <f>SUM(F913:F948)</f>
        <v>6058</v>
      </c>
    </row>
    <row r="950" spans="1:7" s="631" customFormat="1">
      <c r="A950" s="434"/>
      <c r="B950" s="435"/>
      <c r="C950" s="436"/>
      <c r="D950" s="436"/>
      <c r="E950" s="437"/>
      <c r="F950" s="437"/>
      <c r="G950" s="438"/>
    </row>
    <row r="951" spans="1:7" s="472" customFormat="1">
      <c r="A951" s="632"/>
      <c r="B951" s="633" t="s">
        <v>2441</v>
      </c>
      <c r="C951" s="443"/>
      <c r="D951" s="634"/>
      <c r="E951" s="635"/>
      <c r="F951" s="451"/>
      <c r="G951" s="636"/>
    </row>
    <row r="952" spans="1:7">
      <c r="A952" s="440"/>
      <c r="B952" s="441"/>
      <c r="C952" s="637"/>
      <c r="D952" s="637"/>
      <c r="E952" s="635"/>
      <c r="F952" s="451"/>
      <c r="G952" s="476"/>
    </row>
    <row r="953" spans="1:7" s="631" customFormat="1">
      <c r="A953" s="452" t="s">
        <v>1693</v>
      </c>
      <c r="B953" s="483" t="str">
        <f>B17</f>
        <v>PRIPREMNI RADOVI</v>
      </c>
      <c r="C953" s="462"/>
      <c r="D953" s="462"/>
      <c r="E953" s="471"/>
      <c r="F953" s="471"/>
      <c r="G953" s="638"/>
    </row>
    <row r="954" spans="1:7">
      <c r="A954" s="440" t="s">
        <v>1698</v>
      </c>
      <c r="B954" s="441" t="str">
        <f>B23</f>
        <v>PRIPREMNI RADOVI</v>
      </c>
      <c r="E954" s="635"/>
      <c r="F954" s="451">
        <f>F23</f>
        <v>1000</v>
      </c>
      <c r="G954" s="636"/>
    </row>
    <row r="955" spans="1:7" s="472" customFormat="1">
      <c r="A955" s="440"/>
      <c r="B955" s="441"/>
      <c r="C955" s="637"/>
      <c r="D955" s="637"/>
      <c r="E955" s="635"/>
      <c r="F955" s="451"/>
      <c r="G955" s="476"/>
    </row>
    <row r="956" spans="1:7" s="472" customFormat="1">
      <c r="A956" s="452" t="str">
        <f>A26</f>
        <v>B</v>
      </c>
      <c r="B956" s="483" t="str">
        <f>B26</f>
        <v>JAKA STRUJA</v>
      </c>
      <c r="C956" s="462"/>
      <c r="D956" s="462"/>
      <c r="E956" s="471"/>
      <c r="F956" s="471"/>
      <c r="G956" s="638"/>
    </row>
    <row r="957" spans="1:7" s="472" customFormat="1">
      <c r="A957" s="440" t="str">
        <f>A243</f>
        <v>35.00.</v>
      </c>
      <c r="B957" s="441" t="str">
        <f>B243</f>
        <v>DISTRIBUCIJSKI RAZDJELNICI</v>
      </c>
      <c r="C957" s="637"/>
      <c r="D957" s="637"/>
      <c r="E957" s="635"/>
      <c r="F957" s="451">
        <f>F243</f>
        <v>16865</v>
      </c>
      <c r="G957" s="476"/>
    </row>
    <row r="958" spans="1:7">
      <c r="A958" s="440" t="str">
        <f>A263</f>
        <v>36.00.</v>
      </c>
      <c r="B958" s="441" t="str">
        <f>B263</f>
        <v>INSTALACIJSKI KABELI</v>
      </c>
      <c r="E958" s="635"/>
      <c r="F958" s="451">
        <f>F263</f>
        <v>64858.400000000001</v>
      </c>
      <c r="G958" s="636"/>
    </row>
    <row r="959" spans="1:7">
      <c r="A959" s="440" t="str">
        <f>A274</f>
        <v>37.00.</v>
      </c>
      <c r="B959" s="441" t="str">
        <f>B274</f>
        <v>ENERGETSKI RASPLET</v>
      </c>
      <c r="E959" s="635"/>
      <c r="F959" s="451">
        <f>F274</f>
        <v>12218.199999999999</v>
      </c>
      <c r="G959" s="636"/>
    </row>
    <row r="960" spans="1:7" s="472" customFormat="1">
      <c r="A960" s="440" t="s">
        <v>1905</v>
      </c>
      <c r="B960" s="441" t="str">
        <f>B287</f>
        <v>IZJEDNAČENJE POTENCIJALA</v>
      </c>
      <c r="C960" s="436"/>
      <c r="D960" s="436"/>
      <c r="E960" s="635"/>
      <c r="F960" s="451">
        <f>F287</f>
        <v>6011</v>
      </c>
      <c r="G960" s="636"/>
    </row>
    <row r="961" spans="1:7" s="472" customFormat="1">
      <c r="A961" s="440" t="s">
        <v>1915</v>
      </c>
      <c r="B961" s="441" t="str">
        <f>B305</f>
        <v>INSTALACIJSKE CIJEVI I ZDENCI</v>
      </c>
      <c r="C961" s="637"/>
      <c r="D961" s="637"/>
      <c r="E961" s="635"/>
      <c r="F961" s="451">
        <f>F305</f>
        <v>29440</v>
      </c>
      <c r="G961" s="476"/>
    </row>
    <row r="962" spans="1:7" s="472" customFormat="1">
      <c r="A962" s="440" t="s">
        <v>1929</v>
      </c>
      <c r="B962" s="441" t="str">
        <f>B324</f>
        <v>PREKIDAČI</v>
      </c>
      <c r="C962" s="637"/>
      <c r="D962" s="637"/>
      <c r="E962" s="635"/>
      <c r="F962" s="451">
        <f>F324</f>
        <v>4657.6000000000004</v>
      </c>
      <c r="G962" s="476"/>
    </row>
    <row r="963" spans="1:7">
      <c r="A963" s="440" t="str">
        <f>A353</f>
        <v>41.00.</v>
      </c>
      <c r="B963" s="441" t="str">
        <f>B353</f>
        <v>UTIČNICE I PODNE KUTIJE</v>
      </c>
      <c r="E963" s="635"/>
      <c r="F963" s="451">
        <f>F353</f>
        <v>4751.1499999999996</v>
      </c>
      <c r="G963" s="636"/>
    </row>
    <row r="964" spans="1:7" s="472" customFormat="1">
      <c r="A964" s="440" t="s">
        <v>1967</v>
      </c>
      <c r="B964" s="529" t="str">
        <f>B356</f>
        <v>KABELSKE KANALICE</v>
      </c>
      <c r="C964" s="436"/>
      <c r="D964" s="436"/>
      <c r="E964" s="635"/>
      <c r="F964" s="451">
        <f>F364</f>
        <v>14030</v>
      </c>
      <c r="G964" s="636"/>
    </row>
    <row r="965" spans="1:7" s="472" customFormat="1">
      <c r="A965" s="440" t="str">
        <f>A421</f>
        <v>43.00</v>
      </c>
      <c r="B965" s="441" t="str">
        <f>B421</f>
        <v>OPĆA RASVJETA</v>
      </c>
      <c r="C965" s="637"/>
      <c r="D965" s="637"/>
      <c r="E965" s="635"/>
      <c r="F965" s="451">
        <f>F421</f>
        <v>74378</v>
      </c>
      <c r="G965" s="476"/>
    </row>
    <row r="966" spans="1:7">
      <c r="A966" s="440" t="str">
        <f>A442</f>
        <v>44.00.</v>
      </c>
      <c r="B966" s="441" t="str">
        <f>B442</f>
        <v>SIGURNOSNA RASVJETA</v>
      </c>
      <c r="C966" s="637"/>
      <c r="D966" s="637"/>
      <c r="E966" s="635"/>
      <c r="F966" s="451">
        <f>F442</f>
        <v>9511</v>
      </c>
      <c r="G966" s="476"/>
    </row>
    <row r="967" spans="1:7" s="631" customFormat="1">
      <c r="A967" s="440" t="s">
        <v>2043</v>
      </c>
      <c r="B967" s="441" t="str">
        <f>B465</f>
        <v>SUSTAV ZAŠTITE OD MUNJE</v>
      </c>
      <c r="C967" s="436"/>
      <c r="D967" s="436"/>
      <c r="E967" s="635"/>
      <c r="F967" s="451">
        <f>F465</f>
        <v>9794</v>
      </c>
      <c r="G967" s="636"/>
    </row>
    <row r="968" spans="1:7">
      <c r="A968" s="440" t="str">
        <f>A493</f>
        <v>46.00.</v>
      </c>
      <c r="B968" s="441" t="str">
        <f>B493</f>
        <v>ISPITIVANJA I ATESTI</v>
      </c>
      <c r="E968" s="635"/>
      <c r="F968" s="451">
        <f>F493</f>
        <v>4320</v>
      </c>
      <c r="G968" s="636"/>
    </row>
    <row r="969" spans="1:7">
      <c r="A969" s="440"/>
      <c r="B969" s="441"/>
      <c r="C969" s="637"/>
      <c r="D969" s="637"/>
      <c r="E969" s="635"/>
      <c r="F969" s="451"/>
      <c r="G969" s="476"/>
    </row>
    <row r="970" spans="1:7">
      <c r="A970" s="452" t="str">
        <f>A496</f>
        <v>C</v>
      </c>
      <c r="B970" s="483" t="str">
        <f>B496</f>
        <v>SLABA STRUJA</v>
      </c>
      <c r="C970" s="462"/>
      <c r="D970" s="462"/>
      <c r="E970" s="471"/>
      <c r="F970" s="471"/>
      <c r="G970" s="638"/>
    </row>
    <row r="971" spans="1:7" s="472" customFormat="1">
      <c r="A971" s="440" t="str">
        <f>A708</f>
        <v>47.00.</v>
      </c>
      <c r="B971" s="441" t="str">
        <f>B708</f>
        <v>OZVUČENJE, SOS, PAMETNE PLOČE</v>
      </c>
      <c r="C971" s="637"/>
      <c r="D971" s="637"/>
      <c r="E971" s="635"/>
      <c r="F971" s="451">
        <f>F708</f>
        <v>27051.5</v>
      </c>
      <c r="G971" s="476"/>
    </row>
    <row r="972" spans="1:7" s="631" customFormat="1">
      <c r="A972" s="440" t="str">
        <f>A759</f>
        <v>48.00.</v>
      </c>
      <c r="B972" s="441" t="str">
        <f>B759</f>
        <v>GENERIČKO KABLIRANJE</v>
      </c>
      <c r="C972" s="637"/>
      <c r="D972" s="637"/>
      <c r="E972" s="635"/>
      <c r="F972" s="451">
        <f>F759</f>
        <v>32850</v>
      </c>
      <c r="G972" s="476"/>
    </row>
    <row r="973" spans="1:7" s="631" customFormat="1">
      <c r="A973" s="440" t="s">
        <v>2276</v>
      </c>
      <c r="B973" s="529" t="str">
        <f>B797</f>
        <v>ANTENSKA INSTALACIJA</v>
      </c>
      <c r="C973" s="637"/>
      <c r="D973" s="637"/>
      <c r="E973" s="635"/>
      <c r="F973" s="451">
        <f>F797</f>
        <v>5226.7</v>
      </c>
      <c r="G973" s="476"/>
    </row>
    <row r="974" spans="1:7" s="631" customFormat="1">
      <c r="A974" s="440"/>
      <c r="B974" s="441"/>
      <c r="C974" s="436"/>
      <c r="D974" s="436"/>
      <c r="E974" s="635"/>
      <c r="F974" s="451"/>
      <c r="G974" s="636"/>
    </row>
    <row r="975" spans="1:7" s="631" customFormat="1" ht="27.6">
      <c r="A975" s="452" t="s">
        <v>2314</v>
      </c>
      <c r="B975" s="483" t="str">
        <f>B800</f>
        <v>VATRODOJAVA, PLINODETEKCIJA, ODIMLJAVANJE</v>
      </c>
      <c r="C975" s="462"/>
      <c r="D975" s="462"/>
      <c r="E975" s="471"/>
      <c r="F975" s="471"/>
      <c r="G975" s="638"/>
    </row>
    <row r="976" spans="1:7">
      <c r="A976" s="440" t="s">
        <v>2316</v>
      </c>
      <c r="B976" s="529" t="str">
        <f>B802</f>
        <v>VATRODOJAVA</v>
      </c>
      <c r="C976" s="462"/>
      <c r="D976" s="462"/>
      <c r="E976" s="471"/>
      <c r="F976" s="451">
        <f>F887</f>
        <v>40174.210000000006</v>
      </c>
      <c r="G976" s="638"/>
    </row>
    <row r="977" spans="1:7">
      <c r="A977" s="440" t="s">
        <v>2384</v>
      </c>
      <c r="B977" s="529" t="str">
        <f>B889</f>
        <v>PLINODETEKCIJA</v>
      </c>
      <c r="C977" s="462"/>
      <c r="D977" s="462"/>
      <c r="E977" s="471"/>
      <c r="F977" s="451">
        <f>F911</f>
        <v>6027.4</v>
      </c>
      <c r="G977" s="638"/>
    </row>
    <row r="978" spans="1:7">
      <c r="A978" s="440" t="s">
        <v>2407</v>
      </c>
      <c r="B978" s="529" t="str">
        <f>B949</f>
        <v>ODIMLJAVANJE STUBIŠTA</v>
      </c>
      <c r="C978" s="462"/>
      <c r="D978" s="462"/>
      <c r="E978" s="471"/>
      <c r="F978" s="451">
        <f>F949</f>
        <v>6058</v>
      </c>
      <c r="G978" s="638"/>
    </row>
    <row r="979" spans="1:7">
      <c r="A979" s="440"/>
      <c r="B979" s="441"/>
      <c r="C979" s="637"/>
      <c r="D979" s="637"/>
      <c r="E979" s="635"/>
      <c r="F979" s="451"/>
      <c r="G979" s="476"/>
    </row>
    <row r="980" spans="1:7">
      <c r="A980" s="440"/>
      <c r="B980" s="441"/>
      <c r="C980" s="637"/>
      <c r="D980" s="637"/>
      <c r="E980" s="635"/>
      <c r="F980" s="451"/>
      <c r="G980" s="476"/>
    </row>
    <row r="981" spans="1:7">
      <c r="A981" s="469" t="str">
        <f>A11</f>
        <v>A</v>
      </c>
      <c r="B981" s="470" t="str">
        <f>B11</f>
        <v>ELEKTRO RADOVI</v>
      </c>
      <c r="C981" s="462"/>
      <c r="D981" s="463"/>
      <c r="E981" s="475"/>
      <c r="F981" s="471">
        <f>SUM(F954:F980)</f>
        <v>369222.16000000003</v>
      </c>
      <c r="G981" s="476"/>
    </row>
    <row r="982" spans="1:7">
      <c r="A982" s="639"/>
      <c r="B982" s="640"/>
      <c r="E982" s="635"/>
      <c r="F982" s="451"/>
      <c r="G982" s="476"/>
    </row>
  </sheetData>
  <mergeCells count="1">
    <mergeCell ref="C2:F2"/>
  </mergeCells>
  <pageMargins left="0.78749999999999998" right="0.78749999999999998" top="1.05277777777778" bottom="1.05277777777778" header="0.78749999999999998" footer="0.78749999999999998"/>
  <pageSetup paperSize="9" scale="80" orientation="portrait" horizontalDpi="300" verticalDpi="300"/>
  <headerFooter>
    <oddHeader>&amp;C&amp;"Times New Roman,Normalni"&amp;12&amp;A</oddHeader>
    <oddFooter>&amp;C&amp;"Times New Roman,Normalni"&amp;12Stranica &amp;P</oddFooter>
  </headerFooter>
  <rowBreaks count="1" manualBreakCount="1">
    <brk id="1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49"/>
  <sheetViews>
    <sheetView topLeftCell="A25" zoomScale="90" zoomScaleNormal="90" workbookViewId="0">
      <selection activeCell="E34" sqref="E34"/>
    </sheetView>
  </sheetViews>
  <sheetFormatPr defaultColWidth="9" defaultRowHeight="13.8"/>
  <cols>
    <col min="1" max="1" width="7.109375" style="14" customWidth="1"/>
    <col min="2" max="2" width="44.33203125" style="4" customWidth="1"/>
    <col min="3" max="3" width="8.5546875" style="641" customWidth="1"/>
    <col min="4" max="4" width="11.44140625" style="642" customWidth="1"/>
    <col min="5" max="5" width="11.44140625" style="643" customWidth="1"/>
    <col min="6" max="6" width="16.5546875" style="643" customWidth="1"/>
    <col min="7" max="1024" width="9" style="644"/>
  </cols>
  <sheetData>
    <row r="1" spans="1:6">
      <c r="A1" s="645"/>
      <c r="C1" s="779"/>
      <c r="D1" s="779"/>
      <c r="E1" s="779"/>
      <c r="F1" s="779"/>
    </row>
    <row r="2" spans="1:6" ht="15.6">
      <c r="A2" s="647" t="s">
        <v>2442</v>
      </c>
      <c r="B2" s="648" t="s">
        <v>2443</v>
      </c>
      <c r="C2" s="649"/>
      <c r="D2" s="650"/>
      <c r="E2" s="651"/>
      <c r="F2" s="651"/>
    </row>
    <row r="3" spans="1:6">
      <c r="A3" s="645"/>
      <c r="C3" s="646"/>
      <c r="D3" s="652"/>
      <c r="E3" s="646"/>
      <c r="F3" s="646"/>
    </row>
    <row r="4" spans="1:6">
      <c r="A4" s="653"/>
      <c r="B4" s="654" t="s">
        <v>2444</v>
      </c>
      <c r="C4" s="641" t="s">
        <v>2445</v>
      </c>
      <c r="D4" s="655" t="s">
        <v>2446</v>
      </c>
      <c r="E4" s="656" t="s">
        <v>2447</v>
      </c>
      <c r="F4" s="656" t="s">
        <v>1703</v>
      </c>
    </row>
    <row r="5" spans="1:6">
      <c r="A5" s="657" t="s">
        <v>2448</v>
      </c>
      <c r="B5" s="3" t="s">
        <v>2449</v>
      </c>
      <c r="C5" s="780"/>
      <c r="D5" s="780"/>
      <c r="E5" s="780"/>
      <c r="F5" s="780"/>
    </row>
    <row r="6" spans="1:6" ht="132">
      <c r="A6" s="645" t="s">
        <v>2450</v>
      </c>
      <c r="B6" s="4" t="s">
        <v>2451</v>
      </c>
    </row>
    <row r="7" spans="1:6">
      <c r="B7" s="658"/>
      <c r="C7" s="641" t="s">
        <v>257</v>
      </c>
      <c r="D7" s="642">
        <v>2479</v>
      </c>
      <c r="E7" s="643">
        <v>0.5</v>
      </c>
      <c r="F7" s="643">
        <f>SUM(D7*E7)</f>
        <v>1239.5</v>
      </c>
    </row>
    <row r="8" spans="1:6" ht="76.5" customHeight="1">
      <c r="A8" s="645" t="s">
        <v>2452</v>
      </c>
      <c r="B8" s="4" t="s">
        <v>2453</v>
      </c>
    </row>
    <row r="9" spans="1:6">
      <c r="A9" s="645"/>
      <c r="B9" s="658"/>
      <c r="C9" s="641" t="s">
        <v>2454</v>
      </c>
      <c r="D9" s="642">
        <v>1</v>
      </c>
      <c r="E9" s="643">
        <v>500</v>
      </c>
      <c r="F9" s="643">
        <f>SUM(D9*E9)</f>
        <v>500</v>
      </c>
    </row>
    <row r="10" spans="1:6" ht="117" customHeight="1">
      <c r="A10" s="645" t="s">
        <v>2455</v>
      </c>
      <c r="B10" s="4" t="s">
        <v>2456</v>
      </c>
    </row>
    <row r="11" spans="1:6" ht="15.6">
      <c r="A11" s="645"/>
      <c r="B11" s="658"/>
      <c r="C11" s="641" t="s">
        <v>2457</v>
      </c>
      <c r="D11" s="642">
        <v>4</v>
      </c>
      <c r="E11" s="643">
        <v>200</v>
      </c>
      <c r="F11" s="643">
        <f>SUM(D11*E11)</f>
        <v>800</v>
      </c>
    </row>
    <row r="12" spans="1:6" ht="72.75" customHeight="1">
      <c r="A12" s="645" t="s">
        <v>2458</v>
      </c>
      <c r="B12" s="4" t="s">
        <v>2459</v>
      </c>
    </row>
    <row r="13" spans="1:6">
      <c r="A13" s="645"/>
      <c r="B13" s="658"/>
      <c r="C13" s="641" t="s">
        <v>316</v>
      </c>
      <c r="D13" s="642">
        <v>60.7</v>
      </c>
      <c r="E13" s="643">
        <v>10</v>
      </c>
      <c r="F13" s="643">
        <f>SUM(D13*E13)</f>
        <v>607</v>
      </c>
    </row>
    <row r="14" spans="1:6" ht="93" customHeight="1">
      <c r="A14" s="645" t="s">
        <v>2460</v>
      </c>
      <c r="B14" s="4" t="s">
        <v>2461</v>
      </c>
    </row>
    <row r="15" spans="1:6">
      <c r="A15" s="645"/>
      <c r="B15" s="658"/>
      <c r="C15" s="641" t="s">
        <v>2454</v>
      </c>
      <c r="D15" s="642">
        <v>1</v>
      </c>
      <c r="E15" s="643">
        <v>500</v>
      </c>
      <c r="F15" s="643">
        <f>SUM(D15*E15)</f>
        <v>500</v>
      </c>
    </row>
    <row r="16" spans="1:6" ht="105" customHeight="1">
      <c r="A16" s="645" t="s">
        <v>2462</v>
      </c>
      <c r="B16" s="4" t="s">
        <v>2463</v>
      </c>
      <c r="E16" s="641"/>
      <c r="F16" s="641"/>
    </row>
    <row r="17" spans="1:6">
      <c r="A17" s="20"/>
      <c r="B17" s="659" t="s">
        <v>2464</v>
      </c>
      <c r="C17" s="641" t="s">
        <v>316</v>
      </c>
      <c r="D17" s="642">
        <v>80.099999999999994</v>
      </c>
      <c r="E17" s="673">
        <v>10</v>
      </c>
      <c r="F17" s="643">
        <f>SUM(D17*E17)</f>
        <v>801</v>
      </c>
    </row>
    <row r="18" spans="1:6">
      <c r="A18" s="20"/>
      <c r="B18" s="659" t="s">
        <v>2465</v>
      </c>
      <c r="C18" s="641" t="s">
        <v>316</v>
      </c>
      <c r="D18" s="642">
        <v>20</v>
      </c>
      <c r="E18" s="673">
        <v>10</v>
      </c>
      <c r="F18" s="643">
        <f>SUM(D18*E18)</f>
        <v>200</v>
      </c>
    </row>
    <row r="19" spans="1:6">
      <c r="A19" s="20"/>
      <c r="B19" s="659" t="s">
        <v>2466</v>
      </c>
      <c r="C19" s="641" t="s">
        <v>316</v>
      </c>
      <c r="D19" s="642">
        <v>16</v>
      </c>
      <c r="E19" s="673">
        <v>10</v>
      </c>
      <c r="F19" s="643">
        <f>SUM(D19*E19)</f>
        <v>160</v>
      </c>
    </row>
    <row r="20" spans="1:6">
      <c r="A20" s="20"/>
      <c r="B20" s="659" t="s">
        <v>2467</v>
      </c>
      <c r="C20" s="641" t="s">
        <v>316</v>
      </c>
      <c r="D20" s="642">
        <v>80.099999999999994</v>
      </c>
      <c r="E20" s="673">
        <v>10</v>
      </c>
      <c r="F20" s="643">
        <f>SUM(D20*E20)</f>
        <v>801</v>
      </c>
    </row>
    <row r="21" spans="1:6">
      <c r="A21" s="645"/>
      <c r="B21" s="658"/>
    </row>
    <row r="22" spans="1:6" ht="65.25" customHeight="1">
      <c r="A22" s="645" t="s">
        <v>2468</v>
      </c>
      <c r="B22" s="4" t="s">
        <v>2469</v>
      </c>
      <c r="C22" s="660"/>
    </row>
    <row r="23" spans="1:6">
      <c r="A23" s="645"/>
      <c r="B23" s="658"/>
      <c r="C23" s="660" t="s">
        <v>257</v>
      </c>
      <c r="D23" s="642">
        <v>2894.3</v>
      </c>
      <c r="E23" s="643">
        <v>0.5</v>
      </c>
      <c r="F23" s="643">
        <f>SUM(D23*E23)</f>
        <v>1447.15</v>
      </c>
    </row>
    <row r="24" spans="1:6">
      <c r="A24" s="645"/>
      <c r="B24" s="658"/>
      <c r="C24" s="660"/>
    </row>
    <row r="25" spans="1:6" ht="118.8">
      <c r="A25" s="645" t="s">
        <v>2470</v>
      </c>
      <c r="B25" s="4" t="s">
        <v>2471</v>
      </c>
      <c r="C25" s="660"/>
    </row>
    <row r="26" spans="1:6" ht="24">
      <c r="A26" s="645"/>
      <c r="B26" s="154" t="s">
        <v>2472</v>
      </c>
      <c r="C26" s="660" t="s">
        <v>227</v>
      </c>
      <c r="D26" s="642">
        <v>1</v>
      </c>
      <c r="E26" s="643">
        <v>1</v>
      </c>
      <c r="F26" s="643">
        <f>SUM(D26*E26)</f>
        <v>1</v>
      </c>
    </row>
    <row r="27" spans="1:6">
      <c r="A27" s="645"/>
      <c r="B27" s="658"/>
      <c r="C27" s="660"/>
    </row>
    <row r="28" spans="1:6">
      <c r="A28" s="645"/>
      <c r="B28" s="658"/>
      <c r="C28" s="660"/>
    </row>
    <row r="29" spans="1:6">
      <c r="A29" s="661"/>
      <c r="B29" s="662" t="s">
        <v>238</v>
      </c>
      <c r="C29" s="663"/>
      <c r="D29" s="664"/>
      <c r="E29" s="663"/>
      <c r="F29" s="663">
        <f>SUM(F6:F26)</f>
        <v>7056.65</v>
      </c>
    </row>
    <row r="30" spans="1:6">
      <c r="A30" s="665"/>
      <c r="B30" s="3"/>
      <c r="C30" s="666"/>
      <c r="D30" s="667"/>
      <c r="E30" s="666"/>
      <c r="F30" s="666"/>
    </row>
    <row r="31" spans="1:6">
      <c r="A31" s="657" t="s">
        <v>2473</v>
      </c>
      <c r="B31" s="3" t="s">
        <v>96</v>
      </c>
    </row>
    <row r="32" spans="1:6" ht="120" customHeight="1">
      <c r="A32" s="645" t="s">
        <v>2474</v>
      </c>
      <c r="B32" s="86" t="s">
        <v>2475</v>
      </c>
    </row>
    <row r="33" spans="1:6" ht="15.6">
      <c r="A33" s="645"/>
      <c r="B33" s="658" t="s">
        <v>2476</v>
      </c>
      <c r="C33" s="641" t="s">
        <v>2457</v>
      </c>
      <c r="D33" s="642">
        <v>23.7</v>
      </c>
      <c r="E33" s="643">
        <v>40</v>
      </c>
      <c r="F33" s="643">
        <f>SUM(D33*E33)</f>
        <v>948</v>
      </c>
    </row>
    <row r="34" spans="1:6" ht="15.6">
      <c r="A34" s="645"/>
      <c r="B34" s="658" t="s">
        <v>2477</v>
      </c>
      <c r="C34" s="641" t="s">
        <v>2457</v>
      </c>
      <c r="D34" s="642">
        <v>1160.8</v>
      </c>
      <c r="E34" s="643">
        <v>20</v>
      </c>
      <c r="F34" s="643">
        <f>SUM(D34*E34)</f>
        <v>23216</v>
      </c>
    </row>
    <row r="35" spans="1:6" ht="122.25" customHeight="1">
      <c r="A35" s="645" t="s">
        <v>2478</v>
      </c>
      <c r="B35" s="86" t="s">
        <v>2479</v>
      </c>
    </row>
    <row r="36" spans="1:6">
      <c r="A36" s="645"/>
      <c r="B36" s="658"/>
      <c r="C36" s="641" t="s">
        <v>257</v>
      </c>
      <c r="D36" s="642">
        <v>1050</v>
      </c>
      <c r="E36" s="643">
        <v>35</v>
      </c>
      <c r="F36" s="643">
        <f>SUM(D36*E36)</f>
        <v>36750</v>
      </c>
    </row>
    <row r="37" spans="1:6" ht="77.25" customHeight="1">
      <c r="A37" s="645" t="s">
        <v>2480</v>
      </c>
      <c r="B37" s="4" t="s">
        <v>2481</v>
      </c>
    </row>
    <row r="38" spans="1:6">
      <c r="A38" s="645"/>
      <c r="B38" s="658"/>
      <c r="C38" s="641" t="s">
        <v>242</v>
      </c>
      <c r="D38" s="642">
        <v>1270</v>
      </c>
      <c r="E38" s="643">
        <v>2</v>
      </c>
      <c r="F38" s="643">
        <f>SUM(D38*E38)</f>
        <v>2540</v>
      </c>
    </row>
    <row r="39" spans="1:6" ht="120" customHeight="1">
      <c r="A39" s="645" t="s">
        <v>2482</v>
      </c>
      <c r="B39" s="4" t="s">
        <v>2483</v>
      </c>
    </row>
    <row r="40" spans="1:6" ht="15.6">
      <c r="A40" s="645"/>
      <c r="B40" s="658"/>
      <c r="C40" s="641" t="s">
        <v>2484</v>
      </c>
      <c r="D40" s="642">
        <v>2479</v>
      </c>
      <c r="E40" s="643">
        <v>3</v>
      </c>
      <c r="F40" s="643">
        <f>SUM(D40*E40)</f>
        <v>7437</v>
      </c>
    </row>
    <row r="41" spans="1:6" ht="186.75" customHeight="1">
      <c r="A41" s="645" t="s">
        <v>2485</v>
      </c>
      <c r="B41" s="4" t="s">
        <v>2486</v>
      </c>
    </row>
    <row r="42" spans="1:6" ht="15.6">
      <c r="B42" s="658"/>
      <c r="C42" s="641" t="s">
        <v>2457</v>
      </c>
      <c r="D42" s="642">
        <v>1184.5</v>
      </c>
      <c r="E42" s="643">
        <v>2</v>
      </c>
      <c r="F42" s="643">
        <f>SUM(D42*E42)</f>
        <v>2369</v>
      </c>
    </row>
    <row r="43" spans="1:6" ht="95.25" customHeight="1">
      <c r="A43" s="645" t="s">
        <v>2487</v>
      </c>
      <c r="B43" s="4" t="s">
        <v>2488</v>
      </c>
    </row>
    <row r="44" spans="1:6">
      <c r="A44" s="645"/>
      <c r="B44" s="658"/>
      <c r="C44" s="641" t="s">
        <v>316</v>
      </c>
      <c r="D44" s="642">
        <v>218.5</v>
      </c>
      <c r="E44" s="643">
        <v>10</v>
      </c>
      <c r="F44" s="643">
        <f>SUM(D44*E44)</f>
        <v>2185</v>
      </c>
    </row>
    <row r="45" spans="1:6" ht="145.19999999999999">
      <c r="A45" s="645" t="s">
        <v>2489</v>
      </c>
      <c r="B45" s="4" t="s">
        <v>2490</v>
      </c>
    </row>
    <row r="46" spans="1:6">
      <c r="A46" s="645"/>
      <c r="B46" s="658"/>
      <c r="C46" s="641" t="s">
        <v>257</v>
      </c>
      <c r="D46" s="642">
        <v>1198.3</v>
      </c>
      <c r="E46" s="643">
        <v>5</v>
      </c>
      <c r="F46" s="643">
        <f>SUM(D46*E46)</f>
        <v>5991.5</v>
      </c>
    </row>
    <row r="47" spans="1:6">
      <c r="A47" s="645"/>
      <c r="B47" s="658"/>
    </row>
    <row r="48" spans="1:6">
      <c r="A48" s="668"/>
      <c r="B48" s="669" t="s">
        <v>262</v>
      </c>
      <c r="C48" s="670"/>
      <c r="D48" s="671"/>
      <c r="E48" s="670"/>
      <c r="F48" s="670">
        <f>SUM(F32:F46)</f>
        <v>81436.5</v>
      </c>
    </row>
    <row r="50" spans="1:6">
      <c r="A50" s="645" t="s">
        <v>2491</v>
      </c>
      <c r="B50" s="4" t="s">
        <v>2492</v>
      </c>
    </row>
    <row r="51" spans="1:6" ht="106.5" customHeight="1">
      <c r="A51" s="645" t="s">
        <v>2493</v>
      </c>
      <c r="B51" s="4" t="s">
        <v>2494</v>
      </c>
    </row>
    <row r="52" spans="1:6">
      <c r="A52" s="645"/>
      <c r="B52" s="658"/>
      <c r="C52" s="641" t="s">
        <v>316</v>
      </c>
      <c r="D52" s="642">
        <v>218.5</v>
      </c>
      <c r="E52" s="643">
        <v>20</v>
      </c>
      <c r="F52" s="643">
        <f>SUM(D52*E52)</f>
        <v>4370</v>
      </c>
    </row>
    <row r="53" spans="1:6" ht="109.5" customHeight="1">
      <c r="A53" s="645" t="s">
        <v>2495</v>
      </c>
      <c r="B53" s="4" t="s">
        <v>2496</v>
      </c>
    </row>
    <row r="54" spans="1:6">
      <c r="A54" s="645"/>
      <c r="B54" s="658"/>
      <c r="C54" s="641" t="s">
        <v>316</v>
      </c>
      <c r="D54" s="642">
        <v>150</v>
      </c>
      <c r="E54" s="643">
        <v>22</v>
      </c>
      <c r="F54" s="643">
        <f>SUM(D54*E54)</f>
        <v>3300</v>
      </c>
    </row>
    <row r="55" spans="1:6" ht="53.25" customHeight="1">
      <c r="A55" s="645" t="s">
        <v>2497</v>
      </c>
      <c r="B55" s="86" t="s">
        <v>2498</v>
      </c>
    </row>
    <row r="56" spans="1:6">
      <c r="A56" s="645"/>
      <c r="B56" s="4" t="s">
        <v>2499</v>
      </c>
    </row>
    <row r="57" spans="1:6" ht="26.4">
      <c r="A57" s="645"/>
      <c r="B57" s="4" t="s">
        <v>2500</v>
      </c>
    </row>
    <row r="58" spans="1:6">
      <c r="A58" s="645"/>
      <c r="B58" s="4" t="s">
        <v>2501</v>
      </c>
    </row>
    <row r="59" spans="1:6" ht="27.6">
      <c r="A59" s="645"/>
      <c r="B59" s="5" t="s">
        <v>2502</v>
      </c>
    </row>
    <row r="60" spans="1:6" ht="26.4">
      <c r="A60" s="645"/>
      <c r="B60" s="4" t="s">
        <v>2503</v>
      </c>
    </row>
    <row r="61" spans="1:6" ht="16.5" customHeight="1">
      <c r="A61" s="645"/>
      <c r="B61" s="4" t="s">
        <v>2504</v>
      </c>
    </row>
    <row r="62" spans="1:6" ht="57" customHeight="1">
      <c r="A62" s="645"/>
      <c r="B62" s="4" t="s">
        <v>2505</v>
      </c>
    </row>
    <row r="63" spans="1:6" ht="45" customHeight="1">
      <c r="A63" s="645"/>
      <c r="B63" s="4" t="s">
        <v>2506</v>
      </c>
    </row>
    <row r="64" spans="1:6">
      <c r="A64" s="645"/>
      <c r="B64" s="4" t="s">
        <v>2507</v>
      </c>
    </row>
    <row r="65" spans="1:6" ht="30.75" customHeight="1">
      <c r="A65" s="645"/>
      <c r="B65" s="4" t="s">
        <v>2508</v>
      </c>
    </row>
    <row r="66" spans="1:6">
      <c r="A66" s="645"/>
      <c r="B66" s="658"/>
      <c r="C66" s="641" t="s">
        <v>345</v>
      </c>
      <c r="D66" s="642">
        <v>11</v>
      </c>
      <c r="E66" s="643">
        <v>500</v>
      </c>
      <c r="F66" s="643">
        <f>SUM(D66*E66)</f>
        <v>5500</v>
      </c>
    </row>
    <row r="67" spans="1:6" ht="119.25" customHeight="1">
      <c r="A67" s="645" t="s">
        <v>2509</v>
      </c>
      <c r="B67" s="4" t="s">
        <v>2510</v>
      </c>
    </row>
    <row r="68" spans="1:6">
      <c r="A68" s="645"/>
      <c r="B68" s="658"/>
      <c r="C68" s="641" t="s">
        <v>257</v>
      </c>
      <c r="D68" s="642">
        <v>164</v>
      </c>
      <c r="E68" s="643">
        <v>60</v>
      </c>
      <c r="F68" s="643">
        <f>SUM(D68*E68)</f>
        <v>9840</v>
      </c>
    </row>
    <row r="69" spans="1:6" ht="118.8">
      <c r="A69" s="672" t="s">
        <v>2511</v>
      </c>
      <c r="B69" s="21" t="s">
        <v>2512</v>
      </c>
      <c r="C69" s="673"/>
      <c r="D69" s="674"/>
      <c r="F69" s="675"/>
    </row>
    <row r="70" spans="1:6">
      <c r="A70" s="672"/>
      <c r="B70" s="676"/>
      <c r="C70" s="673" t="s">
        <v>257</v>
      </c>
      <c r="D70" s="674">
        <v>120</v>
      </c>
      <c r="E70" s="643">
        <v>45</v>
      </c>
      <c r="F70" s="675">
        <f>SUM(D70*E70)</f>
        <v>5400</v>
      </c>
    </row>
    <row r="71" spans="1:6">
      <c r="A71" s="661"/>
      <c r="B71" s="662"/>
      <c r="C71" s="663"/>
      <c r="D71" s="664"/>
      <c r="E71" s="663"/>
      <c r="F71" s="663"/>
    </row>
    <row r="72" spans="1:6">
      <c r="A72" s="668"/>
      <c r="B72" s="669" t="s">
        <v>565</v>
      </c>
      <c r="C72" s="670"/>
      <c r="D72" s="671"/>
      <c r="E72" s="670"/>
      <c r="F72" s="670">
        <f>SUM(F51:F71)</f>
        <v>28410</v>
      </c>
    </row>
    <row r="73" spans="1:6">
      <c r="A73" s="645"/>
    </row>
    <row r="74" spans="1:6">
      <c r="A74" s="645" t="s">
        <v>2513</v>
      </c>
      <c r="B74" s="4" t="s">
        <v>2514</v>
      </c>
    </row>
    <row r="75" spans="1:6" ht="60" customHeight="1">
      <c r="A75" s="645" t="s">
        <v>2515</v>
      </c>
      <c r="B75" s="4" t="s">
        <v>2516</v>
      </c>
    </row>
    <row r="76" spans="1:6" ht="15.6">
      <c r="A76" s="645"/>
      <c r="B76" s="658"/>
      <c r="C76" s="641" t="s">
        <v>2484</v>
      </c>
      <c r="D76" s="642">
        <v>992</v>
      </c>
      <c r="E76" s="643">
        <v>20</v>
      </c>
      <c r="F76" s="643">
        <f>SUM(D76*E76)</f>
        <v>19840</v>
      </c>
    </row>
    <row r="77" spans="1:6" ht="59.25" customHeight="1">
      <c r="A77" s="645" t="s">
        <v>2517</v>
      </c>
      <c r="B77" s="4" t="s">
        <v>2518</v>
      </c>
    </row>
    <row r="78" spans="1:6" ht="15.6">
      <c r="A78" s="645"/>
      <c r="B78" s="658"/>
      <c r="C78" s="641" t="s">
        <v>2484</v>
      </c>
      <c r="D78" s="642">
        <v>992</v>
      </c>
      <c r="E78" s="643">
        <v>20</v>
      </c>
      <c r="F78" s="643">
        <f>SUM(D78*E78)</f>
        <v>19840</v>
      </c>
    </row>
    <row r="81" spans="1:6">
      <c r="A81" s="668"/>
      <c r="B81" s="669" t="s">
        <v>2519</v>
      </c>
      <c r="C81" s="670"/>
      <c r="D81" s="671"/>
      <c r="E81" s="670"/>
      <c r="F81" s="670">
        <f>SUM(F74:F78)</f>
        <v>39680</v>
      </c>
    </row>
    <row r="82" spans="1:6">
      <c r="A82" s="645"/>
    </row>
    <row r="83" spans="1:6">
      <c r="A83" s="645" t="s">
        <v>2520</v>
      </c>
      <c r="B83" s="4" t="s">
        <v>2521</v>
      </c>
    </row>
    <row r="84" spans="1:6">
      <c r="A84" s="645" t="s">
        <v>2522</v>
      </c>
      <c r="B84" s="4" t="s">
        <v>2523</v>
      </c>
      <c r="C84" s="658"/>
      <c r="D84" s="677"/>
      <c r="E84" s="658"/>
      <c r="F84" s="658"/>
    </row>
    <row r="85" spans="1:6" ht="59.25" customHeight="1">
      <c r="A85" s="645"/>
      <c r="B85" s="4" t="s">
        <v>2524</v>
      </c>
      <c r="C85" s="658"/>
      <c r="D85" s="677"/>
      <c r="E85" s="658"/>
      <c r="F85" s="658"/>
    </row>
    <row r="86" spans="1:6" ht="18.75" customHeight="1">
      <c r="A86" s="645"/>
      <c r="B86" s="4" t="s">
        <v>2525</v>
      </c>
      <c r="C86" s="658"/>
      <c r="D86" s="677"/>
      <c r="E86" s="658"/>
      <c r="F86" s="658"/>
    </row>
    <row r="87" spans="1:6" ht="30" customHeight="1">
      <c r="A87" s="645"/>
      <c r="B87" s="4" t="s">
        <v>2526</v>
      </c>
      <c r="C87" s="658"/>
      <c r="D87" s="677"/>
      <c r="E87" s="658"/>
      <c r="F87" s="658"/>
    </row>
    <row r="88" spans="1:6" ht="31.5" customHeight="1">
      <c r="A88" s="645"/>
      <c r="B88" s="4" t="s">
        <v>2527</v>
      </c>
      <c r="C88" s="658"/>
      <c r="D88" s="677"/>
      <c r="E88" s="658"/>
      <c r="F88" s="658"/>
    </row>
    <row r="89" spans="1:6" ht="108" customHeight="1">
      <c r="A89" s="645"/>
      <c r="B89" s="4" t="s">
        <v>2528</v>
      </c>
      <c r="C89" s="658"/>
      <c r="D89" s="677"/>
      <c r="E89" s="658"/>
      <c r="F89" s="658"/>
    </row>
    <row r="90" spans="1:6">
      <c r="A90" s="645"/>
      <c r="B90" s="4" t="s">
        <v>2529</v>
      </c>
      <c r="C90" s="641" t="s">
        <v>2454</v>
      </c>
      <c r="D90" s="642">
        <v>1</v>
      </c>
      <c r="E90" s="643">
        <v>150</v>
      </c>
      <c r="F90" s="643">
        <f>SUM(D90*E90)</f>
        <v>150</v>
      </c>
    </row>
    <row r="91" spans="1:6">
      <c r="A91" s="645"/>
      <c r="B91" s="4" t="s">
        <v>2530</v>
      </c>
      <c r="C91" s="641" t="s">
        <v>2454</v>
      </c>
      <c r="D91" s="642">
        <v>1</v>
      </c>
      <c r="E91" s="643">
        <v>150</v>
      </c>
      <c r="F91" s="643">
        <f>SUM(D91*E91)</f>
        <v>150</v>
      </c>
    </row>
    <row r="92" spans="1:6" ht="21" customHeight="1">
      <c r="A92" s="645"/>
      <c r="B92" s="4" t="s">
        <v>2531</v>
      </c>
      <c r="C92" s="641" t="s">
        <v>2454</v>
      </c>
      <c r="D92" s="642">
        <v>1</v>
      </c>
      <c r="E92" s="643">
        <v>250</v>
      </c>
      <c r="F92" s="643">
        <f>SUM(D92*E92)</f>
        <v>250</v>
      </c>
    </row>
    <row r="93" spans="1:6" ht="92.4">
      <c r="A93" s="645" t="s">
        <v>2532</v>
      </c>
      <c r="B93" s="4" t="s">
        <v>2533</v>
      </c>
    </row>
    <row r="94" spans="1:6" ht="18" customHeight="1">
      <c r="A94" s="645"/>
      <c r="B94" s="4" t="s">
        <v>2534</v>
      </c>
      <c r="C94" s="641" t="s">
        <v>316</v>
      </c>
      <c r="D94" s="642">
        <v>31</v>
      </c>
      <c r="E94" s="643">
        <v>10</v>
      </c>
      <c r="F94" s="643">
        <f>SUM(D94*E94)</f>
        <v>310</v>
      </c>
    </row>
    <row r="95" spans="1:6" ht="19.5" customHeight="1">
      <c r="A95" s="645"/>
      <c r="B95" s="4" t="s">
        <v>2535</v>
      </c>
      <c r="C95" s="641" t="s">
        <v>316</v>
      </c>
      <c r="D95" s="642">
        <v>50</v>
      </c>
      <c r="E95" s="643">
        <v>10</v>
      </c>
      <c r="F95" s="643">
        <f>SUM(D95*E95)</f>
        <v>500</v>
      </c>
    </row>
    <row r="96" spans="1:6" ht="16.5" customHeight="1">
      <c r="A96" s="645"/>
      <c r="B96" s="4" t="s">
        <v>2536</v>
      </c>
      <c r="C96" s="641" t="s">
        <v>2454</v>
      </c>
      <c r="D96" s="642">
        <v>13</v>
      </c>
      <c r="E96" s="643">
        <v>50</v>
      </c>
      <c r="F96" s="643">
        <f>SUM(D96*E96)</f>
        <v>650</v>
      </c>
    </row>
    <row r="97" spans="1:6" ht="18" customHeight="1">
      <c r="A97" s="645"/>
      <c r="B97" s="4" t="s">
        <v>2537</v>
      </c>
      <c r="C97" s="641" t="s">
        <v>2454</v>
      </c>
      <c r="D97" s="642">
        <v>1</v>
      </c>
      <c r="E97" s="643">
        <v>100</v>
      </c>
      <c r="F97" s="643">
        <f>SUM(D97*E97)</f>
        <v>100</v>
      </c>
    </row>
    <row r="98" spans="1:6">
      <c r="A98" s="645"/>
      <c r="B98" s="658"/>
    </row>
    <row r="99" spans="1:6">
      <c r="A99" s="678"/>
      <c r="B99" s="679" t="s">
        <v>2538</v>
      </c>
      <c r="C99" s="670"/>
      <c r="D99" s="671"/>
      <c r="E99" s="670"/>
      <c r="F99" s="670">
        <f>SUM(F84:F98)</f>
        <v>2110</v>
      </c>
    </row>
    <row r="100" spans="1:6">
      <c r="A100" s="657"/>
      <c r="B100" s="680"/>
      <c r="C100" s="666"/>
      <c r="D100" s="667"/>
      <c r="E100" s="666"/>
      <c r="F100" s="666"/>
    </row>
    <row r="101" spans="1:6">
      <c r="A101" s="645"/>
      <c r="B101" s="20"/>
      <c r="C101" s="666"/>
      <c r="D101" s="667"/>
      <c r="E101" s="666"/>
      <c r="F101" s="666"/>
    </row>
    <row r="102" spans="1:6">
      <c r="A102" s="645" t="s">
        <v>2539</v>
      </c>
      <c r="B102" s="681" t="s">
        <v>2540</v>
      </c>
    </row>
    <row r="103" spans="1:6" ht="129.75" customHeight="1">
      <c r="A103" s="645" t="s">
        <v>2541</v>
      </c>
      <c r="B103" s="4" t="s">
        <v>2542</v>
      </c>
    </row>
    <row r="104" spans="1:6">
      <c r="A104" s="645"/>
      <c r="B104" s="658"/>
      <c r="C104" s="641" t="s">
        <v>316</v>
      </c>
      <c r="D104" s="642">
        <v>96.4</v>
      </c>
      <c r="E104" s="643">
        <v>3</v>
      </c>
      <c r="F104" s="643">
        <f>SUM(D104*E104)</f>
        <v>289.20000000000005</v>
      </c>
    </row>
    <row r="105" spans="1:6" ht="204" customHeight="1">
      <c r="A105" s="645" t="s">
        <v>2543</v>
      </c>
      <c r="B105" s="4" t="s">
        <v>2544</v>
      </c>
    </row>
    <row r="106" spans="1:6" ht="16.8">
      <c r="A106" s="645"/>
      <c r="B106" s="658" t="s">
        <v>2545</v>
      </c>
      <c r="C106" s="682" t="s">
        <v>2546</v>
      </c>
      <c r="D106" s="642">
        <v>9</v>
      </c>
      <c r="E106" s="643">
        <v>100</v>
      </c>
      <c r="F106" s="643">
        <f>SUM(D106*E106)</f>
        <v>900</v>
      </c>
    </row>
    <row r="107" spans="1:6" ht="16.8">
      <c r="B107" s="658" t="s">
        <v>2547</v>
      </c>
      <c r="C107" s="682" t="s">
        <v>2546</v>
      </c>
      <c r="D107" s="642">
        <v>81</v>
      </c>
      <c r="E107" s="643">
        <v>20</v>
      </c>
      <c r="F107" s="643">
        <f>SUM(D107*E107)</f>
        <v>1620</v>
      </c>
    </row>
    <row r="108" spans="1:6" ht="78.75" customHeight="1">
      <c r="A108" s="645" t="s">
        <v>2548</v>
      </c>
      <c r="B108" s="4" t="s">
        <v>2549</v>
      </c>
    </row>
    <row r="109" spans="1:6" ht="16.8">
      <c r="A109" s="645"/>
      <c r="B109" s="658"/>
      <c r="C109" s="660" t="s">
        <v>2550</v>
      </c>
      <c r="D109" s="642">
        <v>120</v>
      </c>
      <c r="E109" s="643">
        <v>2</v>
      </c>
      <c r="F109" s="643">
        <f>SUM(D109*E109)</f>
        <v>240</v>
      </c>
    </row>
    <row r="110" spans="1:6" ht="99" customHeight="1">
      <c r="A110" s="645" t="s">
        <v>2551</v>
      </c>
      <c r="B110" s="4" t="s">
        <v>2552</v>
      </c>
    </row>
    <row r="111" spans="1:6" ht="16.8">
      <c r="A111" s="645"/>
      <c r="B111" s="658"/>
      <c r="C111" s="660" t="s">
        <v>2546</v>
      </c>
      <c r="D111" s="642">
        <v>11</v>
      </c>
      <c r="E111" s="643">
        <v>60</v>
      </c>
      <c r="F111" s="643">
        <f>SUM(D111*E111)</f>
        <v>660</v>
      </c>
    </row>
    <row r="112" spans="1:6" ht="99" customHeight="1">
      <c r="A112" s="645" t="s">
        <v>2553</v>
      </c>
      <c r="B112" s="4" t="s">
        <v>2554</v>
      </c>
    </row>
    <row r="113" spans="1:6">
      <c r="A113" s="645"/>
      <c r="B113" s="658"/>
      <c r="C113" s="660" t="s">
        <v>242</v>
      </c>
      <c r="D113" s="642">
        <v>42</v>
      </c>
      <c r="E113" s="643">
        <v>50</v>
      </c>
      <c r="F113" s="643">
        <f>SUM(D113*E113)</f>
        <v>2100</v>
      </c>
    </row>
    <row r="114" spans="1:6" ht="94.5" customHeight="1">
      <c r="A114" s="645" t="s">
        <v>2555</v>
      </c>
      <c r="B114" s="4" t="s">
        <v>2556</v>
      </c>
    </row>
    <row r="115" spans="1:6">
      <c r="A115" s="645"/>
      <c r="B115" s="658"/>
      <c r="C115" s="660" t="s">
        <v>242</v>
      </c>
      <c r="D115" s="642">
        <v>77</v>
      </c>
      <c r="E115" s="643">
        <v>30</v>
      </c>
      <c r="F115" s="643">
        <f>SUM(D115*E115)</f>
        <v>2310</v>
      </c>
    </row>
    <row r="116" spans="1:6" ht="161.25" customHeight="1">
      <c r="A116" s="645" t="s">
        <v>2557</v>
      </c>
      <c r="B116" s="4" t="s">
        <v>2558</v>
      </c>
      <c r="C116" s="643"/>
    </row>
    <row r="117" spans="1:6">
      <c r="A117" s="645"/>
      <c r="B117" s="658"/>
      <c r="C117" s="660" t="s">
        <v>2454</v>
      </c>
      <c r="D117" s="642">
        <v>4</v>
      </c>
      <c r="E117" s="643">
        <v>1200</v>
      </c>
      <c r="F117" s="643">
        <f>SUM(D117*E117)</f>
        <v>4800</v>
      </c>
    </row>
    <row r="118" spans="1:6" ht="107.25" customHeight="1">
      <c r="A118" s="645" t="s">
        <v>2559</v>
      </c>
      <c r="B118" s="4" t="s">
        <v>2560</v>
      </c>
    </row>
    <row r="119" spans="1:6">
      <c r="A119" s="645"/>
      <c r="B119" s="658" t="s">
        <v>2561</v>
      </c>
      <c r="C119" s="660" t="s">
        <v>316</v>
      </c>
      <c r="D119" s="642">
        <v>49</v>
      </c>
      <c r="E119" s="643">
        <v>156</v>
      </c>
      <c r="F119" s="643">
        <f>SUM(D119*E119)</f>
        <v>7644</v>
      </c>
    </row>
    <row r="120" spans="1:6" ht="66" customHeight="1">
      <c r="A120" s="645" t="s">
        <v>2562</v>
      </c>
      <c r="B120" s="4" t="s">
        <v>2563</v>
      </c>
    </row>
    <row r="121" spans="1:6" ht="15.6">
      <c r="A121" s="645"/>
      <c r="B121" s="658"/>
      <c r="C121" s="660" t="s">
        <v>2484</v>
      </c>
      <c r="D121" s="642">
        <v>250</v>
      </c>
      <c r="E121" s="643">
        <v>5</v>
      </c>
      <c r="F121" s="643">
        <f>SUM(D121*E121)</f>
        <v>1250</v>
      </c>
    </row>
    <row r="122" spans="1:6" ht="129.75" customHeight="1">
      <c r="A122" s="645" t="s">
        <v>2564</v>
      </c>
      <c r="B122" s="4" t="s">
        <v>2565</v>
      </c>
      <c r="C122" s="660"/>
    </row>
    <row r="123" spans="1:6" ht="52.8">
      <c r="A123" s="645"/>
      <c r="B123" s="4" t="s">
        <v>2566</v>
      </c>
      <c r="C123" s="641" t="s">
        <v>345</v>
      </c>
      <c r="D123" s="642">
        <v>1</v>
      </c>
      <c r="E123" s="643">
        <v>6600</v>
      </c>
      <c r="F123" s="643">
        <f>SUM(D123*E123)</f>
        <v>6600</v>
      </c>
    </row>
    <row r="124" spans="1:6">
      <c r="A124" s="645"/>
      <c r="C124" s="660"/>
    </row>
    <row r="125" spans="1:6" ht="300" customHeight="1">
      <c r="A125" s="645" t="s">
        <v>2628</v>
      </c>
      <c r="B125" s="4" t="s">
        <v>2629</v>
      </c>
      <c r="C125" s="660"/>
    </row>
    <row r="126" spans="1:6">
      <c r="A126" s="645"/>
      <c r="B126" s="658"/>
      <c r="C126" s="660" t="s">
        <v>345</v>
      </c>
      <c r="D126" s="642">
        <v>2</v>
      </c>
      <c r="E126" s="643">
        <v>500</v>
      </c>
      <c r="F126" s="643">
        <f>E126*D126</f>
        <v>1000</v>
      </c>
    </row>
    <row r="128" spans="1:6">
      <c r="A128" s="684"/>
      <c r="B128" s="669" t="s">
        <v>2567</v>
      </c>
      <c r="C128" s="685"/>
      <c r="D128" s="671"/>
      <c r="E128" s="670"/>
      <c r="F128" s="670">
        <f>SUM(F103:F127)</f>
        <v>29413.200000000001</v>
      </c>
    </row>
    <row r="130" spans="1:6">
      <c r="A130" s="686"/>
      <c r="B130" s="687" t="s">
        <v>2441</v>
      </c>
      <c r="C130" s="688"/>
      <c r="D130" s="689"/>
      <c r="E130" s="690"/>
      <c r="F130" s="691"/>
    </row>
    <row r="131" spans="1:6">
      <c r="A131" s="692"/>
      <c r="B131" s="693"/>
      <c r="C131" s="691"/>
      <c r="D131" s="689"/>
      <c r="E131" s="690"/>
      <c r="F131" s="690"/>
    </row>
    <row r="132" spans="1:6">
      <c r="A132" s="694" t="s">
        <v>2568</v>
      </c>
      <c r="B132" s="695" t="s">
        <v>1699</v>
      </c>
      <c r="C132" s="696"/>
      <c r="D132" s="697"/>
      <c r="E132" s="696"/>
      <c r="F132" s="698">
        <f>F29</f>
        <v>7056.65</v>
      </c>
    </row>
    <row r="133" spans="1:6">
      <c r="A133" s="699"/>
      <c r="B133" s="700"/>
      <c r="C133" s="701"/>
      <c r="D133" s="702"/>
      <c r="E133" s="703"/>
      <c r="F133" s="704"/>
    </row>
    <row r="134" spans="1:6">
      <c r="A134" s="694" t="s">
        <v>2474</v>
      </c>
      <c r="B134" s="695" t="s">
        <v>96</v>
      </c>
      <c r="C134" s="696"/>
      <c r="D134" s="697"/>
      <c r="E134" s="696"/>
      <c r="F134" s="698">
        <f>F48</f>
        <v>81436.5</v>
      </c>
    </row>
    <row r="135" spans="1:6">
      <c r="A135" s="699"/>
      <c r="B135" s="700"/>
      <c r="C135" s="701"/>
      <c r="D135" s="702"/>
      <c r="E135" s="703"/>
      <c r="F135" s="704"/>
    </row>
    <row r="136" spans="1:6">
      <c r="A136" s="694" t="s">
        <v>2491</v>
      </c>
      <c r="B136" s="695" t="s">
        <v>2492</v>
      </c>
      <c r="C136" s="696"/>
      <c r="D136" s="697"/>
      <c r="E136" s="696"/>
      <c r="F136" s="698">
        <f>F72</f>
        <v>28410</v>
      </c>
    </row>
    <row r="137" spans="1:6">
      <c r="A137" s="699"/>
      <c r="B137" s="700"/>
      <c r="C137" s="701"/>
      <c r="D137" s="702"/>
      <c r="E137" s="703"/>
      <c r="F137" s="704"/>
    </row>
    <row r="138" spans="1:6">
      <c r="A138" s="694" t="s">
        <v>2513</v>
      </c>
      <c r="B138" s="695" t="s">
        <v>2514</v>
      </c>
      <c r="C138" s="696"/>
      <c r="D138" s="697"/>
      <c r="E138" s="696"/>
      <c r="F138" s="698">
        <f>F81</f>
        <v>39680</v>
      </c>
    </row>
    <row r="139" spans="1:6">
      <c r="A139" s="699"/>
      <c r="B139" s="700"/>
      <c r="C139" s="701"/>
      <c r="D139" s="702"/>
      <c r="E139" s="703"/>
      <c r="F139" s="704"/>
    </row>
    <row r="140" spans="1:6">
      <c r="A140" s="694" t="s">
        <v>2520</v>
      </c>
      <c r="B140" s="695" t="s">
        <v>2521</v>
      </c>
      <c r="C140" s="696"/>
      <c r="D140" s="697"/>
      <c r="E140" s="696"/>
      <c r="F140" s="698">
        <f>F99</f>
        <v>2110</v>
      </c>
    </row>
    <row r="141" spans="1:6">
      <c r="A141" s="699"/>
      <c r="B141" s="700"/>
      <c r="C141" s="703"/>
      <c r="D141" s="702"/>
      <c r="E141" s="703"/>
      <c r="F141" s="704"/>
    </row>
    <row r="142" spans="1:6">
      <c r="A142" s="694" t="s">
        <v>2539</v>
      </c>
      <c r="B142" s="695" t="s">
        <v>2540</v>
      </c>
      <c r="C142" s="696"/>
      <c r="D142" s="697"/>
      <c r="E142" s="696"/>
      <c r="F142" s="698">
        <f>F128</f>
        <v>29413.200000000001</v>
      </c>
    </row>
    <row r="145" spans="2:6">
      <c r="B145" s="705" t="s">
        <v>2569</v>
      </c>
      <c r="C145" s="706"/>
      <c r="D145" s="707"/>
      <c r="E145" s="708"/>
      <c r="F145" s="709">
        <f>SUM(F130:F142)</f>
        <v>188106.35</v>
      </c>
    </row>
    <row r="146" spans="2:6">
      <c r="B146" s="687"/>
      <c r="C146" s="710"/>
      <c r="D146" s="711"/>
      <c r="E146" s="710"/>
      <c r="F146" s="712"/>
    </row>
    <row r="147" spans="2:6">
      <c r="B147" s="705" t="s">
        <v>1676</v>
      </c>
      <c r="C147" s="706"/>
      <c r="D147" s="707"/>
      <c r="E147" s="708"/>
      <c r="F147" s="709">
        <f>0.25*F145</f>
        <v>47026.587500000001</v>
      </c>
    </row>
    <row r="148" spans="2:6">
      <c r="B148" s="687"/>
      <c r="C148" s="713"/>
      <c r="D148" s="711"/>
      <c r="E148" s="713"/>
      <c r="F148" s="712"/>
    </row>
    <row r="149" spans="2:6">
      <c r="B149" s="705" t="s">
        <v>2570</v>
      </c>
      <c r="C149" s="713"/>
      <c r="D149" s="707"/>
      <c r="E149" s="706"/>
      <c r="F149" s="714">
        <f>F145*1.25</f>
        <v>235132.9375</v>
      </c>
    </row>
  </sheetData>
  <mergeCells count="2">
    <mergeCell ref="C1:F1"/>
    <mergeCell ref="C5:F5"/>
  </mergeCells>
  <pageMargins left="0.78749999999999998" right="0.78749999999999998" top="1.05277777777778" bottom="1.05277777777778" header="0.78749999999999998" footer="0.78749999999999998"/>
  <pageSetup paperSize="9" scale="86" orientation="portrait" horizontalDpi="300" verticalDpi="300"/>
  <headerFooter>
    <oddHeader>&amp;C&amp;"Times New Roman,Normalni"&amp;12&amp;A</oddHeader>
    <oddFooter>&amp;C&amp;"Times New Roman,Normalni"&amp;12Stranica &amp;P</oddFooter>
  </headerFooter>
  <rowBreaks count="1" manualBreakCount="1">
    <brk id="129"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G115"/>
  <sheetViews>
    <sheetView tabSelected="1" topLeftCell="A90" zoomScaleNormal="100" workbookViewId="0">
      <selection activeCell="O98" sqref="O98"/>
    </sheetView>
  </sheetViews>
  <sheetFormatPr defaultColWidth="11.88671875" defaultRowHeight="13.2"/>
  <cols>
    <col min="1" max="1" width="5.5546875" style="715" customWidth="1"/>
    <col min="2" max="2" width="47" style="6" customWidth="1"/>
    <col min="3" max="3" width="4.33203125" customWidth="1"/>
    <col min="4" max="4" width="2.44140625" customWidth="1"/>
    <col min="5" max="5" width="11.5546875" style="683" customWidth="1"/>
    <col min="6" max="6" width="3.88671875" customWidth="1"/>
    <col min="7" max="7" width="13.109375" style="782" bestFit="1" customWidth="1"/>
    <col min="22" max="22" width="4.33203125" customWidth="1"/>
    <col min="23" max="23" width="34.109375" customWidth="1"/>
  </cols>
  <sheetData>
    <row r="4" spans="1:6" ht="15.6">
      <c r="A4" s="758" t="s">
        <v>2441</v>
      </c>
      <c r="B4" s="758"/>
      <c r="C4" s="758"/>
      <c r="D4" s="758"/>
      <c r="E4" s="758"/>
      <c r="F4" s="758"/>
    </row>
    <row r="6" spans="1:6">
      <c r="A6" s="781" t="s">
        <v>217</v>
      </c>
      <c r="B6" s="781"/>
      <c r="C6" s="781"/>
      <c r="D6" s="781"/>
      <c r="E6" s="781"/>
      <c r="F6" s="781"/>
    </row>
    <row r="8" spans="1:6">
      <c r="A8" s="715" t="s">
        <v>2571</v>
      </c>
      <c r="B8" s="6" t="s">
        <v>1699</v>
      </c>
      <c r="E8" s="683">
        <f>'GRAĐEVINSKI RADOVI'!F19</f>
        <v>17500</v>
      </c>
    </row>
    <row r="9" spans="1:6">
      <c r="A9" s="715" t="s">
        <v>2572</v>
      </c>
      <c r="B9" s="6" t="s">
        <v>96</v>
      </c>
      <c r="E9" s="683">
        <f>'GRAĐEVINSKI RADOVI'!F43</f>
        <v>77565</v>
      </c>
    </row>
    <row r="10" spans="1:6">
      <c r="A10" s="715" t="s">
        <v>2573</v>
      </c>
      <c r="B10" s="6" t="s">
        <v>2574</v>
      </c>
      <c r="E10" s="683">
        <f>'GRAĐEVINSKI RADOVI'!F134</f>
        <v>805279.70000000007</v>
      </c>
    </row>
    <row r="11" spans="1:6">
      <c r="A11" s="715" t="s">
        <v>2575</v>
      </c>
      <c r="B11" s="6" t="s">
        <v>155</v>
      </c>
      <c r="E11" s="683">
        <f>'GRAĐEVINSKI RADOVI'!F171</f>
        <v>231981.05</v>
      </c>
    </row>
    <row r="13" spans="1:6">
      <c r="B13" s="68" t="s">
        <v>351</v>
      </c>
      <c r="E13" s="72">
        <f>E11+E10+E9+E8</f>
        <v>1132325.75</v>
      </c>
    </row>
    <row r="15" spans="1:6">
      <c r="A15" s="781" t="s">
        <v>354</v>
      </c>
      <c r="B15" s="781"/>
      <c r="C15" s="781"/>
      <c r="D15" s="781"/>
      <c r="E15" s="781"/>
      <c r="F15" s="781"/>
    </row>
    <row r="17" spans="1:6">
      <c r="A17" s="715" t="s">
        <v>2576</v>
      </c>
      <c r="B17" s="6" t="s">
        <v>145</v>
      </c>
      <c r="E17" s="683">
        <f>'OBRTNIČKI RADOVI'!F47</f>
        <v>232373.25</v>
      </c>
    </row>
    <row r="18" spans="1:6">
      <c r="A18" s="715" t="s">
        <v>2577</v>
      </c>
      <c r="B18" s="6" t="s">
        <v>185</v>
      </c>
      <c r="E18" s="683">
        <f>'OBRTNIČKI RADOVI'!F61</f>
        <v>110133.2</v>
      </c>
    </row>
    <row r="19" spans="1:6">
      <c r="A19" s="715" t="s">
        <v>2578</v>
      </c>
      <c r="B19" s="6" t="s">
        <v>2579</v>
      </c>
      <c r="E19" s="683">
        <f>'OBRTNIČKI RADOVI'!F75</f>
        <v>95311.5</v>
      </c>
    </row>
    <row r="20" spans="1:6">
      <c r="A20" s="715" t="s">
        <v>2580</v>
      </c>
      <c r="B20" s="6" t="s">
        <v>2581</v>
      </c>
      <c r="E20" s="683">
        <f>'OBRTNIČKI RADOVI'!F85</f>
        <v>47931.85</v>
      </c>
    </row>
    <row r="21" spans="1:6">
      <c r="A21" s="715" t="s">
        <v>2582</v>
      </c>
      <c r="B21" s="6" t="s">
        <v>2583</v>
      </c>
      <c r="E21" s="683">
        <f>'OBRTNIČKI RADOVI'!F97</f>
        <v>90683</v>
      </c>
    </row>
    <row r="22" spans="1:6">
      <c r="A22" s="715" t="s">
        <v>2584</v>
      </c>
      <c r="B22" s="6" t="s">
        <v>175</v>
      </c>
      <c r="E22" s="683">
        <f>'OBRTNIČKI RADOVI'!F109</f>
        <v>16473</v>
      </c>
    </row>
    <row r="23" spans="1:6">
      <c r="A23" s="715" t="s">
        <v>2585</v>
      </c>
      <c r="B23" s="6" t="s">
        <v>166</v>
      </c>
      <c r="E23" s="683">
        <f>'OBRTNIČKI RADOVI'!F173</f>
        <v>403669.39999999997</v>
      </c>
    </row>
    <row r="24" spans="1:6">
      <c r="A24" s="715" t="s">
        <v>2586</v>
      </c>
      <c r="B24" s="6" t="s">
        <v>2587</v>
      </c>
      <c r="E24" s="683">
        <f>'OBRTNIČKI RADOVI'!F201</f>
        <v>52905</v>
      </c>
    </row>
    <row r="25" spans="1:6">
      <c r="A25" s="715" t="s">
        <v>2588</v>
      </c>
      <c r="B25" s="6" t="s">
        <v>2589</v>
      </c>
      <c r="E25" s="683">
        <f>'OBRTNIČKI RADOVI'!F211</f>
        <v>60264</v>
      </c>
    </row>
    <row r="27" spans="1:6">
      <c r="B27" s="68" t="s">
        <v>539</v>
      </c>
      <c r="E27" s="72">
        <f>SUM(E17:E26)</f>
        <v>1109744.2</v>
      </c>
    </row>
    <row r="29" spans="1:6">
      <c r="A29" s="781" t="s">
        <v>540</v>
      </c>
      <c r="B29" s="781"/>
      <c r="C29" s="781"/>
      <c r="D29" s="781"/>
      <c r="E29" s="781"/>
      <c r="F29" s="781"/>
    </row>
    <row r="31" spans="1:6">
      <c r="A31" s="715" t="s">
        <v>2590</v>
      </c>
      <c r="B31" s="6" t="s">
        <v>2591</v>
      </c>
      <c r="E31" s="683">
        <f>DIZALO!F10</f>
        <v>32000</v>
      </c>
    </row>
    <row r="33" spans="1:6">
      <c r="B33" s="68" t="s">
        <v>544</v>
      </c>
      <c r="E33" s="72">
        <f>E31</f>
        <v>32000</v>
      </c>
    </row>
    <row r="35" spans="1:6">
      <c r="A35" s="781" t="s">
        <v>545</v>
      </c>
      <c r="B35" s="781"/>
      <c r="C35" s="781"/>
      <c r="D35" s="781"/>
      <c r="E35" s="781"/>
      <c r="F35" s="781"/>
    </row>
    <row r="37" spans="1:6">
      <c r="A37" s="715" t="s">
        <v>2592</v>
      </c>
      <c r="B37" s="6" t="s">
        <v>96</v>
      </c>
      <c r="E37" s="683">
        <f>'HI - VODOVOD'!F19</f>
        <v>1828</v>
      </c>
    </row>
    <row r="38" spans="1:6">
      <c r="A38" s="715" t="s">
        <v>2593</v>
      </c>
      <c r="B38" s="6" t="s">
        <v>2492</v>
      </c>
      <c r="E38" s="683">
        <f>'HI - VODOVOD'!F27</f>
        <v>2900</v>
      </c>
    </row>
    <row r="39" spans="1:6">
      <c r="A39" s="715" t="s">
        <v>2594</v>
      </c>
      <c r="B39" s="6" t="s">
        <v>2595</v>
      </c>
      <c r="E39" s="683">
        <f>'HI - VODOVOD'!F64</f>
        <v>40287</v>
      </c>
    </row>
    <row r="41" spans="1:6">
      <c r="B41" s="68" t="s">
        <v>598</v>
      </c>
      <c r="E41" s="72">
        <f>SUM(E37:E40)</f>
        <v>45015</v>
      </c>
    </row>
    <row r="43" spans="1:6">
      <c r="A43" s="781" t="s">
        <v>599</v>
      </c>
      <c r="B43" s="781"/>
      <c r="C43" s="781"/>
      <c r="D43" s="781"/>
      <c r="E43" s="781"/>
      <c r="F43" s="781"/>
    </row>
    <row r="45" spans="1:6">
      <c r="A45" s="715" t="s">
        <v>2596</v>
      </c>
      <c r="B45" s="6" t="s">
        <v>96</v>
      </c>
      <c r="E45" s="683">
        <f>'HI - KANALIZACIJA'!F21</f>
        <v>4397</v>
      </c>
    </row>
    <row r="46" spans="1:6">
      <c r="A46" s="715" t="s">
        <v>2597</v>
      </c>
      <c r="B46" s="6" t="s">
        <v>2492</v>
      </c>
      <c r="E46" s="683">
        <f>'HI - KANALIZACIJA'!F31</f>
        <v>10580</v>
      </c>
    </row>
    <row r="47" spans="1:6" ht="26.4">
      <c r="A47" s="715" t="s">
        <v>2598</v>
      </c>
      <c r="B47" s="6" t="s">
        <v>2599</v>
      </c>
      <c r="E47" s="683">
        <f>'HI - KANALIZACIJA'!F72</f>
        <v>9919.7000000000007</v>
      </c>
    </row>
    <row r="48" spans="1:6">
      <c r="A48" s="715" t="s">
        <v>2600</v>
      </c>
      <c r="B48" s="6" t="s">
        <v>2601</v>
      </c>
      <c r="E48" s="683">
        <f>'HI - KANALIZACIJA'!F90</f>
        <v>35440</v>
      </c>
    </row>
    <row r="50" spans="1:6">
      <c r="B50" s="68" t="s">
        <v>671</v>
      </c>
      <c r="E50" s="72">
        <f>SUM(E45:E49)</f>
        <v>60336.7</v>
      </c>
    </row>
    <row r="52" spans="1:6">
      <c r="A52" s="781" t="s">
        <v>672</v>
      </c>
      <c r="B52" s="781"/>
      <c r="C52" s="781"/>
      <c r="D52" s="781"/>
      <c r="E52" s="781"/>
      <c r="F52" s="781"/>
    </row>
    <row r="54" spans="1:6">
      <c r="A54" s="715" t="s">
        <v>2602</v>
      </c>
      <c r="B54" s="6" t="s">
        <v>96</v>
      </c>
      <c r="E54" s="683">
        <f>'HI - HIDRANTSKA MREŽA'!F15</f>
        <v>600</v>
      </c>
    </row>
    <row r="55" spans="1:6">
      <c r="A55" s="715" t="s">
        <v>2603</v>
      </c>
      <c r="B55" s="6" t="s">
        <v>2604</v>
      </c>
      <c r="E55" s="683">
        <f>'HI - HIDRANTSKA MREŽA'!F42</f>
        <v>5944.4</v>
      </c>
    </row>
    <row r="57" spans="1:6">
      <c r="B57" s="68" t="s">
        <v>2605</v>
      </c>
      <c r="E57" s="72">
        <f>E55+E54</f>
        <v>6544.4</v>
      </c>
    </row>
    <row r="59" spans="1:6">
      <c r="A59" s="781" t="s">
        <v>2606</v>
      </c>
      <c r="B59" s="781"/>
      <c r="C59" s="781"/>
      <c r="D59" s="781"/>
      <c r="E59" s="781"/>
      <c r="F59" s="781"/>
    </row>
    <row r="61" spans="1:6">
      <c r="A61" s="715" t="s">
        <v>2607</v>
      </c>
      <c r="B61" s="6" t="s">
        <v>2608</v>
      </c>
      <c r="E61" s="683">
        <f>STROJARSTVO!G1187</f>
        <v>3408</v>
      </c>
    </row>
    <row r="62" spans="1:6">
      <c r="A62" s="715" t="s">
        <v>2609</v>
      </c>
      <c r="B62" s="6" t="s">
        <v>2610</v>
      </c>
      <c r="E62" s="683">
        <f>STROJARSTVO!G1188</f>
        <v>5434</v>
      </c>
    </row>
    <row r="63" spans="1:6" ht="26.4">
      <c r="A63" s="715" t="s">
        <v>2611</v>
      </c>
      <c r="B63" s="6" t="s">
        <v>2612</v>
      </c>
      <c r="E63" s="683">
        <f>STROJARSTVO!G1190</f>
        <v>30447</v>
      </c>
    </row>
    <row r="64" spans="1:6">
      <c r="A64" s="715" t="s">
        <v>2613</v>
      </c>
      <c r="B64" s="6" t="s">
        <v>1662</v>
      </c>
      <c r="E64" s="683">
        <f>STROJARSTVO!G1192</f>
        <v>39185</v>
      </c>
    </row>
    <row r="65" spans="1:6" ht="26.4">
      <c r="A65" s="715" t="s">
        <v>2614</v>
      </c>
      <c r="B65" s="6" t="s">
        <v>1664</v>
      </c>
      <c r="E65" s="683">
        <f>STROJARSTVO!G1194</f>
        <v>74774</v>
      </c>
    </row>
    <row r="66" spans="1:6">
      <c r="A66" s="715" t="s">
        <v>1665</v>
      </c>
      <c r="B66" s="6" t="s">
        <v>1666</v>
      </c>
      <c r="E66" s="683">
        <f>STROJARSTVO!G1196</f>
        <v>19904</v>
      </c>
    </row>
    <row r="67" spans="1:6">
      <c r="A67" s="715" t="s">
        <v>2615</v>
      </c>
      <c r="B67" s="6" t="s">
        <v>1668</v>
      </c>
      <c r="E67" s="683">
        <f>STROJARSTVO!G1198</f>
        <v>14349</v>
      </c>
    </row>
    <row r="68" spans="1:6" ht="26.4">
      <c r="A68" s="715" t="s">
        <v>1669</v>
      </c>
      <c r="B68" s="6" t="s">
        <v>1670</v>
      </c>
      <c r="E68" s="683">
        <f>STROJARSTVO!G1200</f>
        <v>154170</v>
      </c>
    </row>
    <row r="69" spans="1:6" ht="26.4">
      <c r="A69" s="715" t="s">
        <v>1671</v>
      </c>
      <c r="B69" s="6" t="s">
        <v>2616</v>
      </c>
      <c r="E69" s="683">
        <f>STROJARSTVO!G1202</f>
        <v>25480</v>
      </c>
    </row>
    <row r="70" spans="1:6" ht="26.4">
      <c r="A70" s="715" t="s">
        <v>1673</v>
      </c>
      <c r="B70" s="6" t="s">
        <v>2617</v>
      </c>
      <c r="E70" s="683">
        <f>STROJARSTVO!G1204</f>
        <v>11240</v>
      </c>
    </row>
    <row r="72" spans="1:6">
      <c r="B72" s="68" t="s">
        <v>2618</v>
      </c>
      <c r="E72" s="72">
        <f>SUM(E61:E70)</f>
        <v>378391</v>
      </c>
    </row>
    <row r="74" spans="1:6">
      <c r="A74" s="781" t="s">
        <v>2619</v>
      </c>
      <c r="B74" s="781"/>
      <c r="C74" s="781"/>
      <c r="D74" s="781"/>
      <c r="E74" s="781"/>
      <c r="F74" s="781"/>
    </row>
    <row r="76" spans="1:6" ht="13.8">
      <c r="A76" s="716" t="s">
        <v>1698</v>
      </c>
      <c r="B76" s="717" t="s">
        <v>1699</v>
      </c>
      <c r="E76" s="683">
        <f>ELEKTRO!F954</f>
        <v>1000</v>
      </c>
    </row>
    <row r="77" spans="1:6">
      <c r="A77" s="715" t="s">
        <v>1709</v>
      </c>
      <c r="B77" s="6" t="s">
        <v>1710</v>
      </c>
      <c r="E77" s="683">
        <f>ELEKTRO!F957</f>
        <v>16865</v>
      </c>
    </row>
    <row r="78" spans="1:6">
      <c r="A78" s="715" t="s">
        <v>1882</v>
      </c>
      <c r="B78" s="6" t="s">
        <v>1883</v>
      </c>
      <c r="E78" s="683">
        <f>ELEKTRO!F958</f>
        <v>64858.400000000001</v>
      </c>
    </row>
    <row r="79" spans="1:6">
      <c r="A79" s="715" t="s">
        <v>1899</v>
      </c>
      <c r="B79" s="6" t="s">
        <v>1900</v>
      </c>
      <c r="E79" s="683">
        <f>SUM(ELEKTRO!F274)</f>
        <v>12218.199999999999</v>
      </c>
    </row>
    <row r="80" spans="1:6">
      <c r="A80" s="715" t="s">
        <v>1905</v>
      </c>
      <c r="B80" s="6" t="s">
        <v>1906</v>
      </c>
      <c r="E80" s="683">
        <f>ELEKTRO!F960</f>
        <v>6011</v>
      </c>
    </row>
    <row r="81" spans="1:5">
      <c r="A81" s="715" t="s">
        <v>1915</v>
      </c>
      <c r="B81" s="6" t="s">
        <v>1916</v>
      </c>
      <c r="E81" s="683">
        <f>ELEKTRO!F961</f>
        <v>29440</v>
      </c>
    </row>
    <row r="82" spans="1:5">
      <c r="A82" s="715" t="s">
        <v>1929</v>
      </c>
      <c r="B82" s="6" t="s">
        <v>1930</v>
      </c>
      <c r="E82" s="683">
        <f>ELEKTRO!F962</f>
        <v>4657.6000000000004</v>
      </c>
    </row>
    <row r="83" spans="1:5">
      <c r="A83" s="715" t="s">
        <v>1942</v>
      </c>
      <c r="B83" s="6" t="s">
        <v>1943</v>
      </c>
      <c r="E83" s="683">
        <f>ELEKTRO!F963</f>
        <v>4751.1499999999996</v>
      </c>
    </row>
    <row r="84" spans="1:5">
      <c r="A84" s="715" t="s">
        <v>1967</v>
      </c>
      <c r="B84" s="6" t="s">
        <v>1968</v>
      </c>
      <c r="E84" s="683">
        <f>ELEKTRO!F964</f>
        <v>14030</v>
      </c>
    </row>
    <row r="85" spans="1:5">
      <c r="A85" s="715" t="s">
        <v>2620</v>
      </c>
      <c r="B85" s="6" t="s">
        <v>1976</v>
      </c>
      <c r="E85" s="683">
        <f>ELEKTRO!F965</f>
        <v>74378</v>
      </c>
    </row>
    <row r="86" spans="1:5">
      <c r="A86" s="715" t="s">
        <v>2028</v>
      </c>
      <c r="B86" s="6" t="s">
        <v>2029</v>
      </c>
      <c r="E86" s="683">
        <f>ELEKTRO!F966</f>
        <v>9511</v>
      </c>
    </row>
    <row r="87" spans="1:5">
      <c r="A87" s="715" t="s">
        <v>2043</v>
      </c>
      <c r="B87" s="6" t="s">
        <v>2044</v>
      </c>
      <c r="E87" s="683">
        <f>ELEKTRO!F967</f>
        <v>9794</v>
      </c>
    </row>
    <row r="88" spans="1:5">
      <c r="A88" s="715" t="s">
        <v>2062</v>
      </c>
      <c r="B88" s="6" t="s">
        <v>2063</v>
      </c>
      <c r="E88" s="683">
        <f>ELEKTRO!F968</f>
        <v>4320</v>
      </c>
    </row>
    <row r="89" spans="1:5">
      <c r="A89" s="715" t="s">
        <v>2086</v>
      </c>
      <c r="B89" s="6" t="s">
        <v>2087</v>
      </c>
      <c r="E89" s="683">
        <f>ELEKTRO!F971</f>
        <v>27051.5</v>
      </c>
    </row>
    <row r="90" spans="1:5">
      <c r="A90" s="715" t="s">
        <v>2233</v>
      </c>
      <c r="B90" s="6" t="s">
        <v>2234</v>
      </c>
      <c r="E90" s="683">
        <f>ELEKTRO!F972</f>
        <v>32850</v>
      </c>
    </row>
    <row r="91" spans="1:5">
      <c r="A91" s="715" t="s">
        <v>2276</v>
      </c>
      <c r="B91" s="6" t="s">
        <v>2277</v>
      </c>
      <c r="E91" s="683">
        <f>ELEKTRO!F973</f>
        <v>5226.7</v>
      </c>
    </row>
    <row r="92" spans="1:5">
      <c r="A92" s="715" t="s">
        <v>2316</v>
      </c>
      <c r="B92" s="6" t="s">
        <v>2317</v>
      </c>
      <c r="E92" s="683">
        <f>ELEKTRO!F976</f>
        <v>40174.210000000006</v>
      </c>
    </row>
    <row r="93" spans="1:5">
      <c r="A93" s="715" t="s">
        <v>2384</v>
      </c>
      <c r="B93" s="6" t="s">
        <v>2385</v>
      </c>
      <c r="E93" s="683">
        <f>ELEKTRO!F977</f>
        <v>6027.4</v>
      </c>
    </row>
    <row r="94" spans="1:5">
      <c r="A94" s="715" t="s">
        <v>2407</v>
      </c>
      <c r="B94" s="6" t="s">
        <v>2408</v>
      </c>
      <c r="E94" s="683">
        <f>ELEKTRO!F978</f>
        <v>6058</v>
      </c>
    </row>
    <row r="96" spans="1:5">
      <c r="B96" s="68" t="s">
        <v>2621</v>
      </c>
      <c r="E96" s="72">
        <f>SUM(E76:E95)</f>
        <v>369222.16000000003</v>
      </c>
    </row>
    <row r="98" spans="1:6">
      <c r="A98" s="781" t="s">
        <v>2622</v>
      </c>
      <c r="B98" s="781"/>
      <c r="C98" s="781"/>
      <c r="D98" s="781"/>
      <c r="E98" s="781"/>
      <c r="F98" s="781"/>
    </row>
    <row r="100" spans="1:6">
      <c r="A100" s="715" t="s">
        <v>2568</v>
      </c>
      <c r="B100" s="6" t="s">
        <v>2623</v>
      </c>
      <c r="E100" s="683">
        <f>VANJSKO!F132</f>
        <v>7056.65</v>
      </c>
    </row>
    <row r="101" spans="1:6">
      <c r="A101" s="715" t="s">
        <v>2474</v>
      </c>
      <c r="B101" s="6" t="s">
        <v>96</v>
      </c>
      <c r="E101" s="683">
        <f>VANJSKO!F134</f>
        <v>81436.5</v>
      </c>
    </row>
    <row r="102" spans="1:6">
      <c r="A102" s="715" t="s">
        <v>2491</v>
      </c>
      <c r="B102" s="6" t="s">
        <v>2492</v>
      </c>
      <c r="E102" s="683">
        <f>VANJSKO!F136</f>
        <v>28410</v>
      </c>
    </row>
    <row r="103" spans="1:6">
      <c r="A103" s="715" t="s">
        <v>2513</v>
      </c>
      <c r="B103" s="6" t="s">
        <v>2514</v>
      </c>
      <c r="E103" s="683">
        <f>VANJSKO!F138</f>
        <v>39680</v>
      </c>
    </row>
    <row r="104" spans="1:6">
      <c r="A104" s="715" t="s">
        <v>2520</v>
      </c>
      <c r="B104" s="6" t="s">
        <v>2521</v>
      </c>
      <c r="E104" s="683">
        <f>VANJSKO!F140</f>
        <v>2110</v>
      </c>
    </row>
    <row r="105" spans="1:6">
      <c r="A105" s="715" t="s">
        <v>2539</v>
      </c>
      <c r="B105" s="6" t="s">
        <v>2540</v>
      </c>
      <c r="E105" s="683">
        <f>VANJSKO!F142</f>
        <v>29413.200000000001</v>
      </c>
    </row>
    <row r="107" spans="1:6">
      <c r="B107" s="68" t="s">
        <v>2624</v>
      </c>
      <c r="E107" s="72">
        <f>SUM(E100:E106)</f>
        <v>188106.35</v>
      </c>
    </row>
    <row r="109" spans="1:6">
      <c r="B109" s="68" t="s">
        <v>2625</v>
      </c>
      <c r="E109" s="72">
        <f>E107+E96+E72+E57+E50+E41+E33+E27+E13</f>
        <v>3321685.5599999996</v>
      </c>
    </row>
    <row r="110" spans="1:6">
      <c r="A110" s="718"/>
      <c r="B110" s="6" t="s">
        <v>2626</v>
      </c>
      <c r="E110" s="683">
        <f>0.25*E109</f>
        <v>830421.3899999999</v>
      </c>
    </row>
    <row r="111" spans="1:6">
      <c r="B111" s="68" t="s">
        <v>2627</v>
      </c>
      <c r="E111" s="72">
        <f>E110+E109</f>
        <v>4152106.9499999993</v>
      </c>
    </row>
    <row r="113" spans="3:5">
      <c r="C113" s="69" t="s">
        <v>352</v>
      </c>
      <c r="D113" s="36"/>
      <c r="E113" s="36"/>
    </row>
    <row r="114" spans="3:5">
      <c r="C114" s="70"/>
      <c r="D114" s="36"/>
      <c r="E114" s="36"/>
    </row>
    <row r="115" spans="3:5">
      <c r="C115" s="763" t="s">
        <v>353</v>
      </c>
      <c r="D115" s="763"/>
      <c r="E115" s="763"/>
    </row>
  </sheetData>
  <mergeCells count="11">
    <mergeCell ref="C115:E115"/>
    <mergeCell ref="A43:F43"/>
    <mergeCell ref="A52:F52"/>
    <mergeCell ref="A59:F59"/>
    <mergeCell ref="A74:F74"/>
    <mergeCell ref="A98:F98"/>
    <mergeCell ref="A4:F4"/>
    <mergeCell ref="A6:F6"/>
    <mergeCell ref="A15:F15"/>
    <mergeCell ref="A29:F29"/>
    <mergeCell ref="A35:F35"/>
  </mergeCells>
  <pageMargins left="0.78749999999999998" right="0.78749999999999998"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2784</TotalTime>
  <Application>Microsoft Excel</Application>
  <DocSecurity>0</DocSecurity>
  <ScaleCrop>false</ScaleCrop>
  <HeadingPairs>
    <vt:vector size="4" baseType="variant">
      <vt:variant>
        <vt:lpstr>Radni listovi</vt:lpstr>
      </vt:variant>
      <vt:variant>
        <vt:i4>12</vt:i4>
      </vt:variant>
      <vt:variant>
        <vt:lpstr>Imenovani rasponi</vt:lpstr>
      </vt:variant>
      <vt:variant>
        <vt:i4>2</vt:i4>
      </vt:variant>
    </vt:vector>
  </HeadingPairs>
  <TitlesOfParts>
    <vt:vector size="14" baseType="lpstr">
      <vt:lpstr>NASLOV</vt:lpstr>
      <vt:lpstr>OPĆE</vt:lpstr>
      <vt:lpstr>GRAĐEVINSKI RADOVI</vt:lpstr>
      <vt:lpstr>OBRTNIČKI RADOVI</vt:lpstr>
      <vt:lpstr>DIZALO</vt:lpstr>
      <vt:lpstr>HI - VODOVOD</vt:lpstr>
      <vt:lpstr>HI - KANALIZACIJA</vt:lpstr>
      <vt:lpstr>HI - HIDRANTSKA MREŽA</vt:lpstr>
      <vt:lpstr>STROJARSTVO</vt:lpstr>
      <vt:lpstr>ELEKTRO</vt:lpstr>
      <vt:lpstr>VANJSKO</vt:lpstr>
      <vt:lpstr>REKAPITULACIJA</vt:lpstr>
      <vt:lpstr>ELEKTRO!Podrucje_ispisa</vt:lpstr>
      <vt:lpstr>OPĆE!Podrucje_ispisa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Marko Brajko</dc:creator>
  <dc:description/>
  <cp:lastModifiedBy>office</cp:lastModifiedBy>
  <cp:revision>539</cp:revision>
  <cp:lastPrinted>2024-11-15T09:26:06Z</cp:lastPrinted>
  <dcterms:created xsi:type="dcterms:W3CDTF">2009-04-16T11:32:48Z</dcterms:created>
  <dcterms:modified xsi:type="dcterms:W3CDTF">2025-02-04T21:42:23Z</dcterms:modified>
  <dc:language>hr-HR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Info 1">
    <vt:lpwstr/>
  </property>
  <property fmtid="{D5CDD505-2E9C-101B-9397-08002B2CF9AE}" pid="4" name="Info 2">
    <vt:lpwstr/>
  </property>
  <property fmtid="{D5CDD505-2E9C-101B-9397-08002B2CF9AE}" pid="5" name="Info 3">
    <vt:lpwstr/>
  </property>
  <property fmtid="{D5CDD505-2E9C-101B-9397-08002B2CF9AE}" pid="6" name="Info 4">
    <vt:lpwstr/>
  </property>
  <property fmtid="{D5CDD505-2E9C-101B-9397-08002B2CF9AE}" pid="7" name="LinksUpToDate">
    <vt:bool>false</vt:bool>
  </property>
  <property fmtid="{D5CDD505-2E9C-101B-9397-08002B2CF9AE}" pid="8" name="ScaleCrop">
    <vt:bool>false</vt:bool>
  </property>
  <property fmtid="{D5CDD505-2E9C-101B-9397-08002B2CF9AE}" pid="9" name="ShareDoc">
    <vt:bool>false</vt:bool>
  </property>
</Properties>
</file>