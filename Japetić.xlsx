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danijel\Documents\PONUDE\2025\ŽITNICA planinarski dom\"/>
    </mc:Choice>
  </mc:AlternateContent>
  <xr:revisionPtr revIDLastSave="0" documentId="13_ncr:1_{5A7763B9-5892-469B-B817-1541A449D451}" xr6:coauthVersionLast="47" xr6:coauthVersionMax="47" xr10:uidLastSave="{00000000-0000-0000-0000-000000000000}"/>
  <bookViews>
    <workbookView xWindow="-108" yWindow="-108" windowWidth="23256" windowHeight="12456" firstSheet="1" activeTab="1" xr2:uid="{00000000-000D-0000-FFFF-FFFF00000000}"/>
  </bookViews>
  <sheets>
    <sheet name="NASLOVNICA" sheetId="2" r:id="rId1"/>
    <sheet name="REKAPITULACIJA" sheetId="3" r:id="rId2"/>
    <sheet name="OPĆI UVJETI" sheetId="4" r:id="rId3"/>
    <sheet name="1. ARHITEKTURA" sheetId="5" r:id="rId4"/>
    <sheet name="2. ELEKTRO" sheetId="6" r:id="rId5"/>
    <sheet name="3. STROJARSKI" sheetId="7" r:id="rId6"/>
    <sheet name="4. VODOVOD I KANALIZACIJA" sheetId="8" r:id="rId7"/>
    <sheet name="5. SPRINKLER" sheetId="9" r:id="rId8"/>
    <sheet name="6. DIZALA" sheetId="10" r:id="rId9"/>
    <sheet name="7. PRISTUPNI PUT" sheetId="11" r:id="rId10"/>
    <sheet name="8. GEOMEHANIKA"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85" i="5" l="1"/>
  <c r="F753" i="5"/>
  <c r="F752" i="5"/>
  <c r="F751" i="5"/>
  <c r="F1051" i="5"/>
  <c r="F1048" i="5"/>
  <c r="F1045" i="5"/>
  <c r="F1042" i="5"/>
  <c r="F1039" i="5"/>
  <c r="F1036" i="5"/>
  <c r="F1030" i="5"/>
  <c r="F1027" i="5"/>
  <c r="F1021" i="5"/>
  <c r="F984" i="5"/>
  <c r="F983" i="5"/>
  <c r="F982" i="5"/>
  <c r="F714" i="5"/>
  <c r="F711" i="5"/>
  <c r="F708" i="5"/>
  <c r="F705" i="5"/>
  <c r="F702" i="5"/>
  <c r="F699" i="5"/>
  <c r="F696" i="5"/>
  <c r="F693" i="5"/>
  <c r="F690" i="5"/>
  <c r="F687" i="5"/>
  <c r="F684" i="5"/>
  <c r="F681" i="5"/>
  <c r="F243" i="5"/>
  <c r="F242" i="5"/>
  <c r="F241" i="5"/>
  <c r="F353" i="7"/>
  <c r="F346" i="7"/>
  <c r="F1003" i="5" l="1"/>
  <c r="F268" i="5"/>
  <c r="F737" i="5"/>
  <c r="F756" i="6" l="1"/>
  <c r="F753" i="6"/>
  <c r="F714" i="6" l="1"/>
  <c r="F710" i="6"/>
  <c r="F690" i="6"/>
  <c r="F686" i="6"/>
  <c r="F1848" i="5" l="1"/>
  <c r="F1619" i="5"/>
  <c r="F1612" i="5"/>
  <c r="F1604" i="5"/>
  <c r="F392" i="5" l="1"/>
  <c r="F391" i="5"/>
  <c r="F390" i="5"/>
  <c r="F389" i="5"/>
  <c r="F381" i="5"/>
  <c r="F380" i="5"/>
  <c r="F379" i="5"/>
  <c r="F377" i="5"/>
  <c r="F375" i="5"/>
  <c r="F374" i="5"/>
  <c r="F373" i="5"/>
  <c r="F366" i="5"/>
  <c r="F365" i="5"/>
  <c r="F364" i="5"/>
  <c r="F922" i="5" l="1"/>
  <c r="F920" i="5"/>
  <c r="F833" i="5"/>
  <c r="F1603" i="5" l="1"/>
  <c r="F1600" i="5"/>
  <c r="F1766" i="5"/>
  <c r="F785" i="5"/>
  <c r="F845" i="5"/>
  <c r="F844" i="5"/>
  <c r="F803" i="5"/>
  <c r="F799" i="5"/>
  <c r="F781" i="5"/>
  <c r="F777" i="5"/>
  <c r="F773" i="5"/>
  <c r="F772" i="5"/>
  <c r="F795" i="5"/>
  <c r="F794" i="5"/>
  <c r="F790" i="5"/>
  <c r="F271" i="5"/>
  <c r="F269" i="5"/>
  <c r="F836" i="5"/>
  <c r="F835" i="5"/>
  <c r="F834" i="5"/>
  <c r="F430" i="5"/>
  <c r="F746" i="5"/>
  <c r="F743" i="5"/>
  <c r="F678" i="5"/>
  <c r="F654" i="5"/>
  <c r="F444" i="5"/>
  <c r="F26" i="5"/>
  <c r="F23" i="5"/>
  <c r="F20" i="5"/>
  <c r="F33" i="5"/>
  <c r="F31" i="5"/>
  <c r="F28" i="5"/>
  <c r="F1450" i="5"/>
  <c r="F1449" i="5"/>
  <c r="F1448" i="5"/>
  <c r="F1447" i="5"/>
  <c r="F1446" i="5"/>
  <c r="F1630" i="5"/>
  <c r="F32" i="12"/>
  <c r="F34" i="12" s="1"/>
  <c r="C171" i="3" s="1"/>
  <c r="F26" i="12"/>
  <c r="F28" i="12" s="1"/>
  <c r="C170" i="3" s="1"/>
  <c r="F19" i="12"/>
  <c r="F16" i="12"/>
  <c r="F9" i="12"/>
  <c r="F11" i="12" s="1"/>
  <c r="C168" i="3" s="1"/>
  <c r="F35" i="5" l="1"/>
  <c r="C10" i="3" s="1"/>
  <c r="F21" i="12"/>
  <c r="C169" i="3" s="1"/>
  <c r="C173" i="3" s="1"/>
  <c r="C183" i="3" s="1"/>
  <c r="F37" i="12"/>
  <c r="F68" i="10"/>
  <c r="F67" i="10"/>
  <c r="F66" i="10"/>
  <c r="F54" i="10"/>
  <c r="F53" i="10"/>
  <c r="F52" i="10"/>
  <c r="F56" i="10" s="1"/>
  <c r="C150" i="3" s="1"/>
  <c r="F190" i="9"/>
  <c r="F774" i="6"/>
  <c r="F70" i="10" l="1"/>
  <c r="F1722" i="5"/>
  <c r="F1759" i="5"/>
  <c r="F1602" i="5"/>
  <c r="F1599" i="5"/>
  <c r="F918" i="5"/>
  <c r="F512" i="5"/>
  <c r="F508" i="5"/>
  <c r="F507" i="5"/>
  <c r="F510" i="5"/>
  <c r="F362" i="5"/>
  <c r="F361" i="5"/>
  <c r="F41" i="5"/>
  <c r="F44" i="5"/>
  <c r="F48" i="5"/>
  <c r="F60" i="5"/>
  <c r="F62" i="5"/>
  <c r="F64" i="5"/>
  <c r="F66" i="5"/>
  <c r="F68" i="5"/>
  <c r="F70" i="5"/>
  <c r="F72" i="5"/>
  <c r="F74" i="5"/>
  <c r="F76" i="5"/>
  <c r="F78" i="5"/>
  <c r="F80" i="5"/>
  <c r="F82" i="5"/>
  <c r="F84" i="5"/>
  <c r="F86" i="5"/>
  <c r="F88" i="5"/>
  <c r="F90" i="5"/>
  <c r="F92" i="5"/>
  <c r="F108" i="5"/>
  <c r="F112" i="5"/>
  <c r="F116" i="5"/>
  <c r="F117" i="5"/>
  <c r="F118" i="5"/>
  <c r="F122" i="5"/>
  <c r="F123" i="5"/>
  <c r="F124" i="5"/>
  <c r="F128" i="5"/>
  <c r="F129" i="5"/>
  <c r="F130" i="5"/>
  <c r="F134" i="5"/>
  <c r="F135" i="5"/>
  <c r="F136" i="5"/>
  <c r="F140" i="5"/>
  <c r="F141" i="5"/>
  <c r="F142" i="5"/>
  <c r="F146" i="5"/>
  <c r="F147" i="5"/>
  <c r="F148" i="5"/>
  <c r="F152" i="5"/>
  <c r="F153" i="5"/>
  <c r="F154" i="5"/>
  <c r="F158" i="5"/>
  <c r="F159" i="5"/>
  <c r="F160" i="5"/>
  <c r="F164" i="5"/>
  <c r="F165" i="5"/>
  <c r="F166" i="5"/>
  <c r="F170" i="5"/>
  <c r="F171" i="5"/>
  <c r="F172" i="5"/>
  <c r="F176" i="5"/>
  <c r="F177" i="5"/>
  <c r="F178" i="5"/>
  <c r="F182" i="5"/>
  <c r="F183" i="5"/>
  <c r="F184" i="5"/>
  <c r="F188" i="5"/>
  <c r="F189" i="5"/>
  <c r="F190" i="5"/>
  <c r="F194" i="5"/>
  <c r="F195" i="5"/>
  <c r="F196" i="5"/>
  <c r="F200" i="5"/>
  <c r="F201" i="5"/>
  <c r="F202" i="5"/>
  <c r="F206" i="5"/>
  <c r="F207" i="5"/>
  <c r="F208" i="5"/>
  <c r="F212" i="5"/>
  <c r="F213" i="5"/>
  <c r="F214" i="5"/>
  <c r="F218" i="5"/>
  <c r="F219" i="5"/>
  <c r="F220" i="5"/>
  <c r="F224" i="5"/>
  <c r="F225" i="5"/>
  <c r="F226" i="5"/>
  <c r="F230" i="5"/>
  <c r="F231" i="5"/>
  <c r="F235" i="5"/>
  <c r="F236" i="5"/>
  <c r="F237" i="5"/>
  <c r="F247" i="5"/>
  <c r="F248" i="5"/>
  <c r="F254" i="5"/>
  <c r="F255" i="5"/>
  <c r="F259" i="5"/>
  <c r="F260" i="5"/>
  <c r="F263" i="5"/>
  <c r="F264" i="5"/>
  <c r="F274" i="5"/>
  <c r="F289" i="5"/>
  <c r="F292" i="5"/>
  <c r="F296" i="5"/>
  <c r="F299" i="5"/>
  <c r="F302" i="5"/>
  <c r="F304" i="5"/>
  <c r="F306" i="5"/>
  <c r="F309" i="5"/>
  <c r="F312" i="5"/>
  <c r="F315" i="5"/>
  <c r="F318" i="5"/>
  <c r="F321" i="5"/>
  <c r="F323" i="5"/>
  <c r="F325" i="5"/>
  <c r="F327" i="5"/>
  <c r="F329" i="5"/>
  <c r="F331" i="5"/>
  <c r="F333" i="5"/>
  <c r="F337" i="5"/>
  <c r="F338" i="5"/>
  <c r="F341" i="5"/>
  <c r="F344" i="5"/>
  <c r="F360" i="5"/>
  <c r="F363" i="5"/>
  <c r="F368" i="5"/>
  <c r="F372" i="5"/>
  <c r="F376" i="5"/>
  <c r="F378" i="5"/>
  <c r="F383" i="5"/>
  <c r="F387" i="5"/>
  <c r="F388" i="5"/>
  <c r="F394" i="5"/>
  <c r="F396" i="5"/>
  <c r="F398" i="5"/>
  <c r="F400" i="5"/>
  <c r="F402" i="5"/>
  <c r="F405" i="5"/>
  <c r="F408" i="5"/>
  <c r="F409" i="5"/>
  <c r="F426" i="5"/>
  <c r="F428" i="5"/>
  <c r="F434" i="5"/>
  <c r="F436" i="5"/>
  <c r="F438" i="5"/>
  <c r="F432" i="5"/>
  <c r="F440" i="5"/>
  <c r="F442" i="5"/>
  <c r="F446" i="5"/>
  <c r="F448" i="5"/>
  <c r="F450" i="5"/>
  <c r="F452" i="5"/>
  <c r="F454" i="5"/>
  <c r="F471" i="5"/>
  <c r="F473" i="5"/>
  <c r="F475" i="5"/>
  <c r="F478" i="5"/>
  <c r="F480" i="5"/>
  <c r="F483" i="5"/>
  <c r="F485" i="5"/>
  <c r="F487" i="5"/>
  <c r="F489" i="5"/>
  <c r="F491" i="5"/>
  <c r="F493" i="5"/>
  <c r="F495" i="5"/>
  <c r="F497" i="5"/>
  <c r="F499" i="5"/>
  <c r="F501" i="5"/>
  <c r="F504" i="5"/>
  <c r="F524" i="5"/>
  <c r="F526" i="5"/>
  <c r="F528" i="5"/>
  <c r="F530" i="5"/>
  <c r="F651" i="5"/>
  <c r="F657" i="5"/>
  <c r="F665" i="5"/>
  <c r="F669" i="5"/>
  <c r="F717" i="5"/>
  <c r="F718" i="5"/>
  <c r="F720" i="5"/>
  <c r="F722" i="5"/>
  <c r="F740" i="5"/>
  <c r="F755" i="5" s="1"/>
  <c r="C21" i="3" s="1"/>
  <c r="F761" i="5"/>
  <c r="F764" i="5"/>
  <c r="F789" i="5"/>
  <c r="F807" i="5"/>
  <c r="F808" i="5"/>
  <c r="F811" i="5"/>
  <c r="F812" i="5"/>
  <c r="F815" i="5"/>
  <c r="F816" i="5"/>
  <c r="F819" i="5"/>
  <c r="F821" i="5"/>
  <c r="F823" i="5"/>
  <c r="F826" i="5"/>
  <c r="F829" i="5"/>
  <c r="F849" i="5"/>
  <c r="F853" i="5"/>
  <c r="F857" i="5"/>
  <c r="F861" i="5"/>
  <c r="F876" i="5"/>
  <c r="F877" i="5"/>
  <c r="F878" i="5"/>
  <c r="F883" i="5"/>
  <c r="F884" i="5"/>
  <c r="F885" i="5"/>
  <c r="F887" i="5"/>
  <c r="F891" i="5"/>
  <c r="F892" i="5"/>
  <c r="F893" i="5"/>
  <c r="F896" i="5"/>
  <c r="F899" i="5"/>
  <c r="F902" i="5"/>
  <c r="F904" i="5"/>
  <c r="F906" i="5"/>
  <c r="F909" i="5"/>
  <c r="F910" i="5"/>
  <c r="F912" i="5"/>
  <c r="F915" i="5"/>
  <c r="F930" i="5"/>
  <c r="F932" i="5" s="1"/>
  <c r="C26" i="3" s="1"/>
  <c r="F942" i="5"/>
  <c r="F945" i="5"/>
  <c r="F947" i="5"/>
  <c r="F949" i="5"/>
  <c r="F951" i="5"/>
  <c r="F964" i="5"/>
  <c r="F967" i="5"/>
  <c r="F970" i="5"/>
  <c r="F972" i="5"/>
  <c r="F975" i="5"/>
  <c r="F999" i="5"/>
  <c r="F1001" i="5"/>
  <c r="F1024" i="5"/>
  <c r="F1033" i="5"/>
  <c r="F1053" i="5"/>
  <c r="F1055" i="5"/>
  <c r="F1058" i="5"/>
  <c r="F1059" i="5"/>
  <c r="F1062" i="5"/>
  <c r="F1063" i="5"/>
  <c r="F1071" i="5"/>
  <c r="F1074" i="5"/>
  <c r="F1077" i="5"/>
  <c r="F1080" i="5"/>
  <c r="F1083" i="5"/>
  <c r="F1086" i="5"/>
  <c r="F1089" i="5"/>
  <c r="F1092" i="5"/>
  <c r="F1095" i="5"/>
  <c r="F1098" i="5"/>
  <c r="F1101" i="5"/>
  <c r="F1104" i="5"/>
  <c r="F1107" i="5"/>
  <c r="F1110" i="5"/>
  <c r="F1111" i="5"/>
  <c r="F1123" i="5"/>
  <c r="F1125" i="5"/>
  <c r="F1127" i="5"/>
  <c r="F1129" i="5"/>
  <c r="F1131" i="5"/>
  <c r="F1134" i="5"/>
  <c r="F1135" i="5"/>
  <c r="F1136" i="5"/>
  <c r="F1143" i="5"/>
  <c r="F1145" i="5"/>
  <c r="F1147" i="5"/>
  <c r="F1149" i="5"/>
  <c r="F1151" i="5"/>
  <c r="F1153" i="5"/>
  <c r="F1155" i="5"/>
  <c r="F1158" i="5"/>
  <c r="F1159" i="5"/>
  <c r="F1160" i="5"/>
  <c r="F1173" i="5"/>
  <c r="F1174" i="5"/>
  <c r="F1175" i="5"/>
  <c r="F1176" i="5"/>
  <c r="F1177" i="5"/>
  <c r="F1178" i="5"/>
  <c r="F1181" i="5"/>
  <c r="F1182" i="5"/>
  <c r="F1185" i="5"/>
  <c r="F1187" i="5"/>
  <c r="F1190" i="5"/>
  <c r="F1191" i="5"/>
  <c r="F1193" i="5"/>
  <c r="F1195" i="5"/>
  <c r="F1197" i="5"/>
  <c r="F1204" i="5"/>
  <c r="F1206" i="5"/>
  <c r="F1215" i="5"/>
  <c r="F1217" i="5"/>
  <c r="F1219" i="5"/>
  <c r="F1221" i="5"/>
  <c r="F1223" i="5"/>
  <c r="F1225" i="5"/>
  <c r="F1227" i="5"/>
  <c r="F1229" i="5"/>
  <c r="F1231" i="5"/>
  <c r="F1233" i="5"/>
  <c r="F1235" i="5"/>
  <c r="F1237" i="5"/>
  <c r="F1239" i="5"/>
  <c r="F1245" i="5"/>
  <c r="F1248" i="5"/>
  <c r="F1251" i="5"/>
  <c r="F1257" i="5"/>
  <c r="F1259" i="5"/>
  <c r="F1261" i="5"/>
  <c r="F1263" i="5"/>
  <c r="F1265" i="5"/>
  <c r="F1267" i="5"/>
  <c r="F1269" i="5"/>
  <c r="F1271" i="5"/>
  <c r="F1273" i="5"/>
  <c r="F1279" i="5"/>
  <c r="F1281" i="5"/>
  <c r="F1283" i="5"/>
  <c r="F1285" i="5"/>
  <c r="F1287" i="5"/>
  <c r="F1289" i="5"/>
  <c r="F1295" i="5"/>
  <c r="F1297" i="5"/>
  <c r="F1299" i="5"/>
  <c r="F1301" i="5"/>
  <c r="F1303" i="5"/>
  <c r="F1309" i="5"/>
  <c r="F1311" i="5"/>
  <c r="F1313" i="5"/>
  <c r="F1315" i="5"/>
  <c r="F1317" i="5"/>
  <c r="F1319" i="5"/>
  <c r="F1321" i="5"/>
  <c r="F1323" i="5"/>
  <c r="F1325" i="5"/>
  <c r="F1327" i="5"/>
  <c r="F1329" i="5"/>
  <c r="F1331" i="5"/>
  <c r="F1333" i="5"/>
  <c r="F1335" i="5"/>
  <c r="F1337" i="5"/>
  <c r="F1343" i="5"/>
  <c r="F1345" i="5"/>
  <c r="F1347" i="5"/>
  <c r="F1349" i="5"/>
  <c r="F1351" i="5"/>
  <c r="F1357" i="5"/>
  <c r="F1359" i="5"/>
  <c r="F1361" i="5"/>
  <c r="F1363" i="5"/>
  <c r="F1365" i="5"/>
  <c r="F1399" i="5"/>
  <c r="F1402" i="5"/>
  <c r="F1403" i="5"/>
  <c r="F1404" i="5"/>
  <c r="F1405" i="5"/>
  <c r="F1408" i="5"/>
  <c r="F1409" i="5"/>
  <c r="F1410" i="5"/>
  <c r="F1413" i="5"/>
  <c r="F1414" i="5"/>
  <c r="F1415" i="5"/>
  <c r="F1418" i="5"/>
  <c r="F1419" i="5"/>
  <c r="F1420" i="5"/>
  <c r="F1423" i="5"/>
  <c r="F1424" i="5"/>
  <c r="F1427" i="5"/>
  <c r="F1428" i="5"/>
  <c r="F1430" i="5"/>
  <c r="F1432" i="5"/>
  <c r="F1434" i="5"/>
  <c r="F1436" i="5"/>
  <c r="F1438" i="5"/>
  <c r="F1440" i="5"/>
  <c r="F1442" i="5"/>
  <c r="F1445" i="5"/>
  <c r="F1466" i="5"/>
  <c r="F1470" i="5"/>
  <c r="F1471" i="5"/>
  <c r="F1476" i="5"/>
  <c r="F1477" i="5"/>
  <c r="F1478" i="5"/>
  <c r="F1480" i="5"/>
  <c r="F1481" i="5"/>
  <c r="F1482" i="5"/>
  <c r="F1486" i="5"/>
  <c r="F1487" i="5"/>
  <c r="F1488" i="5"/>
  <c r="F1492" i="5"/>
  <c r="F1493" i="5"/>
  <c r="F1494" i="5"/>
  <c r="F1502" i="5"/>
  <c r="F1503" i="5"/>
  <c r="F1504" i="5"/>
  <c r="F1510" i="5"/>
  <c r="F1511" i="5"/>
  <c r="F1512" i="5"/>
  <c r="F1516" i="5"/>
  <c r="F1517" i="5"/>
  <c r="F1518" i="5"/>
  <c r="F1522" i="5"/>
  <c r="F1523" i="5"/>
  <c r="F1527" i="5"/>
  <c r="F1528" i="5"/>
  <c r="F1532" i="5"/>
  <c r="F1533" i="5"/>
  <c r="F1534" i="5"/>
  <c r="F1538" i="5"/>
  <c r="F1539" i="5"/>
  <c r="F1540" i="5"/>
  <c r="F1544" i="5"/>
  <c r="F1545" i="5"/>
  <c r="F1546" i="5"/>
  <c r="F1561" i="5"/>
  <c r="F1564" i="5"/>
  <c r="F1566" i="5"/>
  <c r="F1570" i="5"/>
  <c r="F1571" i="5"/>
  <c r="F1574" i="5"/>
  <c r="F1577" i="5"/>
  <c r="F1592" i="5"/>
  <c r="F1593" i="5"/>
  <c r="F1594" i="5"/>
  <c r="F1595" i="5"/>
  <c r="F1596" i="5"/>
  <c r="F1597" i="5"/>
  <c r="F1598" i="5"/>
  <c r="F1601" i="5"/>
  <c r="F1608" i="5"/>
  <c r="F1609" i="5"/>
  <c r="F1610" i="5"/>
  <c r="F1611" i="5"/>
  <c r="F1616" i="5"/>
  <c r="F1617" i="5"/>
  <c r="F1618" i="5"/>
  <c r="F1621" i="5"/>
  <c r="F1624" i="5"/>
  <c r="F1627" i="5"/>
  <c r="F1628" i="5"/>
  <c r="F1648" i="5"/>
  <c r="F1651" i="5"/>
  <c r="F1654" i="5"/>
  <c r="F1656" i="5"/>
  <c r="F1658" i="5"/>
  <c r="F1660" i="5"/>
  <c r="F1662" i="5"/>
  <c r="F1676" i="5"/>
  <c r="F1678" i="5"/>
  <c r="F1681" i="5"/>
  <c r="F1684" i="5"/>
  <c r="F1687" i="5"/>
  <c r="F1690" i="5"/>
  <c r="F1691" i="5"/>
  <c r="F1703" i="5"/>
  <c r="F1705" i="5" s="1"/>
  <c r="C47" i="3" s="1"/>
  <c r="F1719" i="5"/>
  <c r="F1720" i="5"/>
  <c r="F1721" i="5"/>
  <c r="F1725" i="5"/>
  <c r="F1726" i="5"/>
  <c r="F1729" i="5"/>
  <c r="F1731" i="5"/>
  <c r="F1745" i="5"/>
  <c r="F1747" i="5"/>
  <c r="F1754" i="5"/>
  <c r="F1762" i="5"/>
  <c r="F1764" i="5"/>
  <c r="F1791" i="5"/>
  <c r="F1793" i="5"/>
  <c r="F1795" i="5"/>
  <c r="F1797" i="5"/>
  <c r="F1799" i="5"/>
  <c r="F1811" i="5"/>
  <c r="F1813" i="5"/>
  <c r="F1815" i="5"/>
  <c r="F1817" i="5"/>
  <c r="F1819" i="5"/>
  <c r="F1821" i="5"/>
  <c r="F1823" i="5"/>
  <c r="F1825" i="5"/>
  <c r="F1827" i="5"/>
  <c r="F1841" i="5"/>
  <c r="F1842" i="5"/>
  <c r="F1843" i="5"/>
  <c r="F1844" i="5"/>
  <c r="F1847" i="5"/>
  <c r="F1851" i="5"/>
  <c r="F1854" i="5"/>
  <c r="F1855" i="5"/>
  <c r="F1856" i="5"/>
  <c r="F1874" i="5"/>
  <c r="F38" i="6"/>
  <c r="F40" i="6"/>
  <c r="F44" i="6"/>
  <c r="F45" i="6"/>
  <c r="F46" i="6"/>
  <c r="F47" i="6"/>
  <c r="F48" i="6"/>
  <c r="F49" i="6"/>
  <c r="F50" i="6"/>
  <c r="F51" i="6"/>
  <c r="F52" i="6"/>
  <c r="F53" i="6"/>
  <c r="F54" i="6"/>
  <c r="F55" i="6"/>
  <c r="F56" i="6"/>
  <c r="F59" i="6"/>
  <c r="F60" i="6"/>
  <c r="F61" i="6"/>
  <c r="F62" i="6"/>
  <c r="F63" i="6"/>
  <c r="F64" i="6"/>
  <c r="F65" i="6"/>
  <c r="F66" i="6"/>
  <c r="F70" i="6"/>
  <c r="F71" i="6"/>
  <c r="F72" i="6"/>
  <c r="F75" i="6"/>
  <c r="F76" i="6"/>
  <c r="F77" i="6"/>
  <c r="F80" i="6"/>
  <c r="F81" i="6"/>
  <c r="F84" i="6"/>
  <c r="F85" i="6"/>
  <c r="F88" i="6"/>
  <c r="F89" i="6"/>
  <c r="F92" i="6"/>
  <c r="F94" i="6"/>
  <c r="F97" i="6"/>
  <c r="F101" i="6"/>
  <c r="F102" i="6"/>
  <c r="F105" i="6"/>
  <c r="F106" i="6"/>
  <c r="F109" i="6"/>
  <c r="F110" i="6"/>
  <c r="F114" i="6"/>
  <c r="F115" i="6"/>
  <c r="F118" i="6"/>
  <c r="F119" i="6"/>
  <c r="F126" i="6"/>
  <c r="F128" i="6"/>
  <c r="F130" i="6"/>
  <c r="F132" i="6"/>
  <c r="F134" i="6"/>
  <c r="F136" i="6"/>
  <c r="F143" i="6"/>
  <c r="F145" i="6" s="1"/>
  <c r="C70" i="3" s="1"/>
  <c r="F189" i="6"/>
  <c r="F191" i="6"/>
  <c r="F194" i="6"/>
  <c r="F195" i="6"/>
  <c r="F196" i="6"/>
  <c r="F197" i="6"/>
  <c r="F199" i="6"/>
  <c r="F201" i="6"/>
  <c r="F203" i="6"/>
  <c r="F205" i="6"/>
  <c r="F207" i="6"/>
  <c r="F209" i="6"/>
  <c r="F213" i="6"/>
  <c r="F214" i="6"/>
  <c r="F215" i="6"/>
  <c r="F216" i="6"/>
  <c r="F217" i="6"/>
  <c r="F218" i="6"/>
  <c r="F219" i="6"/>
  <c r="F220" i="6"/>
  <c r="F221" i="6"/>
  <c r="F222" i="6"/>
  <c r="F223" i="6"/>
  <c r="F224" i="6"/>
  <c r="F225"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3" i="6"/>
  <c r="F274" i="6"/>
  <c r="F275" i="6"/>
  <c r="F276" i="6"/>
  <c r="F277" i="6"/>
  <c r="F278" i="6"/>
  <c r="F279" i="6"/>
  <c r="F280" i="6"/>
  <c r="F281" i="6"/>
  <c r="F282" i="6"/>
  <c r="F283" i="6"/>
  <c r="F284" i="6"/>
  <c r="F285" i="6"/>
  <c r="F286" i="6"/>
  <c r="F287" i="6"/>
  <c r="F290" i="6"/>
  <c r="F291" i="6"/>
  <c r="F292" i="6"/>
  <c r="F293" i="6"/>
  <c r="F294" i="6"/>
  <c r="F295" i="6"/>
  <c r="F296" i="6"/>
  <c r="F297" i="6"/>
  <c r="F298" i="6"/>
  <c r="F299" i="6"/>
  <c r="F300" i="6"/>
  <c r="F301" i="6"/>
  <c r="F302" i="6"/>
  <c r="F303" i="6"/>
  <c r="F304" i="6"/>
  <c r="F305" i="6"/>
  <c r="F306"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6" i="6"/>
  <c r="F337" i="6"/>
  <c r="F338" i="6"/>
  <c r="F339" i="6"/>
  <c r="F340" i="6"/>
  <c r="F341" i="6"/>
  <c r="F342" i="6"/>
  <c r="F343" i="6"/>
  <c r="F344" i="6"/>
  <c r="F345" i="6"/>
  <c r="F346" i="6"/>
  <c r="F347" i="6"/>
  <c r="F348" i="6"/>
  <c r="F349" i="6"/>
  <c r="F350" i="6"/>
  <c r="F351" i="6"/>
  <c r="F352" i="6"/>
  <c r="F353"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3" i="6"/>
  <c r="F384" i="6"/>
  <c r="F385" i="6"/>
  <c r="F386" i="6"/>
  <c r="F387" i="6"/>
  <c r="F388" i="6"/>
  <c r="F389" i="6"/>
  <c r="F390" i="6"/>
  <c r="F391" i="6"/>
  <c r="F392" i="6"/>
  <c r="F393" i="6"/>
  <c r="F394" i="6"/>
  <c r="F395" i="6"/>
  <c r="F398" i="6"/>
  <c r="F399" i="6"/>
  <c r="F400" i="6"/>
  <c r="F401" i="6"/>
  <c r="F402" i="6"/>
  <c r="F403" i="6"/>
  <c r="F404" i="6"/>
  <c r="F405" i="6"/>
  <c r="F406" i="6"/>
  <c r="F407" i="6"/>
  <c r="F408" i="6"/>
  <c r="F409" i="6"/>
  <c r="F410" i="6"/>
  <c r="F411" i="6"/>
  <c r="F412" i="6"/>
  <c r="F415" i="6"/>
  <c r="F416" i="6"/>
  <c r="F417" i="6"/>
  <c r="F418" i="6"/>
  <c r="F419" i="6"/>
  <c r="F420" i="6"/>
  <c r="F421" i="6"/>
  <c r="F422" i="6"/>
  <c r="F423" i="6"/>
  <c r="F424" i="6"/>
  <c r="F425" i="6"/>
  <c r="F426" i="6"/>
  <c r="F427" i="6"/>
  <c r="F428" i="6"/>
  <c r="F429" i="6"/>
  <c r="F430" i="6"/>
  <c r="F431" i="6"/>
  <c r="F432" i="6"/>
  <c r="F433" i="6"/>
  <c r="F434" i="6"/>
  <c r="F435" i="6"/>
  <c r="F438" i="6"/>
  <c r="F439" i="6"/>
  <c r="F442" i="6"/>
  <c r="F445" i="6"/>
  <c r="F448" i="6"/>
  <c r="F451" i="6"/>
  <c r="F454" i="6"/>
  <c r="F457" i="6"/>
  <c r="F459" i="6"/>
  <c r="F462" i="6"/>
  <c r="F463" i="6"/>
  <c r="F464" i="6"/>
  <c r="F467" i="6"/>
  <c r="F468" i="6"/>
  <c r="F469" i="6"/>
  <c r="F472" i="6"/>
  <c r="F473" i="6"/>
  <c r="F474" i="6"/>
  <c r="F477" i="6"/>
  <c r="F478" i="6"/>
  <c r="F479" i="6"/>
  <c r="F480" i="6"/>
  <c r="F481" i="6"/>
  <c r="F482" i="6"/>
  <c r="F483" i="6"/>
  <c r="F484" i="6"/>
  <c r="F485" i="6"/>
  <c r="F486" i="6"/>
  <c r="F487" i="6"/>
  <c r="F488" i="6"/>
  <c r="F489" i="6"/>
  <c r="F492" i="6"/>
  <c r="F493" i="6"/>
  <c r="F494" i="6"/>
  <c r="F497" i="6"/>
  <c r="F498" i="6"/>
  <c r="F499" i="6"/>
  <c r="F500" i="6"/>
  <c r="F501" i="6"/>
  <c r="F504" i="6"/>
  <c r="F505" i="6"/>
  <c r="F506" i="6"/>
  <c r="F507" i="6"/>
  <c r="F508" i="6"/>
  <c r="F509" i="6"/>
  <c r="F510" i="6"/>
  <c r="F511" i="6"/>
  <c r="F512" i="6"/>
  <c r="F515" i="6"/>
  <c r="F516" i="6"/>
  <c r="F517" i="6"/>
  <c r="F518" i="6"/>
  <c r="F519" i="6"/>
  <c r="F520" i="6"/>
  <c r="F521" i="6"/>
  <c r="F522" i="6"/>
  <c r="F525" i="6"/>
  <c r="F526" i="6"/>
  <c r="F527" i="6"/>
  <c r="F528" i="6"/>
  <c r="F529" i="6"/>
  <c r="F530" i="6"/>
  <c r="F531" i="6"/>
  <c r="F532" i="6"/>
  <c r="F533" i="6"/>
  <c r="F534" i="6"/>
  <c r="F535" i="6"/>
  <c r="F536" i="6"/>
  <c r="F537" i="6"/>
  <c r="F540" i="6"/>
  <c r="F541" i="6"/>
  <c r="F542" i="6"/>
  <c r="F543" i="6"/>
  <c r="F544" i="6"/>
  <c r="F545" i="6"/>
  <c r="F546" i="6"/>
  <c r="F547" i="6"/>
  <c r="F550" i="6"/>
  <c r="F551" i="6"/>
  <c r="F552" i="6"/>
  <c r="F553" i="6"/>
  <c r="F554" i="6"/>
  <c r="F555" i="6"/>
  <c r="F556" i="6"/>
  <c r="F557" i="6"/>
  <c r="F558" i="6"/>
  <c r="F561" i="6"/>
  <c r="F562" i="6"/>
  <c r="F563" i="6"/>
  <c r="F564" i="6"/>
  <c r="F565" i="6"/>
  <c r="F566" i="6"/>
  <c r="F569" i="6"/>
  <c r="F570" i="6"/>
  <c r="F571" i="6"/>
  <c r="F574" i="6"/>
  <c r="F575" i="6"/>
  <c r="F576" i="6"/>
  <c r="F579" i="6"/>
  <c r="F580" i="6"/>
  <c r="F581" i="6"/>
  <c r="F582" i="6"/>
  <c r="F583" i="6"/>
  <c r="F584" i="6"/>
  <c r="F585" i="6"/>
  <c r="F586" i="6"/>
  <c r="F587" i="6"/>
  <c r="F589" i="6"/>
  <c r="F595" i="6"/>
  <c r="F598" i="6"/>
  <c r="F599" i="6"/>
  <c r="F600" i="6"/>
  <c r="F602" i="6"/>
  <c r="F604" i="6"/>
  <c r="F606" i="6"/>
  <c r="F608" i="6"/>
  <c r="F610" i="6"/>
  <c r="F612" i="6"/>
  <c r="F614" i="6"/>
  <c r="F616" i="6"/>
  <c r="F618" i="6"/>
  <c r="F620" i="6"/>
  <c r="F622" i="6"/>
  <c r="F628" i="6"/>
  <c r="F630" i="6"/>
  <c r="F632" i="6"/>
  <c r="F634" i="6"/>
  <c r="F636" i="6"/>
  <c r="F638" i="6"/>
  <c r="F640" i="6"/>
  <c r="F642" i="6"/>
  <c r="F644" i="6"/>
  <c r="F646" i="6"/>
  <c r="F648" i="6"/>
  <c r="F650" i="6"/>
  <c r="F652" i="6"/>
  <c r="F654" i="6"/>
  <c r="F656" i="6"/>
  <c r="F658" i="6"/>
  <c r="F670" i="6"/>
  <c r="F674" i="6"/>
  <c r="F678" i="6"/>
  <c r="F682" i="6"/>
  <c r="F694" i="6"/>
  <c r="F698" i="6"/>
  <c r="F702" i="6"/>
  <c r="F706" i="6"/>
  <c r="F718" i="6"/>
  <c r="F722" i="6"/>
  <c r="F726" i="6"/>
  <c r="F730" i="6"/>
  <c r="F734" i="6"/>
  <c r="F738" i="6"/>
  <c r="F742" i="6"/>
  <c r="F746" i="6"/>
  <c r="F750" i="6"/>
  <c r="F758" i="6"/>
  <c r="F760" i="6"/>
  <c r="F762" i="6"/>
  <c r="F764" i="6"/>
  <c r="F766" i="6"/>
  <c r="F768" i="6"/>
  <c r="F770" i="6"/>
  <c r="F772" i="6"/>
  <c r="F776" i="6"/>
  <c r="F778" i="6"/>
  <c r="F780" i="6"/>
  <c r="F782" i="6"/>
  <c r="F784" i="6"/>
  <c r="F790" i="6"/>
  <c r="F792" i="6"/>
  <c r="F794" i="6"/>
  <c r="F796" i="6"/>
  <c r="F798" i="6"/>
  <c r="F800" i="6"/>
  <c r="F802" i="6"/>
  <c r="F804" i="6"/>
  <c r="F806" i="6"/>
  <c r="F808" i="6"/>
  <c r="F810" i="6"/>
  <c r="F812" i="6"/>
  <c r="F814" i="6"/>
  <c r="F816" i="6"/>
  <c r="F818" i="6"/>
  <c r="F820" i="6"/>
  <c r="F822" i="6"/>
  <c r="F824" i="6"/>
  <c r="F826" i="6"/>
  <c r="F828" i="6"/>
  <c r="F830" i="6"/>
  <c r="F832" i="6"/>
  <c r="F834" i="6"/>
  <c r="F840" i="6"/>
  <c r="F842" i="6"/>
  <c r="F844" i="6"/>
  <c r="F846" i="6"/>
  <c r="F848" i="6"/>
  <c r="F851" i="6"/>
  <c r="F852" i="6"/>
  <c r="F853" i="6"/>
  <c r="F854" i="6"/>
  <c r="F857" i="6"/>
  <c r="F859" i="6"/>
  <c r="F861" i="6"/>
  <c r="F863" i="6"/>
  <c r="F870" i="6"/>
  <c r="F871" i="6"/>
  <c r="F872" i="6"/>
  <c r="F873" i="6"/>
  <c r="F874" i="6"/>
  <c r="F875" i="6"/>
  <c r="F876" i="6"/>
  <c r="F877" i="6"/>
  <c r="F878" i="6"/>
  <c r="F879" i="6"/>
  <c r="F885" i="6"/>
  <c r="F887" i="6" s="1"/>
  <c r="F892" i="6"/>
  <c r="F893" i="6"/>
  <c r="F894" i="6"/>
  <c r="F895" i="6"/>
  <c r="F896" i="6"/>
  <c r="F897" i="6"/>
  <c r="F898" i="6"/>
  <c r="F899" i="6"/>
  <c r="F900" i="6"/>
  <c r="F901" i="6"/>
  <c r="F902" i="6"/>
  <c r="F903" i="6"/>
  <c r="F904" i="6"/>
  <c r="F905" i="6"/>
  <c r="F906" i="6"/>
  <c r="F907" i="6"/>
  <c r="F908" i="6"/>
  <c r="F909" i="6"/>
  <c r="F910" i="6"/>
  <c r="F911" i="6"/>
  <c r="F914" i="6"/>
  <c r="F915" i="6"/>
  <c r="F916" i="6"/>
  <c r="F917" i="6"/>
  <c r="F919" i="6"/>
  <c r="F920" i="6"/>
  <c r="F921" i="6"/>
  <c r="F922" i="6"/>
  <c r="F923" i="6"/>
  <c r="F924" i="6"/>
  <c r="F927" i="6"/>
  <c r="F928" i="6"/>
  <c r="F929" i="6"/>
  <c r="F930" i="6"/>
  <c r="F931" i="6"/>
  <c r="F933" i="6"/>
  <c r="F936" i="6"/>
  <c r="F939" i="6"/>
  <c r="F942" i="6"/>
  <c r="F944" i="6"/>
  <c r="F946" i="6"/>
  <c r="F949" i="6"/>
  <c r="F950" i="6"/>
  <c r="F952" i="6"/>
  <c r="F958" i="6"/>
  <c r="F962" i="6"/>
  <c r="F963" i="6"/>
  <c r="F964" i="6"/>
  <c r="F965" i="6"/>
  <c r="F966" i="6"/>
  <c r="F967" i="6"/>
  <c r="F968" i="6"/>
  <c r="F969" i="6"/>
  <c r="F970" i="6"/>
  <c r="F971" i="6"/>
  <c r="F972" i="6"/>
  <c r="F973" i="6"/>
  <c r="F974" i="6"/>
  <c r="F977" i="6"/>
  <c r="F978" i="6"/>
  <c r="F979" i="6"/>
  <c r="F980" i="6"/>
  <c r="F981" i="6"/>
  <c r="F982" i="6"/>
  <c r="F983" i="6"/>
  <c r="F984" i="6"/>
  <c r="F986" i="6"/>
  <c r="F989" i="6"/>
  <c r="F993" i="6"/>
  <c r="F994" i="6"/>
  <c r="F995" i="6"/>
  <c r="F996" i="6"/>
  <c r="F997" i="6"/>
  <c r="F998" i="6"/>
  <c r="F1000" i="6"/>
  <c r="F1002" i="6"/>
  <c r="F1004" i="6"/>
  <c r="F1006" i="6"/>
  <c r="F1019" i="6"/>
  <c r="F1021" i="6"/>
  <c r="F1024" i="6"/>
  <c r="F1026" i="6"/>
  <c r="F1028" i="6"/>
  <c r="F1031" i="6"/>
  <c r="F1034" i="6"/>
  <c r="F1036" i="6"/>
  <c r="F1038" i="6"/>
  <c r="F1040" i="6"/>
  <c r="F1043" i="6"/>
  <c r="F1046" i="6"/>
  <c r="F1048" i="6"/>
  <c r="F1050" i="6"/>
  <c r="F1052" i="6"/>
  <c r="F1054" i="6"/>
  <c r="F1056" i="6"/>
  <c r="F1058" i="6"/>
  <c r="F1060" i="6"/>
  <c r="F1062" i="6"/>
  <c r="F1064" i="6"/>
  <c r="F1066" i="6"/>
  <c r="F1068" i="6"/>
  <c r="F1070" i="6"/>
  <c r="F1072" i="6"/>
  <c r="F1074" i="6"/>
  <c r="F1076" i="6"/>
  <c r="F1078" i="6"/>
  <c r="F1080" i="6"/>
  <c r="F1082" i="6"/>
  <c r="F1084" i="6"/>
  <c r="F1086" i="6"/>
  <c r="F14" i="7"/>
  <c r="F17" i="7"/>
  <c r="F20" i="7"/>
  <c r="F23" i="7"/>
  <c r="F26" i="7"/>
  <c r="F27" i="7"/>
  <c r="F30" i="7"/>
  <c r="F31" i="7"/>
  <c r="F33" i="7"/>
  <c r="F35" i="7"/>
  <c r="F37" i="7"/>
  <c r="F39" i="7"/>
  <c r="F41" i="7"/>
  <c r="F43" i="7"/>
  <c r="F45" i="7"/>
  <c r="F47" i="7"/>
  <c r="F49" i="7"/>
  <c r="F61" i="7"/>
  <c r="F63" i="7"/>
  <c r="F65" i="7"/>
  <c r="F67" i="7"/>
  <c r="F69" i="7"/>
  <c r="F71" i="7"/>
  <c r="F73" i="7"/>
  <c r="F75" i="7"/>
  <c r="F77" i="7"/>
  <c r="F80" i="7"/>
  <c r="F83" i="7"/>
  <c r="F85" i="7"/>
  <c r="F87" i="7"/>
  <c r="F90" i="7"/>
  <c r="F91" i="7"/>
  <c r="F92" i="7"/>
  <c r="F93" i="7"/>
  <c r="F94" i="7"/>
  <c r="F95" i="7"/>
  <c r="F98" i="7"/>
  <c r="F99" i="7"/>
  <c r="F102" i="7"/>
  <c r="F105" i="7"/>
  <c r="F106" i="7"/>
  <c r="F107" i="7"/>
  <c r="F108" i="7"/>
  <c r="F111" i="7"/>
  <c r="F112" i="7"/>
  <c r="F113" i="7"/>
  <c r="F114" i="7"/>
  <c r="F116" i="7"/>
  <c r="F118" i="7"/>
  <c r="F120" i="7"/>
  <c r="F126" i="7"/>
  <c r="F139" i="7"/>
  <c r="F141" i="7"/>
  <c r="F143" i="7"/>
  <c r="F145" i="7"/>
  <c r="F147" i="7"/>
  <c r="F149" i="7"/>
  <c r="F151" i="7"/>
  <c r="F153" i="7"/>
  <c r="F156" i="7"/>
  <c r="F159" i="7"/>
  <c r="F161" i="7"/>
  <c r="F163" i="7"/>
  <c r="F166" i="7"/>
  <c r="F169" i="7"/>
  <c r="F170" i="7"/>
  <c r="F173" i="7"/>
  <c r="F174" i="7"/>
  <c r="F176" i="7"/>
  <c r="F178" i="7"/>
  <c r="F180" i="7"/>
  <c r="F182" i="7"/>
  <c r="F184" i="7"/>
  <c r="F197" i="7"/>
  <c r="F198" i="7"/>
  <c r="F199" i="7"/>
  <c r="F200" i="7"/>
  <c r="F201" i="7"/>
  <c r="F203" i="7"/>
  <c r="F206" i="7"/>
  <c r="F207" i="7"/>
  <c r="F210" i="7"/>
  <c r="F211" i="7"/>
  <c r="F214" i="7"/>
  <c r="F215" i="7"/>
  <c r="F218" i="7"/>
  <c r="F219" i="7"/>
  <c r="F220" i="7"/>
  <c r="F221" i="7"/>
  <c r="F222" i="7"/>
  <c r="F223" i="7"/>
  <c r="F224" i="7"/>
  <c r="F227" i="7"/>
  <c r="F228" i="7"/>
  <c r="F229" i="7"/>
  <c r="F230" i="7"/>
  <c r="F231" i="7"/>
  <c r="F232" i="7"/>
  <c r="F233" i="7"/>
  <c r="F236" i="7"/>
  <c r="F237" i="7"/>
  <c r="F240" i="7"/>
  <c r="F242" i="7"/>
  <c r="F244" i="7"/>
  <c r="F247" i="7"/>
  <c r="F249" i="7"/>
  <c r="F251" i="7"/>
  <c r="F253" i="7"/>
  <c r="F255" i="7"/>
  <c r="F268" i="7"/>
  <c r="F269" i="7"/>
  <c r="F271" i="7"/>
  <c r="F274" i="7"/>
  <c r="F277" i="7"/>
  <c r="F280" i="7"/>
  <c r="F283" i="7"/>
  <c r="F284" i="7"/>
  <c r="F287" i="7"/>
  <c r="F288" i="7"/>
  <c r="F289" i="7"/>
  <c r="F291" i="7"/>
  <c r="F293" i="7"/>
  <c r="F295" i="7"/>
  <c r="F297" i="7"/>
  <c r="F299" i="7"/>
  <c r="F314" i="7"/>
  <c r="F316" i="7"/>
  <c r="F318" i="7"/>
  <c r="F321" i="7"/>
  <c r="F322" i="7"/>
  <c r="F325" i="7"/>
  <c r="F328" i="7"/>
  <c r="F331" i="7"/>
  <c r="F334" i="7"/>
  <c r="F337" i="7"/>
  <c r="F340" i="7"/>
  <c r="F341" i="7"/>
  <c r="F344" i="7"/>
  <c r="F356" i="7"/>
  <c r="F359" i="7"/>
  <c r="F362" i="7"/>
  <c r="F364" i="7"/>
  <c r="F366" i="7"/>
  <c r="F368" i="7"/>
  <c r="F371" i="7"/>
  <c r="F373" i="7"/>
  <c r="F375" i="7"/>
  <c r="F390" i="7"/>
  <c r="F393" i="7"/>
  <c r="F394" i="7"/>
  <c r="F396" i="7"/>
  <c r="F399" i="7"/>
  <c r="F402" i="7"/>
  <c r="F405" i="7"/>
  <c r="F406" i="7"/>
  <c r="F407" i="7"/>
  <c r="F410" i="7"/>
  <c r="F413" i="7"/>
  <c r="F415" i="7"/>
  <c r="F417" i="7"/>
  <c r="F420" i="7"/>
  <c r="F421" i="7"/>
  <c r="F424" i="7"/>
  <c r="F426" i="7"/>
  <c r="F428" i="7"/>
  <c r="F430" i="7"/>
  <c r="F432" i="7"/>
  <c r="F434" i="7"/>
  <c r="F447" i="7"/>
  <c r="F450" i="7"/>
  <c r="F451" i="7"/>
  <c r="F454" i="7"/>
  <c r="F457" i="7"/>
  <c r="F459" i="7"/>
  <c r="F461" i="7"/>
  <c r="F463" i="7"/>
  <c r="F465" i="7"/>
  <c r="F467" i="7"/>
  <c r="F474" i="7"/>
  <c r="F475" i="7"/>
  <c r="F478" i="7"/>
  <c r="F479" i="7"/>
  <c r="F482" i="7"/>
  <c r="F484" i="7"/>
  <c r="F486" i="7"/>
  <c r="F489" i="7"/>
  <c r="F490" i="7"/>
  <c r="F491" i="7"/>
  <c r="F492" i="7"/>
  <c r="F494" i="7"/>
  <c r="F501" i="7"/>
  <c r="F503" i="7"/>
  <c r="F505" i="7"/>
  <c r="F507" i="7"/>
  <c r="F509" i="7"/>
  <c r="F512" i="7"/>
  <c r="F514" i="7"/>
  <c r="F516" i="7"/>
  <c r="F519" i="7"/>
  <c r="F521" i="7"/>
  <c r="F523" i="7"/>
  <c r="F525" i="7"/>
  <c r="F527" i="7"/>
  <c r="F537" i="7"/>
  <c r="F539" i="7"/>
  <c r="F541" i="7"/>
  <c r="F543" i="7"/>
  <c r="F545" i="7"/>
  <c r="F547" i="7"/>
  <c r="F9" i="8"/>
  <c r="F12" i="8"/>
  <c r="F14" i="8"/>
  <c r="F16" i="8"/>
  <c r="F18" i="8"/>
  <c r="F20" i="8"/>
  <c r="F22" i="8"/>
  <c r="F24" i="8"/>
  <c r="F26" i="8"/>
  <c r="F28" i="8"/>
  <c r="F34" i="8"/>
  <c r="F36" i="8"/>
  <c r="F37" i="8"/>
  <c r="F40" i="8"/>
  <c r="F42" i="8"/>
  <c r="F44" i="8"/>
  <c r="F46" i="8"/>
  <c r="F48" i="8"/>
  <c r="F50" i="8"/>
  <c r="F52" i="8"/>
  <c r="F58" i="8"/>
  <c r="F61" i="8"/>
  <c r="F63" i="8"/>
  <c r="F65" i="8"/>
  <c r="F67" i="8"/>
  <c r="F69" i="8"/>
  <c r="F76" i="8"/>
  <c r="F77" i="8"/>
  <c r="F80" i="8"/>
  <c r="F87" i="8"/>
  <c r="F88" i="8"/>
  <c r="F89" i="8"/>
  <c r="F92" i="8"/>
  <c r="F95" i="8"/>
  <c r="F97" i="8"/>
  <c r="F100" i="8"/>
  <c r="F102" i="8"/>
  <c r="F104" i="8"/>
  <c r="F106" i="8"/>
  <c r="F108" i="8"/>
  <c r="F110" i="8"/>
  <c r="F117" i="8"/>
  <c r="F118" i="8"/>
  <c r="F119" i="8"/>
  <c r="F120" i="8"/>
  <c r="F121" i="8"/>
  <c r="F122" i="8"/>
  <c r="F123" i="8"/>
  <c r="F124" i="8"/>
  <c r="F127" i="8"/>
  <c r="F128" i="8"/>
  <c r="F131" i="8"/>
  <c r="F134" i="8"/>
  <c r="F136" i="8"/>
  <c r="F142" i="8"/>
  <c r="F144" i="8" s="1"/>
  <c r="F155" i="8"/>
  <c r="F157" i="8" s="1"/>
  <c r="C125" i="3" s="1"/>
  <c r="F162" i="8"/>
  <c r="F163" i="8"/>
  <c r="F164" i="8"/>
  <c r="F167" i="8"/>
  <c r="F168" i="8"/>
  <c r="F169" i="8"/>
  <c r="F172" i="8"/>
  <c r="F173" i="8"/>
  <c r="F174" i="8"/>
  <c r="F175" i="8"/>
  <c r="F178" i="8"/>
  <c r="F181" i="8"/>
  <c r="F184" i="8"/>
  <c r="F186" i="8"/>
  <c r="F188" i="8"/>
  <c r="F190" i="8"/>
  <c r="F193" i="8"/>
  <c r="F195" i="8"/>
  <c r="F197" i="8"/>
  <c r="F199" i="8"/>
  <c r="F202" i="8"/>
  <c r="F205" i="8"/>
  <c r="F208" i="8"/>
  <c r="F210" i="8"/>
  <c r="F216" i="8"/>
  <c r="F218" i="8" s="1"/>
  <c r="F229" i="8"/>
  <c r="F231" i="8" s="1"/>
  <c r="C129" i="3" s="1"/>
  <c r="F236" i="8"/>
  <c r="F237" i="8"/>
  <c r="F238" i="8"/>
  <c r="F241" i="8"/>
  <c r="F242" i="8"/>
  <c r="F243" i="8"/>
  <c r="F246" i="8"/>
  <c r="F247" i="8"/>
  <c r="F248" i="8"/>
  <c r="F251" i="8"/>
  <c r="F252" i="8"/>
  <c r="F253" i="8"/>
  <c r="F256" i="8"/>
  <c r="F259" i="8"/>
  <c r="F262" i="8"/>
  <c r="F263" i="8"/>
  <c r="F265" i="8"/>
  <c r="F267" i="8"/>
  <c r="F269" i="8"/>
  <c r="F272" i="8"/>
  <c r="F274" i="8"/>
  <c r="F277" i="8"/>
  <c r="F279" i="8"/>
  <c r="F281" i="8"/>
  <c r="F283" i="8"/>
  <c r="F289" i="8"/>
  <c r="F291" i="8" s="1"/>
  <c r="F300" i="8"/>
  <c r="F303" i="8"/>
  <c r="F306" i="8"/>
  <c r="F308" i="8"/>
  <c r="F310" i="8"/>
  <c r="F312" i="8"/>
  <c r="F315" i="8"/>
  <c r="F316" i="8"/>
  <c r="F317" i="8"/>
  <c r="F318" i="8"/>
  <c r="F319" i="8"/>
  <c r="F320" i="8"/>
  <c r="F327" i="8"/>
  <c r="F329" i="8"/>
  <c r="F331" i="8"/>
  <c r="F333" i="8"/>
  <c r="F14" i="9"/>
  <c r="F16" i="9"/>
  <c r="F18" i="9"/>
  <c r="F20" i="9"/>
  <c r="F22" i="9"/>
  <c r="F24" i="9"/>
  <c r="F26" i="9"/>
  <c r="F28" i="9"/>
  <c r="F30" i="9"/>
  <c r="F32" i="9"/>
  <c r="F34" i="9"/>
  <c r="F36" i="9"/>
  <c r="F38" i="9"/>
  <c r="F40" i="9"/>
  <c r="F42" i="9"/>
  <c r="F44" i="9"/>
  <c r="F46" i="9"/>
  <c r="F48" i="9"/>
  <c r="F50" i="9"/>
  <c r="F52" i="9"/>
  <c r="F54" i="9"/>
  <c r="F56" i="9"/>
  <c r="F58" i="9"/>
  <c r="F60" i="9"/>
  <c r="F62" i="9"/>
  <c r="F64" i="9"/>
  <c r="F66" i="9"/>
  <c r="F68" i="9"/>
  <c r="F70" i="9"/>
  <c r="F72" i="9"/>
  <c r="F74" i="9"/>
  <c r="F76" i="9"/>
  <c r="F78" i="9"/>
  <c r="F80" i="9"/>
  <c r="F82" i="9"/>
  <c r="F84" i="9"/>
  <c r="F86" i="9"/>
  <c r="F88" i="9"/>
  <c r="F90" i="9"/>
  <c r="F92" i="9"/>
  <c r="F94" i="9"/>
  <c r="F96" i="9"/>
  <c r="F98" i="9"/>
  <c r="F100" i="9"/>
  <c r="F102" i="9"/>
  <c r="F104" i="9"/>
  <c r="F106" i="9"/>
  <c r="F108" i="9"/>
  <c r="F118" i="9"/>
  <c r="F120" i="9"/>
  <c r="F122" i="9"/>
  <c r="F124" i="9"/>
  <c r="F126" i="9"/>
  <c r="F128" i="9"/>
  <c r="F130" i="9"/>
  <c r="F132" i="9"/>
  <c r="F134" i="9"/>
  <c r="F136" i="9"/>
  <c r="F138" i="9"/>
  <c r="F140" i="9"/>
  <c r="F142" i="9"/>
  <c r="F144" i="9"/>
  <c r="F146" i="9"/>
  <c r="F148" i="9"/>
  <c r="F159" i="9"/>
  <c r="F161" i="9"/>
  <c r="F163" i="9"/>
  <c r="F165" i="9"/>
  <c r="F167" i="9"/>
  <c r="F169" i="9"/>
  <c r="F171" i="9"/>
  <c r="F174" i="9"/>
  <c r="F176" i="9"/>
  <c r="F178" i="9"/>
  <c r="F180" i="9"/>
  <c r="F182" i="9"/>
  <c r="F184" i="9"/>
  <c r="F186" i="9"/>
  <c r="F188" i="9"/>
  <c r="F192" i="9"/>
  <c r="F194" i="9"/>
  <c r="F196" i="9"/>
  <c r="F198" i="9"/>
  <c r="F200" i="9"/>
  <c r="F202" i="9"/>
  <c r="F204" i="9"/>
  <c r="F206" i="9"/>
  <c r="F208" i="9"/>
  <c r="F210" i="9"/>
  <c r="F212" i="9"/>
  <c r="F214" i="9"/>
  <c r="F216" i="9"/>
  <c r="F218" i="9"/>
  <c r="F220" i="9"/>
  <c r="F222" i="9"/>
  <c r="F224" i="9"/>
  <c r="F226" i="9"/>
  <c r="F238" i="9"/>
  <c r="F240" i="9"/>
  <c r="F242" i="9"/>
  <c r="F244" i="9"/>
  <c r="F246" i="9"/>
  <c r="F248" i="9"/>
  <c r="F250" i="9"/>
  <c r="F252" i="9"/>
  <c r="F254" i="9"/>
  <c r="F256" i="9"/>
  <c r="F258" i="9"/>
  <c r="F260" i="9"/>
  <c r="F262" i="9"/>
  <c r="F264" i="9"/>
  <c r="F266" i="9"/>
  <c r="F268" i="9"/>
  <c r="F270" i="9"/>
  <c r="F272" i="9"/>
  <c r="F274" i="9"/>
  <c r="F276" i="9"/>
  <c r="F278" i="9"/>
  <c r="F280" i="9"/>
  <c r="F8" i="11"/>
  <c r="F12" i="11"/>
  <c r="F16" i="11"/>
  <c r="F20" i="11"/>
  <c r="F28" i="11"/>
  <c r="F32" i="11"/>
  <c r="F36" i="11"/>
  <c r="F40" i="11"/>
  <c r="F44" i="11"/>
  <c r="F53" i="11"/>
  <c r="F54" i="11"/>
  <c r="F58" i="11"/>
  <c r="F62" i="11"/>
  <c r="F66" i="11"/>
  <c r="F74" i="11"/>
  <c r="F78" i="11"/>
  <c r="F82" i="11"/>
  <c r="F86" i="11"/>
  <c r="F90" i="11"/>
  <c r="F94" i="11"/>
  <c r="F98" i="11"/>
  <c r="F99" i="11"/>
  <c r="F100" i="11"/>
  <c r="F22" i="11" l="1"/>
  <c r="C158" i="3" s="1"/>
  <c r="F110" i="9"/>
  <c r="F71" i="8"/>
  <c r="F377" i="7"/>
  <c r="F987" i="5"/>
  <c r="F121" i="6"/>
  <c r="F1876" i="5"/>
  <c r="F1879" i="5" s="1"/>
  <c r="F1883" i="5" s="1"/>
  <c r="C59" i="3"/>
  <c r="F1065" i="5"/>
  <c r="C30" i="3" s="1"/>
  <c r="F276" i="5"/>
  <c r="C13" i="3" s="1"/>
  <c r="C28" i="3"/>
  <c r="F514" i="5"/>
  <c r="C18" i="3" s="1"/>
  <c r="F724" i="5"/>
  <c r="C20" i="3" s="1"/>
  <c r="F1006" i="5"/>
  <c r="C29" i="3" s="1"/>
  <c r="F786" i="6"/>
  <c r="C78" i="3" s="1"/>
  <c r="F1858" i="5"/>
  <c r="C57" i="3" s="1"/>
  <c r="F1632" i="5"/>
  <c r="F456" i="5"/>
  <c r="C17" i="3" s="1"/>
  <c r="F411" i="5"/>
  <c r="C15" i="3" s="1"/>
  <c r="F660" i="6"/>
  <c r="C77" i="3" s="1"/>
  <c r="F1008" i="6"/>
  <c r="C68" i="3"/>
  <c r="F881" i="6"/>
  <c r="F836" i="6"/>
  <c r="C79" i="3" s="1"/>
  <c r="F591" i="6"/>
  <c r="F138" i="6"/>
  <c r="C69" i="3" s="1"/>
  <c r="F1088" i="6"/>
  <c r="F1091" i="6" s="1"/>
  <c r="F954" i="6"/>
  <c r="F865" i="6"/>
  <c r="F624" i="6"/>
  <c r="F924" i="5"/>
  <c r="C25" i="3" s="1"/>
  <c r="F838" i="5"/>
  <c r="C23" i="3" s="1"/>
  <c r="F1768" i="5"/>
  <c r="C50" i="3" s="1"/>
  <c r="F1664" i="5"/>
  <c r="C45" i="3" s="1"/>
  <c r="F50" i="5"/>
  <c r="C11" i="3" s="1"/>
  <c r="F1353" i="5"/>
  <c r="F1801" i="5"/>
  <c r="C55" i="3" s="1"/>
  <c r="F766" i="5"/>
  <c r="C22" i="3" s="1"/>
  <c r="F94" i="5"/>
  <c r="C12" i="3" s="1"/>
  <c r="F1291" i="5"/>
  <c r="F1548" i="5"/>
  <c r="C41" i="3" s="1"/>
  <c r="F1367" i="5"/>
  <c r="F1275" i="5"/>
  <c r="F1241" i="5"/>
  <c r="F953" i="5"/>
  <c r="C27" i="3" s="1"/>
  <c r="F864" i="5"/>
  <c r="C24" i="3" s="1"/>
  <c r="F532" i="5"/>
  <c r="C19" i="3" s="1"/>
  <c r="F1829" i="5"/>
  <c r="C56" i="3" s="1"/>
  <c r="F1208" i="5"/>
  <c r="C34" i="3" s="1"/>
  <c r="F1305" i="5"/>
  <c r="F1733" i="5"/>
  <c r="C48" i="3" s="1"/>
  <c r="F1693" i="5"/>
  <c r="C46" i="3" s="1"/>
  <c r="F1453" i="5"/>
  <c r="C40" i="3" s="1"/>
  <c r="F1113" i="5"/>
  <c r="C31" i="3" s="1"/>
  <c r="F1749" i="5"/>
  <c r="C49" i="3" s="1"/>
  <c r="F1579" i="5"/>
  <c r="C42" i="3" s="1"/>
  <c r="F1253" i="5"/>
  <c r="F1162" i="5"/>
  <c r="C33" i="3" s="1"/>
  <c r="F1138" i="5"/>
  <c r="C32" i="3" s="1"/>
  <c r="F1339" i="5"/>
  <c r="F346" i="5"/>
  <c r="C14" i="3" s="1"/>
  <c r="F102" i="11"/>
  <c r="C151" i="3"/>
  <c r="C153" i="3" s="1"/>
  <c r="C181" i="3" s="1"/>
  <c r="F73" i="10"/>
  <c r="F322" i="8"/>
  <c r="F436" i="7"/>
  <c r="F469" i="7"/>
  <c r="C106" i="3" s="1"/>
  <c r="F496" i="7"/>
  <c r="F68" i="11"/>
  <c r="C160" i="3" s="1"/>
  <c r="F46" i="11"/>
  <c r="C159" i="3" s="1"/>
  <c r="F150" i="9"/>
  <c r="C141" i="3" s="1"/>
  <c r="C140" i="3"/>
  <c r="F228" i="9"/>
  <c r="C142" i="3" s="1"/>
  <c r="F282" i="9"/>
  <c r="F285" i="8"/>
  <c r="F212" i="8"/>
  <c r="F138" i="8"/>
  <c r="F112" i="8"/>
  <c r="C121" i="3" s="1"/>
  <c r="F82" i="8"/>
  <c r="C120" i="3" s="1"/>
  <c r="F54" i="8"/>
  <c r="F335" i="8"/>
  <c r="F301" i="7"/>
  <c r="F257" i="7"/>
  <c r="F128" i="7"/>
  <c r="C100" i="3" s="1"/>
  <c r="F186" i="7"/>
  <c r="F122" i="7"/>
  <c r="F51" i="7"/>
  <c r="F549" i="7"/>
  <c r="C131" i="3"/>
  <c r="C119" i="3"/>
  <c r="C127" i="3"/>
  <c r="F529" i="7"/>
  <c r="C108" i="3" s="1"/>
  <c r="F30" i="8"/>
  <c r="C117" i="3" s="1"/>
  <c r="C82" i="3"/>
  <c r="C43" i="3" l="1"/>
  <c r="F1635" i="5"/>
  <c r="F1774" i="5" s="1"/>
  <c r="C72" i="3"/>
  <c r="C89" i="3"/>
  <c r="C91" i="3" s="1"/>
  <c r="F285" i="9"/>
  <c r="F1771" i="5"/>
  <c r="F1775" i="5" s="1"/>
  <c r="F1369" i="5"/>
  <c r="F1861" i="5"/>
  <c r="F1882" i="5" s="1"/>
  <c r="F1884" i="5" s="1"/>
  <c r="F414" i="5"/>
  <c r="F1375" i="5" s="1"/>
  <c r="C143" i="3"/>
  <c r="C161" i="3"/>
  <c r="C163" i="3" s="1"/>
  <c r="C182" i="3" s="1"/>
  <c r="F105" i="11"/>
  <c r="C84" i="3"/>
  <c r="C132" i="3"/>
  <c r="C133" i="3"/>
  <c r="C122" i="3"/>
  <c r="C123" i="3"/>
  <c r="C105" i="3"/>
  <c r="C104" i="3"/>
  <c r="C107" i="3"/>
  <c r="C102" i="3"/>
  <c r="C98" i="3"/>
  <c r="C101" i="3"/>
  <c r="C103" i="3"/>
  <c r="C99" i="3"/>
  <c r="C109" i="3"/>
  <c r="C75" i="3"/>
  <c r="C83" i="3"/>
  <c r="C118" i="3"/>
  <c r="C80" i="3"/>
  <c r="C76" i="3"/>
  <c r="F148" i="6"/>
  <c r="F1372" i="5" l="1"/>
  <c r="F1376" i="5" s="1"/>
  <c r="F1377" i="5" s="1"/>
  <c r="C35" i="3"/>
  <c r="F1776" i="5"/>
  <c r="C145" i="3"/>
  <c r="C180" i="3" s="1"/>
  <c r="F147" i="8"/>
  <c r="C130" i="3"/>
  <c r="F294" i="8"/>
  <c r="C126" i="3"/>
  <c r="F221" i="8"/>
  <c r="C111" i="3"/>
  <c r="C178" i="3" s="1"/>
  <c r="F552" i="7"/>
  <c r="F1011" i="6"/>
  <c r="F1094" i="6" s="1"/>
  <c r="C81" i="3"/>
  <c r="C86" i="3" s="1"/>
  <c r="C60" i="3"/>
  <c r="F1887" i="5" l="1"/>
  <c r="C51" i="3"/>
  <c r="C36" i="3"/>
  <c r="C135" i="3"/>
  <c r="C179" i="3" s="1"/>
  <c r="F338" i="8"/>
  <c r="C93" i="3"/>
  <c r="C177" i="3"/>
  <c r="C190" i="3"/>
  <c r="C192" i="3" s="1"/>
  <c r="C193" i="3" s="1"/>
  <c r="C194" i="3" s="1"/>
  <c r="C62" i="3" l="1"/>
  <c r="C176" i="3" s="1"/>
  <c r="C185" i="3" s="1"/>
  <c r="C186" i="3" l="1"/>
  <c r="C187" i="3" s="1"/>
  <c r="C197" i="3" s="1"/>
</calcChain>
</file>

<file path=xl/sharedStrings.xml><?xml version="1.0" encoding="utf-8"?>
<sst xmlns="http://schemas.openxmlformats.org/spreadsheetml/2006/main" count="6184" uniqueCount="3387">
  <si>
    <t>OPĆI UVJETI</t>
  </si>
  <si>
    <t>1.</t>
  </si>
  <si>
    <t>ARHITEKTURA</t>
  </si>
  <si>
    <t>RB</t>
  </si>
  <si>
    <t>STAVKA</t>
  </si>
  <si>
    <t>JEDINICA MJERE</t>
  </si>
  <si>
    <t>KOLIČINA</t>
  </si>
  <si>
    <t>JEDINIČNA CIJENA</t>
  </si>
  <si>
    <t>UKUPNA CIJENA</t>
  </si>
  <si>
    <t>UKLANJANJE</t>
  </si>
  <si>
    <t>GRAĐEVINSKI RADOVI</t>
  </si>
  <si>
    <t>Postavljanje ograde gradilišta po rubu parcele</t>
  </si>
  <si>
    <t>Ograda visine cca 2,0 m. Na ogradu postaviti potrebne oznake (zabrana pristupa neovlaštenim osobama, obavezno korištenje HTZ opreme i dr. prema Zakonu o gradnji)</t>
  </si>
  <si>
    <t>m</t>
  </si>
  <si>
    <t>Vrata veličine 4,0 x 2,0 m.</t>
  </si>
  <si>
    <t>komad</t>
  </si>
  <si>
    <t>Gradilišna ploča</t>
  </si>
  <si>
    <t>Izrada i postavljanje gradilišne ploče veličine 1,0x1,4 m.</t>
  </si>
  <si>
    <t>Uklanjanje planinarskog doma</t>
  </si>
  <si>
    <t>komplet</t>
  </si>
  <si>
    <t>Uklanjanje objekta uz planinarski dom</t>
  </si>
  <si>
    <t>Uklanjanje stepenica u terenu</t>
  </si>
  <si>
    <t>Pažljivo uklanjanje stepenica u terenu, te čišćenje kamena i njegovo deponiranje na gradilištu, za kasniju ponovnu upotrebu.</t>
  </si>
  <si>
    <t>Površina zahvata = 10,00 m2.</t>
  </si>
  <si>
    <t>Postavljanje signalizacije za potrebe gradilišta</t>
  </si>
  <si>
    <t>paušal</t>
  </si>
  <si>
    <t>GRAĐEVINSKI RADOVI UKUPNO:</t>
  </si>
  <si>
    <t>UKLANJANJE UKUPNO:</t>
  </si>
  <si>
    <t>GRAĐEVINSKO-OBRTNIČKI RADOVI</t>
  </si>
  <si>
    <t>PLANINARSKI DOM NA ŽITNICI</t>
  </si>
  <si>
    <t>OPĆE NAPOMENE:
Svi radovi navedeni u ovom troškovniku moraju biti izvedeni stručno i solidno, prema projektu,važećim zakonima , tehničkim propisima i uputama nadzorne službe.
Osim toga , izvođač je obavezan pridržavati se uputa projektanta/nadzora u svim pitanjima koja se odnose na izbor i obradu materijala i način izvedbe pojedinih detalja, ukoliko to nije već opisano troškovnikom.
U slučaju da opis pojedine stavke nije dovoljno jasan, mjerodavan je Izvedbeni projekt, ili uputa i tumačenje projektanta/nadzora. O tome se izvođač treba informirati već prilikom sastavljanja jedinične cijene.
Izvođač je dužan prilikom sastavljana ponude proučiti sve potrebne projekte radi potpunog uvida u objekt.
U jediničnim cijenama moraju biti obuhvaćeni svi troškovi potrebni za dovršenje predviđenog rada, tj. materijal s prevozima i prenosima, troškovi mehanizacije, radna snaga sa svim dodacima, svi režijski troškovi izvođača, obveze, porezi, dobit i ostalo, tako da je ponuđena cijena konačna.
U ponuđenim jediničnim cijenama moraju također biti obuhvaćeni svi pripremni radovi potrebni za izgradnju zgrade, kao što je izvedba svih pomoćnih objekta i instalacijskih priključaka gradilišta, ograde gradilišta itd.
Svi upotrebljeni i ugrađeni materijali moraju odgovarati Hrvatskim normama, a atesti ne smiju biti stariji od godine dana. Atesti za betone se moraju odnositi na uzorke betona uzete na mjestu i u vrijeme ugradnje pojedine tehnološke faze betoniranja.</t>
  </si>
  <si>
    <t>PRIPREMNI RADOVI</t>
  </si>
  <si>
    <t>Postavljanje ograde gradilišta po rubu parcele. Ograda visine cca 2,0 m. Na ogradu postaviti potrebne oznake (zabrana pristupa neovlaštenim osobama, obavezno korištenje HTZ opreme i dr. prema Zakonu o gradnji)</t>
  </si>
  <si>
    <t>Postavljanje dvokrilnih vrata na ulazu u gradilište. Vrata veličine 4,0 x 2,0 m.</t>
  </si>
  <si>
    <t>Geodetski radovi koji obuhvaćaju geodetska mjerenja, izradu elaborata iskolčenja objekta (OBAVEZA IZVOĐAČA) s određivanjem svih poprečnih i uzdužnih profila, sva geodetska mjerenja kojima se podaci s projekta prenose na teren (vertikalno i horizontalno), osiguranje pojedinih točaka koje služe za rekonstrukciju osovine i visine objekta.
Prema stanju na licu mjesta predstavnici izvođača, naručioca, nadzorni inženjer i geodeta odrediti će profile. Opseg tih radova mora zadovoljavati potrebe gradnje, kontrole radova i obračuna. Svi podaci trebaju biti evidentirani u građevinskom dnevniku.</t>
  </si>
  <si>
    <t>Izrada nanosne skele.</t>
  </si>
  <si>
    <t>PRIPREMNI RADOVI UKUPNO:</t>
  </si>
  <si>
    <t>ZEMLJANI RADOVI</t>
  </si>
  <si>
    <t>m²</t>
  </si>
  <si>
    <t>m³</t>
  </si>
  <si>
    <t>Produbljenje iskopa u tlu A kategorije za okna dizala i sprinkler-bazena. Strojni iskop sa pravilnim profiliranjem stranica iskopa.
Iskopani materijal se odlaže na gradilištu i koristi za kasnija zatrpavanja i nasipavanja.
Obračun po m3 stvarno iskopanih količina u sraslom stanju.</t>
  </si>
  <si>
    <t>Ručno planiranje dna širokog iskopa i iskopa za temeljne trake na +- 3 cm točnosti.</t>
  </si>
  <si>
    <t>Dobava, razastiranje i zbijanje tamponskog sloja šljunka (cakumpak) u sloju debljine 20 cm ispod temeljne ploče. Sloj treba biti zbijen do stupnja ispitane zbijenosti izražen kao modul stišljivosti Mv = 30 MPa i isplaniran na 2 cm točnosti.
Obračun po m3 idealnog obujma.</t>
  </si>
  <si>
    <t>Dobava, razastiranje i zbijanje tamponskog sloja šljunka (cakumpak) u sloju debljine 10 cm ispod temeljnih traka potpornih i upornih zidova. Sloj treba biti zbijen do stupnja ispitane zbijenosti izražen kao modul stišljivosti Mv = 30 MPa i isplaniran na 2 cm točnosti.
Obračun po m3 idealnog obujma.</t>
  </si>
  <si>
    <t>Dobava, razastiranje i zbijanje sloja prane batude za drenažu oko ukopanih zidova objekta. Batuda se nasipava do visine cca 0,3 m od površine konačno zaravnatog terena.</t>
  </si>
  <si>
    <t>Uređenje temeljnog tla na terasama na terenu mehaničkim zbijanjem. Tlo se zbija pri optimalnoj vlažnosti, ako je moguće odmah po izvršenom iskopu. Prije zbijanja treba zaravnati površinu. Zbijanje se obavlja odgovarajućim sredstvima za zbijanje. Tražena zbijenost po standardnom Proctorovom postupku iznosi 95%, odnosno modul stišljivosti mjeren kružnom pločom promjera 30 cm iznosi 40 Mn/m2.</t>
  </si>
  <si>
    <t>Dobava kamenog materijala i izrada drenažnog sloja na terasama na terenu. Debljina posteljice cca 15 cm. Rad obuhvaća nasipavanje, razastiranje, kvašenje i zbijanje kamenog materijala.
Obračun po m3 ugrađenog materijala u zbijenom stanju.</t>
  </si>
  <si>
    <t>Izrada nosivog sloja od mehanički stabiliziranog kamenog materijala debljine 20 cm. Primjenjuje se krupnozrnati kameni materijal koji treba zadovoljiti granulometrijske uvjete. Završni sloj izvesti od sitnog kamenog materijala sa kvašenjem i zbijanjem do potrebne zbijenosti. Nakon razastiranja, planiranja, profiliranja vrši se sabijanje vibracijskim sredstvima do modula stišljivosti: Ms&gt;60 MN/m2</t>
  </si>
  <si>
    <t>Dobava i razastiranje zemlje crnice na budućim zelenim površinama oko objekta. Debljina sloja cca 30 cm.</t>
  </si>
  <si>
    <t>Dobava i razastiranje parkovnog šljunka na velikoj i okolnim terasama, uz dobro zbijanje. Debljina sloja cca. 10 cm.</t>
  </si>
  <si>
    <t>ZEMLJANI RADOVI UKUPNO:</t>
  </si>
  <si>
    <t>BETONSKI I ARMIRANO-BETONSKI RADOVI</t>
  </si>
  <si>
    <t>Izrada betonske podloge debljine 10 cm betonom kvalitete C25/30 sa finim zaribavanjem površine kao podloge za hidroizolaciju.</t>
  </si>
  <si>
    <t>a-beton</t>
  </si>
  <si>
    <t>b-oplata</t>
  </si>
  <si>
    <t>c-armatura</t>
  </si>
  <si>
    <t>kg</t>
  </si>
  <si>
    <t>Izrada armirano betonskih potpornih i upornih zidova na parceli, debljine 20 cm, betonom kvalitete C25/30 u potrebnoj dvostranoj oplati. Rad obuhvaća: izradu oplate, dobavu i postavljanje armature, kvašenje oplate, ubacivanje betona i zbijanje (vibriranje) sve dok se voda ne pojavi na površini.
U cijenu uključiti izvedbu potrebnih otvora, usjeka, proboja i sl.</t>
  </si>
  <si>
    <t>b-oplata, rubna</t>
  </si>
  <si>
    <t>* podrum, linijski kanala dubine 10-20 cm</t>
  </si>
  <si>
    <t>* prizemlje, linijski kanala dubine 10-13 cm</t>
  </si>
  <si>
    <t>BETONSKI I ARMIRANO-BETONSKI RADOVI UKUPNO:</t>
  </si>
  <si>
    <t>ZIDARSKI RADOVI</t>
  </si>
  <si>
    <t>U vidljive bridove žbuke trebaju biti ugrađeni kutni zaštitni pocinčani profili.
Kod obračuna količina otvori do 3 m2 nisu odbijani, a špalete su neobračunate, dok su otvori veći od 3 m2 odbijani, a špalete izražene u m’.
Troškovničke stavke uključuju dobavu i ugradnju svih opisanih materijala.Svaki rad podrazumijeva se kompletno izveden i dogotovljen , ukoliko to opisom stavke nije drugačije naznačeno, a točno prema projektu i opisu troškovnika. Jedinična cijena mora sadržavati :
- sav rad i prijenose na gradilišta s transportom
- materijal i alat s uskladištenjem
- radnu skelu
- krpanja i popravke
- čišćenje prostorija i zidnih površina po završetku rada od morta i otpadaka
- nadokanadu za sve eventualne štete
- sve posredne i neposredne troškove
Napomena: U cijenu stavke uključiti i cijenu potrebne radne skele.</t>
  </si>
  <si>
    <t>Zidanje zidova prizemlja debljine 30 cm blok opekom (1800,00 kg/m3) u produžnom cementnom mortu. U cijeni obračunata obrada rubova zidova, spojeva sa susjednim plohama i laka skela. Visina rada do 2,80 m. Detalje završetaka i rubova zidanja izvesti po pravilima struke, bez obzira na oblik i veličinu zida. Obračun po m3 zida.</t>
  </si>
  <si>
    <t>Zidanje zidova prizemlja debljine 20 cm blok opekom (1800,00 kg/m3) u produžnom cementnom mortu. U cijeni obračunata obrada rubova zidova, spojeva sa susjednim plohama i laka skela. Visina rada do 2,80 m. Detalje završetaka i rubova zidanja izvesti po pravilima struke, bez obzira na oblik i veličinu zida. Obračun po m3 zida.</t>
  </si>
  <si>
    <t>Visina dimnjaka 12,0 m.</t>
  </si>
  <si>
    <t>Grubo i fino žbukanje zidova vapneno cementnim mortom debljine 2 cm sa prethodnim prskanjem površina cem. mlijekom uz dodatak krupnog pijeska. Sve uglove je potrebno ojačati ugradnjom tipskih elemenata za ojačanje.
Sve betonske površine prethodno premazati SN vezom.
Sve spojeve različitih materijala potrebno je rabicirati rabic pletivom.</t>
  </si>
  <si>
    <t>Zidarska obrada armiranobetonskih zidova koji se ne žbukaju (štemanje i obijanje neravnih dijelova betona, gletanje, otprašivanje, brušenje, popravci reparaturnim mortom i dr.).</t>
  </si>
  <si>
    <t>Zidarska obrada potpornih i upornih zidova koji se ne žbukaju (štemanje i obijanje neravnih dijelova betona, gletanje, otprašivanje, brušenje, popravci reparaturnim mortom i dr.).</t>
  </si>
  <si>
    <t>Dobava i ugradnja tipskih revizionih vratašca od inoxa u oblogu instalacionih kanala od gk ploča na mjestu revizija i glavnih ventila. Ugradba se vrši ljepilom.</t>
  </si>
  <si>
    <t>Zidarska obrada usjeka, proboja, prolaza i šliceva nakon montaže i ispitivanja instalacija. Vodovodne pocinčane cijevi se obrađuju cementnim mortom, a ostale produžnim mortom. Usjeci 10 cm i širi, te proboji i prolazi 10x10 cm i više se rabiciraju, što je uključeno u cijenu. Kompletan rad i materijal po pravilima struke.</t>
  </si>
  <si>
    <t>šlicevi do 10 cm</t>
  </si>
  <si>
    <t>šlicevi preko 10 cm</t>
  </si>
  <si>
    <t>Završno čišćenje objekta i okolnog terena nakon dovršetka svih radova. Rad obuhvaća odvoz građevinske šute, smeća i otpadnog materijala ,ručno metenje, pranje podova, sanitarnih uređaja i zidova obloženih keramikom, čišćenje prozora, vrata i dr.</t>
  </si>
  <si>
    <t>ZIDARSKI RADOVI UKUPNO:</t>
  </si>
  <si>
    <t>TESARSKI RADOVI</t>
  </si>
  <si>
    <t>Skela i oplata moraju biti izvedeni tako da se osigura puna sigurnost radnika i sredstava rada, kao i sigurnost prolaznika, prometa, susjednih objekata i okoline.
Nastavci oplate moraju biti izvedeni tako da se osigura dobro brtvljenje i spriječe deformacije.
Nadvišenja skela i oplata izvesti u zavisnosti od objekta kao i od njegove namjene i vanjskog izgleda.
Za specifične i naročito složene objekte nadvišenja skela određuju sa proračunom.</t>
  </si>
  <si>
    <t>* lamelirani nosač  24x40 cm, L=15,80 m</t>
  </si>
  <si>
    <t>* drvene gredice  12x16 cm, L=3,20 m</t>
  </si>
  <si>
    <t>* drveni stupovi  20x20 cm, h=2,80 m</t>
  </si>
  <si>
    <t>* lamelirani nosač  20x32 cm, L=9,75 m</t>
  </si>
  <si>
    <t>Dobava materijala i izrada sustava poda potkrovlja. Sustav se izvodi postavom OSB ploča debljine 2,4 cm preko drvene konstrukcije na gumene podloške. Preko OSB ploča postavljaju se tvrde ploče mineralne vune u dva sloja tvrde 2x5 cm. Na tvrde ploče mineralne vune postavljaju se OSB ploče debljine 2,4 cm, u dva sloja 2x2,4 cm s međusobno okomitim spojevima. Sve ostalo kao u prethodnoj stavci.</t>
  </si>
  <si>
    <t>* drveni stupovi  20x20 cm, h=3,80 m</t>
  </si>
  <si>
    <t>* drveni rogovi  14x20 cm, L=11,80 m</t>
  </si>
  <si>
    <t>Dobava materijala i postava OSB ploča debljine 2,4 cm preko postavljenih drvenih rogova. U cijenu i obračun se uključuje kompletan sadržaj za dovršenje (sidreni vijci, limovi za ojačanje, spojna sredstva, obrada, premaz i dr.).</t>
  </si>
  <si>
    <t>Dobava materijala i postava OSB ploča debljine 2,4 cm u dva sloja preko postavljenih kontraletvi. U cijenu i obračun se uključuje kompletan sadržaj za dovršenje (sidreni vijci, limovi za ojačanje, spojna sredstva, obrada, premaz i dr.).</t>
  </si>
  <si>
    <t>* skela oslonjena na tlu</t>
  </si>
  <si>
    <t>Izrada raznih drvenih kutija za otvore u armiranobetonskim elementima.</t>
  </si>
  <si>
    <t>* otvori veličine do 30x30 cm</t>
  </si>
  <si>
    <t>* otvori preko 30x30 cm</t>
  </si>
  <si>
    <t>TESARSKI RADOVI UKUPNO:</t>
  </si>
  <si>
    <t>OBRTNIČKI RADOVI</t>
  </si>
  <si>
    <t>IZOLATERSKI RADOVI</t>
  </si>
  <si>
    <t>Dobava i postava toplinske izolacije ukopanih zidova podruma.
Na postavljenu bitumensku hidroizolaciju postavlja se:
- ekstrudirani polistiren XPS u pločama s rubnim preklopom (30kg/m3) Debljina sloja 12 cm
-drenažna traka sa čepićima okrenutima prema pločama toplinske izolacije debljine 1 cm</t>
  </si>
  <si>
    <t>Dobava i postava toplinske izolacije stropne konstrukcije od mineralne vune debljine 15 cm (30 kg/m3). Mineralna vuna se utiskuje između postavljenih greda s donje strane.</t>
  </si>
  <si>
    <t>Dobava i postavljanje filc trake na spoju krute ploče "plivajućih podova" i svih zidova i drugih konstrukcija (dimnjaci, parapeti, podzid kade i dr.) do visine gotovog poda.</t>
  </si>
  <si>
    <t>IZOLATERSKI RADOVI UKUPNO:</t>
  </si>
  <si>
    <t>LIMARSKI RADOVI</t>
  </si>
  <si>
    <t>Izvedba prema detaljnim uputama proizvođača. Obračun po m².</t>
  </si>
  <si>
    <t>R.Š. 25 cm</t>
  </si>
  <si>
    <t>R.Š. 50 cm</t>
  </si>
  <si>
    <t>Dobava i ugradnja opšava krovnog prodora iznad stubišta cca 45x50cm (uključiti kitne lajsne) aluminijskim limom r.š. 50 boje i kvalitete kao i osnovna pozicija. Lim uzdignut minimalno 15 cm.
Uklljučiti sav spojni i brtveni materijal.</t>
  </si>
  <si>
    <t>Dobava i ugradnja gorni i donji opšav za ležeće krovne prozore dim. cca 80x170 cm od aluminijskog lima r.š. 40 boje i kvalitete kao i osnovna pozicija. Montirati stručno u utorima ispod pokrivnih kapa prozora te vjetrootporno s omogućenim dilatacijskim radom. Ukupna duljina gornjeg i donjeg opšava 6 m1.</t>
  </si>
  <si>
    <t>Dobava i ugradnja dilatacija za viseći žljeb iz aluminijskog lima i EPDM gumom. Postava na svakih 12m visećeg žljeba. Dužina 260mm. Kvaliteta materijala kao osnovna pozicija. Obračun po kom.</t>
  </si>
  <si>
    <t>Dobava i ugradnja okruglih spojnih kotliča za visečeg žljeba 400 Ø150mm iz aluminijskog lima 0.7mm boja i kvaliteta materijala kao osnovna pozicija. Uključivo sve spojne elemente prema uputama proizvođaća. Obračun po kom.</t>
  </si>
  <si>
    <t>Dobava i ugradnja okruglih labuđih vratova Ø 150mm, duljina 300cm sa pripadajučim koljenima iz aluminijskog lima debljine boja i kvaliteta materijala kao osnovna pozicija. Uključivo okrugle cijevi, gumene brtve i cjevne spojnice. Obračun po kom.</t>
  </si>
  <si>
    <t>Ø 150 mm</t>
  </si>
  <si>
    <t>LIMARSKI RADOVI UKUPNO:</t>
  </si>
  <si>
    <t>FASADERSKI   RADOVI</t>
  </si>
  <si>
    <t>PROČELJE se izvodi slojem fasadnog premaza ili dekorativne fasadne slilkatne žbuke na polimercementnoj žbuki armiranoj alkalno otpornom mrežicom u dva sloja na podlozi od polistirena ili na betonu .Završni sloj fasadnog premaza ili dekorativne fasadne silikatne žbuke u dvije boje po izboru projektanta .
Sve podnožne, okapne, ugaone, završne profile uključiti u cijenu, kao i obrade uz prozorske klupčice, opšavne limove, i sl.
Strukturu fasade i podnožja odredit će i potpisom potvrditi projektant na pripremljenim uzorcima.
Otvori veličine manje od 3m² se ne odbijaju od površine pročelja, otvori veći od 3 m2, odbijaju se prema odgovarajućoj normi.
Cijevna skela, sa zaštitnim ogradama, ljestvama, zaštitnom tkaninom, njezina montaža, korištenje tokom izvedbe radova i demontaža dio su jediničnih cijena troškovničkih stavki.
U jedinične cijene uključiti i pripremu podloge za odabrane boje.
U jedinične cijene uključeno je mjerenje fasade i definicija ravnina završne fasade.</t>
  </si>
  <si>
    <t>Dobava i izvedba toplinske fasade na ventilacijskim kanalima i dimnjaku u slojevima:
-ljepljeni ekpandirani polistiren u fasadnim pločama EPS-F (15kg/m3) i učvršćen dodatno na podlogu plastičnim pričvrsnicama sa širokom glavom (min 6 kom/m2). Debljina ploča 5 cm
- polimercementni mort armiran alkalnootpornom meržicom
- prednamaz
- završna tankoslojna silokonska fasadna žbuka u tonu prema izboru projektanta
Boja i teksturu odabrat će projektant na licu mjesta prema izrađenom uzorku veličine min 1,0 m2. Izrada uzorka treba biti uključena u cijenu.</t>
  </si>
  <si>
    <t>FASADERSKI   RADOVI UKUPNO:</t>
  </si>
  <si>
    <t>ALUMINIJSKA I BRAVARSKA STOLARIJA</t>
  </si>
  <si>
    <t>U nacrtima označeno kao AL stavka 1.</t>
  </si>
  <si>
    <t>U nacrtima označeno kao AL stavka 2.</t>
  </si>
  <si>
    <t>U nacrtima označeno kao AL stavka 3.</t>
  </si>
  <si>
    <t>U nacrtima označeno kao AL stavka 4.</t>
  </si>
  <si>
    <t>Dobava i montaža različitih aluminijskih profila prema detaljima.</t>
  </si>
  <si>
    <t>* eloksirani aluminijski profil 90x60x6 mm</t>
  </si>
  <si>
    <t>* aluminijski "U" profil 20x20 mm</t>
  </si>
  <si>
    <t>Dobava i montaža tipskih aluminijskih rešetki na instalacijskim kanalima. Veličina rešetki 50x20 cm.</t>
  </si>
  <si>
    <t>Dobava i montaža tipskih aluminijskih rešetki na dozračnim i odzračnim otvorima ventilirane fasade. Veličina rešetki 50x5 cm.</t>
  </si>
  <si>
    <t>ALUMINIJSKA I BRAVARSKA STOLARIJA UKUPNO:</t>
  </si>
  <si>
    <t>STOLARSKI RADOVI</t>
  </si>
  <si>
    <t>U nacrtima označeno kao stavka vanjske stolarije 13.</t>
  </si>
  <si>
    <t>PROTUPOŽARNA STOLARIJA</t>
  </si>
  <si>
    <t>U nacrtima označeno kao stavka vanjske stolarije PV1.</t>
  </si>
  <si>
    <t>U nacrtima označeno kao stavka vanjske stolarije PV2.</t>
  </si>
  <si>
    <t>PROTUPOŽARNA STOLARIJA UKUPNO:</t>
  </si>
  <si>
    <t>UNUTARNJA STOLARIJA</t>
  </si>
  <si>
    <t>U nacrtima označeno kao stavka unutarnje stolarije 1.</t>
  </si>
  <si>
    <t>U nacrtima označeno kao stavka unutarnje stolarije 2.</t>
  </si>
  <si>
    <t>U nacrtima označeno kao stavka unutarnje stolarije 3.</t>
  </si>
  <si>
    <t>U nacrtima označeno kao stavka unutarnje stolarije 4.</t>
  </si>
  <si>
    <t>UNUTARNJA STOLARIJA UKUPNO:</t>
  </si>
  <si>
    <t>* pregrada s vratima vel. 90x210 cm</t>
  </si>
  <si>
    <t>* fiksna pregrada vel. 131x210 cm</t>
  </si>
  <si>
    <t>* pregrada s vratima vel. 85x210 cm</t>
  </si>
  <si>
    <t>* fiksna pregrada vel. 121x210 cm</t>
  </si>
  <si>
    <t>* pregrada s vratima vel. 173x210 cm</t>
  </si>
  <si>
    <t>* fiksna pregrada vel. 90x210 cm</t>
  </si>
  <si>
    <t>* fiksna pregrada vel. 75x160 cm</t>
  </si>
  <si>
    <t>U nacrtima označeno kao stavka unutarnje stolarije P1.</t>
  </si>
  <si>
    <t>U nacrtima označeno kao stavka unutarnje stolarije P2.</t>
  </si>
  <si>
    <t>U nacrtima označeno kao stavka unutarnje stolarije P3.</t>
  </si>
  <si>
    <t>U nacrtima označeno kao stavka unutarnje stolarije P4.</t>
  </si>
  <si>
    <t>U nacrtima označeno kao stavka unutarnje stolarije P5.</t>
  </si>
  <si>
    <t>STOLARSKI RADOVI UKUPNO:</t>
  </si>
  <si>
    <t>BRAVARSKI   RADOVI</t>
  </si>
  <si>
    <t>* čelična potkonstrukcija</t>
  </si>
  <si>
    <t>* čelični lim</t>
  </si>
  <si>
    <t>* ograda h =  110 cm</t>
  </si>
  <si>
    <t>* okvir 180x100 cm</t>
  </si>
  <si>
    <t>* rešetka 89,5x99 cm</t>
  </si>
  <si>
    <t>* okvir 226x106 cm</t>
  </si>
  <si>
    <t>PROTUPOŽARNA INSTALACIJSKA VRATA</t>
  </si>
  <si>
    <t>PROTUPOŽARNA INSTALACIJSKA VRATA UKUPNO:</t>
  </si>
  <si>
    <t>BRAVARSKI   RADOVI UKUPNO:</t>
  </si>
  <si>
    <t>PODOPOLAGAČKI   RADOVI</t>
  </si>
  <si>
    <t>Boja po izboru projektanta.</t>
  </si>
  <si>
    <t>PODOPOLAGAČKI   RADOVI UKUPNO:</t>
  </si>
  <si>
    <t>KERAMIČARSKI   RADOVI</t>
  </si>
  <si>
    <t>Način polaganja po izboru projektanta.</t>
  </si>
  <si>
    <t>KERAMIČARSKI   RADOVI UKUPNO:</t>
  </si>
  <si>
    <t>KAMENARSKI   RADOVI</t>
  </si>
  <si>
    <t>Dobava i postava poklopnica na potpornim i upornim zidovima klesanim kamenom debljine 2 do 4 cm po izboru projektanta. Kamen je potrebno impregnirati vodootpornim premazom. Kamen se postavlja lijepljenjem na cementnim mortom koji treba uključiti u cijenu.</t>
  </si>
  <si>
    <t>KAMENARSKI   RADOVI UKUPNO:</t>
  </si>
  <si>
    <t>GIPSARSKI RADOVI</t>
  </si>
  <si>
    <t>Obračun po m2.</t>
  </si>
  <si>
    <t>* maske širine do 20 cm</t>
  </si>
  <si>
    <t>* maske širine preko 20 cm</t>
  </si>
  <si>
    <t>Dobava i ugradnja tipskih revizija za gips-kartonske zidove.</t>
  </si>
  <si>
    <t>* revizije veličine do 30x30 cm</t>
  </si>
  <si>
    <t>* revizije veličine  40x40 cm i veće</t>
  </si>
  <si>
    <t>POŽARNE GIPSANE OBLOGE</t>
  </si>
  <si>
    <t>* maske ukupne širine do 20 cm</t>
  </si>
  <si>
    <t>* maske ukupne širine preko 20 cm</t>
  </si>
  <si>
    <t>POŽARNE GIPSANE OBLOGE UKUPNO:</t>
  </si>
  <si>
    <t>GIPSARSKI RADOVI UKUPNO:</t>
  </si>
  <si>
    <t>SOBOSLIKARSKI I LIČILAČKI RADOVI</t>
  </si>
  <si>
    <t>Bojanje ožbukanih zidova perivom latex bojom (3 ruke) u tonu po izboru projektanta sa svim potrebnim predradnjama (gletanje, brušenje, otprašivanje, impregnacija i dr.)</t>
  </si>
  <si>
    <t>Bojanje ožbukanih stropova perivom bojom (3 ruke) u tonu po izboru projektanta sa svim potrebnim predradnjama (gletanje, brušenje, otprašivanje, impregnacija i dr.)</t>
  </si>
  <si>
    <t>Bojanje zidova od gips-kartonskih ploča perivom bojom (2 ruke) u tonu po izboru projektanta sa svim potrebnim predradnjama (gletanje, brušenje, otprašivanje, impregnacija i dr.)</t>
  </si>
  <si>
    <t>Bojanje stropova od gips-kartonskih ploča perivom bojom (2 ruke) u tonu po izboru projektanta sa svim potrebnim predradnjama (gletanje, brušenje, otprašivanje, impregnacija i dr.)</t>
  </si>
  <si>
    <t>Bojanje betonskih neožbukanih  zidova bojom za beton (3 ruke) u tonu po izboru projektanta sa svim potrebnim predradnjama (gletanje, brušenje, otprašivanje, impregnacija i dr.)</t>
  </si>
  <si>
    <t>Razna bojanja i lakiranja, neobuhvaćena ovim troškovnikom.</t>
  </si>
  <si>
    <t>polidisperznim bojama</t>
  </si>
  <si>
    <t>perivim bojama</t>
  </si>
  <si>
    <t>lakiranja</t>
  </si>
  <si>
    <t>SOBOSLIKARSKI I LIČILAČKI RADOVI UKUPNO:</t>
  </si>
  <si>
    <t>RAZNE UGRADNJE</t>
  </si>
  <si>
    <t>Dobava i postava tipske metalne pločice 20x20 cm sa oznakom kućnog broja.</t>
  </si>
  <si>
    <t>Dobava i postava metalnih pločica 20x15 cm sa oznakama etaža.</t>
  </si>
  <si>
    <t>Dobava i postava aparata za gašenje požara S9.</t>
  </si>
  <si>
    <t>Dobava i postava naljepnica za označavanje mjesta aparata za gašenje požara.</t>
  </si>
  <si>
    <t>Dobava, doprema i ugradnja otirača na ulazu s otisnutim logom. Dimenzije otirača 220 x 100 cm, opterećenje 3.000 kg. Podni otirač od aluminijskih profila, sa trakama od igličastog filca.</t>
  </si>
  <si>
    <t>a - 170 x 120 cm</t>
  </si>
  <si>
    <t>b - 80 x 120 cm</t>
  </si>
  <si>
    <t>c - 120 x 120 cm</t>
  </si>
  <si>
    <t>PROTUPOŽARNA BRTVLJENJA</t>
  </si>
  <si>
    <t>Protupožarna brtvljenja na mjestima prodora instalacija kroz granice požarnog odjeljka, sukladno Elaboratu zaštite od požara, izvesti protupožarno brtvljenje prolaska instalacija, sukladno ispitanom i odobrenom postupku. Brtvljenje se izvodi ugradnjom vatrozaštitnih obujmica ili korištenjem vatrozaštitne mase za brtvljenje. Način izvedbe brtvljenja prema uputama proizvođača. Protupožarno brtvljenje smije izvoditi osoba koja je obučena te posjeduje važeću potvrdu o obuci. Sva mjesta protupožarnog brtvljenja označiti odgovarajućim naljepnicama. Izvođač treba izraditi elaborat protupožarnog brtvljenja koji sadrži: Izvod iz sudskog registra, potvrdu o obuci osobe koja je izvodila protupožarno brtvljenje, odobrenje za upotrjebljeni postupak brtvljenja, izjave o svojstvima upotrijebljenog materijala, te crtež sa naznačenim mjestima prodora i brojevima prodora. Elaborat ovjerava odgovorna osoba tvrtke ili obrta i osoba koja je izvodila protupožarno brtvljenje.
EI260-C</t>
  </si>
  <si>
    <t>VODOVOD - Dobava potrebnog materijala i izvedba brtvljenja prodora gorivih cijevi kroz konstrukciju na granici požarnog odjeljka. Brtvljenje se izvodi ugradnjom vatrozaštitnih obujmica. Broj obujmica po prodoru i način ugradnje prema uputama proizvođača. Obračun po komadu prodora.</t>
  </si>
  <si>
    <t>prodor kroz strop - Ø20</t>
  </si>
  <si>
    <t>prodor kroz strop - Ø25</t>
  </si>
  <si>
    <t>prodor kroz strop - Ø50</t>
  </si>
  <si>
    <t>prodor kroz zid - Ø20</t>
  </si>
  <si>
    <t>prodor kroz zid - Ø25</t>
  </si>
  <si>
    <t>prodor kroz zid - Ø50</t>
  </si>
  <si>
    <t>KANALIZACIJA - Dobava potrebnog materijala i izvedba brtvljenja prodora gorivih cijevi kroz konstrukciju na granici požarnog odjeljka. Brtvljenje se izvodi ugradnjom vatrozaštitnih obujmica ili korištenjem vatrozaštitne mase za brtvljenje. Način izvedbe brtvljenja prema uputama proizvođaća. Obračun po komadu prodora.</t>
  </si>
  <si>
    <t>požarno brtvljenje prodora kroz ploču d100</t>
  </si>
  <si>
    <t>požarno brtvljenje prodora kroz zid d100</t>
  </si>
  <si>
    <t>PRODOR ZA CIJEV DO NO 50, VATROOTPORNOST 60 min</t>
  </si>
  <si>
    <t>otvor u zidu do 500,00 x 500,00 mm</t>
  </si>
  <si>
    <t>otvor u zidu do 1000,00 x 600,00 mm</t>
  </si>
  <si>
    <t>ELEKTROINSTALACIJE - Dobava i montaža mase za brtvljenje prodora veličine 0,1 m2 na granici protupožarnih sektora, kompletno sa identifikacijskom oznakom.</t>
  </si>
  <si>
    <t>PROTUPOŽARNA BRTVLJENJA UKUPNO:</t>
  </si>
  <si>
    <t>ukupna površina solarnih panela</t>
  </si>
  <si>
    <t>Dobava i ugradnja peći na drva ili ugljlene brikete, s vidljivim ložištem, sa svom potrebnom opremom, do priključka na dimnjak.
Visina peći cca. 2000 mm, širina cca. 1000 mm, dubina oko 800 mm.
Dimnezija ložišta cca. 550 / 600 / 400 mm. Ložište je ostakljeno vatrostalnim staklom.
Nominalna snaga peći 12,5 kW.
Dimovodna cijev Ø 200 mm, dovodna cijev za zrak Ø 150 mm.</t>
  </si>
  <si>
    <t>RAZNE UGRADNJE UKUPNO:</t>
  </si>
  <si>
    <t>KUHINJSKA OPREMA</t>
  </si>
  <si>
    <t>***A - PRIPREMA POVRĆA I MESA</t>
  </si>
  <si>
    <t>***A - PRIPREMA POVRĆA I MESA UKUPNO:</t>
  </si>
  <si>
    <t>***B - SPREMIŠTE</t>
  </si>
  <si>
    <t>snaga: 0,20 kW, masa: 165 kg, dim. 700x810x2150 mm</t>
  </si>
  <si>
    <t>V/50 HZ, snaga: 0,20 kW, masa: 170 kg, dim. 700x810x2150 mm</t>
  </si>
  <si>
    <t>***B - SPREMIŠTE UKUPNO:</t>
  </si>
  <si>
    <t>***C - POVRAT I PRANJE SUĐA</t>
  </si>
  <si>
    <t>***C - POVRAT I PRANJE SUĐA UKUPNO:</t>
  </si>
  <si>
    <t>***D - HLADNA KUHINJA</t>
  </si>
  <si>
    <t>***D - HLADNA KUHINJA UKUPNO:</t>
  </si>
  <si>
    <t>***E - IZDAVANJE VANJSKO</t>
  </si>
  <si>
    <t>***E - IZDAVANJE VANJSKO UKUPNO:</t>
  </si>
  <si>
    <t>***F - TERMIČKI BLOK</t>
  </si>
  <si>
    <t>***F - TERMIČKI BLOK UKUPNO:</t>
  </si>
  <si>
    <t>***G - IZDAVANJE UNUTARNJE</t>
  </si>
  <si>
    <t>***G - IZDAVANJE UNUTARNJE UKUPNO:</t>
  </si>
  <si>
    <t>***DOSTAVA I MONTAŽA</t>
  </si>
  <si>
    <t>MONTAŽA OPREME
- pozicioniranje opreme na mjesta predviđena za montažu
- spajanje opreme na elektro instalacije
- spajanje opreme na vodovodnu mrežu
- spajanje opreme na odvode u kanalizaciju
- spajanje opreme na plinske instalacije
- atestiranje plinskih spojeva od izvoda do uređaja
- spajanje opreme na uzemljenje
- fiksiranje nape za zid ili strop (ukoliko nije u projektu strojarskih instalacija)
- montaža visećih elemenata na zid
- slaganje inox stalaža
- isprobavanje funkcionalnosti opreme
- probno puštanje opreme u rad</t>
  </si>
  <si>
    <t>PUŠTANJE OPREME U RAD
- puštanje opreme u rad uz nazočnost ovlaštene osobe
- osnovna obuka osoblja za rad sa uređajima
- osnovna obuka osoblja sa osnovama redovitog čišćenja i održavanja opreme
- upoznavanje osoblja sa rasporedom redovitih servisa uređaja</t>
  </si>
  <si>
    <t>SPOJNI I POTROŠNI MATERIJAL
dodatna crijeva, nipli, koljena, kabeli, utičnice, utikači, kanalice i sl.</t>
  </si>
  <si>
    <t>SKIDANJE ZAŠTITNE FOLIJE SA OPREME
- detaljno skidanje zaštitne folije sa opreme</t>
  </si>
  <si>
    <t>***DOSTAVA I MONTAŽA UKUPNO:</t>
  </si>
  <si>
    <t>KUHINJSKA OPREMA UKUPNO:</t>
  </si>
  <si>
    <t>OBRTNIČKI RADOVI UKUPNO:</t>
  </si>
  <si>
    <t>PLANINARSKI DOM NA ŽITNICI UKUPNO:</t>
  </si>
  <si>
    <t>vidikovac</t>
  </si>
  <si>
    <t>boulder</t>
  </si>
  <si>
    <t>vodosprema</t>
  </si>
  <si>
    <t>terasa</t>
  </si>
  <si>
    <t>Dobava, razastiranje i zbijanje tamponskog sloja šljunka (cakumpak) u sloju debljine 10 cm ispod temeljne ploče. Sloj treba biti zbijen do stupnja ispitane zbijenosti izražen kao modul stišljivosti Mv = 30 MPa i isplaniran na 2 cm točnosti.
Obračun po m3 idealnog obujma.</t>
  </si>
  <si>
    <t>Uređenje temeljnog tla na pristupnim stazama mehaničkim zbijanjem. Tlo se zbija pri optimalnoj vlažnosti, ako je moguće odmah po izvršenom iskopu. Prije zbijanja treba zaravnati površinu. Zbijanje se obavlja odgovarajućim sredstvima za zbijanje. Tražena zbijenost po standardnom Proctorovom postupku iznosi 95%, odnosno modul stišljivosti mjeren kružnom pločom promjera 30 cm iznosi 40 Mn/m2.</t>
  </si>
  <si>
    <t>Dobava kamenog materijala i izrada drenažnog sloja na pristupnim stazama. Debljina posteljice cca 15 cm. Rad obuhvaća nasipavanje, razastiranje, kvašenje i zbijanje kamenog materijala.
Obračun po m3 ugrađenog materijala u zbijenom stanju.</t>
  </si>
  <si>
    <t>BETONSKI I ARMIRANO BETONSKI RADOVI</t>
  </si>
  <si>
    <t>a-beton, vodosprema</t>
  </si>
  <si>
    <t>Izrada zaštite horizontalne hidroizolacije vodospreme slojem mikrobetona debljine 5 cm.</t>
  </si>
  <si>
    <t>a-beton, vodosprema, pod</t>
  </si>
  <si>
    <t>a-beton, vodosprema, terasa</t>
  </si>
  <si>
    <t>Izrada armirano betonske temeljne ploče debljine 40 cm, vodonepropusnim betonom kvalitete C25/30 (potrebna rubna oplata). Beton spravljen u betonari od agregata do 32 mm. Rad obuhvaća: izradu jednostrane oplate, dobavu i postavljanje armature, kvašenje oplate, ubacivanje betona i zbijanje (vibriranje) sve dok se voda ne pojavi na površini. Na mjestima prekida betoniranja ugraditi streh-metal što treba uključiti u cijenu. Površina betona treba biti dobro zaglađena.
U cijenu uključiti izvedbu potrebnih otvora, usjeka, proboja i sl.
* vodosprema</t>
  </si>
  <si>
    <t>Izrada armirano betonskih jednokrakih stepenica na terenu, betonom kvalitete C25/30 u potrebnoj glatkoj oplati. Beton spravljen u betonari od agregata do 32 mm. Rad obuhvaća: izradu oplate, dobavu i postavljanje armature, kvašenje oplate, ubacivanje betona i zbijanje (vibriranje) sve dok se voda ne pojavi na površini.
U cijenu uključiti izvedbu potrebnih otvora, usjeka, proboja i sl.
* vodosprema</t>
  </si>
  <si>
    <t>Izrada armirano betonskog temelja za čelično stubište vidikovca betonom kvalitete C25/30 u zemlji. Rad obuhvaća: dobavu i postavljanje armature, ubacivanje betona i zbijanje (vibriranje) sve dok se voda ne pojavi na površini.
U cijenu uključiti izvedbu potrebnih otvora, usjeka, proboja i sl.
* vidikovac</t>
  </si>
  <si>
    <t>Izrada betonske ploče u nagibu prema odvodima debljine 4-8 cm na stropu vodospreme laganim betonom težine do 2200 kg/m3. Beton armiran vlaknima (1,5 kg/m3).
* vodosprema</t>
  </si>
  <si>
    <t>Izrada armirano betonskog stubišta na terenu, betonom kvalitete C25/30 u potrebnoj glatkoj oplati. Beton spravljen u betonari od agregata do 16 mm. Rad obuhvaća: izradu oplate, dobavu i postavljanje armature, kvašenje oplate, ubacivanje betona i zbijanje (vibriranje) sve dok se voda ne pojavi na površini.
U cijenu uključiti izvedbu potrebnih otvora, usjeka, proboja i sl.</t>
  </si>
  <si>
    <t>BETONSKI I ARMIRANO BETONSKI RADOVI UKUPNO:</t>
  </si>
  <si>
    <t>Zidarska obrada armiranobetonskog stropa vodosprema (štemanje i obijanje neravnih dijelova betona, gletanje, otprašivanje, brušenje, popravci reparaturnim mortom i dr.).</t>
  </si>
  <si>
    <t>Zidarska obrada zidova vodospreme prije izvedbe hidroizolacije (štemanje i obijanje neravnih dijelova betona, gletanje, otprašivanje, brušenje, popravci reparaturnim mortom i dr.).</t>
  </si>
  <si>
    <t>Zidarska obrada proboja i prolaza cijevi nakon montaže i ispitivanja instalacija. Vodovodne pocinčane cijevi se obrađuju cementnim mortom, a ostale produžnim mortom. Proboji i prolazi 10x10 cm i više se rabiciraju, što je uključeno u cijenu. Kompletan rad i materijal po pravilima struke.
* vodosprema</t>
  </si>
  <si>
    <t>otvori promjera10x10 cm</t>
  </si>
  <si>
    <t>pravokutni otvor 30x15 cm</t>
  </si>
  <si>
    <t>Završno čišćenje objekata i okolnog terena nakon dovršetka svih radova. Rad obuhvaća odvoz građevinske šute, smeća i otpadnog materijala ,ručno metenje, pranje podova, sanitarnih uređaja i zidova obloženih keramikom, čišćenje prozora, vrata i dr.</t>
  </si>
  <si>
    <t>Dobava materijala i postava dasaka debljine 2,4 cm preko postavljenih drvenih rogova krova iznad bouldera. U cijenu i obračun se uključuje kompletan sadržaj za dovršenje (sidreni vijci, limovi za ojačanje, spojna sredstva, obrada, premaz i dr.).</t>
  </si>
  <si>
    <t>Uključeni svi potrebni slojevi za punu funkcionalnost sustava.</t>
  </si>
  <si>
    <t>Dobava i postava toplinske izolacije ukopanih zidova podruma.
Na postavljenu bitumensku hidroizolaciju postavlja se:
- ekstrudirani polistiren XPS u pločama s rubnim preklopom (30kg/m3) Debljina sloja 12 cm
- drenažna traka sa čepićima okrenutima prema pločama toplinske izolacije debljine 1 cm</t>
  </si>
  <si>
    <t>Dobava i ugradnja razdjelnog sloja krovne ljepenke na jednostrešnom krovu iznad bouldera. Krovna ljepenka se postavlja preko položenih OSB ploča kao razdjelni sloj ispod limenog pokrova.</t>
  </si>
  <si>
    <t>Dobava i ugradnja hidroizolacijske membrane ispod hodne površine platforme vidikovca iz polimernog bitumena ojačanog staklenim voalom sa površinskim slojem od perforirane sintetičke tkanine, debljine 1,5 mm. Specifična težina cca. 1400 g/m2, samoljepljivi uzdužni spojevi, sd-vrijednost &gt; 100. Izvoditi prema uputama proizvođaća.</t>
  </si>
  <si>
    <t>Dobava i montaža uljevnog lima na spoju početka krova i ležećeg žljeba iz alu lima debljine 0,70 mm, boja i kvaliteta materijala kao osnovna pozicija, uklj. spojni materijal stručno montirati.</t>
  </si>
  <si>
    <t>Dobava i ugradnja odvodne cijevi debljine 0,70 mm, s dvostrukim prijevojem, boja i kvaliteta kao osnovna pozicija, uklj. potrebne cijevne obujmice, koljena i ostalo, stručno montirati</t>
  </si>
  <si>
    <t>Ø 120 mm</t>
  </si>
  <si>
    <t>Dobava i ugradnja odvodnog seta za platformu vidikovca, koji uključuje vodolovno grlo i odvodnu cijev debljine 0,70 mm, s dvostrukim prijevojem, boja i kvaliteta kao osnovna pozicija, uklj. potrebne cijevne obujmice, koljena i ostalo, stručno montirati.
Vodolovna grla postaviti s dvije strane kako bi svaka vertikala mogla skupiti vodu s podesta.
Ispust vode na teren (vodu odvesti bočno sa objekta).</t>
  </si>
  <si>
    <t>a - vodolovna grla</t>
  </si>
  <si>
    <t>b - odvodna cijev Ø 120 mm</t>
  </si>
  <si>
    <t>FASADERSKI RADOVI</t>
  </si>
  <si>
    <t>FASADERSKI RADOVI UKUPNO:</t>
  </si>
  <si>
    <t>Izvode se jedno stubište sa gazištima širine 28 cm i visine gazišta 19 cm. Visina penjanja je 3,20 m. Visina ograde je 1,10 m.
Sve izvesti prema shemama, detaljima i u dogovoru s projektantom do potpune gotovosti.</t>
  </si>
  <si>
    <t>* mreža na spremištu za drva</t>
  </si>
  <si>
    <t>* dvokrilna zaokretna vrata 160x220 cm</t>
  </si>
  <si>
    <t>Sve izvesti prema shemama, detaljima i u dogovoru s projektantom do potpune gotovosti.</t>
  </si>
  <si>
    <t>KAMENARSKI RADOVI</t>
  </si>
  <si>
    <t>Sve isto kao prethodna stavka, samo oblaganje vidljivog dijela zida za boulder.</t>
  </si>
  <si>
    <t>KAMENARSKI RADOVI UKUPNO:</t>
  </si>
  <si>
    <t>Dobava i postava anti-šok podloge za boulder, debljine do 5 cm. Postava na Ab podnu ploču.
Sve ostalo prema uputama proizvođača.</t>
  </si>
  <si>
    <t>OSTALI OBJEKTI UKUPNO:</t>
  </si>
  <si>
    <t>Ručno planiranje dna širokog iskopa.</t>
  </si>
  <si>
    <t>Uređenje temeljnog tla mehaničkim zbijanjem. Tlo se zbija pri optimalnoj vlažnosti, ako je moguće odmah po izvršenom iskopu. Prije zbijanja treba zaravnati površinu. Zbijanje se obavlja odgovarajućim sredstvima za zbijanje. Tražena zbijenost po standardnom Proctorovom postupku iznosi 95%, odnosno modul stišljivosti mjeren kružnom pločom promjera 30 cm iznosi 40 Mn/m2.</t>
  </si>
  <si>
    <t>Dobava kamenog materijala i izrada drenažnog sloja. Debljina posteljice cca 15 cm. Rad obuhvaća nasipavanje, razastiranje, kvašenje i zbijanje kamenog materijala.
Obračun po m3 ugrađenog materijala u zbijenom stanju.</t>
  </si>
  <si>
    <t>a - kružni segment, površine 0.35 m2</t>
  </si>
  <si>
    <t>b - kružni segment, površine 0.25 m2</t>
  </si>
  <si>
    <t>c - kružni segment, površine 0.15 m2</t>
  </si>
  <si>
    <t>d -centralni segment, površine 0.80 m2</t>
  </si>
  <si>
    <t>Sanacija stopa piramide - pjeskarenjem očistiti površinski loj betona do armature. Čišćenje armature četkom i popravci, koja uključuje i antikorozivnu zašttu. Izvedba novog betonskog omotača oko armature, s dodacima za vodonepropusnost. Izvesti u maniri kulira, sa grubljim sitnim agregatom.
Za vrijeme rada treba piramidu statički stabilizirati. Obrada stopa po stopa.</t>
  </si>
  <si>
    <t>Dimenzija stopa 60x60x60 cm.</t>
  </si>
  <si>
    <t>Sanacija piramide u vidu skidanja boje paljenjem, sitnim popravcima na spojevima (zamjena zakovica i sl.), detaljnog pregleda konstrukcije, te antikorozivnom zaštitom temeljni premaz u dva sloja te završno u postojećoj zelenoj boji.</t>
  </si>
  <si>
    <t>Predviđeni sati rada = 350 h</t>
  </si>
  <si>
    <t>VRH UKUPNO:</t>
  </si>
  <si>
    <t>ARHITEKTURA UKUPNO:</t>
  </si>
  <si>
    <t>2.</t>
  </si>
  <si>
    <t>ELEKTRO</t>
  </si>
  <si>
    <t>KROVNA FOTONAPONSKA ELEKTRANA</t>
  </si>
  <si>
    <t>FOTONAPONSKA ELEKTRANA</t>
  </si>
  <si>
    <t>Dobava, montaža i spajanje konektora za solarne module, set muški + ženski, 4mm2 / 6mm2</t>
  </si>
  <si>
    <t>Razdjelnici</t>
  </si>
  <si>
    <t>Dobava montaža i spajanje razvodnog ormara elektrane "RO-AC (AC BOX)" koji se sastoji od slijedeće ugrađene opreme:</t>
  </si>
  <si>
    <t>Podžbukni razdjelnik, 2x12 modula, IP30</t>
  </si>
  <si>
    <t>Džep za dokumentaciju A5</t>
  </si>
  <si>
    <t>FID sklopka 25A, 4 polna, 300 mA, 6kA</t>
  </si>
  <si>
    <t>Naponski okidač za FID sklopku 230 VAC</t>
  </si>
  <si>
    <t>Tropolna rastavna osiguračka sklopka veličine 10x38 mm, nazivni napon 500VAC</t>
  </si>
  <si>
    <t>Izolirani rastalni ulošci veličine 10x38 mm gG sa indikatorom - udaračem, nazivna struja 25 A, nazivni naponi 500VAC</t>
  </si>
  <si>
    <t>Izolirani rastalni ulošci veličine 10x38 mm gG sa indikatorom - udaračem, nazivna struja 20 A, nazivni naponi 500VAC</t>
  </si>
  <si>
    <t>Odvodnik prenapona klasa B+C, 4P, 25kA</t>
  </si>
  <si>
    <t>Automatski osigurač B6, 1 polni, 6 kA</t>
  </si>
  <si>
    <t>Kontrolno brojilo 3F 1T 80A, za montažu na šinu</t>
  </si>
  <si>
    <t>Ispitni list razvodnog ormara elektrane "RO-AC"</t>
  </si>
  <si>
    <t>Izjava o sukladnosti i oznaka o sukladnosti u ormaru za razvodni ormar elektrane "RO-AC"</t>
  </si>
  <si>
    <t>Ostali sitni nespecificirani materijal (L, N i PE sabirnice, nosači, kanalice, stopice, vijci i sl.). Cjena komplet izvedenog ormara sa montažom i spajanjem na objektu, te isporukom sheme spajanja stvarno izvedenog stanja</t>
  </si>
  <si>
    <t>Dobava montaža i spajanje razvodnog ormara elektrane "RO-DC (DC BOX)" koji se sastoji od slijedeće ugrađene opreme:</t>
  </si>
  <si>
    <t>Nadžbukni razdjelnik, 1x12 modula, IP30</t>
  </si>
  <si>
    <t>Dvopolna rastavna osiguračka sklopka veličine 10x38 mm, nazivni napon 1000VDC</t>
  </si>
  <si>
    <t>Izolirani rastalni ulošci veličine 10x38 mm gG sa indikatorom - udaračem, nazivna struja 16 A, nazivni naponi 1000VDC</t>
  </si>
  <si>
    <t>Odvodnik prenapona, fiksne izvedbe, 2P, klasa C, 30KA/1000VDC</t>
  </si>
  <si>
    <t>Ispitni list razvodnog ormara elektrane "RO-DC"</t>
  </si>
  <si>
    <t>Izjava o sukladnosti i oznaka o sukladnosti u ormaru za razvodni ormar elektrane "RO-DC"</t>
  </si>
  <si>
    <t>Ostali sitni nespecificirani materijal (PE sabirnica, nosači, kanalice, stopice, vijci i sl.). Cjena komplet izvedenog ormara sa montažom i spajanjem na objektu, te isporukom sheme spajanja stvarno izvedenog stanja</t>
  </si>
  <si>
    <t>Električna instalacija (kabeli)</t>
  </si>
  <si>
    <t>Dobava, polaganje i spajanje fotonaponskog kabela od stringova fotonaponskih panela na krovu objekta do razvodnog ormara elektrane "RO-DC (DC BOX)", kabel se polaže u mrežne police i PVC kanalice, uključivo:</t>
  </si>
  <si>
    <t>Fotonaponski kabel PV1-F 1x6 mm2 - crni</t>
  </si>
  <si>
    <t>Fotonaponski kabel PV1-F 1x6 mm2 - crveni</t>
  </si>
  <si>
    <t>PVC cijev CSΦ25mm</t>
  </si>
  <si>
    <t>Dobava, polaganje i spajanje fotonaponskog kabela od razvodnog ormara elektrane "RO-DC (DC BOX)" do invertera, kabel se polaže u PVC kanalicu, uključivo:</t>
  </si>
  <si>
    <t>Dobava, polaganje i spajanje napojnog kabela od invertera do razvodnog ormara elektrane "RO-AC (AC BOX)", kabel se polaže u PVC kanalicu, uključivo:</t>
  </si>
  <si>
    <t>Kabel FG16OR16 5x6 mm2</t>
  </si>
  <si>
    <t>Dobava, polaganje i spajanje napojnog kabela od razvodnog ormara elektrane "RO-AC (AC BOX)" do razvodnog ormara objekta "R1", kabel se polaže u PVC kanalicu, uključivo:</t>
  </si>
  <si>
    <t>Dobava, polaganje i spajanje napojnog kabela od razvodnog ormara elektrane "RO-AC (AC BOX)" do JPR tipkala, kabel se polaže u PVC kanalicu, uključivo:</t>
  </si>
  <si>
    <t>NHXH E90 3x1,5mm2</t>
  </si>
  <si>
    <t>Instalacija sklopki i ostali materijal</t>
  </si>
  <si>
    <t>Dobava, montaža i spajanje protupožarnog tipkala žute boje za isključivanje napajanja fotonaponske elektrane, za vanjsku montažu IP55</t>
  </si>
  <si>
    <t>Dobava i montaža plastificirane table dimenzija 25x25 cm, oznaka objekta sa PV (solarnim) modulima</t>
  </si>
  <si>
    <t>Instalacija mrežnih polica</t>
  </si>
  <si>
    <t>Dobava i montaža na krovu objekta kabelskih mrežnih polica dimenzija 50x55 mm, kompletno sa krovnim nosačima mrežnih polica na krovu objekta</t>
  </si>
  <si>
    <t>Izjednačenje potencijala</t>
  </si>
  <si>
    <t>Dobava, polaganje i spajanje kabela za izjednačenje potencijala od razvodnog ormara "R1" do metale mase podkonstrukcije fotonaponskih panela, kabel se polaže u mrežne police, uključivo:</t>
  </si>
  <si>
    <t>Vodič H07V-K 1G 16 mm2 (ž/z)</t>
  </si>
  <si>
    <t>Izrada spoja na metalnu masu kompletno sa svim spojnim i montažnim priborom i materijalom</t>
  </si>
  <si>
    <t>Dobava, polaganje i spajanje kabela za izjednačenje potencijala od razvodnog ormara "R1" do razvodnog ormara elektrane "RO-AC (AC BOX)", kabel se polaže u PVC kanalicu, uključivo:</t>
  </si>
  <si>
    <t>PVC kanalica 15x15mm kompletno sa svim spojnim i montažnim priborom i materijalom</t>
  </si>
  <si>
    <t>Dobava, polaganje i spajanje kabela za izjednačenje potencijala od razvodnog ormara "R1" do razvodnog ormara elektrane "RO-DC (DC BOX)", kabel se polaže u PVC kanalicu, uključivo:</t>
  </si>
  <si>
    <t>Proboji i brtvljenja</t>
  </si>
  <si>
    <t>Izrada proboja na prolazu kabela na sljedećim pozicijama:</t>
  </si>
  <si>
    <t>Izrada proboja krovne obloge</t>
  </si>
  <si>
    <t>Izrada proboja zida ili stropa</t>
  </si>
  <si>
    <t>Brtvljenje kabelskih prodora na sljedećim pozicijama:</t>
  </si>
  <si>
    <t>Vodonepropusno brtvljenje i obrada prodora krovne obloge kompletno sa svim potrebnim radovima i materijalom</t>
  </si>
  <si>
    <t>Protupožarno brtvljene prodora kroz zid ili strop protupožarnom smjesom vatrootpornosti EI90</t>
  </si>
  <si>
    <t>FOTONAPONSKA ELEKTRANA UKUPNO:</t>
  </si>
  <si>
    <t>MJERENJE, ISPITIVANJE, PODEŠAVANJE I PUŠTANJE U POGON</t>
  </si>
  <si>
    <t>Kontrola montaže, spajanja i napona DC krugova do pretvarača</t>
  </si>
  <si>
    <t>Postavljanje parametara pretvarača</t>
  </si>
  <si>
    <t>Provedba kontrola, mjerenja i ispitivanja električne instalacije prema planu kontrole iz projekta prije priključenja na NN razvod. Za sva ispitivanja priložiti ispitne izvještaje, zapisnik i izjave.</t>
  </si>
  <si>
    <t>MJERENJE, ISPITIVANJE, PODEŠAVANJE I PUŠTANJE U POGON UKUPNO:</t>
  </si>
  <si>
    <t>PROJEKT IZVEDENOG STANJA</t>
  </si>
  <si>
    <t>Izrada dokumentacije izvedenog stanja u 3 primjerka papirnato + 1 primjerak na CD-u</t>
  </si>
  <si>
    <t>PROJEKT IZVEDENOG STANJA UKUPNO:</t>
  </si>
  <si>
    <t>KROVNA FOTONAPONSKA ELEKTRANA UKUPNO:</t>
  </si>
  <si>
    <t>ELEKTROINSTALACIJE</t>
  </si>
  <si>
    <t>KABELSKA KANALIZACIJA JAKE I SLABE STRUJE</t>
  </si>
  <si>
    <t>Iskop rova dimenzije 0,4x0,9m duljine 285m u zemlji III kategorije</t>
  </si>
  <si>
    <t>Dobava i polaganje pijeska na dno prethodno iskopanog rova debljine 0,1m</t>
  </si>
  <si>
    <t>Dobava i polaganje u rov NOVOTUMB cijevi:</t>
  </si>
  <si>
    <t>Cijev NOVOTUMB Φ50mm</t>
  </si>
  <si>
    <t>Cijev NOVOTUMB Φ75mm</t>
  </si>
  <si>
    <t>Cijev NOVOTUMB Φ110mm</t>
  </si>
  <si>
    <t>Cijev NOVOTUMB Φ160mm</t>
  </si>
  <si>
    <t>Dobava i montaža kabelskog zdenca MZD0 400kN, sastavni elementi (donji element D0, gornji element D0, poklopac komplet D0/400, uvodna ploča G 110/50-4/4, 2 kom, uvodna ploča G 0/0, 1 kom, uvodna ploča S 110/50-2/4, 1 kom), unutarnje dimenzije ((Š x D x V) 47 x 47 x 72 cm), dozvoljeno opterećenje 150 kN, masa 505 kg</t>
  </si>
  <si>
    <t>Zasipavanje rova materijalom iz iskopa</t>
  </si>
  <si>
    <t>Dobava i polaganje trake upozorenja</t>
  </si>
  <si>
    <t>Snimanje trase kabelske kabalizacije i unošenje u katastar vodova</t>
  </si>
  <si>
    <t>RAZVODNI UREĐAJI I NAPOJNI VODOVI</t>
  </si>
  <si>
    <t>Dobava, montaža i spajanje samostojećeg priključno mjernog ormara "SPMO" koji se sastoji od slijedeće ugrađene opreme:</t>
  </si>
  <si>
    <t>Ormar minimalno 800x800x250mm + podnožje ormara minimalno 800x1110x250mm</t>
  </si>
  <si>
    <t>Ploča montažna</t>
  </si>
  <si>
    <t>Sklopka rastavljač 2, 3P, 400A, montaža na ploču</t>
  </si>
  <si>
    <t>Sklopka rastavljač 2, 1P, 400A, montaža na ploču</t>
  </si>
  <si>
    <t>Osigurač NVO 2, 125A, 500V, GG/GL</t>
  </si>
  <si>
    <t>Kratkospojnik NVO 2</t>
  </si>
  <si>
    <t>Transformator strujni SMT-1 150/5A kl. 0,5, 5VA + plomba</t>
  </si>
  <si>
    <t>Ploča 3F brojila + pribor, siva</t>
  </si>
  <si>
    <t>Mjerna letva ML-01</t>
  </si>
  <si>
    <t>Ispitni list samostojećeg priključno mjernog ormara "SPMO"</t>
  </si>
  <si>
    <t>Izjava o sukladnosti i oznaka o sukladnosti u ormaru za samostojeći priključno mjerni ormar "SPMO"</t>
  </si>
  <si>
    <t>Ostali sitni nespecificirani materijal (L, N i PE sabirnice, nosači, kanalice, stopice, vijci i sl. ). Cjena komplet izvedenog ormara sa montažom i spajanjem na objektu, te isporukom sheme spajanja stvarno izvedenog stanja</t>
  </si>
  <si>
    <t>Dobava, montaža i spajanje glavnog razvodnog ormara objekta "GRO" koji se sastoji od slijedeće ugrađene opreme:</t>
  </si>
  <si>
    <t>Ormar limeni 800x2000x300mm, dvostruko izolirani ormar, klasa 2, IP55</t>
  </si>
  <si>
    <t>Stranica bočna (par) 2000x400mm</t>
  </si>
  <si>
    <t>Set za spajanje polja za 400mm</t>
  </si>
  <si>
    <t>Niskonaponski prekidač 3P, 160A, Ir=125-160A, 36kA</t>
  </si>
  <si>
    <t>Naponski okidač 208-250 AC/DC</t>
  </si>
  <si>
    <t>Stop tipkalo u nuždi (gljiva), komplet sa blokom 1NO+1NC</t>
  </si>
  <si>
    <t>Poklopac sigurnosni za stop tipkalo u nuždi</t>
  </si>
  <si>
    <t>Digitalni mrežni analizator za mjerenje i prikaz mjernih veličina. Kontinuirano mjerenje: struja, napona, snaga u sve tri faze (ukupno 18 mjernih veličina), klase točnosti 1%. 7 segmentni panel za prkaz mjernih veličina, bez komunikacijskog sučelja</t>
  </si>
  <si>
    <t>Transformator strujni 150/5A, KL.0,5</t>
  </si>
  <si>
    <t>Kućište cilindričnog osigurača do 125A, 3P, 22x58mm</t>
  </si>
  <si>
    <t>Osigurač cilindrični 100A, GG, 22x58mm</t>
  </si>
  <si>
    <t>Odvodnik prenapona klasa B+C, 4P, 12/25kA</t>
  </si>
  <si>
    <t>Sklopka rastavljač 00, 3P, 160A, montaža na ploču</t>
  </si>
  <si>
    <t>Osigurač NVO 00, 25A, 500V, GG/GL</t>
  </si>
  <si>
    <t>Osigurač pruga 00, 3P, 160A, montaža na bakrenu sabirnicu</t>
  </si>
  <si>
    <t>Osigurač NVO 00, 35A, 500V, GG/GL</t>
  </si>
  <si>
    <t>Osigurač NVO 00, 80A, 500V, GG/GL</t>
  </si>
  <si>
    <t>Osigurač NVO 00, 100A, 500V, GG/GL</t>
  </si>
  <si>
    <t>Nosač sabirnice 3P, 60mm</t>
  </si>
  <si>
    <t>Bočni poklopci, 3P, 60mm</t>
  </si>
  <si>
    <t>Bakrena sabirnica Cu 20x5mm, In=315A, dužina 1500mm</t>
  </si>
  <si>
    <t>Lampica signalna 220V AC, LED, zelena</t>
  </si>
  <si>
    <t>Lampica signalna 220V AC, LED, crvena</t>
  </si>
  <si>
    <t>KZS sklopka C10A, 2 polna, 10kA, 30mA</t>
  </si>
  <si>
    <t>KZS sklopka C16A, 4 polna, 10kA, 30mA</t>
  </si>
  <si>
    <t>Kućište cilindričnog osigurača do 63A, 3P, 14x51mm</t>
  </si>
  <si>
    <t>Osigurač cilindrični 25A, GG, 14x51mm</t>
  </si>
  <si>
    <t>FID sklopka 25A, 4 polna, 30 mA, 10kA</t>
  </si>
  <si>
    <t>Automatski osigurač C6, 1 polni, 10 kA</t>
  </si>
  <si>
    <t>Automatski osigurač C10, 1 polni, 10 kA</t>
  </si>
  <si>
    <t>Automatski osigurač C16, 1 polni, 10 kA</t>
  </si>
  <si>
    <t>Automatski osigurač C6, 3 polni, 10 kA</t>
  </si>
  <si>
    <t>Automatski osigurač C16, 3 polni, 10 kA</t>
  </si>
  <si>
    <t>Stubični automat 230V~, 16A</t>
  </si>
  <si>
    <t>Instalacijski sklopnik 230V~, 20A, 2NO kontakta</t>
  </si>
  <si>
    <t>Odstojnik instalacijskog sklopnika</t>
  </si>
  <si>
    <t>Grebenasta sklopka 0-1, 1 polna, 10A</t>
  </si>
  <si>
    <t>Ispitni list glavnog razvodnog ormara objekta "GRO"</t>
  </si>
  <si>
    <t>Izjava o sukladnosti i oznaka o sukladnosti u ormaru za glavni razvodni ormar objekta "GRO"</t>
  </si>
  <si>
    <t>Dobava, montaža i spajanje razvodnog ormara drvarnice "Rd" koji se sastoji od slijedeće ugrađene opreme:</t>
  </si>
  <si>
    <t>Nadžbukni razdjelnik, 2x24 modula, IP30</t>
  </si>
  <si>
    <t>Glavna sklopka, 3 polna, 40A, 0-1</t>
  </si>
  <si>
    <t>Osigurač cilindrični 32A, GG, 14x51mm</t>
  </si>
  <si>
    <t>Kućište cilindričnog osigurača do 35A, 3P, 10x38mm</t>
  </si>
  <si>
    <t>Osigurač cilindrični 25A, GG, 10x38mm</t>
  </si>
  <si>
    <t>Odvodnik prenapona klasa C, 4P, 20kA</t>
  </si>
  <si>
    <t>KZS sklopka C25A, 4 polna, 10kA, 30mA</t>
  </si>
  <si>
    <t>Ispitni list razvodnog ormara "Rd"</t>
  </si>
  <si>
    <t>Izjava o sukladnosti i oznaka o sukladnosti u ormaru za razvodni ormar "Rd"</t>
  </si>
  <si>
    <t>Dobava, montaža i spajanje razvodnog ormara kisoka "Rks" koji se sastoji od slijedeće ugrađene opreme:</t>
  </si>
  <si>
    <t>Nadžbukni razdjelnik, 3x24 modula, IP30</t>
  </si>
  <si>
    <t>Ispitni list razvodnog ormara "Rks"</t>
  </si>
  <si>
    <t>Izjava o sukladnosti i oznaka o sukladnosti u ormaru za razvodni ormar "Rks"</t>
  </si>
  <si>
    <t>Dobava, montaža i spajanje razvodnog ormara strojarnice "RS" koji se sastoji od slijedeće ugrađene opreme:</t>
  </si>
  <si>
    <t>Ormar limeni 800x1200x300mm, dvostruko izolirani ormar, klasa 2, IP55</t>
  </si>
  <si>
    <t>Stranica bočna (par)</t>
  </si>
  <si>
    <t>Niskonaponski prekidač 3P, 100A, Ir=80-100A, 20kA</t>
  </si>
  <si>
    <t>Osigurač cilindrični 63A, GG, 22x58mm</t>
  </si>
  <si>
    <t>Automatski osigurač C25, 3 polni, 10 kA</t>
  </si>
  <si>
    <t>Grebenasta sklopka 1-0-2, 1 polna, 10A</t>
  </si>
  <si>
    <t>Sklopnik 16A, 230V, 1p, sa termičkom zaštitom 0,63-1,00A</t>
  </si>
  <si>
    <t>Ispitni list razvodnog ormara "RS"</t>
  </si>
  <si>
    <t>Izjava o sukladnosti i oznaka o sukladnosti u ormaru za razvodni ormar "RS"</t>
  </si>
  <si>
    <t>Dobava, montaža i spajanje razvodnog ormara sprinkler stanice "Rss" koji se sastoji od slijedeće ugrađene opreme:</t>
  </si>
  <si>
    <t>KZS sklopka C16A, 2 polna, 10kA, 30mA</t>
  </si>
  <si>
    <t>Ispitni list razvodnog ormara "Rss"</t>
  </si>
  <si>
    <t>Izjava o sukladnosti i oznaka o sukladnosti u ormaru za razvodni ormar "Rss"</t>
  </si>
  <si>
    <t>Dobava, montaža i spajanje razvodnog ormara kuhinje "Rk" koji se sastoji od slijedeće ugrađene opreme:</t>
  </si>
  <si>
    <t>Ormar limeni 100x2000x200mm, dvostruko izolirani ormar, klasa 2, IP55</t>
  </si>
  <si>
    <t>Glavna sklopka, 3 polna, 100A, 0-1</t>
  </si>
  <si>
    <t>Osigurač cilindrični 80A, GG, 22x58mm</t>
  </si>
  <si>
    <t>Osigurač cilindrični 40A, GG, 14x51mm</t>
  </si>
  <si>
    <t>FID sklopka 40A, 4 polna, 30 mA, 10kA</t>
  </si>
  <si>
    <t>KZS sklopka C20A, 4 polna, 10kA, 30mA</t>
  </si>
  <si>
    <t>KZS sklopka C32A, 4 polna, 10kA, 30mA</t>
  </si>
  <si>
    <t>Ispitni list razvodnog ormara "Rk"</t>
  </si>
  <si>
    <t>Izjava o sukladnosti i oznaka o sukladnosti u ormaru za razvodni ormar "Rk"</t>
  </si>
  <si>
    <t>Dobava, montaža i spajanje razvodnog ormara prizemlja "R1" koji se sastoji od slijedeće ugrađene opreme:</t>
  </si>
  <si>
    <t>Podžbukni razdjelnik, 3x24 modula, IP30</t>
  </si>
  <si>
    <t>Glavna sklopka, 3 polna, 25A, 0-1</t>
  </si>
  <si>
    <t>Osigurač cilindrični 20A, GG, 14x51mm</t>
  </si>
  <si>
    <t>Ispitni list razvodnog ormara "R1"</t>
  </si>
  <si>
    <t>Izjava o sukladnosti i oznaka o sukladnosti u ormaru za razvodni ormar "R1"</t>
  </si>
  <si>
    <t>Dobava, montaža i spajanje razvodnog ormara kata "R2" koji se sastoji od slijedeće ugrađene opreme:</t>
  </si>
  <si>
    <t>Podžbukni razdjelnik, 4x24 modula, IP30</t>
  </si>
  <si>
    <t>Impulsni relej, tipkalo, 230V~, 16A</t>
  </si>
  <si>
    <t>Digitalni regulator tip DEVIreg 330 termostat sa senzorom za regulaciju grijačih slivnika, DIN 330 (-10-+10C), 16A</t>
  </si>
  <si>
    <t>Ispitni list razvodnog ormara "R2"</t>
  </si>
  <si>
    <t>Izjava o sukladnosti i oznaka o sukladnosti u ormaru za razvodni ormar "R2"</t>
  </si>
  <si>
    <t>Dobava, montaža i spajanje razvodnog ormara potkrovlja "R3" koji se sastoji od slijedeće ugrađene opreme:</t>
  </si>
  <si>
    <t>Podžbukni razdjelnik, 6x33 modula, IP30</t>
  </si>
  <si>
    <t>KNX napajačka jedinica, ulaz (120-240V, 50/60Hz, 350-260mA), izlaz (12V =, 1A), radna temperatura od -5°C do +45°C</t>
  </si>
  <si>
    <t>KNX IP sučelje, spoj na LAN mrežu RJ45</t>
  </si>
  <si>
    <t>KNX WEB server, spoj na LAN mrežu RJ45</t>
  </si>
  <si>
    <t>KNX aktuator za 8 roleta, preklopna struja kontakata 6A, tip struje AC</t>
  </si>
  <si>
    <t>KNX IP ekran osjetljiv na dodir 7", crne boje</t>
  </si>
  <si>
    <t>Spajanje KNX instalacije za upravljanje roletama kompletno sa programiranjem sustava, puštanje u rad, obuka korisnika, izdavanje atesta ugrađene opreme, ispitivanja instalacije</t>
  </si>
  <si>
    <t>Ispitni list razvodnog ormara "R3"</t>
  </si>
  <si>
    <t>Izjava o sukladnosti i oznaka o sukladnosti u ormaru za razvodni ormar "R3"</t>
  </si>
  <si>
    <t>Dobava i polaganje napojnog kabela NYY 4x70 mm2 + NYY 1x35 mm2 od samostojećeg priključno mjernog ormara "SPMO" pa do glavnog razvodnog ormara objekta "GRO", kabel se polaže u kabelsku kanalizaciju, a kabela koji se polaže je:</t>
  </si>
  <si>
    <t>NYY 4x70mm2</t>
  </si>
  <si>
    <t>NYY 1x35mm2</t>
  </si>
  <si>
    <t>Dobava i polaganje napojnog kabela FG16OR16 5x35 mm2 od glavnog razvodnog ormara objekta "GRO" pa do razvodnog ormara kuhinje "Rk", kabel se polaže u kabelske police, a kabela koji se polaže je:</t>
  </si>
  <si>
    <t>FG16OR16 5x35 mm2</t>
  </si>
  <si>
    <t>Dobava i polaganje napojnog kabela FG16OR16 5x25 mm2 od glavnog razvodnog ormara objekta "GRO" pa do razvodnog ormara strojarnice "RS", kabel se polaže u kabelske police, a kabela koji se polaže je:</t>
  </si>
  <si>
    <t>FG16OR16 5x25 mm2</t>
  </si>
  <si>
    <t>Dobava i polaganje napojnog kabela FG16OR16 5x10 mm2 od glavnog razvodnog ormara objekta "GRO" pa do razvodnog ormara sprinkler stanice "Rss", kabel se polaže u kabelske police, a kabela koji se polaže je:</t>
  </si>
  <si>
    <t>FG16OR16 5x10 mm2</t>
  </si>
  <si>
    <t>Dobava i polaganje napojnog kabela FG16OR16 5x6 mm2 od glavnog razvodnog ormara objekta "GRO" pa do razvodnog ormara prizemlja "R1", kata "R2" i potkrovlja "R3", kabel se polaže u kabelske police, a kabela koji se polaže je:</t>
  </si>
  <si>
    <t>FG16OR16 5x6mm2</t>
  </si>
  <si>
    <t>Dobava i polaganje napojnog kabela NYY 5x10 mm2 od glavnog razvodnog ormara objekta "GRO" pa do razvodnog ormara drvarnice "Rd" i kisoka "Rks", kabel se polaže djelomično u kabelske police i dijelomično u kabelsku kanalizaciju, a kabela koji se polaže je:</t>
  </si>
  <si>
    <t>NYY 5x10 mm2</t>
  </si>
  <si>
    <t>Dobava i polaganje napojnog kabela NYY 5x2,5 mm2 od glavnog razvodnog ormara objekta "GRO" pa do razdjelnika bio pročistača kabel se polaže u kabelske police i dijelomično u kabelsku kanalizaciju, a kabela koji se polaže je:</t>
  </si>
  <si>
    <t>NYY 5x2,5mm2</t>
  </si>
  <si>
    <t>Dobava i polaganje napojnog kabela NYY 5x2,5 mm2 od glavnog razvodnog ormara objekta "GRO" pa do razdjelnika dizala i razdjelnika teretnog dizala, kabel se polaže u kabelske police, a kabela koji se polaže je:</t>
  </si>
  <si>
    <t>Dobava i polaganje napojnog kabela NHXH FE180/E90 3x2,5mm2 glavnog razvodnog ormara objekta "GRO", pa do vatrodojavne centrale, kabel se polaže na odstojne obujmice, a tip kabela koji se polaže je:</t>
  </si>
  <si>
    <t>NHXH FE180/E90 3x2,5 mm2</t>
  </si>
  <si>
    <t>Dobava i montaža odstojne obujmice za kabele s navojnim priključkom M6 mm, E90</t>
  </si>
  <si>
    <t>Dobava i montaža vatrootporni sidreni vijak s M6 navojem i šesterokutnom maticom za direktnu montažu bez tiple. Veličina ključa 10, za provrt 5 mm. Ispitan prema ETAG 001 - dio 3. Razred vatrootpornosti do R120 za beton i zid</t>
  </si>
  <si>
    <t>Dobava i polaganje napojnog kabela NHXH FE180/E90 5x6mm2 od glavnog razvodnog ormara objekta "GRO" do prtupožarne hidrostanice, kabel se polaže dijelom na odstojne obujmice, dijelom u kabelsku kanalizaciju, a tip kabela koji se polaže je:</t>
  </si>
  <si>
    <t>NHXH FE180/E90 5x6mm2</t>
  </si>
  <si>
    <t>Dobava i polaganje na odstojne obujmice kabela za povezivanje JPR tipkala:</t>
  </si>
  <si>
    <t>NHXH E30 3x1,5mm2</t>
  </si>
  <si>
    <t>Dobava i polaganje dijelomično u kabelsku policu, a dijelomično u PVC i PNT cijevi kabela za napajanje potrošača sa razvodnog ormara "GRO":</t>
  </si>
  <si>
    <t>NYM 3x1,5mm2</t>
  </si>
  <si>
    <t>NYM 4x1,5mm2</t>
  </si>
  <si>
    <t>NYM 5x1,5mm2</t>
  </si>
  <si>
    <t>NYM 7x1,5mm2</t>
  </si>
  <si>
    <t>NYM 3x2,5mm2</t>
  </si>
  <si>
    <t>NYY 3x1,5mm2</t>
  </si>
  <si>
    <t>NYY 3x2,5mm2</t>
  </si>
  <si>
    <t>PVC cijev CSΦ20mm</t>
  </si>
  <si>
    <t>PVC cijev CSΦ32mm</t>
  </si>
  <si>
    <t>PVC cijev CSΦ40mm</t>
  </si>
  <si>
    <t>PVC cijev CSΦ50mm</t>
  </si>
  <si>
    <t>Dobava i polaganje dijelomično u kabelsku policu, a dijelomično u PVC cijevi kabela za napajanje potrošača sa razvodnog ormara "Rd":</t>
  </si>
  <si>
    <t>PNT cijev Φ20mm komplet sa spojnim i montažnim priborom</t>
  </si>
  <si>
    <t>Dobava i polaganje dijelomično u kabelsku policu, a dijelomično u PVC cijevi kabela za napajanje potrošača sa razvodnog ormara "Rks":</t>
  </si>
  <si>
    <t>PNT cijev Φ25mm komplet sa spojnim i montažnim priborom</t>
  </si>
  <si>
    <t>Dobava i polaganje dijelomično u kabelsku policu, a dijelomično u PVC cijevi kabela za napajanje potrošača sa razvodnog ormara "RS":</t>
  </si>
  <si>
    <t>NYY 2x1,5mm2</t>
  </si>
  <si>
    <t>NYY 5x1,5mm2</t>
  </si>
  <si>
    <t>NYY 5x4mm2</t>
  </si>
  <si>
    <t>PNT cijev Φ32mm komplet sa spojnim i montažnim priborom</t>
  </si>
  <si>
    <t>Dobava i polaganje dijelomično u kabelsku policu, a dijelomično u PVC cijevi kabela za napajanje potrošača sa razvodnog ormara "Rss":</t>
  </si>
  <si>
    <t>Dobava i polaganje dijelomično u kabelsku policu, a dijelomično u PVC cijevi kabela za napajanje potrošača sa razvodnog ormara "RK":</t>
  </si>
  <si>
    <t>FG16OR16 5x4mm2</t>
  </si>
  <si>
    <t>Dobava i polaganje dijelomično u kabelsku policu, a dijelomično u PVC cijevi kabela za napajanje potrošača sa razvodnog ormara "R1":</t>
  </si>
  <si>
    <t>LiYCY 2x0,75mm2</t>
  </si>
  <si>
    <t>Dobava i polaganje dijelomično u kabelsku policu, a dijelomično u PVC cijevi kabela za napajanje potrošača sa razvodnog ormara "R2":</t>
  </si>
  <si>
    <t>NYY 4x1,5mm2</t>
  </si>
  <si>
    <t>Dobava i polaganje dijelomično u kabelsku policu, a dijelomično u PVC cijevi kabela za napajanje potrošača sa razvodnog ormara "R3":</t>
  </si>
  <si>
    <t>Dobava i polaganje dijelomično u kabelsku policu, a dijelomično u PVC i PNT cijevi kabela za povezivanje opreme strojarstva - bus veza:</t>
  </si>
  <si>
    <t>YSLCY 2x0,75mm2</t>
  </si>
  <si>
    <t>Dobava i polaganje dijelomično u kabelsku policu, a dijelomično u PVC i PNT cijevi kabela za povezivanje regulatora klima komora:</t>
  </si>
  <si>
    <t>YSLCY 7x0,75mm2</t>
  </si>
  <si>
    <t>Dobava i montaža pocinčanih kabelskih polica (perforirani kabelski kanali) za instalacije jake i slabe struje, sa pripadajićim spojnicama (za ulučna i horizontalna skretanja, za pričvšćivanje polica na nosače, te za međusobna spajanja polica). Potrebno je dobaviti slijedeće kabelske police:</t>
  </si>
  <si>
    <t>PK 50</t>
  </si>
  <si>
    <t>PK 100</t>
  </si>
  <si>
    <t>PK 200</t>
  </si>
  <si>
    <t>PK 300</t>
  </si>
  <si>
    <t>Stropni nosač dužine 500 mm</t>
  </si>
  <si>
    <t>Zidna konzole za PK 50</t>
  </si>
  <si>
    <t>Zidna konzole za PK 100</t>
  </si>
  <si>
    <t>Zidna konzole za PK 200</t>
  </si>
  <si>
    <t>Zidna konzole za PK 300</t>
  </si>
  <si>
    <t>IZJEDNAČENJE POTENCIJALA</t>
  </si>
  <si>
    <t>Dobava, montaža i spajanje Cu sabirnice 500x50x5mm za izradu tračnice za izjednačenje potencijala sa 8 vijčanih priključaka (M8). Sabirnicu montirati u limeni ormarić zaštićen odgovarajućom temeljnom i lak bojom u nijansi ostalih razdjelnika. Ormarić se pričvršćuje odgovarajućim nosačima na zid. Izvedeno komplet</t>
  </si>
  <si>
    <t>Dobava, polaganje i spajanje voda u cijevi u betonu za povezivanje raznih metalnih cjevovoda, HT izvodnog ormarića i sl. na tračnicu za izjednačenje potencijala. Prosječno se polaže:</t>
  </si>
  <si>
    <t>H07V-K 1G16mm2</t>
  </si>
  <si>
    <t>H07V-K 1G10mm2</t>
  </si>
  <si>
    <t>Sitni materijal kao stopice, vijci i sl.</t>
  </si>
  <si>
    <t>Povezivanje temeljnog uzemljivača na tračnicu za izjednačenje potencijala sa izvedbom mjernog rastavnog spoja, trakom FeZn 40x4mm. Dužina trake 5m. Izvedeno komplet</t>
  </si>
  <si>
    <t>Povezivanje tračnice za izjednačenje potencijala sa glavnim razvodnim ormarom "GRO" vodom H07V-K 1G35mm2 položenim u PNT cijev Φ20mm dužine 5m</t>
  </si>
  <si>
    <t>Dobava, montaža i spajanje nadžbukne sabirnice za izjednačenje potencijala</t>
  </si>
  <si>
    <t>Dobava, montaža i spajanje podžbukne kutije za izjednačenje potencijala</t>
  </si>
  <si>
    <t>Dobava i polaganje voda H07V-K 1G6mm2 između razdjelnika i kutije za izjednačenje potencijala</t>
  </si>
  <si>
    <t>Dobava i polaganje voda H07V-K 1G4mm2 za izradu uzemljenja sa kutije za izjednačenje potencijala</t>
  </si>
  <si>
    <t>Dobava i polaganje voda H07V-K 1G10mm2 za izradu uzemljenja hidranata, metalnih vrata, metalnih prozora, metalnih konstrukcija, strojeva i sl.</t>
  </si>
  <si>
    <t>Dobava i polaganje voda H07V-K 1G16mm2 za izradu uzemljenja komunikacijskih ormara</t>
  </si>
  <si>
    <t>Izrada spoja za metalnu masu</t>
  </si>
  <si>
    <t>Dobava i polaganje voda H07V-K 1G6mm2 čitavom dužinom kabelskih polica za izradu uzemljenja kabelskih polica</t>
  </si>
  <si>
    <t>Izrada spojnog elementa na svakih 5 m voda H07V-K 1G6mm2 koji je položen čitavom dužinom kabekskih polica</t>
  </si>
  <si>
    <t>IZJEDNAČENJE POTENCIJALA UKUPNO:</t>
  </si>
  <si>
    <t>INSTALACIJA PRIKLJUČNICA I EMP-A</t>
  </si>
  <si>
    <t>Dobava, montaža i spajanje podžbuknih priključnica 230V/16A, 2-modularni komplet sastavljen od: podžbukna kutija za 2 modula (1 kom), nosač za 2 modula (1 kom), jednofazna schuko priključnica 230V/16A, 2p+PE, 2M (1 kom) i okvir za 2 modula (1 kom)</t>
  </si>
  <si>
    <t>Dobava, montaža i spajanje seta podžbuknih priključnica 2x230V/16A, 4-modularni komplet sastavljen od: podžbukna kutija za 4 modula (1 kom), nosač za 4 modula (1 kom), jednofazna schuko priključnica 230V/16A, 2p+PE, 2M (2 kom) i okvir za 4 modula (1 kom)</t>
  </si>
  <si>
    <t>Dobava, montaža i spajanje seta podžbuknih priključnica 3x230V/16A, 6-modularni komplet sastavljen od: podžbukna kutija za 6 modula (1 kom), nosač za 6 modula (1 kom), jednofazna schuko priključnica 230V/16A, 2p+PE, 2M (3 kom) i okvir za 6 modula (1 kom)</t>
  </si>
  <si>
    <t>Dobava, montaža i spajanje podžbuknih priključnica 230V/16A, 2-modularni komplet sastavljen od: podžbukna kutija za 2 modula (1 kom), nosač za 2 modula (1 kom), jednofazna schuko priključnica sa zaštitnim poklopcem i oprugom 230V/16A, 2p+PE, 2M, IP44 (1 kom) i okvir za 2 modula (1 kom)</t>
  </si>
  <si>
    <t>Dobava, montaža i spajanje podžbuknih priključnica 230V/16A, 4-modularni komplet sastavljen od: podžbukna kutija za 4 modula (1 kom), nosač za 4 modula (1 kom), jednofazna schuko priključnica sa zaštitnim poklopcem i oprugom 230V/16A, 2p+PE, 2M, IP44 (2 kom) i okvir za 4 modula (1 kom)</t>
  </si>
  <si>
    <t>Dobava, montaža i spajanje priključnica nadžbukna, 2P+E, 16A, IP44, bijela</t>
  </si>
  <si>
    <t>Dobava, montaža i spajanje trofazna priključnica nadžbukna, 400V, 3+N+PE, 16A, IP44</t>
  </si>
  <si>
    <t>Dobava, montaža i spajanje priključnica industrijska, 5P, 16A, nadgradna, IP44</t>
  </si>
  <si>
    <t>Dobava, montaža i spajanje kutije za fiksni spoj 400V/16A, uključivo p/ž kutija Ф60mm</t>
  </si>
  <si>
    <t>Dobava, montaža i spajanje tipkala za isključenje električne energije u nuždi, IP44, 250V, 10A</t>
  </si>
  <si>
    <t>Dobava, montaža i spajanje podne kutije od 24 modularna mjesta, pripremljana za izvode kabela, oznaka u nacrtu A i B</t>
  </si>
  <si>
    <t>Dobava, montaža i spajanje podne kutije od 24 modularna mjesta, koja se sastoji od slijedećih elemenata: jednofazna schuko priključnica 230V/16A, 2p+PE (3 kom), računalna priključnica RJ45, Cat.6 (2 kom), antenske priključnice R-TV-SAT (1 kom)</t>
  </si>
  <si>
    <t>Dobava, montaža i spajanje tipkala gore/dolje za platno projektora, p/ž, 230V/10A</t>
  </si>
  <si>
    <t>Spajanje napojnih kabela za instaliranu opremu objekta (vanjska vrata, unutarnja vrata, reklame, totem, vanjske i unutarnje klima jedinice, termostati, ventilatori, ...)</t>
  </si>
  <si>
    <t>Dobava i montaža p/ž razvodne kutije 100x100mm</t>
  </si>
  <si>
    <t>Dobava i montaža n/ž razvodne kutije 100x100mm</t>
  </si>
  <si>
    <t>INSTALACIJA PRIKLJUČNICA I EMP-A UKUPNO:</t>
  </si>
  <si>
    <t>INSTALACIJA ELEKTRIČNE RASVJETE</t>
  </si>
  <si>
    <t>Dobava, montaža i spajanje
230V/24VDC predspojni uređaj, nazivne snage 100W, PUSH DIM, IP20.</t>
  </si>
  <si>
    <t>Prespojni uređaj oznake D1.1</t>
  </si>
  <si>
    <t>Dobava, montaža i spajanje
230V/24VDC predspojni uređaj, nazivne snage 100W, ON/OFF, IP67.</t>
  </si>
  <si>
    <t>Prespojni uređaj oznake D2.1</t>
  </si>
  <si>
    <t>Dobava, montaža i spajanje običnog nadžbuknog prekidača 230V/10A, IP44, bijeli</t>
  </si>
  <si>
    <t>Dobava, montaža i spajanje tipkala za uklop rasvjete 230V/10A, 2-modularni komplet sastavljen od: podžbukna kutija za 2 modula (1 kom), nosač za 2 modula (1 kom), tipkalo, 2M (1 kom) i okvir za 2 modula (1 kom)</t>
  </si>
  <si>
    <t>Dobava, montaža i spajanje običnog podžbuknog prekidača 230V/10A, 2-modularni komplet sastavljen od: podžbukna kutija za 2 modula (1 kom), nosač za 2 modula (1 kom), prekidač obični, 2M (1 kom) i okvir za 2 modula (1 kom)</t>
  </si>
  <si>
    <t>Dobava, montaža i spajanje izmjeničnog podžbuknog prekidača 230V/10A, 2-modularni komplet sastavljen od: podžbukna kutija za 2 modula (1 kom), nosač za 2 modula (1 kom), prekidač izmjenični, 2M (1 kom) i okvir za 2 modula (1 kom)</t>
  </si>
  <si>
    <t>Dobava, montaža i spajanje seta sastavljenog od 2 obična podžbukna prekidača za ukop rasvjete 2x230V/10A, 2-modularni komplet sastavljen od: podžbukna kutija za 2 modula (1 kom), nosač za 2 modula (1 kom), prekidač obični, 1M (2 kom) i okvir za 2 modula (1 kom)</t>
  </si>
  <si>
    <t>Dobava, montaža i spajanje seta sastavljenog od 3 obična podžbukna prekidača 3x230V/10A, 3-modularni komplet sastavljen od: podžbukna kutija za 3 modula (1 kom), nosač za 3 modula (1 kom), prekidač obični, 1M (3 kom) i okvir za 3 modula (1 kom)</t>
  </si>
  <si>
    <t>Dobava, montaža i spajanje seta sastavljenog od 2 obična podžbukna prekidača i 1 izmjeničnog podžbuknog prekidača 3x230V/10A, 3-modularni komplet sastavljen od: podžbukna kutija za 3 modula (1 kom), nosač za 3 modula (1 kom), prekidač obični, 1M (2 kom), prekidač izmjenični, 1M (1 kom) i okvir za 3 modula (1 kom)</t>
  </si>
  <si>
    <t>Dobava, montaža i spajanje seta sastavljenog od 12 običnih podžbuknnih prekidača i 1 tipkala 11x230V/10A, 2x7-modularni komplet sastavljen od: podžbukna kutija za 2x7 modula (1 kom), nosač za 2x7 modula (1 kom), prekidač obični, 1M (12 kom), tipkalo, 2M (1 kom) i okvir za 2x7 modula (1 kom)</t>
  </si>
  <si>
    <t>Dobava, montaža i spajanje seta sastavljenog od 1 običnog podžbukna prekidača i 1 tipkala za podizanje i spuštanje roleta 2x230V/10A, 2-modularni komplet sastavljen od: podžbukna kutija za 2 modula (1 kom), nosač za 2 modula (1 kom), prekidač obični, 1M (1 kom), tipkalo za podizanje i spuštanje roleta 1M, (1 kom) i okvir za 2 modula (1 kom)</t>
  </si>
  <si>
    <t>Dobava, montaža i spajanje seta sastavljenog od 1 izmjeničnog podžbukna prekidača i 1 tipkala za podizanje i spuštanje sjenila 2x230V/10A, 2-modularni komplet sastavljen od: podžbukna kutija za 2 modula (1 kom), nosač za 2 modula (1 kom), prekidač izmjenični, 1M (1 kom), tipkalo za podizanje i spuštanje sjenila 1M, (1 kom) i okvir za 2 modula (1 kom)</t>
  </si>
  <si>
    <t>Dobava, montaža i spajanje seta sastavljenog od 9 tipkala za podizanje i spuštanje sjenila 9x230V/10A, 2x7-modularni komplet sastavljen od: podžbukna kutija za 2x7 modula (1 kom), nosač za 2x7 modula (1 kom), tipkalo za podizanje i spuštanje sjenila, 1M (9 kom), slijepi modul, 1M (5 kom) i okvir za 2x7 modula (1 kom)</t>
  </si>
  <si>
    <t>Dobava, montaža i spajanje IC senzora 360° za uklop rasvjete 230V/10A, 2-modularni komplet sastavljen od: podžbukna kutija za 2 modula (1 kom), nosač za 2 modula (1 kom), IC senzor 360° za uklop rasvjete, 2M (1 kom) i okvir za 2 modula (1 kom)</t>
  </si>
  <si>
    <t>INSTALACIJA ELEKTRIČNE RASVJETE UKUPNO:</t>
  </si>
  <si>
    <t>INSTALACIJA ZA ZAŠTITU OD UDARA MUNJE I UZEMLJENJE</t>
  </si>
  <si>
    <t>Dobava i postavljanje po kosom krovu okruglog Al vodiča dimenzije Φ8mm</t>
  </si>
  <si>
    <t>Dobava i postavljanje krovnog nosača po kosom krovu za okrugli Al vodič dimenzije Φ8mm</t>
  </si>
  <si>
    <t>Dobava i montaža spojnica za spoj okruglog Al vodiča dimenzije Φ8mm i okruglog Al vodiča dimenzije Φ8mm</t>
  </si>
  <si>
    <t>Dobava i montaža spojnica za spoj okruglog Al vodiča dimenzije Φ8mm i krovnog lima</t>
  </si>
  <si>
    <t>Dobava i montaža spojnice za spoj okruglog Al vodiča dimenzije Φ8mm i čelične pocinčane trake dimenzije 40x4mm</t>
  </si>
  <si>
    <t>Dobava i montaža spojnice za spoj čelične pocinčane trake dimenzije 40x4mm i čelične pocinčane trake dimenzije 40x4mm</t>
  </si>
  <si>
    <t>Izrada šiljka instalacije za zaštitu od udara munje na prihvatnom vodu najviših dijelova objekta iz okruglog Al vodiča dimenzije Φ8mm</t>
  </si>
  <si>
    <t>Dobava i polaganje ispod fasade okruglog Al vodiča dimenzije Φ8mm</t>
  </si>
  <si>
    <t>Izrada spoja na metalnu masu</t>
  </si>
  <si>
    <t>Dobava i montaža kutije za mjerni spoj</t>
  </si>
  <si>
    <t>Dobava i polaganje čelične pocinčane trake dimenzije 40x4mm u zemljani rov za temeljni uzemljivač</t>
  </si>
  <si>
    <t>Dobava i polaganje čelične pocinčane trake dimenzije 30x4mm u zemljani rov za vanjska uzemljenja</t>
  </si>
  <si>
    <t>Dobava i polaganje čelične pocinčane trake dimenzije 40x4mm prosječne dužine 2,5m u temelje u svrhu galvanskog povezivanja metalnih masa (izvod za: mjerni spoj, vanjsko uzemljenje, sabirnica za izjednačenje potencijala, GRO ormar, SPMO ormar, ...)</t>
  </si>
  <si>
    <t>Dobava i polaganje čelične pocinčane trake FeZn 25x4 mm od strojarnice i sprinkler stanice do spoja sa postojećim uzemljivačem, te izrada prstena od trake u prostoriji strojarnice i sprinkler stanice</t>
  </si>
  <si>
    <t>Dobava i montaža križnih spojnica</t>
  </si>
  <si>
    <t>Spajanje trake u prostoriji strojarnice i sprinkler stanice</t>
  </si>
  <si>
    <t>Izrada mjernog spoja u prostoriji strojarnice i sprinkler stanice</t>
  </si>
  <si>
    <t>Dobava, montaža i spajanje vodiča H07V-K 1G25 mm2 (za povezivanje razdjelnika na uzemljivač, premoštenje metalnih prozora, vratiju i sličnog)</t>
  </si>
  <si>
    <t>Dobava i polaganje čelične pocinčane trake dimenzije 25x4mm ukupne duljine 30 m na potpore po zidu za izvedbu izjednačenja potencijala u oknu lifta. Prsten izraditi na najnižoj i najvišoj etaži lifta, kompletno sa svim spojnim i montažnim priborom do pune funkcionalnosti stavke</t>
  </si>
  <si>
    <t>Izrada uzemljenja vodilica dizala pomoću katodnih odvodnika prenapona, kompletno sa svim spojnim i montažnim priborom do pune funkcionalnosti stavke</t>
  </si>
  <si>
    <t>Čeličnu armaturu u stupovima zavarivanjem vezati u cjelinu sa instalacijom za zaštitu od udara munje, isto tako zavariti u temeljima čeličnu pocinčanu traku na čeličnu armaturu</t>
  </si>
  <si>
    <t>Spajanje limenih površina lemljenjem na prihvatne vodove instalacije za zaštitu od munje</t>
  </si>
  <si>
    <t>Mjerenje otpora uzemljenja te izrada revizione knjige instalacije za zaštitu od udara munje s pripadajućim atestima o izvršenom ispitivanju</t>
  </si>
  <si>
    <t>INSTALACIJA ZA ZAŠTITU OD UDARA MUNJE I UZEMLJENJE UKUPNO:</t>
  </si>
  <si>
    <t>INSTALACIJA ODIMLJAVANJA</t>
  </si>
  <si>
    <t>Dobava, montaža i spajanje nadžbukna kutija za prekidač AS500</t>
  </si>
  <si>
    <t>Dobava i polaganje kabela za povezivanje instalacije odimljavanja uključivo:</t>
  </si>
  <si>
    <t>NHXH E30 3x1,5 mm2</t>
  </si>
  <si>
    <t>JE-H(St)H E30-E90 1x2x0,8 mm</t>
  </si>
  <si>
    <t>NHXH E90 4x1,5 mm2</t>
  </si>
  <si>
    <t>Dobava i polaganje instalacijskih cijevi:</t>
  </si>
  <si>
    <t>PVC cijev CS Φ20mm</t>
  </si>
  <si>
    <t>Električna mjerenja i ispitivanja instalacije odimljavanja sa izdavanjem ispitnih protokola i atesta ugrađene opreme</t>
  </si>
  <si>
    <t>INSTALACIJA ODIMLJAVANJA UKUPNO:</t>
  </si>
  <si>
    <t>ISPITIVANJE I IZDAVANJE ATESTA</t>
  </si>
  <si>
    <t>Ispitivanje i kontrola električne instalacije obzirom na:</t>
  </si>
  <si>
    <t>Funkcionalno ispitivanje električnih instalacija</t>
  </si>
  <si>
    <t>Provjera zaštite od direktnog dodira dijelova pod naponom</t>
  </si>
  <si>
    <t>Provjera zaštite od indirektnog dodira</t>
  </si>
  <si>
    <t>Ispitivanje otpora izolacije vodiča i kabela</t>
  </si>
  <si>
    <t>Ispitivanje neprekinutosti zaštitnog vodiča, te izjednačenja potencijala na nivou objekta</t>
  </si>
  <si>
    <t>Funkcionalno ispitivanje protupanične rasvjete</t>
  </si>
  <si>
    <t>Ispitivanje rasvjete unutar objekta</t>
  </si>
  <si>
    <t>Ispitivanje vanjske rasvjete objekta</t>
  </si>
  <si>
    <t>Ispitavanje ispravnosti i funkcionalnosti sustava za isključenje električne energije u nuždi</t>
  </si>
  <si>
    <t>Ispitivanje podešenosti bimetalne zaštite motora</t>
  </si>
  <si>
    <t>ISPITIVANJE I IZDAVANJE ATESTA UKUPNO:</t>
  </si>
  <si>
    <t>OSTALI RADOVI</t>
  </si>
  <si>
    <t>OSTALI RADOVI UKUPNO:</t>
  </si>
  <si>
    <t>INSTALACIJA TELEFONA I RAČUNALNE MREŽE</t>
  </si>
  <si>
    <t>Dobava, montaža i spajanje glavnog komunikacijskog ormara BD + AVR za lokalni razvod i smještaj opreme multimedije, sastavljenog od sljedećih elemenata:</t>
  </si>
  <si>
    <t>ORMAR 19"  42U 2000X600X600</t>
  </si>
  <si>
    <t>SVJETILJKA ZA 19" ORMAR, LED S PREKIDAČEM (SENZOROM)</t>
  </si>
  <si>
    <t>PANEL 19" 24XRJ45 UTP/STP MODULARNI  BEZ MODULA+DRŽAČ CRNI</t>
  </si>
  <si>
    <t>KEYSTONE RJ45 CAT6 STP 180° TOLLESS</t>
  </si>
  <si>
    <t>KEYSTONE PROTUPRAŠNI POKLOPAC ZA PANEL CRNI</t>
  </si>
  <si>
    <t>LADICA OPTIČKA ZA 12 SC DUPLEX SIVA</t>
  </si>
  <si>
    <t>ADAPTER OPTIČKI SM SC APC DUPLEX OS2</t>
  </si>
  <si>
    <t>PIGTAIL SC/APC SM  9/125 OS2  LSOH 1M 0,9MM 12 KOM</t>
  </si>
  <si>
    <t>KAZETA ZA FO LADICU 12 NITI  BIJELA</t>
  </si>
  <si>
    <t>POKLOPAC ZA SPLICE KAZETU BIJELI</t>
  </si>
  <si>
    <t>DRŽAČ 6 OPTIČKIH NITI ZA KAZETU</t>
  </si>
  <si>
    <t>KABEL PRESPOJNI S/FTP, CAT.6, 2M, SIVI</t>
  </si>
  <si>
    <t>VEZICA 150x16mm 033184 ČIČAK CRNA (10)</t>
  </si>
  <si>
    <t>VIJAK S MATICOM ZA 19" ORMAR  (50 KOM PAK.)</t>
  </si>
  <si>
    <t>UPS 3 KVA 2700W 5 MIN ON-LINE TOWER  / 19"</t>
  </si>
  <si>
    <t>PANEL 19" 7XŠUKO, PRENAPONSKA ZAŠTITA</t>
  </si>
  <si>
    <t>PANEL 19" POKROV 1U CRNI</t>
  </si>
  <si>
    <t>PANEL 19" ZA VOĐENJE KABELA 1U + POKLOPAC CRNI</t>
  </si>
  <si>
    <t>WIFI AP  &lt;20dBm  2MODULA PODŽBUKNA ZA NOSAČE PLANA</t>
  </si>
  <si>
    <t>MIKROUTIKAČ 8/8 ZA UTP CAT6A ZA PATCH I INST. KABELE (100)</t>
  </si>
  <si>
    <t>Dobava, montaža i spajanje komunikacijskog ormara OIV priprema za instalciju odašiljača i veza, sastavljenog od sljedećih elemenata:</t>
  </si>
  <si>
    <t>S/FTP Cat.6</t>
  </si>
  <si>
    <t>Gotovi HDMI kabel 15m</t>
  </si>
  <si>
    <t>Gotovi XLR3M kabel 1m</t>
  </si>
  <si>
    <t>RG59 B/U</t>
  </si>
  <si>
    <t>NYM 2x2,5mm2</t>
  </si>
  <si>
    <t>Zvučnički kabel 2x2,5mm2</t>
  </si>
  <si>
    <t>PVC cijev CS Φ25mm</t>
  </si>
  <si>
    <t>PVC cijev CS Φ32mm</t>
  </si>
  <si>
    <t>PVC cijev CS Φ40mm</t>
  </si>
  <si>
    <t>PVC cijev CS Φ50mm</t>
  </si>
  <si>
    <t>Dobava i montaža podžbuknih telefonskih priključnica 1xRJ11 Cat.6, komplet sa svim spojnim i montažnim priborom</t>
  </si>
  <si>
    <t>Dobava i montaža podžbuknih računalnih priključnica 1xRJ45 Cat.6, komplet sa svim spojnim i montažnim priborom</t>
  </si>
  <si>
    <t>Dobava i montaža podžbuknih računalnih priključnica 2xRJ45 Cat.6, komplet sa svim spojnim i montažnim priborom</t>
  </si>
  <si>
    <t>Dobava i montaža nadžbuknih računalnih priključnica 1xRJ45 Cat.6, komplet sa svim spojnim i montažnim priborom</t>
  </si>
  <si>
    <t>Dobava i montaža nadžbuknih računalnih priključnica 2xRJ45 Cat.6, komplet sa svim spojnim i montažnim priborom</t>
  </si>
  <si>
    <t>Dobava i montaža podžbuknih HDMI priključnica 1xHDMI, komplet sa svim spojnim i montažnim priborom</t>
  </si>
  <si>
    <t>Dobava, doprema i postavljanje oznaka kabela i priključnica:</t>
  </si>
  <si>
    <t>Isporuka oznaka i postavljanje oznaka na kabele</t>
  </si>
  <si>
    <t>Isporuka i postavljanje oznaka na priključnice</t>
  </si>
  <si>
    <t>Mjerenje parametara mreže sa izdavanjem mjernih rezultata - Cat.6, optika</t>
  </si>
  <si>
    <t>INSTALACIJA TELEFONA I RAČUNALNE MREŽE UKUPNO:</t>
  </si>
  <si>
    <t>ANTENSKA INSTALACIJA</t>
  </si>
  <si>
    <t>Dobava, doprema i montaža priključnog limenog ormarića, oznake CTV, dimenzija 300x400x150mm</t>
  </si>
  <si>
    <t>Dobava, montaža i spajanje antenskog sustava sastavljenog iz slijedećih elemenata:</t>
  </si>
  <si>
    <t>Aluminijski dvodjelni stup P916</t>
  </si>
  <si>
    <t>Krovni lim P82R</t>
  </si>
  <si>
    <t>Obujmica za pričvrščenje P912S</t>
  </si>
  <si>
    <t>Obujmica za uzemljenje P909S</t>
  </si>
  <si>
    <t>Obujmica za sidrenje P905</t>
  </si>
  <si>
    <t>Poklopac za stup P76</t>
  </si>
  <si>
    <t>UKV antena UKV452</t>
  </si>
  <si>
    <t>UHF antena TV4543</t>
  </si>
  <si>
    <t>Koaksijalni kabel 75 Ohm-a SAT 17</t>
  </si>
  <si>
    <t>Nespecificirani sitni materijal i pribor</t>
  </si>
  <si>
    <t>Dobava, postava i spajanje RTV stanice sastavljene iz slijedećih elemenata:</t>
  </si>
  <si>
    <t>Ormarić limeni P/Ž , 500x700x150mm</t>
  </si>
  <si>
    <t>Pojačalo WWK 982</t>
  </si>
  <si>
    <t>Atenuator f 20db</t>
  </si>
  <si>
    <t>Atenuator f 10db</t>
  </si>
  <si>
    <t>Adapter za uzemljenje dvostruki</t>
  </si>
  <si>
    <t>Konektor F</t>
  </si>
  <si>
    <t>Dobava i uvlačenje koaksijalnog kabela 75Ω SAT 17</t>
  </si>
  <si>
    <t>Dobava i postava instalacijskog materijala i pribora:</t>
  </si>
  <si>
    <t>Plastična cijev CSΦ20mm</t>
  </si>
  <si>
    <t>Plastična cijev CSΦ40mm</t>
  </si>
  <si>
    <t>Plastična cijev CSΦ50mm</t>
  </si>
  <si>
    <t>Plastična ugradna kutija PS 49 sa poklopcem</t>
  </si>
  <si>
    <t>Plastična ugradna kutija PS 50 sa poklopcem</t>
  </si>
  <si>
    <t>Mjerenje prijemnih signala i usklađivanje sa projektom</t>
  </si>
  <si>
    <t>Dosmjeravanje antena, podešavanje i programiranje RTV stanice</t>
  </si>
  <si>
    <t>Ispitivanje rada kompletnog sustava sa pismenim protokolom</t>
  </si>
  <si>
    <t>Pribavljanje potrebnih atesta i suglasnosti od ovlaštene pravne osobe</t>
  </si>
  <si>
    <t>ANTENSKA INSTALACIJA UKUPNO:</t>
  </si>
  <si>
    <t>ELEKTROINSTALACIJE UKUPNO:</t>
  </si>
  <si>
    <t>VATRODOJAVA</t>
  </si>
  <si>
    <t>SUSTAV ZA DOJAVU POŽARA</t>
  </si>
  <si>
    <t>Dobava i isporuka centrale za dojavu požara s jednom petljom sa sljedećim minimalnim tehničkim karakteristikama:
- umreživa
- 1 vatrodojavna petlja, neproširiva, max. 240 elemenata na petlji
- metalno kućište s plastičnom prednjom pločom
- integrirano 24V/4A napajanje i punjač za baterije od 1.2A za baterije od 17Ah
- Ethernet priključak za umrežavanje centrala, daljinsko programiranje, IP dojavu, BMS monitoring ili MODBUS protokol
- mogućnost povezivanja putem mreže na cloud sustav za nadzor i održavanje sustava ili Android/iOS aplikaciju
- mini USB port za konfiguraciju preko računala
- mogućnost ugradnje micro SD kartice za prikaz topografskih karti, spremanje i čitanje konfiguracija te spremanje zapisa događaja
- RS485 za izdvojene tipkovnice (podrška za 14</t>
  </si>
  <si>
    <t>izdvojenih tipkovnica) ili umrežavanje u mrežu centrala (podrška za 50 umreženih centrala)
- 4 konfigurabilna I/O kanala za 1A nadzirane naponske ulaze ili izlaze
- 1 konfigurabilni relejni izlaz
- 4.3” LCD dodirni zaslon
- silikonske tipke za osnovne funkcije
- minimalno 1000 zona
- minimalno 1000 grupa za aktivacijsku logiku
- Zapis minimalno 2000 događaja
- konfigurabilni zaslon sa slikama, tekstom, ikonama i funkcijskim tipkama
- temperaturni opseg rada najmanje u rasponu od -5°C do +40°C
- sukladnost prema HRN EN 54-2, HRN EN 54-4, HRN EN 54-21, HRN EN 12094-1 ili jednakovrijednim normama</t>
  </si>
  <si>
    <t>Dobava i isporuka telefonskog komunikatora za centralu dojave požara sa sljedećim minimalnim tehničkim karakteristikama:
- spaja se izravno na matičnu ploču centrale za dojavu požara (serija Previdia Compact)
- Contact ID i SIA-IP protokoli
- proizvod mora biti sukladan normi HRN EN 54-21 ili jednakovrijednoj
- podržava minimalno 100 glasovnih poruka (sveukupnog trajanja do 8 minuta)
- podržava minimalno 100 akcija
- minimalno 32 prilagodljive SMS poruke
- minimalno 32 telefonska broja za dojavu (digitalno, glasovno, SMS)
- napajanje od 19 do 30 Vdc
- radna temperatura: minimalno u rasponu od -5°C do +40°C</t>
  </si>
  <si>
    <t>Dobava i isporuka akumulatorskih baterija za rezervno napajanje sustava za dojavu požara. Napon 12 VDC, kapacitet 18 Ah.</t>
  </si>
  <si>
    <t>Dobava i isporuka izdvojene tipkovnice za nadzor i upravljanje centralom
- 7’’ touch screen LCDLCD tipkovnica za Praesidia centralu
, tekstualni LCD zaslon i funkcijska tipkovnica, povezivanje na bus centrale, tipkovnica za Praesidia centralu, tekstualni LCD zaslon i funkcijska tipkovnica, povezivanje na hornet bus centrale</t>
  </si>
  <si>
    <t>Dobava i isporuka adresabilnog optičkog detektora s integriranim izolatorom petlje sa sljedećim minimalnim tehničkim karakteristikama:
- obavezno automatsko adresiranje s centrale
- obavezno mogućnost ručnog adresiranja s centrale
- obavezno podesiva osjetljivost s centrale, posebno za dnevni, posebno za noćni režim
- ugraden izolator petlje
- napredni dizajn optičke komore, zaštita od smetnji, dvostruka zaštita od prašine i insekata , zaštitna mrežica sa ultra-malim otvorima (500µm)
- trobojna LED vidljiva 360°
- mogucnost izbora osjetljivosti detektora i moda rada daljinski putem centrale
- radni napon minimalno u rasponu od 19 do 30 Vdc
- struja u mirovanju najviše 200 μA, struja u alarmu najviše 10 mA
- minimalno četiri stupnja osjetljivosti</t>
  </si>
  <si>
    <t>(0,08/0,1/0,12/0,15 dB/m)
- radna temperatura minimalno u rasponu od -5°C do +40°C
- mora biti sukladan normama HRN EN 54-7 i HRN EN 54-17 ili jednakovrijednima</t>
  </si>
  <si>
    <t>Dobava i isporuka adresabilnog termičkog detektora s integriranim izolatorom petlje sa sljedećim minimalnim tehničkim karakteristikama:
- obavezno automatsko adresiranje s centrale
- obavezno mogućnost ručnog adresiranja s centrale
- obavezno podesiva osjetljivost s centrale, posebno za dnevni, posebno za noćni režim
- ugraden izolator petlje
- napredni dizajn optičke komore, zaštita od smetnji, dvostruka zaštita od prašine i insekata , zaštitna mrežica sa ultra-malim otvorima (500µm)
- trobojna LED vidljiva 360°
- mogucnost izbora osjetljivosti detektora i moda rada daljinski putem centrale
- radni napon minimalno u rasponu od 19 do 30 Vdc
- struja u mirovanju najviše 200 μA, struja u alarmu najviše 10 mA
- minimalno četiri stupnja osjetljivosti</t>
  </si>
  <si>
    <t>Dobava i isporuka podnožja za Inim konvencionalne detektore Iris serije i adresabilne detektore Enea serije. Mora biti opremljeno sa kontaktom (mostom) koji osigurava neprekinutost linije prilikom skidanja detektora.</t>
  </si>
  <si>
    <t>Dobava i isporuka paralelnog indikatora prorade javljača
- bijele boje
- napajanje 19-30Vdc
- potrošnja 20mA@27.6V
- IP42 zaštita
- radna temperatura -5°C + 40°C</t>
  </si>
  <si>
    <t>Dobava i isporuka adresabilnog ručnog javljača požara s integriranim izolatorom petlje, bez razbijanja stakla, crvene boje, reset ključem, sljedećih minimalnih tehničkih karakteristika:
- mehanička vizualna inidkacija aktivacije
- mora imati prozirni plastični element za aktivaciju koje se mora moći ručno vratiti u neutralan položaj, bez lomljenja i potrebe za zamjenom nakon svake aktivacije
- po naredbi iz adresabilne centrale šalje informaciju o stanju javljača
- ugrađen izolator petlje
- radni napon u rasponu od 9 do 30 Vdc
- struja u mirovanju najviše 80 μA, struja u alarmu najviše 5 mA
- radna temperatura minimalno u rasponu od -10°C do +55°C
- mora biti sukladan normama HRN EN 54-11 i HRN EN 54-17 ili jednakovrijednima</t>
  </si>
  <si>
    <t>- radna temperatura -10°C do +55°C
- mora biti sukladna normama HRN EN 54-3, HRN EN 54-17, HRN EN 54-23 ili jednakovrijednima</t>
  </si>
  <si>
    <t>Dobava i isporuka višekanalnog adresabilnog modula sljedećih tehničkih karakteristika:
- ugrađen izolator kratkog spoja
- automatsko adresiranje s centrale pomoću jedinstvenog serijskog broja
- najmanje 4 nadzirana ulaza (od kojih 2 mogu biti programirani za prihvat konvencionalne zone)
- najmanje 4 relejna izlaza (1A@30Vdc)
- 3 višebojne LED lampice za signalizaciju stanja
- napajanje 19-30Vdc
- potrošnja u mirovanju do 80uA, u alarmu do 20mA
- sukladno prema EN 54-17 i EN 54-18 ili jednakovrijednim normama</t>
  </si>
  <si>
    <t>Dobava i isporuka knjige održavanja sustava za dojavu požara</t>
  </si>
  <si>
    <t>Montaža adresabilne vatrodojavne centrale:
Montaža adresabilne vatrodojavne centrale na zid s vijcima i tiplama s uvlačenjem kabela;
Montaža i spajanje akumulatora za vatrodojavnu centralu;
Spajanje adresabilne vatrodojavne centrale;
Skidanje izolacije s kabela i izvođenje ožičenja unutar vatrodojavne centrale
Ugradnja svih kartica petlje i kartica proširenja</t>
  </si>
  <si>
    <t>Montaža podnožja i spajanje podnožja vatrodojavnog detektora na liniju</t>
  </si>
  <si>
    <t>Montaža javljača požara na podnožje i adresiranje detektora</t>
  </si>
  <si>
    <t>Montaža i spajanje ručnog javljača požara i adresiranje</t>
  </si>
  <si>
    <t>Montaža i spajanje vatrodojavne sirene</t>
  </si>
  <si>
    <t>Programiranje telefonske dojave centrale za dojavu požara
- programiranje telefonske dojave i spajanje na dojavni centar po izboru investitora sa zoningom</t>
  </si>
  <si>
    <t>Puštanje sustava za dojavu požara i vatrodojavnih petlji u rad, uz provjeru petlji, pronalaženje eventualnih grešaka i njihovo ispravljanje, do pune funkcionalnosti svake petlje</t>
  </si>
  <si>
    <t>Programiranje adresabilne vatrodojavne centrale
- po jednom detektoru, javljaču, sireni ili modulu</t>
  </si>
  <si>
    <t>Dobava potrebnih oznaka i označavanje svih elemenata vatrodojavnog sustava prema blok-shemi</t>
  </si>
  <si>
    <t>Izrada protupožarnog brtvljenja
- na probojima između požarnih sektora sa atestiranim negorivim materijalima odgovarajuće klase vatrootpornosti i označavanje mjesta protupožarnog brtvljenja</t>
  </si>
  <si>
    <t>Izrada projekta izvedenog stanja sustava za dojavu požara
- u 3 tiskana primjerka te jednom primjeku u digitalnom obliku</t>
  </si>
  <si>
    <t>Prvo ispitivanje sustava koje vrši tvrtka ovlaštena od strane MUP RH, uključuje izdavanje uvjerenja o ispravnosti sustava</t>
  </si>
  <si>
    <t>Obuka korisnika za rukovanje sustavom dojave požara
- uključivo tiskane upute za rukovanje na hrvatskom jeziku (2 primjerka)</t>
  </si>
  <si>
    <t>Dobava i isporuka kabela UTP 4x2x24 AWG Cat 5e za spoj dojavnika na telefonsku liniju</t>
  </si>
  <si>
    <t>SUSTAV ZA DOJAVU POŽARA UKUPNO:</t>
  </si>
  <si>
    <t>VATRODOJAVA UKUPNO:</t>
  </si>
  <si>
    <t>ELEKTRO UKUPNO:</t>
  </si>
  <si>
    <t>3.</t>
  </si>
  <si>
    <t>3.1.</t>
  </si>
  <si>
    <t>DIZALICA TOPLINE</t>
  </si>
  <si>
    <t>3.1.1.</t>
  </si>
  <si>
    <t>3.1.2.</t>
  </si>
  <si>
    <t>Dobava i montaža zaporne kuglaste slaviea sa ispustom u kompletu sa holenderima i brtvama</t>
  </si>
  <si>
    <t>NO40</t>
  </si>
  <si>
    <t>3.1.3.</t>
  </si>
  <si>
    <t>Dobava i montaža hvatača nečistoća u kompletu sa holenderima i brtvama</t>
  </si>
  <si>
    <t>3.1.4.</t>
  </si>
  <si>
    <t>3.1.5.</t>
  </si>
  <si>
    <t>Dobava i montaža bakrene cijevi za razvod medija, u kompletu sa koljenima, prelaznim komadima i račvama, dimenzija:</t>
  </si>
  <si>
    <t>Ø42 mm</t>
  </si>
  <si>
    <t>Ø54 mm</t>
  </si>
  <si>
    <t>3.1.6.</t>
  </si>
  <si>
    <t>9x42 mm</t>
  </si>
  <si>
    <t>9x54 mm</t>
  </si>
  <si>
    <t>3.1.7.</t>
  </si>
  <si>
    <t>Punjenje sustava dizalice topline smjesom propilen glikola točke smrzavanja -25°C</t>
  </si>
  <si>
    <t>l</t>
  </si>
  <si>
    <t>3.1.8.</t>
  </si>
  <si>
    <t>Dobava i montaža automatskog odzračnog lončića u kompletu sa nepovratnim ventilom radi mogućnost izmjene lončića pod tlakom</t>
  </si>
  <si>
    <t>3.1.9.</t>
  </si>
  <si>
    <t>Čelični profili, navojne šipke i obujmice za ovješenje cjevovoda i opreme, u kompletu sa antikorozivnom zaštitom</t>
  </si>
  <si>
    <t>3.1.10.</t>
  </si>
  <si>
    <t>3.1.11.</t>
  </si>
  <si>
    <t>3.1.12.</t>
  </si>
  <si>
    <t>Izrada građevinskog postolja za dizalicu topline
Postolje se izrađuje od pocinčanih čeličnih profila, stavka obuhvaća izradu radioničkih nacrta, statički proračun, dopremu, antikorozivnu zaštitu, ličenje i ugradnju materijala
Okvirna težina: 150kg</t>
  </si>
  <si>
    <t>3.1.13.</t>
  </si>
  <si>
    <t>Korištenje auto dizalice za postavljanje opreme u podrum objekta
Visina dizanja sa okolnog terena H= 2m</t>
  </si>
  <si>
    <t>3.1.14.</t>
  </si>
  <si>
    <t>3.1.15.</t>
  </si>
  <si>
    <t>Tlačna proba izvedenog dijela instalacije</t>
  </si>
  <si>
    <t>Ispiranje instalacija grijanja vodom do postizanja zadovoljavajuće čistoće</t>
  </si>
  <si>
    <t>Elektro povezivanje dizalice topline</t>
  </si>
  <si>
    <t>Puštanje u pogon opreme, programiranje parametara, ovjera garancije od strane ovlaštenog servisera, obuka korisnika, dostava uputa na hrvatskom jeziku</t>
  </si>
  <si>
    <t>DIZALICA TOPLINE UKUPNO:</t>
  </si>
  <si>
    <t>3.2.</t>
  </si>
  <si>
    <t>STROJARNICA</t>
  </si>
  <si>
    <t>3.2.1.</t>
  </si>
  <si>
    <t>Dobava i montaža samostojćeg izoliraog spremnika za pripremu PTV pomoću dizalica topline. Spiralni izmjenivač ugrađen u spremnik je povećane površine za rad sa dizalicama topline.
Spremnik je izrađen od čeličnog lima zaštičenog dvokomponentni premazom za pitku vodu, anodnom zaštitom od korozije u kompletu sa termometrima i priključcima za: hladnu vodu, PTV, recirkulaciju i dizalicu topline
kriterij za nuđenje: volumen, učin i snaga el grijača ne manji od
V= 750 litara, Qg=40 kW, 10/45°C, polaz dizalice 50°C
dimenzija: Ø855xH2050
dodatni el. grijač Nel= 3 kW, 230V</t>
  </si>
  <si>
    <t>3.2.2.</t>
  </si>
  <si>
    <t>Dobava i montaža akumulacijskog spremnika od čeličnog lima, samostojeći, odložen izolacijom za sustave klimatizacije i grijanja u kompletu sa priključcima, ispusnom slavinom i odzrakom
Koristi se i kao hidraulička skretnica
kriterij za nuđenje: volumen ne manji od V= 100 lit</t>
  </si>
  <si>
    <t>3.2.3.</t>
  </si>
  <si>
    <t>Dobava i montaža elektronski regulirane cirkulacijske crpke za podno grijanje, u kompletu sa holenderima i brtvama ili sa prirubnicama, brtvama, vijcima i maticama
kriterij za nuđenje: protok i visina dobave ne manji od tražene
V= 3,53m3/h
H= 7 mVS
N= 150 W /230 V</t>
  </si>
  <si>
    <t>3.2.4.</t>
  </si>
  <si>
    <t>Dobava i montaža elektronski regulirane cirkulacijske crpke za ventilokovektorsko grijanje, u kompletu sa holenderima i brtvama ili sa prirubnicama, brtvama, vijcima i maticama
kriterij za nuđenje: protok i visina dobave ne manji od tražene
V= 5,8 m3/h
H= 7 mVS
N= 180 W /230 V</t>
  </si>
  <si>
    <t>3.2.5.</t>
  </si>
  <si>
    <t>Dobava i montaža crpke za recirkulaciju PTV-a, u kompletu sa nepovratnim ventilom, holenderima i brtvom
kriterij za nuđenje: protok i visina dobave ne manji od tražene
V= 250 lit/h,
H= 1 mVS
N= 7 W / 230 V</t>
  </si>
  <si>
    <t>3.2.6.</t>
  </si>
  <si>
    <t>Dobava i montaža Ionskog omekšivača vode za pripremu vode, automatski upravljan s jednim ionskim filterom, kućna izvedba
Kompaktna izvedba sastavljena od
ionskoga filtera, posude za sol, cjevovoda, armature, regulacijskog ventila te punjenja ionskom masom
Uz omekšivač se isporučuje indikator za ispitivanje ostatne tvrdoće omekšane vode
kriterij za nuđenje: kapacitet ne manji od traženog
Kapacitet: 1,0 m3/h pri dp=1 bar
Količina ionske mase: 15 lit
Količina soli: 50 kg</t>
  </si>
  <si>
    <t>3.2.7.</t>
  </si>
  <si>
    <t>Dobava i montaža sabirnika/razdjelnik sustava grijanja u kompletu sa nogarama i ovjesnim materijalom, izrađen od čelične cijevi NO100 dužine 1,5 m, priključci:
1 x NO50 spoj
1x NO32
1x NO50
1 x NO15
pp slavina i manometar 1/2"</t>
  </si>
  <si>
    <t>3.2.8.</t>
  </si>
  <si>
    <t>Dobava i montaža membranske ekspanzijske posude sustava grijanja
kriterij za nuđenje: radni tlak i volumen ne manji od
Volumen posude: V=50 lit, 6 bar</t>
  </si>
  <si>
    <t>3.2.9.</t>
  </si>
  <si>
    <t>Ekspanzijska posuda sustava PTV-a
kriterij za nuđenje: volumen ne manji od
volumena10 lit, PN 6</t>
  </si>
  <si>
    <t>3.2.10.</t>
  </si>
  <si>
    <t>Dobava i ugradnja sigurnosni ventil za PTV 10 bara</t>
  </si>
  <si>
    <t>NO15</t>
  </si>
  <si>
    <t>3.2.11.</t>
  </si>
  <si>
    <t>Dobava i montaža troputog prekretnog ventila elektromotornim pogonom u kompletu sa protuprirubnicama, brtvama, vijcima i maticama, te svim potrebnim montažnim i potrošnim materijalom</t>
  </si>
  <si>
    <t>3.2.12.</t>
  </si>
  <si>
    <t>Dobava i montaža elektronski regulirane cirkulacijske crpke buffera, u kompletu sa holenderima i brtvama ili sa prirubnicama, brtvama, vijcima i maticama
kriterij za nuđenje: protok i visina dobave ne manji od tražene
V= 8,3 m3/h
H= 3,5 mVS
N= 140 W /230 V</t>
  </si>
  <si>
    <t>3.2.13.</t>
  </si>
  <si>
    <t>Dobava i montaža pločastog izmjenjivača u kompletu sa izolacijom, montažnom konzolom, brtvama, holenderima ili protuprirubnicama, brtvama, spojnim i montažnim materijalom
kriterij za nuđenje:učin ne manji od i pad tlaka ne veći od tražeog
Q=48 kW
Primar: propilen glikol 35%, 50/45°C, dp=20Pa
Sekundar: voda, 45/40°C, dp=20 Pa</t>
  </si>
  <si>
    <t>3.2.14.</t>
  </si>
  <si>
    <t>Dobava i montaža zaporne kuglaste slavine u kompletu sa holenderima i brtvama ili sa prirubnicama, brtvama, vijcima i maticama, te svim potrebnim montažnim i potrošnim materijalom</t>
  </si>
  <si>
    <t>NO25</t>
  </si>
  <si>
    <t>NO32</t>
  </si>
  <si>
    <t>NO50</t>
  </si>
  <si>
    <t>NO65</t>
  </si>
  <si>
    <t>3.2.15.</t>
  </si>
  <si>
    <t>Dobava i montaža hvatača nečistoća u kompletu sa holenderima i brtvama ili sa prirubnicama, brtvama, vijcima i maticama, te svim potrebnim montažnim i potrošnim materijalom</t>
  </si>
  <si>
    <t>3.2.16.</t>
  </si>
  <si>
    <t>Dobava i montaža nepovratnog ventila u kompletu sa holenderima i brtvama ili sa prirubnicama, brtvama, vijcima i maticama, te svim potrebnim montažnim i potrošnim materijalom</t>
  </si>
  <si>
    <t>3.2.17.</t>
  </si>
  <si>
    <t>Dobava i montaža bakrene cijevi za razvod medija, u kompletu sa koljenima, T komadima, redukcijama, prelaznim komadima i spojnicama, dimenzija:</t>
  </si>
  <si>
    <t>Ø28 mm</t>
  </si>
  <si>
    <t>Ø35 mm</t>
  </si>
  <si>
    <t>Ø64 mm</t>
  </si>
  <si>
    <t>3.2.18.</t>
  </si>
  <si>
    <t>Dobava i montaža izolacija cjevovoda od pjenastog polimera (PEEF) sa parnom branom, za sustave klimatizacije, u kompletu sa ljepilom i trakom
Toplinska vodljivost izolacije λ (0°C) ≤ 0,35 W/mK, koeficijent otpora difuziji vodene pare μ ≥ 10.000
Razred reakcije na požar prema HRN EN13501.1: B-s3d0
kriterij za nuđenje toplinska vodljivost izolacije ne manja od tražene i odgovarajući razred reakcije na požar</t>
  </si>
  <si>
    <t>9x28 mm</t>
  </si>
  <si>
    <t>9x35 mm</t>
  </si>
  <si>
    <t>9x64 mm</t>
  </si>
  <si>
    <t>3.2.19.</t>
  </si>
  <si>
    <t>Automatski odzračni lončić u kompletu sa nepovratnim ventilom radi mogućnost izmjene lončića pod tlakom</t>
  </si>
  <si>
    <t>3.2.20.</t>
  </si>
  <si>
    <t>3.2.21.</t>
  </si>
  <si>
    <t>Punjenje instalacije ogrjevnim medijem, hladna i topla proba</t>
  </si>
  <si>
    <t>Elektropovezivanje opreme dizalice topline, regulacije, cirkulacijskih crpki i temperaturnih osjetnika</t>
  </si>
  <si>
    <t>STROJARNICA UKUPNO:</t>
  </si>
  <si>
    <t>3.3.</t>
  </si>
  <si>
    <t>ELEKTRIČNI RADIJATORI</t>
  </si>
  <si>
    <t>3.3.1.</t>
  </si>
  <si>
    <t>ELEKTRIČNI RADIJATORI UKUPNO:</t>
  </si>
  <si>
    <t>3.4.</t>
  </si>
  <si>
    <t>PODNO GRIJANJE</t>
  </si>
  <si>
    <t>3.4.1.</t>
  </si>
  <si>
    <t>Dobava i montaža cijevi za podno grijanje izrađena od polietilena PE-Xc</t>
  </si>
  <si>
    <t>Ø17 x 2,0 mm</t>
  </si>
  <si>
    <t>3.4.2.</t>
  </si>
  <si>
    <t>Držači za montažu cijevi za podno grijanje na toplinsku izolaciju od kaširanog ekspandiranog polistirena (EPS)</t>
  </si>
  <si>
    <t>3.4.3.</t>
  </si>
  <si>
    <t>Navojne spojnice za priključak cijevi na razdjelnike i lukovi za vođenje cijevi</t>
  </si>
  <si>
    <t>3.4.4.</t>
  </si>
  <si>
    <t>3.4.5.</t>
  </si>
  <si>
    <t>Dobava i montaža PVC folija za razdvajanje EPS izolacije od bitumenske podloge, debljine 0,1 mm</t>
  </si>
  <si>
    <t>3.4.6.</t>
  </si>
  <si>
    <t>3.4.7.</t>
  </si>
  <si>
    <t>3.4.8.</t>
  </si>
  <si>
    <t>Aditiv za poboljšavanje toplinske vodljivosti, savitljivosti i čvrstoće cementnog estriha na mjestima gdje se polažu cijevi podnog grijanja</t>
  </si>
  <si>
    <t>3.4.9.</t>
  </si>
  <si>
    <t>Dobava i montaža kompaktni razdjelnik i sabirnik za polazne i povratne vode krugova podnog grijanja opremljen sa indikatorima protoka, ventilima za podešavanje protoka, zapornim ventilima sa adapterom za montažu elektromotornog pogona, čepovima, odzračnim ventilma, konzolama za montažu u ormarić i zapornim ventilima za cijeli razdjelnik, u kompletu sa spojnim i montažnim matertijalom</t>
  </si>
  <si>
    <t>6 kruga</t>
  </si>
  <si>
    <t>3.4.10.</t>
  </si>
  <si>
    <t>Dobava i montaža ormarića za ugradnju razdjelnika podnog grijanja izrađen od plastificiranog pocinčanog čeličnog lima, odgovarajuće veličine i oblika sa svom potrebnom montažnom opremom, za ugradnju razdjelnika i sabirnika, u kompletu sa montažnim i spojnim materijalom</t>
  </si>
  <si>
    <t>3.4.11.</t>
  </si>
  <si>
    <t>Dobava i montaža elektrotermički pogon za ugradnju na ventil razdjelnika, prije isporuke uskladiti sa termostatima (24 ili 230 V)</t>
  </si>
  <si>
    <t>3.4.12.</t>
  </si>
  <si>
    <t>3.4.13.</t>
  </si>
  <si>
    <t>Dobava i montaža regulacijska jedinica bez modula za pumpnu grupu za priključak termostata i pogona podnog grijanja</t>
  </si>
  <si>
    <t>Za spoj do 6 termostata i 12 krugova grijanja, 230 V</t>
  </si>
  <si>
    <t>3.4.14.</t>
  </si>
  <si>
    <t>Dobava i montaža bakrene cijevi za razvod ogrjevnog medija, u kompletu sa koljenima, prelaznim komadima i račvama, dimenzija:</t>
  </si>
  <si>
    <t>3.4.15.</t>
  </si>
  <si>
    <t>Dobava i montaža izolacija cjevovoda od pjenastog polimera (PEEF) sa parnom branom, za sustave grijanja, u kompletu sa ljepilom i trakom
Toplinska vodljivost izolacije λ (0°C) ≤ 0,35 W/mK, koeficijent otpora difuziji vodene pare μ ≥ 10.000
Razred reakcije na požar prema HRN EN13501.1: B-s3d0
kriterij za nuđenje toplinska vodljivost izolacije ne manja od tražene i odgovarajući razred reakcije na požar</t>
  </si>
  <si>
    <t>6x28 mm</t>
  </si>
  <si>
    <t>6x35 mm</t>
  </si>
  <si>
    <t>3.4.16.</t>
  </si>
  <si>
    <t>Dobava i montaža automatski odzračni lončić u kompletu sa nepovratnim ventilom radi mogućnost izmjene lončića pod tlakom.</t>
  </si>
  <si>
    <t>3.4.17.</t>
  </si>
  <si>
    <t>3.4.18.</t>
  </si>
  <si>
    <t>3.4.19.</t>
  </si>
  <si>
    <t>3.4.20.</t>
  </si>
  <si>
    <t>Punjenje sustava ogrjevnim medijem uz odzračivanje sustava</t>
  </si>
  <si>
    <t>Balansiranje izvedenog dijala instalacije</t>
  </si>
  <si>
    <t>PODNO GRIJANJE UKUPNO:</t>
  </si>
  <si>
    <t>3.5.</t>
  </si>
  <si>
    <t>VENTILOKONVEKTORI</t>
  </si>
  <si>
    <t>3.5.1.</t>
  </si>
  <si>
    <t>Qhl = 976 W, tw= 7/12°C; 26°C 50%
Qgr = 1056W, tw= 45/40°C
Lp= 30 dB(A)</t>
  </si>
  <si>
    <t>Qhl =1404 W, tw= 7/12°C; 26°C 50%
Qgr = 1430W, tw= 45/40°C
Lp= 31 dB(A)</t>
  </si>
  <si>
    <t>Qhl = 1886 W, tw= 7/12°C; 26°C 50%
Qgr = 1867 W, tw= 45/40°C
Lp= 31 dB(A)</t>
  </si>
  <si>
    <t>Qhl =3187 W, tw= 7/12°C; 26°C 50%
Qgr = 3185 W, tw= 45/40°C
Lp= 32 dB(A)</t>
  </si>
  <si>
    <t>3.5.2.</t>
  </si>
  <si>
    <t>3.5.3.</t>
  </si>
  <si>
    <t>Dobava i montaža regulacijski i balans ventil sa elektrotermičkim pogonom u kompletu sa holenderima, brtvama, montažnim i sitnim potrošnim materijalom, montažnim i sitnim potrošnim materijalom
kriterij za nuđenje protok i raspon tlaka ne manji od traženog, pad tlaka ne veći od traženog</t>
  </si>
  <si>
    <t>NO15, max potok do 450 lit/h, raspon dif. tlaka 16-400 kPa</t>
  </si>
  <si>
    <t>NO20, max potok do 900 lit/h, raspon dif. tlaka 16-400 kPa</t>
  </si>
  <si>
    <t>3.5.4.</t>
  </si>
  <si>
    <t>Dobava i montaža fleksibilna cijev za spoj ventilokonvektora na cjevovod, duljine 30-50 cm, radni tlak: 6 bar, radna temp do 90°C, u kompletu sa spojnicama ili holenderima, brtvama i izolacijom;montažnim i sitnim potrošnim materijalom. Svjetlog unutarnjeg promjera:</t>
  </si>
  <si>
    <t>NO 15 (1/2")</t>
  </si>
  <si>
    <t>NO 20 (3/4")</t>
  </si>
  <si>
    <t>3.5.5.</t>
  </si>
  <si>
    <t>Dobava i montaža zaporne kuglaste slavine u kompletu sa holenderima, brtvama, montažnim i sitnim potrošnim materijalom</t>
  </si>
  <si>
    <t>NO20</t>
  </si>
  <si>
    <t>3.5.6.</t>
  </si>
  <si>
    <t>Ø15 mm</t>
  </si>
  <si>
    <t>Ø18 mm</t>
  </si>
  <si>
    <t>Ø22 mm</t>
  </si>
  <si>
    <t>3.5.7.</t>
  </si>
  <si>
    <t>9x15 mm</t>
  </si>
  <si>
    <t>9x18 mm</t>
  </si>
  <si>
    <t>9x22 mm</t>
  </si>
  <si>
    <t>3.5.8.</t>
  </si>
  <si>
    <t>Dobava i montaža cijevi za odvod kondenzata, u kompletu sa koljenima, prelaznim komadima, račvama, montažnim i sitnim potrošnim materijalom, dimenzija:</t>
  </si>
  <si>
    <t>Ø16</t>
  </si>
  <si>
    <t>Ø32</t>
  </si>
  <si>
    <t>3.5.9.</t>
  </si>
  <si>
    <t>Dobava i montaža sifona za odvod kondenzata, podžbukni, prije uboda u sustav odvodnje; u kompletu sa kućištem, poklopcem, brtvama, montažnim i sitnim potrošnim materijalom</t>
  </si>
  <si>
    <t>Odvod: Ø 17/21 i Ø 32 mm</t>
  </si>
  <si>
    <t>3.5.10.</t>
  </si>
  <si>
    <t>Dobava i montaža automatskog odzračnog lončića u kompletu sa nepovratnim ventilom radi mogućnost izmjene lončića pod tlakom, montažnim i sitnim potrošnim materijalom</t>
  </si>
  <si>
    <t>3.5.11.</t>
  </si>
  <si>
    <t>3.5.12.</t>
  </si>
  <si>
    <t>3.5.13.</t>
  </si>
  <si>
    <t>3.5.14.</t>
  </si>
  <si>
    <t>Dobava i ugradnja revizija u punom stropu za čiščenje filtera i servis ventlokonvektora, revizija se satoji od vratašca sa okvirom, kontraokvirom i mehanizma za zatvaranje</t>
  </si>
  <si>
    <t>400x400 mm</t>
  </si>
  <si>
    <t>3.5.15.</t>
  </si>
  <si>
    <t>Korištenje platformi i skela za ugradnju opreme i cjevovoda na visini iznad 3,5 m</t>
  </si>
  <si>
    <t>3.5.16.</t>
  </si>
  <si>
    <t>Balansiranje izvedenog dijela instalacije</t>
  </si>
  <si>
    <t>VENTILOKONVEKTORI UKUPNO:</t>
  </si>
  <si>
    <t>3.6.</t>
  </si>
  <si>
    <t>VENTILACIJA SANITARIJA  I  REKUPERACIJA</t>
  </si>
  <si>
    <t>3.6.1.</t>
  </si>
  <si>
    <t>Dobava i montaža kanalnog centrifugalni otsisni ventilatora , u kompletu sa ovjesnim materijalom, regulatorom broja okretaja i jedrenim platnom
kriterij za nuđenje: protok i visina dobave ne manji i buka ne vaća od tražene</t>
  </si>
  <si>
    <t>L= 45(80) m3/h
H=120 (100) Pa
N= 31 W, 230V
Lp=34 dB(A) na 3m</t>
  </si>
  <si>
    <t>L= 240 m3/h
H= 100 Pa
N= 62 W, 230V
Lp= 44 dB(A) na 3m</t>
  </si>
  <si>
    <t>3.6.2.</t>
  </si>
  <si>
    <t>Dobava i montaža rakuperatorske jedinice za podžbuknu ugradnju u kompletu sa tlačnim i odsisnim ventilatorom, aluminijskim križnim pločastim rekuperatorom, filterom svježeg i odbačenog zraka, upravljačkom jedinicom, kučištem za podžbuknu ugradnju, ukrasnom maskom na starni prostora koji se ventilira, dvije PVC cijevi NO100 dižine 100 cm za svježi i odbačeni zrak, protukišnom maskom za svježi i odbačeni zrak sa zaštitnim mrežicama na fasadi, spojnim i montažnim materijalom
Isporuka sa standardnim filterom klase G4
Uz jedinicu se isporučuje i bežični daljinski upravljač
kriterij za nuđenje: protok i stutupanj rekuperacija ne manji i buka ne vaća od tražene
V= 15-100 m³/h, sa 10 nivoa brizna
ɳ= 76 %
Ne= 34 W, 230 V
LpA= 15,5 - 46,5 dB(A) u prostoru površine 10m2</t>
  </si>
  <si>
    <t>3.6.3.</t>
  </si>
  <si>
    <t>Dobava i montaža zračni ventil (platični) za odvod zraka u kompletu sa ručnim regulatorom, montažnim okvirom, ovjesnim i montažnim materijalom</t>
  </si>
  <si>
    <t>Ø100</t>
  </si>
  <si>
    <t>3.6.4.</t>
  </si>
  <si>
    <t>Dobav i montaža aluminijska plastificirana prestrujna rešetka za ugradnju na krilo vrata u kompletu sa montažnim okvirom i montažnim materijalom
Umjesto prestrujene rešetke moguće je podrezati vrata</t>
  </si>
  <si>
    <t>400x200</t>
  </si>
  <si>
    <t>3.6.5.</t>
  </si>
  <si>
    <t>Dobava i montaža protukišna aluminijska žaluzina za dobavu i odbacivanje zraka za ugradnju na zid u kompletu sa montažnim okvirom, ovjesnim i montažnim materijalom</t>
  </si>
  <si>
    <t>Ø125</t>
  </si>
  <si>
    <t>3.6.6.</t>
  </si>
  <si>
    <t>Dobava i montaža protukišna žaluzina za odbacivanje zraka na krovu, u kompletu sa krovnom lulom od pocinčanog čeličnog lima u kompletu sa montažnim okvirom, ovjesnim i montažnim materijalom</t>
  </si>
  <si>
    <t>3.6.7.</t>
  </si>
  <si>
    <t>Dobava i ugradnja spiro cijevi za razvod zraka izrađenih od pocinčanog čeličnog lima u kompletu s spojnicama, koljenima, račvama, T komadima, brtvenim i montažnim materijalom
(koljeno, račva i T komad se obračunavaju kao 1 m cijevi)</t>
  </si>
  <si>
    <t>Ø80</t>
  </si>
  <si>
    <t>3.6.8.</t>
  </si>
  <si>
    <t>Dobava i ugradnja ovjesa pocinčanih kanala u kompletu sa montažnim materijalom, vijcima i tiplama
Stavka obuhvaća izradu radioničkih nacrta ovjesa i njihov statički proračun koje ja izvođač dužan dostaviti nadzornom inženjeru na ovjeru</t>
  </si>
  <si>
    <t>3.6.9.</t>
  </si>
  <si>
    <t>Korištenje skele za ugradnu kanala iznad 3,5 m visine</t>
  </si>
  <si>
    <t>3.6.10.</t>
  </si>
  <si>
    <t>3.6.11.</t>
  </si>
  <si>
    <t>3.6.12.</t>
  </si>
  <si>
    <t>Elektropovezivanje ventilatora i puštanje u pogon</t>
  </si>
  <si>
    <t>Balansiranje izvedenog dijela sustava ventilacije</t>
  </si>
  <si>
    <t>VENTILACIJA SANITARIJA  I  REKUPERACIJA UKUPNO:</t>
  </si>
  <si>
    <t>3.7.</t>
  </si>
  <si>
    <t>VENTILACIJA</t>
  </si>
  <si>
    <t>3.7.1.</t>
  </si>
  <si>
    <t>Tehničkih karakteristika
-Tlačni ventilator:
L= 2500 m³/h
Hn= 200 Pa (raspoloživi vanjski pad tlaka)
-Pločasti rekuperator:
η= 82,6% (prosječni stupanj učinkovitosti)
-Grijač zraka:
Qg= 4 kW,
Tmedija=45°/40°C
radni medij voda
dp= 5 kPa (pad tlaka medija u izmjenjivaču)
-Odsisni ventilator:
L=2500 m³/h
Hn= 200 Pa (raspoloživi vanjski pad tlaka)
-Buka:
zvučna snaga prema kanalnom razvodu 62/53 dB(A)
zvučna snaga kućišta prema prostoru 65 dB(A)
zvučna snaga na usisu svježeg i odbačenog zraka 54/59 dB(A)
U jedinici se isporučuje ugrađena i ožičena</t>
  </si>
  <si>
    <t>3.7.2.</t>
  </si>
  <si>
    <t>Dobav i montaža seat rezervniih filtera za klima komoru
Nakon puštanja u pogon, probnog rada i tehničkog pregleda svi filteri na klima komori se mijenjaju i ugrađuju novi</t>
  </si>
  <si>
    <t>3.7.3.</t>
  </si>
  <si>
    <t>Dobava i montaža vrtložni distributer, pravokutni, za dobavu zraka, u kompletu sa priključnom kutijom i ovjesnim materijalom
600-24
V (m3/h) = 400
Ve (m/s) =2,3
Lwa dB(A)=25
∆p (Pa) =15</t>
  </si>
  <si>
    <t>3.7.4.</t>
  </si>
  <si>
    <t>Dobava i montaža prigušivača buke za ugradnju u kanale od spiro cijevi, izrađeni od pocinčanog čeličnog lima sa ugrađenom zvučnom izolacijom, u kompletu sa spojnim, ovjesnim i montažnim materijalom
kriterij za nuđenje: prigušenje buke ne manje od:</t>
  </si>
  <si>
    <t>500x200 prigušenje min15dB(A) 250 Hz</t>
  </si>
  <si>
    <t>500x400 prigušenje min15dB(A) 250 Hz</t>
  </si>
  <si>
    <t>3.7.5.</t>
  </si>
  <si>
    <t>Dobava i montaža rešetka za odsis zraka zraka, u kompletu sa regulatorom, ugradnim i pričvrsnim materijalom</t>
  </si>
  <si>
    <t>825x325</t>
  </si>
  <si>
    <t>3.7.6.</t>
  </si>
  <si>
    <t>Dobava i montaža protukišna pravokutna aluminijska žaluzina za dobavu i odbacivanje zraka sa fiksnim lamelama i zaštitnom mrežicom u kompletu sa montažnim okvirom, priključnom kutijom, ovjesnim i montažnim materijalom</t>
  </si>
  <si>
    <t>1000x500</t>
  </si>
  <si>
    <t>3.7.7.</t>
  </si>
  <si>
    <t>Ø200</t>
  </si>
  <si>
    <t>3.7.8.</t>
  </si>
  <si>
    <t>Dobava i ugradnja fleksibilnih cijevi za odvod zraka izrađenih od poliestreskih ili aluminijskih cijevi ojačanih čeličnom spiralom u kompletu sa obujmicama, samoljepivom trakom i montažnim materijalom</t>
  </si>
  <si>
    <t>Ø203</t>
  </si>
  <si>
    <t>3.7.9.</t>
  </si>
  <si>
    <t>(u izraženoj količini je obračunato 15% za prirubnice)</t>
  </si>
  <si>
    <t>3.7.10.</t>
  </si>
  <si>
    <t>debljine 6 mm, odsisni kanali</t>
  </si>
  <si>
    <t>debljine 13 mm, tlačni kanali, svježi i odbačeni zrak</t>
  </si>
  <si>
    <t>3.7.11.</t>
  </si>
  <si>
    <t>kriterij za nuđenje toplinska vodljivost izolacije ne manja od tražene i odgovarajući razred reakcije na požar</t>
  </si>
  <si>
    <t>3.7.12.</t>
  </si>
  <si>
    <t>Dobava i montaža tlačno neovisni kombinirani regulacijski i balans ventil s mogučnošću predpodešenja protoka u kompletu sa odgovarajućim elektromotornim pogonom, holenderima i brtvama ili protupriprubnicama, brtvama, vijcima i maticama
kriterij za nuđenje protok i raspon tlaka ne manji od traženog, pad tlaka ne veći od traženog</t>
  </si>
  <si>
    <t>3.7.13.</t>
  </si>
  <si>
    <t>3.7.14.</t>
  </si>
  <si>
    <t>Dobava i montaža cijevi za odvod kondenzata, u kompletu sa koljenima, prelaznim komadima i račvama, dimenzija:</t>
  </si>
  <si>
    <t>3.7.15.</t>
  </si>
  <si>
    <t>3.7.16.</t>
  </si>
  <si>
    <t>Korištenje platformi i skela za ugradnju opreme i kanala na visini iznad 3,5 m</t>
  </si>
  <si>
    <t>3.7.17.</t>
  </si>
  <si>
    <t>Korištenje alata za spuštanje rekuperatorske jedinice na mjesto ugradnje</t>
  </si>
  <si>
    <t>Dubina  ugradnje cca 2 m</t>
  </si>
  <si>
    <t>3.7.19.</t>
  </si>
  <si>
    <t>3.7.20.</t>
  </si>
  <si>
    <t>3.7.21.</t>
  </si>
  <si>
    <t>Elektropovezivanje rekuperatora, puštanje u pogon, ovjera garancije od strane ovlaštenog servisera, obuka korisnika, dostava uputa na hrvatskom jeziku</t>
  </si>
  <si>
    <t>VENTILACIJA UKUPNO:</t>
  </si>
  <si>
    <t>3.8.</t>
  </si>
  <si>
    <t>VENTILACIJA KUHINJE</t>
  </si>
  <si>
    <t>3.8.1.</t>
  </si>
  <si>
    <t>Dobava i montaža visokoučinkovita štedna središnja kuhinjska napa od nehrđajučeg čelika, sa sustavom povrata topline otpadnog zraka pomoću pločastog rekuperatora kojeg je moguće periodično prati u perilici suđa (izrađen od blokova koji stanu u perilicu)
U napu je ugrađen visokoučinkoviti sustav filtracije otpadnog zraka od labirintnih filtera, filtera od metalnog pletiva i pločastog izmjenjivača topline za visoku učinkovitost filtracije uljnih čestica u mikronima
Svježi zrak se u prostor iznad termo bloka ubacuje iz nape po cijelom gornjem obodu
Isporuka uključuje:
- "By-pass" za "free cooling" sa žaluzinom i elektromotornim
pogonom
- Rasvjetu ugrađenu iznad stakla,
- Kanalske priključke za dovod i odvod zraka,
- Temperaturne senzore za zrak</t>
  </si>
  <si>
    <t>Toplovodni grijač za pripremu zraka na željenu
temperaturu
koji sadrži regulacijski ventil sa elektromotrnim pogonom, cirkulacijsku crpku, zaporne ventile, ručni odzračni ventil, ispusnu slavinu, potrebne temperaturne osjetnike sa čahurama
kriterij za nuđenje: protok, raspoloživi pad tlaka, učin rekuperatora i snaga grijača ne manji od tražene
Dimenzije: 2800x2200xH620mm
Visina ugradnje: 2100 mm od gotovog poda
- Rekuperator
η= 65% (temperaturna učinkovitost rekuperatora)
- Protoci zraka
Protok odvod: 3600 m3/h
Pad tlaka u napi odvod: 125 Pa
Protok dovod: 4000 m3/h
Pad tlaka u napi dovod: 70 Pa
-Grijač zraka:
Qg=12,8 kW,</t>
  </si>
  <si>
    <t>Tmedija=45°/40°C
radni medij voda
Uz jedinicu se isporučuje ožičeni i ispitani elektrokomandni ormar sa automatskom regulacijom za upravljanje radom nape, tlačne i odsisne sekcije i grijača/hladnjaka, u kompletu sa
regulatorom, svim potrebnim osjetnicima temperature i tlaka, termostatima, presostatima, pogonima žaluzina, ožičenim daljinskim upravljačem i modulom za spoj na CNUS, osiguračima i sklopnicima za priklučak ventilatora, crpki i elektromotronih pogona regulacije
Regulacija upravlja:
- radom EC ventilatora uz osiguranje podtlaka u prostoru
- radom grijača, hladnjaka i temperature prostora
- dodatnim ventilatorom za dovod zraka u okolne prostorije
kuhinje</t>
  </si>
  <si>
    <t>- nadzor radnih parametara, zaprljanosti filtera i sigurnosne
funkcije
- štedni način rada nape pri manjim teplinskim opterečnjima
- modul za priključan na CNUS
Ormar se ugrađuje u prostoru kuhinje</t>
  </si>
  <si>
    <t>3.8.2.</t>
  </si>
  <si>
    <t>Dobava i montaža tlačnog EC ventilatora u izoliranom kućištu za vanjsku ugradnju, u kompletu sa ovjesnim materijalom i jedrenim platnom
Ventilator se isporučuje sa sa protukišnom rešetkom i G4, F7 filterom
kriterij za nuđenje: protok, raspoloživi pad tlaka i učini ne manji i buka ne vaća od tražene</t>
  </si>
  <si>
    <t>L= 3600 m³/h
H= 550 Pa
N= 1,4 kW, 400 V
zvučni tlak 28 dB(A) na 3 m
G= 86 kg</t>
  </si>
  <si>
    <t>L= 600 m3/h
H= 300 Pa
Ne= 280 W / 400 W
zvučni tla44 dB(A) na 3 m
G= 17 kg</t>
  </si>
  <si>
    <t>3.8.3.</t>
  </si>
  <si>
    <t>Dobava i montaža odsisnog ventilator u izoliranom kućištu za kuhinjske nape, motor ventilatora van struje zraka, EC izvedba motora, mogućnost čišćenja; u kompletu sa samopodiznom žaluzinom, ovjesnim materijalom, jedrenim platnom
kriterij za nuđenje: protok, raspoloživi pad tlaka i učini ne manji i buka ne vaća od tražene
L= 4000 m³/h
H= 400 Pa
Ne= 1.6 kW / 400 W
Buka (Lw):
prema tlačnom kanalnom razvodu 81 dB(A)
na strani odbačenog zraka 83 dB(A)
kućišta prema prostoru 54 dB(A)
G= 98 kg</t>
  </si>
  <si>
    <t>3.8.4.</t>
  </si>
  <si>
    <t>Dobava i montaža rešetka za dobavu zraka, u kompletu sa regulatorom, ugradnim i pričvrsnim materijalom</t>
  </si>
  <si>
    <t>525x125</t>
  </si>
  <si>
    <t>3.8.5.</t>
  </si>
  <si>
    <t>Aluminijska plastificirana prestrujna rešetka za ugradnju na krilo vrata u kompletu sa montažnim okvirom i montažnim materijalom</t>
  </si>
  <si>
    <t>3.8.6.</t>
  </si>
  <si>
    <t>Dobava i montaža protukišne pravokutna aluminijska žaluzina za dobavu i odbacivanje zraka sa fiksnim lamelama i zaštitnom mrežicom u kompletu sa montažnim okvirom, priključnom kutijom, ovjesnim i montažnim materijalom</t>
  </si>
  <si>
    <t>355x355</t>
  </si>
  <si>
    <t>800x560</t>
  </si>
  <si>
    <t>1000x560</t>
  </si>
  <si>
    <t>3.8.7.</t>
  </si>
  <si>
    <t>Kanalni prigušivač zraka, za ugradnju u pravokutne kanale, u kompletu sa ovjesnim i montažnim materijalom
kriterij za nuđenje: prigušenje buke ne manje od:</t>
  </si>
  <si>
    <t>600x600  prigušenje min20dB(A) 250 Hz</t>
  </si>
  <si>
    <t>3.8.8.</t>
  </si>
  <si>
    <t>3.8.9.</t>
  </si>
  <si>
    <t>3.8.10.</t>
  </si>
  <si>
    <t>Dobava i ugradnja ovjesa pocinčanih kanala iznad evakuacijskih puteva u kompletu sa montažnim materijalom, vijcima i tiplama
Stavka obuhvaća izradu radioničkih nacrta ovjesa i njihov statički proračun koje ja izvođač dužan dostaviti nadzornom inženjeru na ovjeru</t>
  </si>
  <si>
    <t>3.8.11.</t>
  </si>
  <si>
    <t>debljine 9 mm, odsisni kanali</t>
  </si>
  <si>
    <t>3.8.12.</t>
  </si>
  <si>
    <t>3.8.13.</t>
  </si>
  <si>
    <t>Oblaganje (dobava i montaža) vanjskog dijela izolacije mineralnom vunom u oblozi od aluminijskog lima debljine 0,8 mm, u kompletu sa brtvenim i montažnim materijalom</t>
  </si>
  <si>
    <t>3.8.14.</t>
  </si>
  <si>
    <t>3.8.15.</t>
  </si>
  <si>
    <t>3.8.16.</t>
  </si>
  <si>
    <t>3.8.17.</t>
  </si>
  <si>
    <t>Elektropovezivanje nape, ventilatora i regulacije puštanje u pogon, ovjera garancije od strane ovlaštenog servisera, obuka korisnika, dostava uputa na hrvatskom jeziku</t>
  </si>
  <si>
    <t>VENTILACIJA KUHINJE UKUPNO:</t>
  </si>
  <si>
    <t>3.9.</t>
  </si>
  <si>
    <t>SPLIT SUSTAV</t>
  </si>
  <si>
    <t>3.9.1.</t>
  </si>
  <si>
    <t>Dobava i montaža Inverterske dizalice topline za grijanje i klimatizaciju u split izvedbi, direktna ekspanzija, zrakom hlađena u kompletu montažnim i sitnim potrošnim materijalom
Za režim hlađenja do -20°C, u kompletu sa automatskim restarom
Uređaj se isporučuje kao komplet vanjske i unutranje jedinice
kriterij za nuđenje: učini ne manji i buka ne vaća od tražene
Qh= 3,5 (0,85-4,0) kW pri +35°C
Qg= 4,0 (0,85-6,6) kW pri +7°C
Ne= 0,92 kW /230 V
Radni medij: R32; 1,0 kg
Vanjska jedinica opremljena rashladnim kompresorom, izmjenjivačem freon/zrak, prekretnim ventilom, ekspanzijskim ventilom, potrebnom freonskom automatikom i regulacijom i elektrokomandnim ormarićem, sve u kućištu od plastificiranog čeličnog lima</t>
  </si>
  <si>
    <t>Uz jedinicu isporučuju se antivibracijski podlošci
Lp= 50 dB(A) na 1 m
Dimenzije: 824x299xH619 mm
Težina: 38 kg
Zidna unutarnja jedinica, opremljena ukrasnom maskom, višebrzinskim ventilatorom, filtrom i tavicom za odvod
kondenzata
Napajanje sa vanjske jedinice
Uz jedinicu se isporučuje bežični daljinski upravljač
Lp= 21-43 dB(A) na 1 m
Dimenzije: 919x194xH295 mm
Težina: 10 kg</t>
  </si>
  <si>
    <t>3.9.2.</t>
  </si>
  <si>
    <t>Dobava i montaža predizolirane bakrene odmašćene cijevi za razvod freona, u kompletu sa koljenima, prelaznim i spojnim komadima, dimenzija:</t>
  </si>
  <si>
    <t>1/4"</t>
  </si>
  <si>
    <t>3/8"</t>
  </si>
  <si>
    <t>3.9.3.</t>
  </si>
  <si>
    <t>3.9.4.</t>
  </si>
  <si>
    <t>Odvod: Ø 17/21</t>
  </si>
  <si>
    <t>3.9.5.</t>
  </si>
  <si>
    <t>Nosači za ugradnju vanjske jedinice na ravnu plohu</t>
  </si>
  <si>
    <t>3.9.6.</t>
  </si>
  <si>
    <t>3.9.7.</t>
  </si>
  <si>
    <t>3.9.8.</t>
  </si>
  <si>
    <t>3.9.9.</t>
  </si>
  <si>
    <t>Ispitivanje cjevovoda na nepropusnost što uključuje tlačnu probu i vakuumiranje sustava</t>
  </si>
  <si>
    <t>Elektropovezivanje unutarnje sa vanjskom jedinicom u kompletu sa kablovima, kanalicama, montažnim i elektrospojnim materijalom</t>
  </si>
  <si>
    <t>SPLIT SUSTAV UKUPNO:</t>
  </si>
  <si>
    <t>3.10.</t>
  </si>
  <si>
    <t>PROTUPOŽARNE ZAKLOPKE I BRTVLJENJA</t>
  </si>
  <si>
    <t>3.10.1.</t>
  </si>
  <si>
    <t>Dobava i montaža protupožarna zaklopke bez održavanja, za odsisni ventilator , vatrootpornost 90minuta
Stavka obuhvaća sav potreban materijal i radove, izradu radioničkih nacrta i detalja koje je prije ugradnje potrebno dostaviti nadzornom inženjeru na ovjeru
Ugradnja se izvodi ovisno o materijalu od kojih su izvedeni zidovi; sve prema uputama proizvođača
kriterij za nuđenje dimenzija i vatrootpornost ne manja od tražene</t>
  </si>
  <si>
    <t>3.10.2.</t>
  </si>
  <si>
    <t>400x300</t>
  </si>
  <si>
    <t>600x600</t>
  </si>
  <si>
    <t>3.10.3.</t>
  </si>
  <si>
    <t>Elektro komandni ormar za upravljanje sustavom PPZ
U ormar se ugrađuje:
mikroprocesorski regulator za upravljanje radom protupožarnih zaklopki prema signalu dobivenom sa sustava vatrodojave
Regulator imaj mogućnost spoja na CNUS
Napomena: uskladiti sa elektro komandnim ormarima, regulacijom i CNUS rashladnog sustava</t>
  </si>
  <si>
    <t>Ormar se isporučuje ožičen i tvornički ispitan u kompletu sa elektro shemom</t>
  </si>
  <si>
    <t>3.10.4.</t>
  </si>
  <si>
    <t>Protupožarna oblaganja ventilacijskih kanala samostojećim sustavom sa protupožarnim pločama, u kompletu sva potrebna podkonstrukcija, ploče, sav potreban montažni i spojni materijal
Stavka obuhvaća sav potreban materijal i radove, izradu radioničkih nacrta, detalja i proračuna koje je prije ugradnje potrebno dostaviti nadzornom inženjeru na ovjeru
kriterij za nuđenje klasa vatrootpornosti
Klasa vatrootpornosti: F90</t>
  </si>
  <si>
    <t>3.10.5.</t>
  </si>
  <si>
    <t>Vatrozaštitna cementna žbuka za trajnu zaštitu mješovitih prodora(cijevi, kabeli) srednjih do velikih zidnih i podnih otvora
Stavka obuhvaća sav potreban materijal i radove
Brtvljenje se izvodi ovisno o materijalu od kojih su izvedeni zidovi; sve prema uputama proizvođača</t>
  </si>
  <si>
    <t>3.10.6.</t>
  </si>
  <si>
    <t>Požarno brtvljenje prodora kanala kroz zidove požarnih sektora (na mjestima ugradnje PP zaklopki)
Stavka obuhvaća sav potreban materijal i radove, izradu radioničkih nacrta i detalja koje je prije ugradnje potrebno dostaviti nadzornom inženjeru na ovjeru
Brtvljenje se izvodi ovisno o materijalu od kojih su izvedeni zidovi; sve prema uputama proizvođača
kriterij za nuđenje klasa vatrootpornostine ne mnja od 90 minuta</t>
  </si>
  <si>
    <t>3.10.7.</t>
  </si>
  <si>
    <t>PROTUPOŽARNE ZAKLOPKE I BRTVLJENJA UKUPNO:</t>
  </si>
  <si>
    <t>3.11.</t>
  </si>
  <si>
    <t>AUTOMATIKA</t>
  </si>
  <si>
    <t>3.11.1.</t>
  </si>
  <si>
    <t>Slobodno programibilni DDC regulator za ugradnju na DIN šinu bez ekrana, 13 ulaza/izlaza, 1 ulaz za osjetnik kondenzacije te spoj na RS485 mrežu za povezivanje na CNUS
Regulator se koristi za upravljanje radom sustava grijanja i hlađenja u prostorima u kojima su postavljeni sustavi podnog grijanja i ventilokonvektori
Regulacija u grijanju prvo upušta u rad podno grijanje a nakon toga po potrebi ventilokonvektor</t>
  </si>
  <si>
    <t>Napajanje i digitalni izlazi 24 VAC</t>
  </si>
  <si>
    <t>3.11.2.</t>
  </si>
  <si>
    <t>Zidni upravljački panel sa tastaturom, LCD zaslonom i sobnim osjetnikom temperature za spoj na slobodno programirajući regulator Regio Maxi; mogućnost upravljanja on/off, brzinom rada ventilatora, podešenje željene temperature</t>
  </si>
  <si>
    <t>3.11.3.</t>
  </si>
  <si>
    <t>Relejni modul za upravljanje radom 3 brzine ventilatora ventilokonvektora sa 24 V izlaza regulatora, ugrađuje se u ventilokonvektor</t>
  </si>
  <si>
    <t>3.11.4.</t>
  </si>
  <si>
    <t>Relejni modul za upravljanje radom više elektrotermičkih pogona podnog grijanja, ugrađuje se u ormarić razdjelnika</t>
  </si>
  <si>
    <t>3.11.5.</t>
  </si>
  <si>
    <t>Izrada tražene aplikacije i programiranje Regio MAXI regulatora</t>
  </si>
  <si>
    <t>3.11.6.</t>
  </si>
  <si>
    <t>Zidni regulator sa upravljačkim panelom sa tastaturom, LCD zaslonom i sobnim osjetnikom za upravljanje radom sustava grijanja i hlađenja u prostorima u kojima je postavljen sustav ventilokonvektorskog grijanja i hlađenja
Prekretanja načina rada ljeto/zima po dobivenom signalu iz toplinske pumpe, spoj na RS485 mrežu za povezivanje na CNUS</t>
  </si>
  <si>
    <t>3.11.7.</t>
  </si>
  <si>
    <t>3.11.8.</t>
  </si>
  <si>
    <t>Transformator 230/24 V za gore navedene regulatore</t>
  </si>
  <si>
    <t>3.11.9.</t>
  </si>
  <si>
    <t>Automatska regulacija opreme u strojarnici za upravljanje radom podsustava grijanja, klimatizacije i pripreme PTV-a, pomoću dizalice topline zrak/voda i pripadajućih energetskih i hidrauličkih elemenata
Stavka uključuje elektroormar sa svim potrebnim regulacijskim elementima (regulator, osjetnike, pretvornike i sigurnosne elemente) potrebnim za siguran i autonoman rad svih elektromotornih potrošača elemnata u polju.</t>
  </si>
  <si>
    <t>Stavka uključuje i izradu aplikacije kao i programiranje regulatora.</t>
  </si>
  <si>
    <t>3.11.10.</t>
  </si>
  <si>
    <t>Ugradnja regulacije, termostata na zid, relejnih modula uz razdjelnike podnog grijanja i elektrotermičkih pogona na razdjelnike i ventilokonvektore, elektroožičenje pogona i elektrospajanje termostata</t>
  </si>
  <si>
    <t>3.11.11.</t>
  </si>
  <si>
    <t>Kontrola ožićenja svih uređaja ragulacije, puštanje u pogon regulacije i predprogramiranje osnovnih funkcija regulacije, ovjera garancije, obuka korisnika, dostava uputa na hrvatskom jeziku</t>
  </si>
  <si>
    <t>3.11.12.</t>
  </si>
  <si>
    <t>Izrada aplikacije na postojećem računalu, komplet sa pretvornikom signala RS485/USB, licencom za SCADA, spajanjem regulatora na mrežu (polaganje kablova nije predmet ovog troškovnika), konfiguracijom regulatora, izradom vizualizacije, puštanjem u pogon i obukom korisnika
Isporuka obuhvaća i dostavu jasnih uputa za korištenje na hrvatskom jeziku</t>
  </si>
  <si>
    <t>3.11.13.</t>
  </si>
  <si>
    <t>AUTOMATIKA UKUPNO:</t>
  </si>
  <si>
    <t>3.12.</t>
  </si>
  <si>
    <t>OSTALO</t>
  </si>
  <si>
    <t>3.12.4.</t>
  </si>
  <si>
    <t>3.12.5.</t>
  </si>
  <si>
    <t>3.12.6.</t>
  </si>
  <si>
    <t>3.12.7.</t>
  </si>
  <si>
    <t>3.12.8.</t>
  </si>
  <si>
    <t>3.12.9.</t>
  </si>
  <si>
    <t>OSTALO UKUPNO:</t>
  </si>
  <si>
    <t>4.</t>
  </si>
  <si>
    <t>VODOVOD I KANALIZACIJA</t>
  </si>
  <si>
    <t>VANJSKI VODOVOD I KANALIZACIJA</t>
  </si>
  <si>
    <t>ZEMLJANI RADOVI - VODOVOD</t>
  </si>
  <si>
    <t>Geodetsko iskolčenje trase vanjskog vodovoda prije izvođenja radova-dužina 112m</t>
  </si>
  <si>
    <t>- iskop</t>
  </si>
  <si>
    <t>Planiranje dna rova s odstupanjem ± 2.0 cm.</t>
  </si>
  <si>
    <t>Dobava pijeska, ubacivanje u rov, te izrada pješčane posteljice na dnu rova, u sloju debljine 10 cm.</t>
  </si>
  <si>
    <t>Dobava pijeska, ubacivanje u rov, te razastiranje s laganim nabijanjem oko i do visine od 15 cm iznad tjemena cijevi.</t>
  </si>
  <si>
    <t>Dobava i polaganje u rov iznad vodovodnih cijevi PVC trake sa natpisom "POZOR - VODOVOD" i vodljivom žicom za detekciju trase</t>
  </si>
  <si>
    <t>Zatrpavanje rova materijalom od iskopa, po slojevima do 30 cm, uz istovremeno obilno močenje i nabijanje materijala ručnim nabijačima. U materijalu ne smije biti kamenja promjera većeg od 12 cm.</t>
  </si>
  <si>
    <t>Planiranje terena nakon izvršenog zatrpavanja rova. Pretpostavljena širina planiranja je 1,0 m. Obračun po m2 obrađene površine.</t>
  </si>
  <si>
    <t>ZEMLJANI RADOVI - VODOVOD UKUPNO:</t>
  </si>
  <si>
    <t>ZEMLJANI RADOVI - KANALIZACIJA</t>
  </si>
  <si>
    <t>Geodetsko iskolčenje trase vanjske kanalizacije prije izvođenja radova-dužina 41m</t>
  </si>
  <si>
    <t>Iskop kanala u zemljištu III. kategorije za polaganje kanalizacijskih cijevi. Dubinu
iskopa izvesti prema projektu, a pad kanala u projektiranom nagibu.Širina rova 0,8m. Predviđen je ručni iskop 30% i strojni iskop 70%.
NAPOMENA: Točnu kategoriju zemlje utvrditi na licu mjesta.</t>
  </si>
  <si>
    <t>Proširenje dna rova u zemljištu III. kategorije radi izvedbe revizionog okna, bio pročistača,upojnih bunara. Iskopani materijal odbaciti na udaljenost preko 1.0 m od bočne ivice rova, kako bi se spriječilo urušavanje iskopanog materijala u rov.</t>
  </si>
  <si>
    <t>Dobava pijeska i izrada posteljice za kanalizacijske cijevi.
Posteljica ispod kanalizacijskih cijevi je debljine 10 cm. Nabija se strojnim i ručnim nabijačima i po potrebi vlaži. Posteljica mora biti ravna, prilagođena obliku cijevi i uzdužnom padu tako da cijevi po cijeloj dužini naliježu na istu.
Podmetanje kamena ispod cijevi ili podupiranje najstrože se zabranjuje.
Obračun po m3 izvedene posteljice.</t>
  </si>
  <si>
    <t>Dobava materijala i izrada obloge za kanalizacijske cijevi.
Oko prethodno montiranih kanalizacijskih cijevi izvodi se obloga od sitnog materijala - pijesak ili finiji zamjenski materijal iz pozajmišta (0-40 mm), a do visine 30 cm iznad vrha tjemena cijevi. Obračun po m3 izvedene obloge.</t>
  </si>
  <si>
    <t>Dobava i polaganje u rov iznad kanalizacijski cijevi PVC trake sa natpisom "POZOR - kanalizacija" i vodljivom žicom za detekciju trase</t>
  </si>
  <si>
    <t>Zatrpavanje rova materijalom od iskopa, po slojevima od 30 cm, uz istovremeno obilno močenje i nabijanje materijala ručnim nabijačima.</t>
  </si>
  <si>
    <t>ZEMLJANI RADOVI - KANALIZACIJA UKUPNO:</t>
  </si>
  <si>
    <t>BETONSKI RADOVI - VODOVOD</t>
  </si>
  <si>
    <t>Izrada betonskih sidrenih blokova na horizontalnim lomovima trase cjevovoda betonom C 15/20. U cijenu uključeno proširenje i produbljenje rova na mijestu bloka te izvedba u odgovarajućoj oplati.</t>
  </si>
  <si>
    <t>Izrada betonskih osiguranja kapa i uporišta vanjskih hidranata betonom C 20. U cijenu uključeno proširenje i produbljenje rova na mjestu uporišta i osiguranja te izvedba u odgovarajučoj oplati.</t>
  </si>
  <si>
    <t>Izrada suhozida oko hidranta uključivo ispuna pijeskom. Suhozid izvesti od opeke dimenzija 12x25x6,5cm.</t>
  </si>
  <si>
    <t>Dobava i ugradnja betona C15/20 za izradu betonskog postolja hidrantskog ormarića. U cijenu uračunata potrebna oplata, sav materijal i rad.</t>
  </si>
  <si>
    <t>BETONSKI RADOVI - VODOVOD UKUPNO:</t>
  </si>
  <si>
    <t>BETONSKI RADOVI - KANALIZACIJA</t>
  </si>
  <si>
    <t>Izvedba revizionog okna na kanalizaciji armiranim vodonepropusnim nabijenim betonom C30/37 u dvostranoj oplati, debljine stijenki 20 cm. Stjenke okna ožbukati cementnom žbukom 1:2 zaglađenom do crnog sjaja.
Iznad okna na dubini oko 10 cm od kote uređenog terena izvesti armirano-betonsku ploču C25/30, debljine 15 cm s otvorom za silazak u okno. Iznad otvora u ploči montirati poklopac s okvirom veličine poklopca 600x600 mm za opterećenje B125kN na prometnim površinama i A15 na zelenim površinama (uzeti u obzir u ovoj stavci). U cijeni je izvedba, dobava i ugradnja stupaljki u stjenke revizionog okna izrađene iz lijevanog željeza. Prije ugradbe, stupaljke od korozije zaštititi dvostrukim premazom uljane boje.</t>
  </si>
  <si>
    <t>a)  dubine do 1,4m -  vel. 80x80 cm</t>
  </si>
  <si>
    <t>a) dubine od 1,4m -  vel. 100x100 cm</t>
  </si>
  <si>
    <t>Iskop i izvedba upojnog bunara perforiranim cijevima (dužina cijevi iznosi 3.0 m), HRN U.N1.050 ili jednakovrijedno za montažu na pero i utor. Najprije će se izvesti donji betonski vijenac u MB 30, debljine 26 cm, te betonsku cijev ubetonirati u isti. Iznad betonskih cijevi izvesti će se armirano-betonska ploča. Ploču izvesti betonom MB 30, debljine 15 cm sa zubom oko cijevi debljine 11 cm. Na ploči će se ostaviti otvor veličine 60x60 cm za silazak u upojni bunar. Iznad otvora u ploči montirati poklopac s okvirom veličine poklopca 600x600 mm (uzeti u obzir u ovoj stavci). Na dnu upojnog bunara nasuti drenažni šljunak u sloju debljine 50 cm. Stavka uključuje i odvoz materijala preostalog od iskopa na gradsku deponiju (do 5 km), uključivo utovar, istovar i razastiranje.</t>
  </si>
  <si>
    <t>upojni bunar vel. Ø  1200 cm, efektivne dubine 2,0m</t>
  </si>
  <si>
    <t>BETONSKI RADOVI - KANALIZACIJA UKUPNO:</t>
  </si>
  <si>
    <t>VODOVODNI RADOVI</t>
  </si>
  <si>
    <t>a) PEHD - 125x11,4mm</t>
  </si>
  <si>
    <t>a) PEHD - 40x3,7mm</t>
  </si>
  <si>
    <t>a) PEHD - 32x3,0mm</t>
  </si>
  <si>
    <t>Dobava i montaža PVC SN4 tvrdih zaštitnih cijevi za provođenje PEHD vodovodnih cijevi ispod temelja, uz kanalizaciju i na probojima.
Na proboje se postavlju zaštitne PVC cijevi te uvodnice. Za cijev DN32 potrebni profil zaštitne cijevi iznosi DN75.</t>
  </si>
  <si>
    <t>a) PVC DN75</t>
  </si>
  <si>
    <t>Dobava i montaža svih potrebnih elemenata (NP 10 bara) za izradu hidrantskog priključka. U cijenu su uključeni vijci, sav brtveni i spojni materijal te potreban rad. Obračun po montiranom komadu. Sve komplet.
Elektrospojnice za PEHD cijevi
PEHD 110 - kom 3
Tuljak sa prirubnicom
DN 110 mm - kom 1
EV zasun (tip V2-06)
DN 100 mm - kom 1
N 90 (DIN 28538) DN 100 mm - kom 1
Zasunska kapa - kom 1
Nadzemni ukrasni hidrant s lomljivim stupom. Oblik i mjere prema HRN EN 1074-6 ili jednakovrijedno. Hidrant s dvije B - spojke Ø 65 i jednom A - spojkom Ø 100. Materijal – sklop.
Proizvodi se prema HRN EN 1074-6 ili jednakovrijedno.
Potrebna dimenzija:</t>
  </si>
  <si>
    <t>Dobava i ugradnja vrtne fontane (slavine). U stavku uključiti sav sitni i potrošni materijal koji je potreban za dovođenje stavke do potpune funkcionalnosti.</t>
  </si>
  <si>
    <t>Ispiranje te ispitivanje kompletne vodovodne mreže pod tlakom 6 i 10 bara</t>
  </si>
  <si>
    <t>Dezinfekcija kompletne vodovodne mreže sredstvom za dezinfekciju prema uputstvu za dezinfekciju</t>
  </si>
  <si>
    <t>Bakteriološka analiza uzoraka vode iz cjevovoda nakon dezinfekcije, ovjerena od ovlaštene institucije</t>
  </si>
  <si>
    <t>VODOVODNI RADOVI UKUPNO:</t>
  </si>
  <si>
    <t>KANALIZACIJSKI RADOVI - MONTAŽNI</t>
  </si>
  <si>
    <t>DN  150 mm</t>
  </si>
  <si>
    <t>DN  125 mm</t>
  </si>
  <si>
    <t>DN  100 mm</t>
  </si>
  <si>
    <t>Dobava i ugradnja vodonepropusne brtve - priključka na betonsko reviziono okno za PVC cijevi</t>
  </si>
  <si>
    <t>a) DN150</t>
  </si>
  <si>
    <t>b) DN125</t>
  </si>
  <si>
    <t>Obračun se vrši po komadu kompletno dobavljenog i ugrađenog uređaja</t>
  </si>
  <si>
    <t>KANALIZACIJSKI RADOVI - MONTAŽNI UKUPNO:</t>
  </si>
  <si>
    <t>OSTALI TROŠKOVI</t>
  </si>
  <si>
    <t>Provjera ispravnosti montaže svih elemenata instalacije vanjskog vodovoda i kanalizacije, provjera funkcionalnosti, pribavljanje dokaza o kvaliteti izvedenih radova na instalaciji, probno puštanje u rad i primopredaja.</t>
  </si>
  <si>
    <t>OSTALI TROŠKOVI UKUPNO:</t>
  </si>
  <si>
    <t>VANJSKI VODOVOD I KANALIZACIJA UKUPNO:</t>
  </si>
  <si>
    <t>UNUTARNJA KANALIZACIJA</t>
  </si>
  <si>
    <t>BETONSKI RADOVI -  KANALIZACIJA</t>
  </si>
  <si>
    <t>Izvedba šliceva u podu i zidu građevine za polaganje kanalizacijskih cijevi, te zatvaranje
istih nakon montaže cijevi, cementnim mortom 1:2 (kod križanja instalacija, spajanje na sanitarne uređaje...)</t>
  </si>
  <si>
    <t>a) u podu i zidu od betona 15x15 cm</t>
  </si>
  <si>
    <t>BETONSKI RADOVI -  KANALIZACIJA UKUPNO:</t>
  </si>
  <si>
    <t>KANALIZACIJSKI RADOVI</t>
  </si>
  <si>
    <t>DN  75</t>
  </si>
  <si>
    <t>DN  100</t>
  </si>
  <si>
    <t>DN  125</t>
  </si>
  <si>
    <t>a) montaža na cijev DN  75</t>
  </si>
  <si>
    <t>b) montaža na cijev DN  100</t>
  </si>
  <si>
    <t>b) montaža na cijev DN  125</t>
  </si>
  <si>
    <t>DN  50</t>
  </si>
  <si>
    <t>Dobava i montaža kromiranih revizionih vratašca za ugradnju u zid s okvirom i bravicom za otvaranje sa četvrtastim ključem. Sve komplet.</t>
  </si>
  <si>
    <t>vel. 30x30 cm</t>
  </si>
  <si>
    <t>Dobava i montaža mrežice veličine polja 1cm2 za montažu na kanalizacijsku vertikalu, za sprječavanje upadanja krupnijeg otpada, ptica i glodavaca.</t>
  </si>
  <si>
    <t>sa priključkom DN 100</t>
  </si>
  <si>
    <t>Izvedba hidroizolacije oko proboja odzračnih vertikala na krov.</t>
  </si>
  <si>
    <t>proboj do dimenzije DN100</t>
  </si>
  <si>
    <t>Spajanje sanitarnih uređaja u kuhinji na kanalizaciju (uključivo gumene brtve i potrebni sifoni DN50).</t>
  </si>
  <si>
    <t>Dobava, prijenos i montaža podnog prolaznog kupaonskog sifona sa zaporom mirisa i horizontalnim izljevom, za montažu u svaki sanitarni čvor. S čeličnom rešetkom 123x123mm.
Obračun po kompletu.
NAPOMENA: sve tehničke karakteristike mogu odstupati +/- 5%</t>
  </si>
  <si>
    <t>Dobava i montaža dozračnog ventila</t>
  </si>
  <si>
    <t>c)DN100</t>
  </si>
  <si>
    <t>Dobava i montaža slivnika za terasu, sa tvornički ugrađenom hidroizolacijom, sa horizontalnim izljevom dimenzije DN75/110mm. Sve za kompletnu montažu zajedno sa brtvljenjem spoja između terase i slivnika.
Minimalna upojnost 2 l/s
u kompletu sa elektro grijačem</t>
  </si>
  <si>
    <t>Dobava i ugradnja sabirnica za kišnicu DN100 sa zakretnim zglobom, hvatačem lišća, nesmrzavajućim zalopcem zadaha, zaklopcem otvora za čišćenje i dosjednim prstenima. Postavljanje na oluke za odvodnju kišnice.</t>
  </si>
  <si>
    <t>Dobava i montaža krovnih ispusta - pipaca za sigurnosni ispust kišnice s krova i terase u slučaju začepljenja kišnih vertikala. Ispusti iz materijala otpornog na atmosferilije (bakar ili pocinčani čelik).</t>
  </si>
  <si>
    <t>b) dimenzije 10x10 cm dužine do 70cm</t>
  </si>
  <si>
    <t>a) DN100</t>
  </si>
  <si>
    <t>a) slivnik dimenzije 250x250 mm</t>
  </si>
  <si>
    <t>KANALIZACIJSKI RADOVI UKUPNO:</t>
  </si>
  <si>
    <t>Provjera ispravnosti montaže svih elemenata instalacije, provjera funkcionalnosti, pribavljanje dokaza o kvaliteti izvedenih radova na instalaciji, probno puštanje u rad i primopredaja.</t>
  </si>
  <si>
    <t>UNUTARNJA KANALIZACIJA UKUPNO:</t>
  </si>
  <si>
    <t>UNUTARNJI VODOVOD</t>
  </si>
  <si>
    <t>BETONSKI RADOVI -  VODOVOD</t>
  </si>
  <si>
    <t>Izvedba šliceva u podu i zidu građevine za polaganje vodovodnih cijevi, te zatvaranje
istih nakon montaže cijevi, cementnim mortom 1:2. (kod križanja instalacija i spojevi na sanitarne uređaje - pretpostavljena količina)</t>
  </si>
  <si>
    <t>šlic vel. 7x5 cm</t>
  </si>
  <si>
    <t>BETONSKI RADOVI -  VODOVOD UKUPNO:</t>
  </si>
  <si>
    <t>a) DN15</t>
  </si>
  <si>
    <t>b) DN20</t>
  </si>
  <si>
    <t>c) DN25</t>
  </si>
  <si>
    <t>a) DN15 - izolacija 20mm</t>
  </si>
  <si>
    <t>b) DN20 - izolacija 20mm</t>
  </si>
  <si>
    <t>c) DN25 - izolacija 20mm</t>
  </si>
  <si>
    <t>a) DN15 - izolacija 13mm</t>
  </si>
  <si>
    <t>b) DN20 - izolacija 13mm</t>
  </si>
  <si>
    <t>c) DN25 - izolacija 13mm</t>
  </si>
  <si>
    <t>Dobava i montaža ravnih propusnih ventila , za uzidanje s kapom.</t>
  </si>
  <si>
    <t>a) ventil Ø 20 mm</t>
  </si>
  <si>
    <t>Dobava i montaža kutnih ventila .</t>
  </si>
  <si>
    <t>a) ventil Ø 15 mm</t>
  </si>
  <si>
    <t>Dobava i montaža kuglastih ventila zajedno sa svim sitnim priborom za montažu.</t>
  </si>
  <si>
    <t>a) ventil Ø 15mm</t>
  </si>
  <si>
    <t>c) ventil Ø 25mm</t>
  </si>
  <si>
    <t>Dobava i montaža podžbukne kutije s vratima dim.cca 30x30cm, za montažu zapornog ventila na ulazu u stan, uključivo ventil DN32 s ispustom sa svim priborom potrebnim za montažu.
NAPOMENA: Sve tehničke karakteristike mogu odstupati +/- 5%</t>
  </si>
  <si>
    <t>Dobava i montaža el. spremnik PTV
volumena 100 lit.
-dimenzije:410x1300x280
-Izvedba / Postavljanje: horizontalno
Priključna snaga: 2.600 W
Priključni napon: 230 V
U stavku uključiti sav potreban sitni i potrošni te brtveni materijal. Stavku izvesti do potpune funkcionalnosti.
NAPOMENA: Sve tehničke karakteristike mogu odstupati +/- 5%</t>
  </si>
  <si>
    <t>a) provodnica za cijev PEHD 40x3,7 (DN32)</t>
  </si>
  <si>
    <t>Funkcionalno ispitivanje hidranata od strane ovlaštene službe, te izdavanje potvrde u pismenom obliku.</t>
  </si>
  <si>
    <t>Brtvljenje vodovodnih cijevi na prolazima kroz požarne sektore, pastom požarne otpornosti EI90 prema požarnom elaboratu:</t>
  </si>
  <si>
    <t>DN15 - DN32</t>
  </si>
  <si>
    <t>Dezinfekcija kompletne vodovodne mreže adekvatnim sredstvom za dezinfekciju prema uputstvu za dezinfekciju.</t>
  </si>
  <si>
    <t>Ispitivanje vodovodne mreže pod tlakom od 6, 10 i 15 bara.</t>
  </si>
  <si>
    <t>UNUTARNJI VODOVOD UKUPNO:</t>
  </si>
  <si>
    <t>SANITARIJE</t>
  </si>
  <si>
    <t>Dobava, prijenos i montaža kompletnog WC-a za osobe smanjene pokretljivosti, koji se sastoji od:
-konzolne keramičke WC školjke I klase, min dužine 65cm, postavljene na visinu min 46cm,
uključivo daska bez poklopca ali s naslonom bijele boje od kvalitetne plastike.
montažnog instalacijskog elementa za WC školjku visine ugradnje 112 cm s niskošumnim ugradbenim vodokotlićem za 6/3l ispiranje.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Element sadrži oslonce za montažu</t>
  </si>
  <si>
    <t>Dobava, prijenos i montaža kompletnog umivaonika za osobe smanjene pokretljivosti , koji se sastoji od:
keramičkog umivaonika posebne konstrukcije namijenjenog osobama u kolicima sa sifonom skrivenim u zidu
montažnog instalacijskog elementa za bolnički umivaonik visine ugradnje 112 cm. Instalacijski element samonosiv za ugradnju u suhomontažnu zidnu ili predzidnu konstrukciju obloženu gipskartonskim pločama, komplet s odvodnim koljenom d50 mm i ugradbenim sifonom, pločom s armaturnim priključcima ½" s uključenom zvučnom izolacijom, vijcima za učvršćenje keramike i svim potrebnim pričvrsnim priborom i spojnim materijalom;
stojeće elektronske senzorske armature za umivaonik, protuvandalska izvedba s prethodno podesivim mehaničkim miješanjem TV+HV, perlatorom s ograničenjem protoka vode, dva gibljiva crijeva</t>
  </si>
  <si>
    <t>Dobava, prijenos i montaža kompletnog WC-a , koji se sastoji od:
-konzolne keramičke WC školjke I klase, za 6 lit ispiranje, odignute od poda 6 cm
Uključivo daska s poklopcem bijele boje od kvalitetne plastike.
montažnog instalacijskog elementa za WC školjku visine ugradnje 112 cm s niskošumnim ugradbenim vodokotlićem. Tipka dvokoličinska plastična.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uključiti odgovarajuću tipku</t>
  </si>
  <si>
    <t>Dobava, prijenos i montaža kompletnog pisoara u zajedničkim sanitarijama:
-keramičkog pisoara I klase sa skrivenim priključkom vode i sifonom;
montažnog instalacijskog elementa za pisoar visine ugradnje 112-130 cm s ugradbenim setom uređaja za aktiviranje ispiranja. Instalacijski element samonosiv za ugradnju u suhomontažnu zidnu ili predzidnu konstrukciju obloženu gipskartonskim pločama, komplet s integriranim prigušnim ventilom priključka vode ½", isplavnom cijevi d32mm s brtvenom manžetom, ugradbenim isisnim sifonom i odvodnim koljenom d50mm, vijcima za učvršćenje keramike i svim potrebnim pričvrsnim priborom i spojnim materijalom
-IC (infracrvenog) senzorskog uređaja (220V) za aktiviranje ispiranja pisoara, protuvandalska izvedba sa štednjom vode, pokrovna ploča ABS i odgovarajuća elektronika.
PISOAR - kljunasti</t>
  </si>
  <si>
    <t>Dobava i montaža sanitarnog pribora:</t>
  </si>
  <si>
    <t>SANITARIJE UKUPNO:</t>
  </si>
  <si>
    <t>Izrada tehničke dokumentacije izvedenog stanja koju potpisuju izvođač i nadzor i predaja investitoru u 3 uvezana primjerka. Uz papirnatu verziju, predaje se i jedan primjerak u elektroničkom obliku/CD (standardni formati datoteka .doc .xls i .dwg)</t>
  </si>
  <si>
    <t>Ishođenje "Uvjerenja (i Zapisnika) zaštite na radu o ispitivanju stroja ili uređaja s povećanim opasnostima". Navedeno ispitivanje zatražiti za kompletnu instalaciju od ovlaštene ustanove za navedeno ispitivanje.</t>
  </si>
  <si>
    <t>Pripremno - završni radovi uključivo upoznavanje sa objektom, kontakti sa nadzornom službom, usklađivanje sa ostalim sudionicima u gradnji o položaju elemenata sistema, te vođenje dokumentacije gradilišta.</t>
  </si>
  <si>
    <t>Primopredaja izvedenih radova, izrada uputa za rad i održavanje, izrada shema izvedenog stanja, signalno obilježavanje vodova i opreme, te potrebni natpisi upozorenja i obavještenja.</t>
  </si>
  <si>
    <t>VODOVOD I KANALIZACIJA UKUPNO:</t>
  </si>
  <si>
    <t>5.</t>
  </si>
  <si>
    <t>SPRINKLER</t>
  </si>
  <si>
    <t>5.1.</t>
  </si>
  <si>
    <t>SPRINKLER STANICA - STROJARSKI DIO</t>
  </si>
  <si>
    <t>5.1.1.</t>
  </si>
  <si>
    <t>5.1.2.</t>
  </si>
  <si>
    <t>5.1.3.</t>
  </si>
  <si>
    <t>5.1.4.</t>
  </si>
  <si>
    <t>5.1.5.</t>
  </si>
  <si>
    <t>5.1.6.</t>
  </si>
  <si>
    <t>5.1.7.</t>
  </si>
  <si>
    <t>5.1.8.</t>
  </si>
  <si>
    <t>5.1.9.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</si>
  <si>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</si>
  <si>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</si>
  <si>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</si>
  <si>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</si>
  <si>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</si>
  <si>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</si>
  <si>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</si>
  <si>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</si>
  <si>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</si>
  <si>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</si>
  <si>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</si>
  <si>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</si>
  <si>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</si>
  <si>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</si>
  <si>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</si>
  <si>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</si>
  <si>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</si>
  <si>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</si>
  <si>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</si>
  <si>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</si>
  <si>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</si>
  <si>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</si>
  <si>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</si>
  <si>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</si>
  <si>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</si>
  <si>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</si>
  <si>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</si>
  <si>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</si>
  <si>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</si>
  <si>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</si>
  <si>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</si>
  <si>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</si>
  <si>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</si>
  <si>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</si>
  <si>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5.1.45.</t>
  </si>
  <si>
    <t>5.1.46.</t>
  </si>
  <si>
    <t>5.1.47.</t>
  </si>
  <si>
    <t>5.1.48.</t>
  </si>
  <si>
    <t>5.1.49.</t>
  </si>
  <si>
    <t>SPRINKLER STANICA - STROJARSKI DIO UKUPNO:</t>
  </si>
  <si>
    <t>5.2.</t>
  </si>
  <si>
    <t>SPRINKLER STANICA - ELEKTRO DIO</t>
  </si>
  <si>
    <t>5.2.1.</t>
  </si>
  <si>
    <t>5.2.2.</t>
  </si>
  <si>
    <t>5.2.3.</t>
  </si>
  <si>
    <t>5.2.4.</t>
  </si>
  <si>
    <t>5.2.5.</t>
  </si>
  <si>
    <t>5.2.6.</t>
  </si>
  <si>
    <t>5.2.7.</t>
  </si>
  <si>
    <t>5.2.8.</t>
  </si>
  <si>
    <t>5.2.9.</t>
  </si>
  <si>
    <t>5.2.10.</t>
  </si>
  <si>
    <t>5.2.11.</t>
  </si>
  <si>
    <t>5.2.12.</t>
  </si>
  <si>
    <t>5.2.13.</t>
  </si>
  <si>
    <t>5.2.14.</t>
  </si>
  <si>
    <t>5.2.15.</t>
  </si>
  <si>
    <t>5.2.16.</t>
  </si>
  <si>
    <t>SPRINKLER STANICA - ELEKTRO DIO UKUPNO:</t>
  </si>
  <si>
    <t>5.3.</t>
  </si>
  <si>
    <t>ŠTIĆENI PROSTOR</t>
  </si>
  <si>
    <t>5.3.1.</t>
  </si>
  <si>
    <t>5.3.2.</t>
  </si>
  <si>
    <t>5.3.3.</t>
  </si>
  <si>
    <t>5.3.4.</t>
  </si>
  <si>
    <t>5.3.5.</t>
  </si>
  <si>
    <t>5.3.6.</t>
  </si>
  <si>
    <t>5.3.7.</t>
  </si>
  <si>
    <t>5.3.8.</t>
  </si>
  <si>
    <t>NO65-5/4" komada 2 .
U kompletu sa svim potrebnim fitinzima i ventilima
U kompletu sa el. sklopnikom za ispitivanje cirkulacione pumpe .</t>
  </si>
  <si>
    <t>5.3.9.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</si>
  <si>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</si>
  <si>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</si>
  <si>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</si>
  <si>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</si>
  <si>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</si>
  <si>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</si>
  <si>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</si>
  <si>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</si>
  <si>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</si>
  <si>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</si>
  <si>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</si>
  <si>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</si>
  <si>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</si>
  <si>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</si>
  <si>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</si>
  <si>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</si>
  <si>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</si>
  <si>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</si>
  <si>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</si>
  <si>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</si>
  <si>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</si>
  <si>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Bušenje rupa za prolaz sprinkler cjevovoda, za cijev promjera:
NO20 - 3/4"</t>
  </si>
  <si>
    <t>5.3.31.</t>
  </si>
  <si>
    <t>Bušenje rupa za prolaz sprinkler cjevovoda, za cijev promjera:
NO32 - 1 1/4"</t>
  </si>
  <si>
    <t>5.3.32.</t>
  </si>
  <si>
    <t>Bušenje rupa za prolaz sprinkler cjevovoda, za cijev promjera:
NO50- 2"</t>
  </si>
  <si>
    <t>5.3.33.</t>
  </si>
  <si>
    <t>Bušenje rupa za prolaz sprinkler cjevovoda, za cijev promjera:
NO65 - 2 1/2"</t>
  </si>
  <si>
    <t>5.3.34.</t>
  </si>
  <si>
    <t>Bušenje rupa za prolaz sprinkler cjevovoda, za cijev promjera:
NO80 - 3"</t>
  </si>
  <si>
    <t>Bušenje rupa za prolaz sprinkler cjevovoda, za cijev promjera:
NO100 - 4"</t>
  </si>
  <si>
    <t>Protupožarno brtvljenje prolaska sprinkler cjevovoda kroz granicu protupožarnog sektora</t>
  </si>
  <si>
    <t>ŠTIĆENI PROSTOR UKUPNO:</t>
  </si>
  <si>
    <t>5.4.</t>
  </si>
  <si>
    <t>KUHINJA</t>
  </si>
  <si>
    <t>5.4.1.</t>
  </si>
  <si>
    <t>5.4.2.</t>
  </si>
  <si>
    <t>5.4.3.</t>
  </si>
  <si>
    <t>5.4.4.</t>
  </si>
  <si>
    <t>5.4.5.</t>
  </si>
  <si>
    <t>5.4.6.</t>
  </si>
  <si>
    <t>5.4.7.</t>
  </si>
  <si>
    <t>5.4.8.</t>
  </si>
  <si>
    <t>5.4.9.</t>
  </si>
  <si>
    <t>5.4.10.</t>
  </si>
  <si>
    <t>5.4.11.</t>
  </si>
  <si>
    <t>5.4.12.</t>
  </si>
  <si>
    <t>5.4.13.</t>
  </si>
  <si>
    <t>5.4.14.</t>
  </si>
  <si>
    <t>5.4.15.</t>
  </si>
  <si>
    <t>5.4.16.</t>
  </si>
  <si>
    <t>5.4.17.</t>
  </si>
  <si>
    <t>5.4.18.</t>
  </si>
  <si>
    <t>5.4.19.</t>
  </si>
  <si>
    <t>5.4.20.</t>
  </si>
  <si>
    <t>5.4.21.</t>
  </si>
  <si>
    <t>5.4.25.</t>
  </si>
  <si>
    <t>KUHINJA UKUPNO:</t>
  </si>
  <si>
    <t>SPRINKLER UKUPNO:</t>
  </si>
  <si>
    <t>6.</t>
  </si>
  <si>
    <t>DIZALA</t>
  </si>
  <si>
    <t>DIZALA UKUPNO:</t>
  </si>
  <si>
    <t>7.</t>
  </si>
  <si>
    <t>PRISTUPNI PUT</t>
  </si>
  <si>
    <t>7.1.</t>
  </si>
  <si>
    <t>7.1.1.</t>
  </si>
  <si>
    <t>Geodetski radovi</t>
  </si>
  <si>
    <t>7.1.2.</t>
  </si>
  <si>
    <t>Radovi na uređenju gradilišta</t>
  </si>
  <si>
    <t>Pripremni radovi na uređenju gradilišta prema Planu izvođenja radova (sukladno Zakonu o zaštiti na radu i Pravilnika o zaštiti na radu za privremena i pokretna gradilišta).
- zaštitna ograda oko gradilišta
- izrada sheme gradilišta
- postava kontejnera za rad ovlaštenih osoba gradilišta i za rad nadzorne službe sa svim priključcima
- priključci na postojeće instalacije struje, vode i odvodnje
- izvedba komunikacija i prostora za skladištenje materijala na gradilištu
- rasvjeta gradilišta
- zajednička zaštitna sredstva
- postavljanje, najam, zbrinjavanje sanitarnog čvora (kemijski WC)
- trošak za struju i vodu
- ostale mjere zaštite na radu i postavljanje oznaka opasnosti i obavijesti</t>
  </si>
  <si>
    <t>Obračun komplet.</t>
  </si>
  <si>
    <t>7.1.3.</t>
  </si>
  <si>
    <t>Obračun po kompletno izvedenoj metalnoj ploči/panou.</t>
  </si>
  <si>
    <t>7.1.4.</t>
  </si>
  <si>
    <t>Obračun po kompletno izvedenom plakatu.</t>
  </si>
  <si>
    <t>Trajna informativna ploča (pano)</t>
  </si>
  <si>
    <t>Dobava i montaža trajne informativne metalne ploče/panoa (dimenzija prema zahtjevima EU) nakon završetka radova kao trajne informacije o EU financiranju u skladu sa preporukama o označavanju EU. Metalnu ploču izvesti na bravarskoj podkonstrukciji sa pripadajućim temeljima u zemlji.</t>
  </si>
  <si>
    <t>7.2.</t>
  </si>
  <si>
    <t>7.2.1.</t>
  </si>
  <si>
    <t>Površine za manevriranje - makadamski kolnik</t>
  </si>
  <si>
    <t>Iskop zemlje na mjestima gdje se izvode projektirane pristupne prometnice do planinarskog doma.
Dubina iskopa cca 25 cm od gornje kote planirane površine.
Radovi obuhvaćaju iskop materijala u sraslom stanju i prijevoz materijala s potrebnim zbiranjavanjem sukladno važećim propisima.
U jediničnu cijenu prijevoza uključeni su i troškovi zbrinjavanja.</t>
  </si>
  <si>
    <t>385m2×0,25m</t>
  </si>
  <si>
    <t>7.2.2.</t>
  </si>
  <si>
    <t>Uređenje temeljnog tla</t>
  </si>
  <si>
    <t>(OTU II st. 2-08)
Mehaničkim zbijanjem
(OTU II st. 2-08.1)
Obuhvaća sav prijevoz i materijal, čišćenje, planiranje, izravnavanje usitnjenim kamenim materijalom, sušenje ili vlaženje i zbijanje.
Obračun po m² uređenog temeljnog tla.</t>
  </si>
  <si>
    <t>Makadamski kolnik</t>
  </si>
  <si>
    <t>7.2.3.</t>
  </si>
  <si>
    <t>Izrada posteljice</t>
  </si>
  <si>
    <t>(OTU II st. 2-10)
Obuhvaća materijal, grubo i fino planiranje i nabijanje do tražene zbijenosti.
Zbijanje tako da se postigne zbijenost od 100% prema standardnom Proctorovom postupku, odnosno Ms&gt;25 MN/m2 mjereno kružnom pločom r = 30 cm pri optimalnoj vlažnosti materijala.
Obračun po m² uređene i zbijene posteljice nasipa.
Izrada posteljice od kamenog materijala
(OTU II st. 2-10.2)</t>
  </si>
  <si>
    <t>7.2.4.</t>
  </si>
  <si>
    <t>Uređenje temeljnog tla geotekstilom</t>
  </si>
  <si>
    <t>(grupa: 02.08, oznaka: 00400)
Odvajanje nosivog temeljnog tla i posteljice polaganjem geotekstila preklapanjem, na prethodno poravnato tlo. Obračun je prema stvarnoj površini tla na koji je položen geotekstil (preklopi se ne uračunavaju) u četvornim metrima. U cijenu je uključen sav rad, nabava geotekstila i materijala za poravnavanje te ostalog potrebnog materijala, transporti i oprema za pripremu podloge i polaganje geotekstila, kao i ispitivanja.
Koristi se 400 g/m² tip geotekstila.</t>
  </si>
  <si>
    <t>Obračun po m² uređenog temeljnog tla s postavljenim geotekstilom.</t>
  </si>
  <si>
    <t>7.2.5.</t>
  </si>
  <si>
    <t>Prijevoz na stalno odlagalište iskopanog i utovarenog materijala iz iskopa</t>
  </si>
  <si>
    <t>Ovaj rad obuhvaća uređenje posteljice u usjecima, nasipima i zasjecima, tj grubo i fino planiranje materijala i zbijanje do tražene zbijenosti. Posteljicu treba izraditi prema kotama iz projekta. Zahtijevi kakvoće su: stupanj zbijenosti Sz ≥ 100%, modul stišljivosti Ms ≥ 40 MN/m².</t>
  </si>
  <si>
    <t>Obračun po m² izrađene posteljice.</t>
  </si>
  <si>
    <t>7.3.</t>
  </si>
  <si>
    <t>KOLNIČKA KONSTRUKCIJA</t>
  </si>
  <si>
    <t>7.3.1.</t>
  </si>
  <si>
    <t>Nosivi sloj od kamenog materijala</t>
  </si>
  <si>
    <t>d = 15cm, ispod kolnika, Ms≥50 MN/m2 16/32mm</t>
  </si>
  <si>
    <t>d = 10cm makadamski kolnik, Ms≥40 MN/m2 8/16mm</t>
  </si>
  <si>
    <t>7.3.2.</t>
  </si>
  <si>
    <t>Izrada rubnjaka od lomljenog granita</t>
  </si>
  <si>
    <t>Obuhvaća nabavu materijala, prijevoz, upotrebu opreme,
te sav rad na izradi i ugradnji rubnjaka uključujući pripremu podloge,
njegu i izradu dilatacija.</t>
  </si>
  <si>
    <t>Obračun po m¹ postavljenog rubnjaka.</t>
  </si>
  <si>
    <t>7.3.3.</t>
  </si>
  <si>
    <t>Granitne kocke za oborinski kanal (opločenje)</t>
  </si>
  <si>
    <t>Dobava, doprema i ugradnja granitnih kocki dimenzija
10x10x10 cm za popločenje odvodnog oborinskog kanala.
Opločnici se postavljaju u podložni stabilizacijski sloj debljine 10 cm od drobljenog eruptivnog pijeska veličine zrna 2-4 mm s dodatkom cementa, 4:1 miješano u suho.
Obračun se vrši po m² ugrađenih kocki uključivo sav potreban
materijal, pijesak i fugiranje cementom te sav rad.</t>
  </si>
  <si>
    <t>U cijeni po m² ugrađenog materijala uključeno je i pribavljanje atesta o kvaliteti ugrađenog materijala.</t>
  </si>
  <si>
    <t>7.3.4.</t>
  </si>
  <si>
    <t>Granitne kocke za stabilizaciju kolničke konstrukcije na padini (opločenje)</t>
  </si>
  <si>
    <t>Dobava, doprema i ugradnja granitnih kocki dimenzija
20x20x20 cm zastabilizaciju kolničke konstrukcije na padini.
Opločnici se postavljaju u podložni stabilizacijski sloj debljine 10 cm od drobljenog eruptivnog pijeska veličine zrna 2-4 mm s dodatkom cementa, 4:1 miješano u suho.
Obračun se vrši po m² ugrađenih kocki uključivo sav potreban
materijal, pijesak i fugiranje cementom te sav rad.</t>
  </si>
  <si>
    <t>KOLNIČKA KONSTRUKCIJA UKUPNO:</t>
  </si>
  <si>
    <t>7.4.</t>
  </si>
  <si>
    <t>7.4.1.</t>
  </si>
  <si>
    <t>Mehanička zaštita postojećeg raslinja.</t>
  </si>
  <si>
    <t>Mehanička zaštita stabala od oštećenja prilikom izvedbe građevinskih radova. Zaštita se postavlja u vidu drvene oplate oko stabala visine do 2 m, u svrhu sprečavanja oštećenja prilikom izvođenja radova mehanizacijom.</t>
  </si>
  <si>
    <t>Obračun po komadu zaštičenog raslinja</t>
  </si>
  <si>
    <t>7.4.2.</t>
  </si>
  <si>
    <t>Sanacija oštećenog korijena stabala.</t>
  </si>
  <si>
    <t>Prilikom iskopa voditi računa da se ne prereže korijenje debljine preko 1 cm. U slučaju kada je izvršeno presijecanje korijena , potrebno je izvršiti oštar rez uz sam zdravi neoštećeni dio korijena i odmah ga obraditi sredstvima za obradu rana i koja pospješuju rast. Stavka se obračunava po komadu obrađenog stabla.</t>
  </si>
  <si>
    <t>Obračun po komadu saniranog korijena stabla</t>
  </si>
  <si>
    <t>7.4.3.</t>
  </si>
  <si>
    <t>Izrada potpornog AB zida</t>
  </si>
  <si>
    <t>Dobava i doprema materijala, te ručno betoniranje armirano betonskog potpornog zida, debljine 10 cm visine 20-110 cm, u betonu
klase C25/30. Beton treba nakon ugradbe pravilno njegovati pokrivanjem i poljevanjem minimalno 3x u roku od 3 dana.</t>
  </si>
  <si>
    <t>Obračun po m³ ugrađenog betona.</t>
  </si>
  <si>
    <t>7.4.4.</t>
  </si>
  <si>
    <t>Armatura</t>
  </si>
  <si>
    <t>Stavkom je obuhvaćena nabava i doprema armature i svog pomoćnog materijala, skladištenje, rezanje, savijanje i postavljanje u oplatu. (Q-188)</t>
  </si>
  <si>
    <t>Obračun po kg ugrađene armature.</t>
  </si>
  <si>
    <t>7.4.5.</t>
  </si>
  <si>
    <t>Oplata</t>
  </si>
  <si>
    <t>Stavkom je obuhvaćena nabava i doprema oplate i svog pomoćnog materijala i postavljanjeoplatu.</t>
  </si>
  <si>
    <t>Obračun po m2 ugrađene oplate.</t>
  </si>
  <si>
    <t>7.4.6.</t>
  </si>
  <si>
    <t>Kanalica s rešetkom za linijsku odvodnju</t>
  </si>
  <si>
    <t>Dobava i montaža kanala za linijsku odvodnju nosivosti A15 prema HRN EN 124 ili jednakovrijedno. Svjetla širina kanala je 100 mm, a građevinska dužina 500 mm. Kanal se izvodi polaganjem na betonsku podlogu (C 12/15) debljine sloja 15 cm, bočno kanal obložiti betonom (C 25/30). Gornji rub rešetke se izvodi u razini 2 - 5 mm ispod kote gotove završne okolne površine. Sve radove izvesti prema uputama proizvođača.</t>
  </si>
  <si>
    <t>Obračum po m¹ potpuno izrađene kanalice.</t>
  </si>
  <si>
    <t>7.4.7.</t>
  </si>
  <si>
    <t>Elektro mehanička podizna rampa</t>
  </si>
  <si>
    <t>Elektro mehanička podizna rampa sa ugradnjom i spojem na postojeću elektroinstalaciju, povišene baze, s monofaznim napajanjem, daljinskim upravljačem za podizanje i spuštanje branika, kurblom, grijačem, kliznom spojkom. Branici po dužini moraju biti presvučeni retroreflektirajućom tvari klase II. Cijena obuhvaća sve potrebne radove.</t>
  </si>
  <si>
    <t>PRISTUPNI PUT UKUPNO:</t>
  </si>
  <si>
    <t>8.</t>
  </si>
  <si>
    <t>GEOMEHANIKA</t>
  </si>
  <si>
    <t>GEOMEHANIKA UKUPNO:</t>
  </si>
  <si>
    <t>REKAPITULACIJA</t>
  </si>
  <si>
    <t>SVEUKUPNO</t>
  </si>
  <si>
    <t>Izvođač je dužan prije izvedbe, a nakon uklanjanja objekta izraditi elaborat geomehaničkih radova, kako bi se utvrdila nosivost tla, koja je sada pretpostavljena. Empirijski je ona kategorizirana kao A (stijenovito), no moguća su djelomična odstupanja. Eventualne izmjene moraju se dokumentirati i u Glavnom projektu izmijeniti, ukoliko se zadire u temeljna svojstva građevine.</t>
  </si>
  <si>
    <t>A.1.</t>
  </si>
  <si>
    <t>Nacrti, tehnički opis i ovaj  troškovnik čine cijelinu projekta.</t>
  </si>
  <si>
    <t>Izvođač je dužan proučiti sve gore navedene dijelove projekta, te u slučaju nejasnoća tražiti objašnjenje od projektanta, odnosno iznijeti svoje primjedbe.</t>
  </si>
  <si>
    <t>Nepoznavanje crtanog dijela projekta i tehničkog opisa neće se prihvatiti kao razlog za povišenje jediničnih cijena ili greške u izvedbi.</t>
  </si>
  <si>
    <t>Izvođač je prilikom uvođenja u posao dužan, u okviru ugovorene cijene, preuzeti parcelu, te obavjestiti nadležne službe o otvaranju gradilišta.</t>
  </si>
  <si>
    <t>Od tog trenutka pa do primopredaje zgrade izvođač je odgovoran za stvari i osobe koje se nalaze unutar gradilišta.</t>
  </si>
  <si>
    <t>Izvođač je dužan na gradilištu čuvati Građevnu dozvolu, glavni i izvedbeni projekt i dati ih na uvid ovlaštenim inspekcijskim službama.</t>
  </si>
  <si>
    <t>Izvođač je dužan, u okviru ugovorene cijene, ugraditi propisani adekvatan i prema Hrvatskim normama atestiran materijal.</t>
  </si>
  <si>
    <t>Izvođač je također dužan kod izrade konstrukcija, prema projektom određenom planu ispitivanja materijala, kontrolirati ugrađeni konstruktivni materijal.</t>
  </si>
  <si>
    <t>Za instalacijske sustave izvođač je dužan, u okviru ugovorene cijene, osim atesta o kvaliteti ugrađenih materijala, dati ateste za instalacijske sustave.</t>
  </si>
  <si>
    <t>Izvođač je u okviru ugovorene cijene dužan izvršiti koordinaciju radova svih kooperanata na način da omogući kontinuirano odvijanje posla i zaštitiu već izvedenih radova.</t>
  </si>
  <si>
    <t xml:space="preserve">Sva oštećenja nastala tokom gradnje otkloniti će izvođač o svom trošku. </t>
  </si>
  <si>
    <t>Izvođač je dužan, u okviru ugovorene cijene, osigurati gradilište od djelovanja više sile i krađe.</t>
  </si>
  <si>
    <t>Sav rad i materijal vezan vezan za organizaciju građevinske proizvodnje: ograde, vrata gradilišta, putevi na gradilištu, uredi, blagovaonice, svlačionice, sanitarije gradilišta, spremišta materijala i alata, telefonski, električni, vodovodni i sl. priključci gradilišta kao i cijena korištenja priključaka uključeni su u ugovorenu cijenu.</t>
  </si>
  <si>
    <t>Okončana situacija može se ispostaviti nakon tehničkog prijama zgrade i otklanjanja svih eventualno nađenih nedostataka.</t>
  </si>
  <si>
    <t>Nakon naplate okončane situacije izvođač će predati zgradu investitoru ili po investitoru određenom korisniku.</t>
  </si>
  <si>
    <t>A</t>
  </si>
  <si>
    <t>A.1.1</t>
  </si>
  <si>
    <t>A.1.2.</t>
  </si>
  <si>
    <t>A.1.3.</t>
  </si>
  <si>
    <t>OPĆE NAPOMENE:</t>
  </si>
  <si>
    <t>Svi radovi navedeni u ovom troškovniku moraju biti izvedeni stručno i solidno, prema projektu,važećim zakonima , tehničkim propisima i uputama nadzorne službe.
Osim toga , izvođač je obavezan pridržavati se uputa projektanta/nadzora u svim pitanjima koja se odnose na izbor i obradu materijala i način izvedbe pojedinih detalja, ukoliko to nije već opisano troškovnikom.
U slučaju da opis pojedine stavke nije dovoljno jasan, mjerodavan je Projekt uklanjanja, ili uputa i tumačenje projektanta/nadzora. O tome se izvođač treba informirati već prilikom sastavljanja jedinične cijene.
Izvođač je dužan prilikom sastavljana ponude proučiti sve potrebne projekte radi potpunog uvida u objekt.
U jediničnim cijenama moraju biti obuhvaćeni svi troškovi potrebni za dovršenje predviđenog rada, tj. materijal s prevozima i prenosima, troškovi mehanizacije, radna snaga sa svim dodacima, svi režijski troškovi izvođača, obveze, porezi, dobit i ostalo, tako da je ponuđena cijena konačna.
U ponuđenim jediničnim cijenama moraju također biti obuhvaćeni svi pripremni radovi potrebni za izgradnju zgrade, kao što je izvedba svih pomoćnih objekta i instalacijskih priključaka gradilišta, ograde gradilišta itd.
Svi upotrebljeni i ugrađeni materijali moraju odgovarati Hrvatskim normama, a atesti ne smiju biti stariji od godine dana. Atesti za betone se moraju odnositi na uzorke betona uzete na mjestu i u vrijeme ugradnje pojedine tehnološke faze betoniranja.</t>
  </si>
  <si>
    <t>A.2.</t>
  </si>
  <si>
    <t>A.2.1.</t>
  </si>
  <si>
    <t>A.2.2.</t>
  </si>
  <si>
    <t>A.3.</t>
  </si>
  <si>
    <t>A.3.1.</t>
  </si>
  <si>
    <t>A.3.2.</t>
  </si>
  <si>
    <t>A.3.3.</t>
  </si>
  <si>
    <t>A.3.4.</t>
  </si>
  <si>
    <t>A.3.5.</t>
  </si>
  <si>
    <t>A.3.6.</t>
  </si>
  <si>
    <t>A.4.</t>
  </si>
  <si>
    <t xml:space="preserve"> </t>
  </si>
  <si>
    <t>A.</t>
  </si>
  <si>
    <t>B.</t>
  </si>
  <si>
    <t>B.1.</t>
  </si>
  <si>
    <t>PROTUPOŽARNA UNUTARNJA STOLARIJA</t>
  </si>
  <si>
    <t>PROTUPOŽARNA UNUTARNA STOLARIJA UKUPNO:</t>
  </si>
  <si>
    <t>Spušteni strop izradit će se kao glatki kontinuirani s vodoravnim neprekinutim podgledom iz Knauf ploča na čeličnoj, pokrivenoj potkonstrukciji (sastoji se iz nosive i montažne potkonstrukcije iz pocinčanih profila) koja se ovjesnim elementima učvršćuje za nosivi strop.
Podkonstrukcija se izrađuje od CD profila 60x27 u jednoj razini (tip D 113) ili iz nosivih i montažnih profila u dvije razine (tip D 112), od pocinčanog lima debljine 0,7 mm i posebnih vješača koji se vijcima s tiplima pričvršćuju o stropnu konstrukciju ( anker fix ovjes sa žicom ili nonius ovjesni element ). Nosivi profili su na razmaku od 75 -100 cm, ovješeni na maksimalnom razmaku od 60 - 90 cm. Na nosive profile dolaze montažni na maksimalnom razmaku od 40-62,5 cm.
Kod duljina većih od 10,0 m i znatno suženih stropnih površina potrebno je izvesti dilatacijske spojeve što ulazi u jediničnu cijenu.
Spoj stropa sa zidom izvesti UD profilima. Učvršćenje izvesti pogodnim sredstvima ovisno o materijalu zida.
Spojevi ploča (bez bandažiranja ili s bandažiranjem) se moraju se obraditi specijalnim zapunjačem prema preporuci proizvođača. Kod dvostrukog oblaganja stropa potrebno je obraditi i spojeve prvog sloja ploča. Završno kompletnu površinu treba pregletati.
Strop mora biti potpuno ravan i ne smiju se vidjeti spojevi ploča. Spoj sa zidom ili s vertikalnim plohama stropa mora biti zapunjen masom za reške.
Kod izvedbe konstrukcija od GK ploča potrebno se držati svih uputa proizvođača, naročito glede uskladištenja ploča i uvjeta temperature i vlažnosti zraka prostora u kojima će se izvoditi spušteni strop Prije izvedbe stropa ploče moraju biti na mjestu ugradnje najmanje 24 sata ranije, da bi se prilagodile mikroklimatskim uvjetima prostora. S polaganjem se može započeti tek kad su završeni svi radovi žbukanja, estriha i sl. te su dovoljno suhi, nakon ugradnje prozora, montaže grijanja i svih instalacija koje dolaze unutar stropa. Ljeti je potrebno osigurati prozračivanje, a zimi za montažu treba biti uključeno grijanje. Za učvršćenje tereta na GK konstrukciju treba primjeniti specijalna pričvrsna sredstva te se pridržavati uputa o max opterećenju. Mjesta na kojima je predviđena ugradba rasvjetnih tijela, potrebno je u konstrukciji ojačati profilima, kako bi se lampe učvrstiti na strop.</t>
  </si>
  <si>
    <t>Rad mora biti izveden prema opisu u stavkama troškovnika sa materijalima koji moraju odgovarati Hrvatskim normama.
Površine koje se boje ili liče izvođač je dužan prije rada pregledati i ukazati na eventualne nedostatke, vlažnost materijala itd.
Radovi ostalih obrtnika moraju se prekrivanjem zaštititi od zaprljanja ili oštećenja.Izvođač radova je dužan predložiti i napraviti uzorke i zatražiti odobrenje projektanta, jer bez toga ne može otpočeti s radom.Ukoliko opis koje stavke troškovnika nije potpun ili dovoljno jasan, dužan je prije davanja ponude tražiti razjašnjenje i ponudu dopuniti.
Jediničnim cijenama treba obuhvatiti :
* sav materijal, dobavu i dopremu alata, mehanizaciju i uskladištenje, transport
* troškove radne snage za kompletan rad opisan u troškovniku,
* svu potrebnu radnu skelu
* čišćenje nakon završetka radova,
* svu štetu kao i troškove popravka kao posljedica nepažnje u toku izvedbe
* troškove zaštite na radu,
* troškove atesta, zaštitu okolnih konstrukcija od prljanja
U cijeni pojedine stavke treba obuhvatiti skelu, dobavu i ugradnju materijala - osnovnog i pomoćnog, sve pripremne i međufaze rada potrebne za korektno dovršenje stavke prema pravilima struke i važećim propisima bez obzira da li je sve to napomenuto u pojednoj stavci
U cijeni pojedine stavke treba obuhvatiti skelu, dobavu i ugradnju materijala - osnovnog  pomoćnog, sve pripremne i međufaze rada potrebne za korektno dovršenje stavke prema pravilima struke i važećim propisima bez obzira da li je sve to napomenuto u pojednoj stavci
Kod ličenja površina od gipskartona treba u jed. cijeni obuhvatiti predradnje na pripremi podloge: čišćenje i temeljni
premaz za impregnaciju (gletanje je obuhvaćeno u GK radovima).</t>
  </si>
  <si>
    <t>Za spajanje površine generatora na razvodnu kutiju generatora. Svi potrebni kablovi, utikači i utičnice su uključeni. Komponente moraju biti obrađene u skladu sa smjernicama proizvođača.
Paket solarnih krovnih panela uključuje sljedeće električne komponente i usluge električara koje koordinira i pruža proizvođač.
Usluge električara:
kombinirana kutija
Dimenzioniranje, isporuka i montaža priključne kutije generatora (GAK) uključujući spajanje svih string kabela (+/-).
DC glavni vod
Dimenzioniranje, isporuka i montaža istosmjernog glavnog voda od GAK-a do invertora.
Pretvarač
Isporuka i montaža pretvarača u skladu s planiranjem sustava i smjernicama proizvođača.</t>
  </si>
  <si>
    <t>1.A.</t>
  </si>
  <si>
    <t>1.B.</t>
  </si>
  <si>
    <t>1.C.</t>
  </si>
  <si>
    <t>A.1.4.</t>
  </si>
  <si>
    <t>A.1.5.</t>
  </si>
  <si>
    <t>A.1.6.</t>
  </si>
  <si>
    <t>A.2.3.</t>
  </si>
  <si>
    <t>A.3.7.</t>
  </si>
  <si>
    <t>A.3.8.</t>
  </si>
  <si>
    <t>A.3.9.</t>
  </si>
  <si>
    <t>A.3.10.</t>
  </si>
  <si>
    <t>A.3.11.</t>
  </si>
  <si>
    <t>A.3.12</t>
  </si>
  <si>
    <t>A.3.13.</t>
  </si>
  <si>
    <t>A.3.14.</t>
  </si>
  <si>
    <t>A.3.15.</t>
  </si>
  <si>
    <t>A.3.16.</t>
  </si>
  <si>
    <t>A.3.17.</t>
  </si>
  <si>
    <t>A.4.1.</t>
  </si>
  <si>
    <t>A.4.2.</t>
  </si>
  <si>
    <t>A.4.3.</t>
  </si>
  <si>
    <t>A.4.4.</t>
  </si>
  <si>
    <t>A.4.5.</t>
  </si>
  <si>
    <t>A.4.6.</t>
  </si>
  <si>
    <t>A.4.7.</t>
  </si>
  <si>
    <t>A.4.8.</t>
  </si>
  <si>
    <t>A.4.9.</t>
  </si>
  <si>
    <t>A.4.10.</t>
  </si>
  <si>
    <t>A.4.11.</t>
  </si>
  <si>
    <t>A.4.12.</t>
  </si>
  <si>
    <t>A.4.13.</t>
  </si>
  <si>
    <t>A.4.14.</t>
  </si>
  <si>
    <t>A.4.15.</t>
  </si>
  <si>
    <t>A.4.16.</t>
  </si>
  <si>
    <t>A.4.17.</t>
  </si>
  <si>
    <t>A.4.18.</t>
  </si>
  <si>
    <t>A.4.19.</t>
  </si>
  <si>
    <t>A.4.20.</t>
  </si>
  <si>
    <t>A.4.21.</t>
  </si>
  <si>
    <t>A.4.22.</t>
  </si>
  <si>
    <t>A.4.23.</t>
  </si>
  <si>
    <t>A.4.24.</t>
  </si>
  <si>
    <t>A.4.25.</t>
  </si>
  <si>
    <t>A.4.26.</t>
  </si>
  <si>
    <t>A.4.27.</t>
  </si>
  <si>
    <t>A.4.28.</t>
  </si>
  <si>
    <t>A.5.</t>
  </si>
  <si>
    <t>A.5.1.</t>
  </si>
  <si>
    <t>A.5.2.</t>
  </si>
  <si>
    <t>A.5.3.</t>
  </si>
  <si>
    <t>A.5.4.</t>
  </si>
  <si>
    <t>A.5.5.</t>
  </si>
  <si>
    <t>A.5.6.</t>
  </si>
  <si>
    <t>A.5.7.</t>
  </si>
  <si>
    <t>A.5.8.</t>
  </si>
  <si>
    <t>A.5.9.</t>
  </si>
  <si>
    <t>A.5.10.</t>
  </si>
  <si>
    <t>A.5.11.</t>
  </si>
  <si>
    <t>A.5.12.</t>
  </si>
  <si>
    <t>A.5.13.</t>
  </si>
  <si>
    <t>A.5.14.</t>
  </si>
  <si>
    <t>A.5.15.</t>
  </si>
  <si>
    <t>A.5.16.</t>
  </si>
  <si>
    <t>A.5.17.</t>
  </si>
  <si>
    <t>A.5.18.</t>
  </si>
  <si>
    <t>A.5.19.</t>
  </si>
  <si>
    <t>A.5.20.</t>
  </si>
  <si>
    <t>A.5.21.</t>
  </si>
  <si>
    <t>A.6.</t>
  </si>
  <si>
    <t>A.6.1.</t>
  </si>
  <si>
    <t>A.6.2.</t>
  </si>
  <si>
    <t>A.6.3.</t>
  </si>
  <si>
    <t>A.6.4.</t>
  </si>
  <si>
    <t>A.6.5.</t>
  </si>
  <si>
    <t>A.6.6.</t>
  </si>
  <si>
    <t>A.6.7.</t>
  </si>
  <si>
    <t>A.6.8.</t>
  </si>
  <si>
    <t>A.6.9.</t>
  </si>
  <si>
    <t>A.6.10.</t>
  </si>
  <si>
    <t>A.6.11.</t>
  </si>
  <si>
    <t>A.6.12.</t>
  </si>
  <si>
    <t>B.1.1.</t>
  </si>
  <si>
    <t>B.1.2.</t>
  </si>
  <si>
    <t>B.1.3.</t>
  </si>
  <si>
    <t>B.1.4.</t>
  </si>
  <si>
    <t>B.1.5.</t>
  </si>
  <si>
    <t>B.1.6.</t>
  </si>
  <si>
    <t>B.1.7.</t>
  </si>
  <si>
    <t>B.1.8.</t>
  </si>
  <si>
    <t>B.1.9.</t>
  </si>
  <si>
    <t>B.1.10.</t>
  </si>
  <si>
    <t>B.1.11.</t>
  </si>
  <si>
    <t>B.1.12.</t>
  </si>
  <si>
    <t>B.1.13.</t>
  </si>
  <si>
    <t>B.2.</t>
  </si>
  <si>
    <t>B.2.1.</t>
  </si>
  <si>
    <t>B.2.2.</t>
  </si>
  <si>
    <t>B.2.3.</t>
  </si>
  <si>
    <t>B.2.4.</t>
  </si>
  <si>
    <t>B.2.5.</t>
  </si>
  <si>
    <t>B.2.6.</t>
  </si>
  <si>
    <t>B.2.7.</t>
  </si>
  <si>
    <t>B.2.8.</t>
  </si>
  <si>
    <t>B.2.9.</t>
  </si>
  <si>
    <t>B.2.10.</t>
  </si>
  <si>
    <t>B.2.11.</t>
  </si>
  <si>
    <t>B.2.12.</t>
  </si>
  <si>
    <t>B.2.13.</t>
  </si>
  <si>
    <t>B.2.14.</t>
  </si>
  <si>
    <t>B.2.15.</t>
  </si>
  <si>
    <t>B.2.16.</t>
  </si>
  <si>
    <t>B.3.</t>
  </si>
  <si>
    <t>B.3.1.</t>
  </si>
  <si>
    <t>B.3.2.</t>
  </si>
  <si>
    <t>B.3.3.</t>
  </si>
  <si>
    <t>B.3.4.</t>
  </si>
  <si>
    <t>B.4.</t>
  </si>
  <si>
    <t>B.4.1.</t>
  </si>
  <si>
    <t>B.4.2.</t>
  </si>
  <si>
    <t>B.4.3.</t>
  </si>
  <si>
    <t>B.4.4.</t>
  </si>
  <si>
    <t>B.4.5.</t>
  </si>
  <si>
    <t>B.4.6.</t>
  </si>
  <si>
    <t>B.4.7.</t>
  </si>
  <si>
    <t>B.4.8.</t>
  </si>
  <si>
    <t>B.5.</t>
  </si>
  <si>
    <t>B.5.1.</t>
  </si>
  <si>
    <t>B.5.2.</t>
  </si>
  <si>
    <t>B.5.3.</t>
  </si>
  <si>
    <t>B.5.4.</t>
  </si>
  <si>
    <t>B.5.5.</t>
  </si>
  <si>
    <t>B.6.</t>
  </si>
  <si>
    <t>B.7.</t>
  </si>
  <si>
    <t>B.8.</t>
  </si>
  <si>
    <t>B.9.</t>
  </si>
  <si>
    <t>B.10.</t>
  </si>
  <si>
    <t>B.11.</t>
  </si>
  <si>
    <t>B.12.</t>
  </si>
  <si>
    <t>B.13.</t>
  </si>
  <si>
    <t>B.14.</t>
  </si>
  <si>
    <t>B.15.</t>
  </si>
  <si>
    <t>B.16.</t>
  </si>
  <si>
    <t>B.17.</t>
  </si>
  <si>
    <t>B.18.</t>
  </si>
  <si>
    <t>B.19.</t>
  </si>
  <si>
    <t>PLANINARSKI DOM ŽITNICA</t>
  </si>
  <si>
    <t>B.6.1.</t>
  </si>
  <si>
    <t>B.6.2.</t>
  </si>
  <si>
    <t>B.7.1.</t>
  </si>
  <si>
    <t>B.7.2.</t>
  </si>
  <si>
    <t>B.7.3.</t>
  </si>
  <si>
    <t>B.7.4.</t>
  </si>
  <si>
    <t>B.7.5.</t>
  </si>
  <si>
    <t>B.7.6.</t>
  </si>
  <si>
    <t>B.7.7.</t>
  </si>
  <si>
    <t>B.7.8.</t>
  </si>
  <si>
    <t>B.7.9.</t>
  </si>
  <si>
    <t>B.7.10.</t>
  </si>
  <si>
    <t>B.7.11.</t>
  </si>
  <si>
    <t>B.7.12.</t>
  </si>
  <si>
    <t>B.7.13.</t>
  </si>
  <si>
    <t>B.7.14.</t>
  </si>
  <si>
    <t>B.7.15.</t>
  </si>
  <si>
    <t>B.7.16.</t>
  </si>
  <si>
    <t>B.8.1.</t>
  </si>
  <si>
    <t>B.8.2.</t>
  </si>
  <si>
    <t>B.8.3.</t>
  </si>
  <si>
    <t>B.8.4.</t>
  </si>
  <si>
    <t>B.8.5.</t>
  </si>
  <si>
    <t>B.9.1.</t>
  </si>
  <si>
    <t>B.9.2.</t>
  </si>
  <si>
    <t>B.9.3.</t>
  </si>
  <si>
    <t>B.9.4.</t>
  </si>
  <si>
    <t>B.9.5.</t>
  </si>
  <si>
    <t>B.9.6.</t>
  </si>
  <si>
    <t>B.9.7.</t>
  </si>
  <si>
    <t>B.9.8.</t>
  </si>
  <si>
    <t>B.9.9.</t>
  </si>
  <si>
    <t>B.9.10.</t>
  </si>
  <si>
    <t>B.9.11.</t>
  </si>
  <si>
    <t>B.9.12.</t>
  </si>
  <si>
    <t>B.10.1.</t>
  </si>
  <si>
    <t>B.11.1.</t>
  </si>
  <si>
    <t>B.11.2.</t>
  </si>
  <si>
    <t>B.11.3.</t>
  </si>
  <si>
    <t>B.11.4.</t>
  </si>
  <si>
    <t>B.11.5.</t>
  </si>
  <si>
    <t>B.12.1.</t>
  </si>
  <si>
    <t>B.12.2.</t>
  </si>
  <si>
    <t>B.12.3.</t>
  </si>
  <si>
    <t>B.12.4.</t>
  </si>
  <si>
    <t>B.12.5.</t>
  </si>
  <si>
    <t>B.13.1.</t>
  </si>
  <si>
    <t>B.13.2.</t>
  </si>
  <si>
    <t>B.14.1.</t>
  </si>
  <si>
    <t>B.14.3.</t>
  </si>
  <si>
    <t>B.14.4.</t>
  </si>
  <si>
    <t>B.14.6.</t>
  </si>
  <si>
    <t>B.14.7.</t>
  </si>
  <si>
    <t>B.14.8.</t>
  </si>
  <si>
    <t>B.15.1.</t>
  </si>
  <si>
    <t>B.15.2.</t>
  </si>
  <si>
    <t>B.15.3.</t>
  </si>
  <si>
    <t>B.15.4.</t>
  </si>
  <si>
    <t>B.15.5.</t>
  </si>
  <si>
    <t>B.15.6.</t>
  </si>
  <si>
    <t>B.15.7.</t>
  </si>
  <si>
    <t>B.15.8.</t>
  </si>
  <si>
    <t>B.15.9.</t>
  </si>
  <si>
    <t>B.15.10.</t>
  </si>
  <si>
    <t>B.15.11.</t>
  </si>
  <si>
    <t>B.15.12.</t>
  </si>
  <si>
    <t>B.15.13.</t>
  </si>
  <si>
    <t>B.15.14.</t>
  </si>
  <si>
    <t>B.16.1.</t>
  </si>
  <si>
    <t>B.16.2.</t>
  </si>
  <si>
    <t>B.16.3.</t>
  </si>
  <si>
    <t>B.16.4.</t>
  </si>
  <si>
    <t>B.16.5.</t>
  </si>
  <si>
    <t>B.17.1.</t>
  </si>
  <si>
    <t>B.17.2.</t>
  </si>
  <si>
    <t>B.17.3.</t>
  </si>
  <si>
    <t>B.17.4.</t>
  </si>
  <si>
    <t>B.17.5.</t>
  </si>
  <si>
    <t>B.17.6</t>
  </si>
  <si>
    <t>B.17.7.</t>
  </si>
  <si>
    <t>B.17.8.</t>
  </si>
  <si>
    <t>B.18.1.</t>
  </si>
  <si>
    <t>B.18.2.</t>
  </si>
  <si>
    <t>B.18.3.</t>
  </si>
  <si>
    <t>B.18.4.</t>
  </si>
  <si>
    <t>B.18.5.</t>
  </si>
  <si>
    <t>B.18.6.</t>
  </si>
  <si>
    <t>B.18.7.</t>
  </si>
  <si>
    <t>B.18.8.</t>
  </si>
  <si>
    <t>B.18.9.</t>
  </si>
  <si>
    <t>B.18.10.</t>
  </si>
  <si>
    <t>B.19.1.</t>
  </si>
  <si>
    <t>B.19.1.1.</t>
  </si>
  <si>
    <t>B.19.1.2.</t>
  </si>
  <si>
    <t>B.19.1.3.</t>
  </si>
  <si>
    <t>B.19.1.4.</t>
  </si>
  <si>
    <t>B.19.1.5.</t>
  </si>
  <si>
    <t>B.19.1.6.</t>
  </si>
  <si>
    <t>B.19.1.7.</t>
  </si>
  <si>
    <t>B.19.1.8.</t>
  </si>
  <si>
    <t>B.19.1.9.</t>
  </si>
  <si>
    <t>B.19.1.10.</t>
  </si>
  <si>
    <t>B.19.1.11.</t>
  </si>
  <si>
    <t>B.19.1.12.</t>
  </si>
  <si>
    <t>B.19.1.13.</t>
  </si>
  <si>
    <t>B.19.2.</t>
  </si>
  <si>
    <t>B.19.2.1</t>
  </si>
  <si>
    <t>B.19.2.2.</t>
  </si>
  <si>
    <t>B.19.2.3.</t>
  </si>
  <si>
    <t>B.19.3.</t>
  </si>
  <si>
    <t>B.19.3.1.</t>
  </si>
  <si>
    <t>B.19.3.2.</t>
  </si>
  <si>
    <t>B.19.3.3.</t>
  </si>
  <si>
    <t>B.19.3.4.</t>
  </si>
  <si>
    <t>B.19.3.5.</t>
  </si>
  <si>
    <t>B.19.3.6.</t>
  </si>
  <si>
    <t>B.19.3.7.</t>
  </si>
  <si>
    <t>B.19.3.8.</t>
  </si>
  <si>
    <t>B.19.3.9.</t>
  </si>
  <si>
    <t>B.19.4.</t>
  </si>
  <si>
    <t>B.19.4.1.</t>
  </si>
  <si>
    <t>B.19.4.2.</t>
  </si>
  <si>
    <t>B.19.4.3.</t>
  </si>
  <si>
    <t>B.19.4.4.</t>
  </si>
  <si>
    <t>B.19.4.5.</t>
  </si>
  <si>
    <t>B.19.4.6.</t>
  </si>
  <si>
    <t>B.19.5.</t>
  </si>
  <si>
    <t>B.19.5.1.</t>
  </si>
  <si>
    <t>B.19.5.2.</t>
  </si>
  <si>
    <t>B.19.5.3.</t>
  </si>
  <si>
    <t>B.19.5.4.</t>
  </si>
  <si>
    <t>B.19.5.5.</t>
  </si>
  <si>
    <t>B.19.6.</t>
  </si>
  <si>
    <t>B.19.6.1.</t>
  </si>
  <si>
    <t>B.19.6.2.</t>
  </si>
  <si>
    <t>B.19.6.3.</t>
  </si>
  <si>
    <t>B.19.6.4.</t>
  </si>
  <si>
    <t>B.19.6.5.</t>
  </si>
  <si>
    <t>B.19.6.6.</t>
  </si>
  <si>
    <t>B.19.6.7.</t>
  </si>
  <si>
    <t>B.19.6.8.</t>
  </si>
  <si>
    <t>B.19.6.9.</t>
  </si>
  <si>
    <t>B.19.6.10.</t>
  </si>
  <si>
    <t>B.19.6.11.</t>
  </si>
  <si>
    <t>B.19.6.12.</t>
  </si>
  <si>
    <t>B.19.6.13.</t>
  </si>
  <si>
    <t>B.19.6.14.</t>
  </si>
  <si>
    <t>B.19.6.15.</t>
  </si>
  <si>
    <t>B.19.7.</t>
  </si>
  <si>
    <t>B.19.7.1.</t>
  </si>
  <si>
    <t>B.19.7.2.</t>
  </si>
  <si>
    <t>B.19.7.3.</t>
  </si>
  <si>
    <t>B.19.7.4.</t>
  </si>
  <si>
    <t>B.19.7.5.</t>
  </si>
  <si>
    <t>B.19.8.</t>
  </si>
  <si>
    <t>B.19.8.1.</t>
  </si>
  <si>
    <t>B.19.8.2.</t>
  </si>
  <si>
    <t>B.19.8.3.</t>
  </si>
  <si>
    <t>B.19.8.4.</t>
  </si>
  <si>
    <t>B.19.8.5.</t>
  </si>
  <si>
    <t>A.B.</t>
  </si>
  <si>
    <t>A.B.2.</t>
  </si>
  <si>
    <t>A.B.2.1.</t>
  </si>
  <si>
    <t>A.B.2.2.</t>
  </si>
  <si>
    <t>A.B.2.3.</t>
  </si>
  <si>
    <t>A.B.2.4.</t>
  </si>
  <si>
    <t>A.B.2.5.</t>
  </si>
  <si>
    <t>A.B.2.6.</t>
  </si>
  <si>
    <t>A.B.2.7.</t>
  </si>
  <si>
    <t>A.B.2.8.</t>
  </si>
  <si>
    <t>A.B.2.9.</t>
  </si>
  <si>
    <t>A.B.2.10.</t>
  </si>
  <si>
    <t>A.B.2.11.</t>
  </si>
  <si>
    <t>A.B.2.12.</t>
  </si>
  <si>
    <t>A.B.2.13.</t>
  </si>
  <si>
    <t>A.B.2.14.</t>
  </si>
  <si>
    <t>A.B.2.15.</t>
  </si>
  <si>
    <t>A.B.3.</t>
  </si>
  <si>
    <t>A.B.3.1.</t>
  </si>
  <si>
    <t>A.B.3.2.</t>
  </si>
  <si>
    <t>A.B.3.3.</t>
  </si>
  <si>
    <t>A.B.3.4.</t>
  </si>
  <si>
    <t>A.B.3.5.</t>
  </si>
  <si>
    <t>A.B.3.6.</t>
  </si>
  <si>
    <t>A.B.3.7.</t>
  </si>
  <si>
    <t>A.B.3.8.</t>
  </si>
  <si>
    <t>A.B.3.9.</t>
  </si>
  <si>
    <t>A.B.3.10.</t>
  </si>
  <si>
    <t>A.B.3.11.</t>
  </si>
  <si>
    <t>A.B.3.12.</t>
  </si>
  <si>
    <t>A.B.3.13.</t>
  </si>
  <si>
    <t>A.B.4.</t>
  </si>
  <si>
    <t>A.B.4.1.</t>
  </si>
  <si>
    <t>A.B.4.2.</t>
  </si>
  <si>
    <t>A.B.4.3.</t>
  </si>
  <si>
    <t>A.B.4.4.</t>
  </si>
  <si>
    <t>A.B.4.5.</t>
  </si>
  <si>
    <t>A.B.4.6.</t>
  </si>
  <si>
    <t>A.B.5.</t>
  </si>
  <si>
    <t>A.B.5.1.</t>
  </si>
  <si>
    <t>A.B.5.2.</t>
  </si>
  <si>
    <t>A.B.5.3.</t>
  </si>
  <si>
    <t>A.B.5.4.</t>
  </si>
  <si>
    <t>A.B.5.5.</t>
  </si>
  <si>
    <t>A.B.5.6.</t>
  </si>
  <si>
    <t>B.B.</t>
  </si>
  <si>
    <t>B.B.1</t>
  </si>
  <si>
    <t>B.B.1.1.</t>
  </si>
  <si>
    <t>B.B.1.2.</t>
  </si>
  <si>
    <t>B.B.1.3.</t>
  </si>
  <si>
    <t>B.B.1.4.</t>
  </si>
  <si>
    <t>B.B.1.5.</t>
  </si>
  <si>
    <t>B.B.1.6.</t>
  </si>
  <si>
    <t>B.B.1.7.</t>
  </si>
  <si>
    <t>B.B.1.</t>
  </si>
  <si>
    <t>B.B.2.</t>
  </si>
  <si>
    <t>U jediničnim cijenama uračunati su svi radovi dotične stavke, s dobavom potrebnog materijala, s istovarom i skladištenjem na gradilištu, sav horizontalni i vertikalni transport do radnog mjesta, kao i sva potrebna radna snaga i režijski troškovi, te svi potrebni radovi, predradnje i materijal prema uputama proizvođača.
Predviđeni pokrov su aluminijski plastificirani rombovi iz legure AlMn1Mg0,5, mehanička svojstva H42, kvaliteta boje P.10 mat, za sve stavke. Boja za pojedine elemente prema izboru projektanta. U svim stavkama uključen je sav vezni materijal, kuke, ljepila i slično.</t>
  </si>
  <si>
    <t>B.B.2.1.</t>
  </si>
  <si>
    <t>B.B.2.2.</t>
  </si>
  <si>
    <t>B.B.2.3.</t>
  </si>
  <si>
    <t>B.B.2.4.</t>
  </si>
  <si>
    <t>B.B.2.5.</t>
  </si>
  <si>
    <t>B.B.2.6.</t>
  </si>
  <si>
    <t>B.B.3.</t>
  </si>
  <si>
    <t>B.B.3.1.</t>
  </si>
  <si>
    <t>B.B.4.</t>
  </si>
  <si>
    <t>B.B.4.1.</t>
  </si>
  <si>
    <t>B.B.4.2.</t>
  </si>
  <si>
    <t>B.B.4.3.</t>
  </si>
  <si>
    <t>B.B.4.4.</t>
  </si>
  <si>
    <t>B.B.5.</t>
  </si>
  <si>
    <t>B.B.5.1.</t>
  </si>
  <si>
    <t>B.B.5.2.</t>
  </si>
  <si>
    <t>B.B.6.</t>
  </si>
  <si>
    <t>B.B.6.1.</t>
  </si>
  <si>
    <t>B.B.6.2.</t>
  </si>
  <si>
    <t>B.B.6.3.</t>
  </si>
  <si>
    <t>B.B.6.4.</t>
  </si>
  <si>
    <t>A.C.</t>
  </si>
  <si>
    <t>A.C.1.</t>
  </si>
  <si>
    <t>A.C.1.1.</t>
  </si>
  <si>
    <t>A.C.1.2.</t>
  </si>
  <si>
    <t>A.C.1.3.</t>
  </si>
  <si>
    <t>A.C.1.4.</t>
  </si>
  <si>
    <t>A.C.1.5.</t>
  </si>
  <si>
    <t>A.C.2.</t>
  </si>
  <si>
    <t>A.C.2.1.</t>
  </si>
  <si>
    <t>A.C.2.2.</t>
  </si>
  <si>
    <t>A.C.2.3</t>
  </si>
  <si>
    <t>Betonske podloge obračunavaju se u m3.
Izvedba rupa i otvora u AB pločama i zidovima, do 3 m2, uključena je u cijenu.
Armaturu ugrađivati prema projektu savijanja željeza, ugrađivati samo očišćenu armaturu (bez hrđe), postavljenu na mjestu prema projektu konstrukcije, pomoću PVC podložaka
Izvođač je dužan izraditi projekt betona.
Sve nedoumice riješiti prema planu oplate i planu armature, ili u dogovoru s projektantom i nadzorom.
Napomena: Količina armature je aproksimativna. Točna količina znat će se nakon izrade armaturnih planova.</t>
  </si>
  <si>
    <t>Napomena: Količina armature je aproksimativna. Točna količina prema planu armature. Izrada plana armature je obaveza izvođača, prema priloženom planom oplate!</t>
  </si>
  <si>
    <t>Potrebna je provjera plana oplate obzirom na ugrađenu opremu. Sve izmjene u planu oplate treba ovjeriti glavni projektant.</t>
  </si>
  <si>
    <t>VRH / PIRAMIDA I AMFITEATAR</t>
  </si>
  <si>
    <t>OSTALI OBJEKTI / VIDIKOVAC, STIJENA ZA BOULDER, VODOSPREMA</t>
  </si>
  <si>
    <t>ARHITEKTURA UKUPNO</t>
  </si>
  <si>
    <t>A.C.2.4</t>
  </si>
  <si>
    <t>A.C.2.5</t>
  </si>
  <si>
    <t>A.C.2.6</t>
  </si>
  <si>
    <t>A.C.2.7</t>
  </si>
  <si>
    <t>A.C.2.8</t>
  </si>
  <si>
    <t>A.C.2.9</t>
  </si>
  <si>
    <t>A.C.3.</t>
  </si>
  <si>
    <t>A.C.3.1.</t>
  </si>
  <si>
    <t>A.C.3.2.</t>
  </si>
  <si>
    <t>A.C.3.3.</t>
  </si>
  <si>
    <t>A.C.3.4.</t>
  </si>
  <si>
    <t>B.C.</t>
  </si>
  <si>
    <t>B.C.1.</t>
  </si>
  <si>
    <t>B.C.1.1.</t>
  </si>
  <si>
    <t>C.</t>
  </si>
  <si>
    <t>Napomena: izvođač izrađuje radioničke nacrte, a ovjerava ih glavni projektant.</t>
  </si>
  <si>
    <t>Zidanje dimnjaka za peć na kruto gorivo od višeslojnih blokova, promjera 20 cm s ventilacijskim kanalom, u cementnom mortu MM-10. Mort spraviti strojno od PC 35, hidratiziranog vapna i pijeska do 2 mm. Dimnjak zidati prema uputama proizvođača i uz nadzor nadležnog dimnjačara.
Izvođač je dužan prije izvedbe s proizvođačem provjeriti usklađenost dimnjaka i peći.
Horizontalna spojnica cijevi i bloka mora biti potpuno ispunjena mortom.
a) element s vratima za čišćenje (2 kom)
b) element s priključkom (1 kom)
c) puni elementi
d) završni element na krovu
e) kapa s dilatacionom štucnom</t>
  </si>
  <si>
    <t>* lamelirani nosač  24x40 cm, L=7,50 m</t>
  </si>
  <si>
    <t>* lamelirani nosač  24x40 cm, L=3.25 m, konzolna postava</t>
  </si>
  <si>
    <t>Dobava, srezivanje i postavljanje drvene konstrukcije kosog dvostrešnog krovišta. Konstrukcija se sastoji od lamelirane sljemene grede 20x80 cm koja se oslanja na drvene stupove 20x20 cm i armiranobetonski zid okna dizala. Na lamelirani nosač i sekundarnu konstrukciju potkrovlja i kata oslanjaju se drveni rogovi 14x20 cm na razmaku od cca 80 cm.
Sve površine drvenih elemenata se premazuju zaštitnim premazima za drvo s fungiciodno insekticidnim svojstvom, na bazi kombinacije alkidnih smola, fungicidnih i insekticidnih supstanci, te dodataka.
U cijenu i obračun se uključuje kompletan sadržaj za dovršenje (sidreni vijci, limovi za ojačanje, spojna sredstva, obrada, premaz i dr.).</t>
  </si>
  <si>
    <t>Dobava, srezivanje i postavljanje drvene konstrukcije stropa iznad kata. Konstrukcija se sastoji od lameliranih greda koje se postavljaju preko armiranobetonskih okvira. Lamelirane nosače sidriti u armiranobetonsku gredu vijcima M12. Između lameliranih nosača postavlja se sekundarna konstrukcija od drvenih gredica 12x16 cm na razmaku od 80 cm.
Sve površine drvenih elemenata se premazuju zaštitnim premazima za drvo s fungiciodno insekticidnim svojstvom, na bazi kombinacije alkidnih smola, fungicidnih i insekticidnih supstanci, te dodataka.
U cijenu i obračun se uključuje kompletan sadržaj za dovršenje (sidreni vijci, limovi za ojačanje, spojna sredstva, obrada, premaz i dr.).</t>
  </si>
  <si>
    <t>Dobava, srezivanje i postavljanje drvene konstrukcije stropa iznad prizemlja. Konstrukcija se sastoji od lameliranih greda koje se postavljaju preko armiranobetonskih okvira. Lamelirane nosače sidriti u armiranobetonsku gredu vijcima M12. Između lameliranih nosača postavlja se sekundarna konstrukcija od drvenih gredica 12x16 cm na razmaku od 80 cm.
Sve površine drvenih elemenata se premazuju zaštitnim premazima za drvo s fungiciodno insekticidnim svojstvom, na bazi kombinacije alkidnih smola, fungicidnih i insekticidnih supstanci, te dodataka.
U cijenu i obračun se uključuje kompletan sadržaj za dovršenje (sidreni vijci, limovi za ojačanje, spojna sredstva, obrada, premaz i dr.).</t>
  </si>
  <si>
    <t>Dobava i postava horizontalne hidroizolacije poda podruma fleksibilnom polimer bitumenskom trakom s uloškom od staklene tkanine. Hidroizolacija se postavlja u dva sloja na otprašenu površinu premazanu resitolom. Obračun po m2 razvijene površine.
Hidroizolacija se zavaruje punoplošno, a postavlja se sa uzdužnim i poprečnim preklopima (min.10 cm).
Uključeni svi potrebni slojevi za punu funkcionalnost sustava - bitumenski premaz proizveden od mješavine bitumena i lako hlapljivog organskog otapala + 2 sloja hidroizolacije.</t>
  </si>
  <si>
    <t>Dobava i postava vertikalne hidroizolacije zidova podruma fleksibilnom polimer bitumenskom trakom s uloškom od staklene tkanine. Hidroizolacija se postavlja u dva sloja na otprašenu površinu premazanu resitolom. Obračun po m2 razvijene površine.
Hidroizolacija se zavaruje punoplošno, a postavlja se sa uzdužnim i poprečnim preklopima (min.10 cm).
Uključeni svi potrebni slojevi za punu funkcionalnost sustava - bitumenski premaz proizveden od mješavine bitumena i lako hlapljivog organskog otapala + 2 sloja hidroizolacije.</t>
  </si>
  <si>
    <t>Dobava i izrada horizontalne i vertikalne hidroizolacije na mokrim podovima i dijelovima zidova uz umivaonike i kade elastičnom brtvenom membranom. Betonska podloga mora biti suha i čista. Na tako pripremljenu podlogu polaže se:
1 Premaz
Dvokomponentni visokoelastični cementni mort za hidroizolaciju nanešen na podlogu metalnom lopaticom, valjkom, četkom ili strojno špricanjem.
Nakon nanošenja prvog sloja utiskuje se armaturna mrežica od staklenih vlakna, a u rubne spojeve umeću se kutni elementi i vodonepropusna elastična gumena traka s alkalnootpornim filcom za brtvljenje spojeva različitih ploha, prodora i dilatacija u sustavima polimer-cementnih hidroizolacija i hidroizolacija na bazi sintetičkih smola. Instalacijski prodori obrađuju se manžetama vodonepropusna elastična gumena traka s alkalnootpornim filcom za brtvljenje spojeva različitih ploha, prodora i dilatacija u sustavima polimer-cementnih hidroizolacija i hidroizolacija na bazi sintetičkih smola.
2 Premaz
Dvokomponentni visokoelastični cementni mort za hidroizolaciju (ukupna debljina membrane ne smije biti manja od 2 mm).</t>
  </si>
  <si>
    <t>Dobava i montaža tipske aluminijske početne trake za panele iz prethodne stavke, dimenzije 1400x420mm. Dimenzija trake 1800x158mm, debljina lima 1.00mm. Uklj. pričvrsni materijal, montirati vjetrootporno. Moraju se poštivati smjernice za polaganje od strane proizvođaća.</t>
  </si>
  <si>
    <t xml:space="preserve">Dobava i montaža uljevnog lima na spoju početka krova i visećeg žljeba iz dopunskog alu lima debljine 0,70 mm, boja i kvaliteta materijala kao osnovna pozicija, uklj. spojni materijal stručno montirati. </t>
  </si>
  <si>
    <t xml:space="preserve">Dobava i ugradnja aluminijske perforacije za ventiliranje potkrovlja, kao zaštita od ptica i insekata. RŠ 12,5. </t>
  </si>
  <si>
    <t xml:space="preserve">Dobava i montaža zabatne trake, odn. pokrovni lim zabata krov i oko prodora rampe na sjevernom pročelju (rubni završetak) iz dopunske trake debljine 0,70 mm, boje i kvalitete materijala kao osnovna pozicija, uklj. potrebne pričvrsne i okapne trake, zajedno sa spojnim materijalom, montirati vjetrootporno i s omogućenim dilatacijskim radom, uklj. prilagodbu na krovne ploče. </t>
  </si>
  <si>
    <t>Dobava i ugradnja opšava ležećih krovnih prozora za odimljavanje stubišta dim. cca 80x170cm od aluminijskim limom r.š. 40 boje i kvalitete kao i osnovna pozicija. Montirati stručno u utorima ispod pokrivnih kapa prozora.</t>
  </si>
  <si>
    <t>Dobava i montaža tipskog sustava rešetkastog snjegobrana za krovne panele, s tri otvora za uložni profil, boje kao osnovna pozicija (plastificirano). Kuke dim..225x205mm sastoje se od dvije stope s površinskom brtvom, kuke rešetkastog snjegobrana i posmičnog zatvarača. Uklj. vijke (Ø8x120mm / Ø 8x220mm). Stavka obuhvaća uložne profile 25/25mm, 3 kom za svakoj kuci, ukjljučivo spojne čahure i završni element. Stavka također obuhvaća dobavu i postavu hvatača leda za uložni profil, uklj. vijak M6x10mm (cilindrična glava TX 30). Potrebno 4 hvatača po m1.
Snjegobrani postavljaju se uzduž žlejba strogo prema uputama proizvođaća. Sve prema uputama proizvođača kao sistemsko rješenje (uključivo podložne ploče 540x125mm za krovne panela ukoliko potrebno). Obračun u kompletu svih dijelova po m1.</t>
  </si>
  <si>
    <t>Dobava i ugradnja odvodne cijevi debljine 0,70 mm, s dvostrukim prijevojem, boja i kvaliteta kao osnovna pozicija, uklj. potrebne cijevne obujmice, koljena i ostalo, stručno montirati.</t>
  </si>
  <si>
    <t>B.2.17.</t>
  </si>
  <si>
    <t>m2</t>
  </si>
  <si>
    <t>B.2.18.</t>
  </si>
  <si>
    <t>vodolovna grla</t>
  </si>
  <si>
    <t>kom</t>
  </si>
  <si>
    <t>Dobava i montaža staze za hodanje, širine 300 mm za servis ostaklenih ploha, materijal  kvaliteta kao osnovna pozicija. Tehničko rješenje staze predočiti glavnom projektantu na ovjeru.</t>
  </si>
  <si>
    <t>B.2.19.</t>
  </si>
  <si>
    <t>Priprema podloge za nanošenje završnog sloja.
Postojeći cement i estrih potrebno je strojno, mehanički obraditi postupkom brušenja. Nakon mehaničke obrade podlogu je potrebno temeljito otprašiti.
Eventualne pukotine i/ili dilatacije u podlozi potrebno je sanirati s dvokomponentnom epoksidnom smolom i s kvarcnim pijeskom MSP granulacije 0,3-0,8 mm.</t>
  </si>
  <si>
    <t>Dobava materijala i izrada završne obloge podova podruma i stubišta.
Dobava i ugradnja podnog stabilnog sistema u debljini 2-3 mm koji se sastoji od slijedećih faza:
NANOŠENJE TEMELJNOG PREMAZA
Nanošenje epoksidnog predpremaza, potrošnja 0,30 kg/m2 i posip s kvarcnim pijeskom 1S granulacije 0,1-0,5 mm, potrošnja 1 kg/m2. Sušenje min.12 sati. 
NANOŠENJE NOSIVOG SLOJA
poliuretanskog poda, potrošnja 0,60-0,70 kg/m2. U svježi nanos poliuretanskog poda  izvodi se puni posip s kvarcnim pijeskom MSP granulacije 0,3-0,8 mm, potrošnja 2-3 kg/m2. Nakon sušenja višak kvarcnog pijeska potrebno je ukloniti. 
NANOŠENJE ZAVRŠNOG SLOJA
nanošenje završnog polmercementnog poda, potrošnja 0,80-1,00 kg/m2.
Zaglađivanje helikopterima.</t>
  </si>
  <si>
    <t>PRIJEVOZ OPREME DO OBJEKTA
- utovar robe u vozilo sa utovarno-istovarnom rampom
- prijevoz opreme do objekta
- istovar opreme iz vozila
- unos opreme u objekt (stranka treba osigurati neometane prolaze do kuhinje i površine pogodne za uvoz opreme sa ručnim paletnim viličarem (ukoliko te pretpostavke nisu osigurane stranka sama unosi opremu u objekt)</t>
  </si>
  <si>
    <t>PDV 25%</t>
  </si>
  <si>
    <t>PLANINARSKI DOM ŽITNICA UKUPNO</t>
  </si>
  <si>
    <t>OSTALI OBJEKTI / VIDIKOVAC, STIJENA ZA BOULDER, VODOSPREMA UKUPNO</t>
  </si>
  <si>
    <t>VRH / PIRAMIDA I AMFITEATAR UKUPNO</t>
  </si>
  <si>
    <t xml:space="preserve">VRH / PIRAMIDA I AMFITEATAR </t>
  </si>
  <si>
    <t>Napomena: prije početka rada, potrebno je izvesti geomehaničke radove za temelje, te prema njima prilagoditi temelje ovih građevina. Postojeći planovi oplate su orijentacijski!</t>
  </si>
  <si>
    <t>Napomena: Količina armature je aproksimativna. Točna količina znat će se nakon izrade armaturnih planova, koje su u nadležnosti izvođača. Prije početka svih radova potrebno je napraviti geomehanička ispitivanja tla, i prema istima eventualno korigirati planove oplate.</t>
  </si>
  <si>
    <t>* drveni stupići 10x10 cm, L=1,50 m</t>
  </si>
  <si>
    <t>* drveni stupići 10x10 cm, L=1,10 m</t>
  </si>
  <si>
    <t>Dobava i montaža penjališta na vidikovcu. Sve po projektu i troškovniku tvrtke koja je reegistrirana za:</t>
  </si>
  <si>
    <t>Dobava i postava horizontalne hidroizolacije poda vodospreme fleksibilnom polimer bitumenskom trakom s uloškom od staklene tkanine. Hidroizolacija se postavlja u dva sloja na otprašenu površinu premazanu resitolom. Obračun po m2 razvijene površine.
Hidroizolacija se zavaruje punoplošno, a postavlja se sa uzdužnim i poprečnim preklopima (min.10 cm).</t>
  </si>
  <si>
    <t>Uključeni svi potrebni slojevi za punu funkcionalnost sustava - bitumenski premaz proizveden od mješavine bitumena i lako hlapljivog organskog otapala + 2 sloja hidroizolacije.</t>
  </si>
  <si>
    <t>Dobava i postava vertikalne hidroizolacije zidova vodospreme fleksibilnom polimer bitumenskom trakom s uloškom od staklene tkanine. Hidroizolacija se postavlja u dva sloja na otprašenu površinu premazanu resitolom. Obračun po m2 razvijene površine.
Hidroizolacija se zavaruje punoplošno, a postavlja se sa uzdužnim i poprečnim preklopima (min.10 cm).</t>
  </si>
  <si>
    <t>Dobava i montaža zabatne trake, odn. pokrovni lim zabata krov i oko prodora rampe na sjevernom pročelju (rubni završetak), dopunske trake debljine 0,70 mm, boje i kvalitete materijala kao osnovna pozicija, uklj. potrebne pričvrsne i okapne trake, zajedno sa spojnim materijalom, montirati vjetrootporno i s omogućenim dilatacijskim radom, uklj. prilagodbu na krovne ploče.</t>
  </si>
  <si>
    <t>Dobava i postava stalaka za bicikle, tlocrtne površine 385 x 200 cm, za postavu do 15 bicikala.
Izvedba od vruće cinčanog čelika.
Sve ostalo prema uputama proizvođača.</t>
  </si>
  <si>
    <t>* mreža od inox pletiva</t>
  </si>
  <si>
    <t>Isto kao prethodna stavka, samo izrada obloge boulder poligona od ploča HPL-a ili slično debljine 25 mmm na potrebnoj potkonstrukciji. Boja HPL-a po izboru projektanta. Sve izvesti prema nacrtu. detaljima i u dogovoru s projektantom. U cijenu i obračun se uključuje kompletan sadržaj za dovršenje (sidreni vijci, limovi za ojačanje, spojna sredstva, obrada, premaz i dr.).
Uključiti i hvataljke za penjanje (cca. 6 kom / m2)
Sve ostalo prema uputama postavljača penjačke opreme.</t>
  </si>
  <si>
    <t>Sanacija pristupnog stubišta do piramide, izvedbom novih dijelova u jednostranoj oplati, s površinskom obradom u maniri kulira, sa grubljim sitnim agregatom.
Sve stalo prema detaljnom nacrtu.</t>
  </si>
  <si>
    <t>Izrada armiranog cem. estriha MM-10 kao plivajućeg poda u sloju debljine 10 cm preko položenih ploča mineralne vune i hidroizolacijske folije na terasama na katu. Estrih se armira vlaknima.</t>
  </si>
  <si>
    <t>2.A.</t>
  </si>
  <si>
    <t>U jediničnim cijenama za sve stavke troškovnika, ponuda mora sadržavati ukupne troškove materijala i rada do potpunog dovršenja cjelokupnog posla, uključujući:</t>
  </si>
  <si>
    <t>* nabavu i transport na gradilište, utovare, istovare, skladištenje i čuvanje,</t>
  </si>
  <si>
    <t>* sav rad, glavni i pomoćni, uporabu lakih pokretnih skela, sva potrebna podupiranja, sav unutrašnji transport i potrebnu zaštitu izvedenih radova,</t>
  </si>
  <si>
    <t>* spajanje i montažu, uključujući sav potreban spojni, montažni, pričvrsni i ostali materijal potreban za potpuno funkcioniranje,</t>
  </si>
  <si>
    <t>* po potrebi uzemljenje,</t>
  </si>
  <si>
    <t>* izradu utora po zidovima i prodora kroz zidove i podove (stropove) kompletno sa zbinjavanjem istih,</t>
  </si>
  <si>
    <t>* sva prateća čišćenja tijekom izvođenja radova,</t>
  </si>
  <si>
    <t>* troškove zbrinjavanja otpada,</t>
  </si>
  <si>
    <t>* izradu prateće radioničke dokumentacije za sve razvodne ormare, izradu natpisnih pločica, oznaka kabela i rednih stezaljki,</t>
  </si>
  <si>
    <t>* nabavu i transport na radilište, utovare, istovare, skladištenje i čuvanje,</t>
  </si>
  <si>
    <t>* građevinsku pripomoć u vidu izrada niša, ugradbom i obzidavanjem razvodnih polja te sve ostale građevinske radove koji se odnose na elektroinstalaterske radove,</t>
  </si>
  <si>
    <t>* puštanje sustava u rad, izradu uputa za rukovanje i obuku korisnika,</t>
  </si>
  <si>
    <t>* za sve izvedene radove, ugrađene materijale i opremu, potrebno je ishoditi dokaze o kakvoći (atesta dokumentacije, garantni listovi) te ih bez posebne naknade dati na uvid nadzornom inženjeru, a prilikom promopredaje građevine, uručiti Investitoru odnosno kranjem korisniku,</t>
  </si>
  <si>
    <t>* sva isporučena i ugrađena oprema i materijali moraju imati hrvatske certifikate i osiguran servis i održavanje u Republici Hrvatskoj.</t>
  </si>
  <si>
    <t>* kabeli i kabelske grupe moraju biti iz EU</t>
  </si>
  <si>
    <t>* ovjes na mjestu brtvljenja mora biti 20 cm od brtvljenja</t>
  </si>
  <si>
    <t>Sječenje kabela izvesti na licu mjesta nakon izmjerene stvarne dužine trase.</t>
  </si>
  <si>
    <t>Obveza je izvoditelja da sve prodore u zidovima zatvore, prema pravilima struke ovisno da li se radi o požarnim ili običnim zidovima</t>
  </si>
  <si>
    <t>Ponuđač radova mora ponuditi sve stavke iz ovog troškovnika. Ukoliko neke od stavki ne nudi ili predlaže alternativu, to u svojoj ponudi mora posebno naglasiti.</t>
  </si>
  <si>
    <t xml:space="preserve">Prije početka radova, Izvoditelj radova je dužan osigurati radilište i obavezno primjenjivati sve mjere zaštite na radu za sredstva rada (atestirana) i radnike (zaštitne kacige, zaštitna obuća i sl.). </t>
  </si>
  <si>
    <t>Za eventualne štete uzrokovane neodgovornim ili nestručnim radom, odgovara Izvoditelj radova te ih je obavezan nadoknaditi Investitoru.</t>
  </si>
  <si>
    <t>2.A.1.</t>
  </si>
  <si>
    <t>2.A.2.</t>
  </si>
  <si>
    <t>2.A.2.3.</t>
  </si>
  <si>
    <t>2.A.3.</t>
  </si>
  <si>
    <t>2.A.3.1.</t>
  </si>
  <si>
    <t>2.B.</t>
  </si>
  <si>
    <t>2.B.1.</t>
  </si>
  <si>
    <t>Opće norme i uvjeti za rasvjetu:</t>
  </si>
  <si>
    <t>Opća rasvjeta</t>
  </si>
  <si>
    <t>Sve svjetiljke moraju biti proizvedene sukladno zahtjevima standarda proizvodnje HRN EN 60598:2009 - CEI 34.21 ili jednakovrijedno. Servis svjetiljki omogućen bez specijaliziranog alata. _x000D_
Sve svjetiljke moraju imati LED izvor, ZHAGA kompatibilan, konzistencije boje (SDMC)≤3. Odziv boje LED izvora (Ra) ≥80. Najveći presjek kabela 2.5mm2, napajane sa mrežnog priključka 220-240V 50-60Hz. Svjetiljke trebaju zadovoljavati granice i metode mjerenja značajka radio smetnji električnih rasvjetnih uređaja prema HRN EN 55015:20137A1:2015 ili jednakovrijedno, svjetlotehničke zahtjeve prema standardu HRN EN 12464-1:2012 ili jednakovrijedno, imati ENEC certifikat, te zadovoljavati opće zahtjeve prema HRN EN 60598-1:2009 ili jednakovrijedno. Prema standardu IEC/EN62471:2008 ili jednakovrijedno svjetiljke su klasificirane u grupu fotobiološkog zračenja RG0 (izuzeta od rizika). Klasa energetske kartice prema EU 874/2012 ili jednakovrijedno: Ne manje od A++; Vijek trajanja izvora: Ne manje od 50.000h, L80B10, svjetiljka testirana na ambijentalnoj temperaturi 35°C_x000D_
Vijek trajanja izvora dokazan TM21 izvješćem. _x000D_
_x000D_
Jamstvo na sve svjetiljke opće rasvjete: ne manje od 7 godina._x000D_
Svi proizvodi moraju biti razvijeni i proizvedeni unutar EN ISO 9001:2015 ili jednakovrijedno  certificirane tvornice.</t>
  </si>
  <si>
    <t>Sigurnosna rasvjeta</t>
  </si>
  <si>
    <t>Sve svjetiljke i dijelovi centralnog sustava moraju biti proizvedeni sukladno zahtjevima standarda proizvodnje HRN EN 60598:2009 - CEI 34.21 ili jednakovrijedno, HRN EN 62384:2008 ili jednakovrijedno, HRN EN 50172:2008 ili jednakovrijedno. Svjetiljke moraju biti u skladu sa HRN EN 60598-1 ili jednakovrijedno, HRN EN 60598-2-22 ili jednakovrijedno, HRN EN 1838 ili jednakovrijedno, HRN EN 50171 ili jednakovrijedno standardima._x000D_
_x000D_
Vijek trajanja izvora: Ne manje od 50.000h. _x000D_
Jamstvo na svjetiljke i centralni baterijski sustav: ne manje od 2 godine._x000D_
Svi proizvodi moraju biti razvijeni i proizvedeni unutar EN ISO 9001:2015 ili jednakovrijedno certificirane tvornice.</t>
  </si>
  <si>
    <t>2.C.</t>
  </si>
  <si>
    <t>KROVNA FOTONAPONSKA ELEKTRANA UKUPNO</t>
  </si>
  <si>
    <t>PDV 0%</t>
  </si>
  <si>
    <t>ELEKTROINSTALACIJE UKUPNO</t>
  </si>
  <si>
    <t>VATRODOJAVA UKUPNO</t>
  </si>
  <si>
    <t>2.B.1.1.</t>
  </si>
  <si>
    <t>2.B.1.2.</t>
  </si>
  <si>
    <t>2.B.1.3.</t>
  </si>
  <si>
    <t>2.B.1.4.</t>
  </si>
  <si>
    <t>2.B.1.5.</t>
  </si>
  <si>
    <t>2.B.1.6.</t>
  </si>
  <si>
    <t>2.B.1.7.</t>
  </si>
  <si>
    <t>2.B.1.8.</t>
  </si>
  <si>
    <t>2.B.1.9.</t>
  </si>
  <si>
    <t>Ostali sitni nespecificirani materijal (L, N i PE sabirnice, nosači, kanalice, stopice, vijci i sl.). CIjena komplet izvedenog ormara sa montažom i spajanjem na objektu, te isporukom sheme spajanja stvarno izvedenog stanja</t>
  </si>
  <si>
    <t xml:space="preserve">
- tlačna jedinica sa EC ventilatorom, mjernom blendom i
davačima tlaka
Usisna sekcija:
-priključci na kanalni razvod u kompletu sa fleksibilnim spojem
- filterska jedinica M5 u kompletu sa diferencijalnim presostatom
- rotaciona rekuperatorska jedinica (obrađna u tlačnoj sekciji)
- usisna jedinica sa EC ventilatorom, mjernom blendom i
davačima tlaka
Uz komoru se isporučuje pribor za sastavljanje, gumeni podmetači, sigurnosne oznake, naljepnice sekcija i upute za ugradnju
kriterij za nuđenje: protok, raspoloživi pad tlaka i učini ne manji i buka ne vaća od tražene</t>
  </si>
  <si>
    <t>Dobava i montaža rekuperacijska jedinica za provjetravanje prostora
U vertikalnoj izvedbi za montažu na pod sa priključcima za kanalni razvod zraka sa gornje strane
Izrađena od čeličnih profila na čeličnom postolju i panela od obostrano plastificiranog pocinčanog čeličnog lima ispunjenog mineralnom vunom. Dio panela za pristup elementima jedinice je moguće otvarati
Sastoji se od tlačnog i odsisnog dijela sa pločastim rekuperatorom.
Tlačna sekcija:
- priključci na kanalni razvod u kompletu sa fleksibilnim spojem
- filterska jedinica F7 u kompletu sa diferencijalnim presostatom
- rekuperatorska jedinica sa pločastim rekuperatorm visoke
iskoristivosti, by-passom, diferencijalnim presostatom i žaluzinom sa elektromotornim pogonom</t>
  </si>
  <si>
    <t>Sve radove izvesti prema opisu troškovnika i opisu pojedinih grupa radova. Ako neke stavke imaju nejasan i nedovoljan opis, onda svaki započeti opis pojedine stavke znači cjelokupnu izradu te stavke, to jest nabavu, dopremu materijala, sve prenose i prijevoze, izradu, zaštitu, njegovanje pojedinih elemenata po izradi i nakon ugradnje i sl. Jediničnom cijenom potrebno je obuhvatiti:</t>
  </si>
  <si>
    <t>a) izvođač radova dužan je prije početka radova provjeriti kote postojeċeg stanja terena u odnosu na relativnu kotu (0,00) kod svih ulaza</t>
  </si>
  <si>
    <t>b) ukoliko se ukažu eventualne nejednakosti između projekta i stanja na gradilišta izvođač radova dužan je pravovremeno o tome pisano izvjestiti investitora, projektanta i nadzornog inženjera i zatražiti potrebna objašnjenja.</t>
  </si>
  <si>
    <t>c) izvođač je dužan prije izrade / narudžbe opreme izvršiti kontrolu ugradnih mjera na licu mjesta</t>
  </si>
  <si>
    <t>d) svu potrebnu provjeru točnosti količina u troškovniku vršiti bez posebne naplate to jest o trošku izvođača radova.</t>
  </si>
  <si>
    <t>Ovi radovi izvode se prema posebnom projektu za dizala. Tehnički opis iz projektne dokumentacije koji se odnosi na ovu vrstu radova, smatra se sastavnim dijelom ovih općih napomena, odnosno sastavnim dijelom ovog troškovnika. Dizala trebaju biti ugrađena u potpunosti u skladu:</t>
  </si>
  <si>
    <t>Izvoditelj radova iz ovog poglavlja dužan je stalno primjenjivati sve mjere zaštite na radu u smislu hrvatskih zakona i propisa. Svaka stavka ovog troškovnika smatra se završenom isključivo ako je kompletno izvedena i dovedena do pune funkcionalnosti pa u smislu toga jedinačna i ukupna cijena trebaju sadržavati sljedeće:</t>
  </si>
  <si>
    <t xml:space="preserve"> - kompletna mobilizacija i demobilizacija gradilišta</t>
  </si>
  <si>
    <t xml:space="preserve"> - pregled gradilišta odnosno objekta, te eventualno uzimanje mjera</t>
  </si>
  <si>
    <t xml:space="preserve"> - izrada potrebne radioničke i tehničke dokumentacije</t>
  </si>
  <si>
    <t xml:space="preserve"> - sve transporte izvan gradilišta</t>
  </si>
  <si>
    <t xml:space="preserve"> - sve horizontalne i vertikalne transporte unutar gradilišta do mjesta ugradbe  </t>
  </si>
  <si>
    <t xml:space="preserve"> - troškove skladištenja</t>
  </si>
  <si>
    <t xml:space="preserve"> - sav potreban rad i materijal bilo pomoćni ili osnovni</t>
  </si>
  <si>
    <t xml:space="preserve"> - potrebne skele, montažne dizalice, platforme i slične naprave za montažu dizala</t>
  </si>
  <si>
    <t xml:space="preserve"> - troškove svih potrebnih energenata (struja, voda, plin i sl.)</t>
  </si>
  <si>
    <t xml:space="preserve"> - svi vezani posredni i neposredni troškovi (doprinosi, porezi, prirezi, takse i sl.) </t>
  </si>
  <si>
    <t xml:space="preserve"> - troškovi osiguranja i čuvanja materijala, opreme i izvedenih radova do primopredaje</t>
  </si>
  <si>
    <t xml:space="preserve"> - svi troškovi vezani za primjenu mjera zaštite na radu </t>
  </si>
  <si>
    <t>Uz stavke troškovnika obavezan je pregled projektnih crteža i projekta dizala. Detalji interijera, završni materijali i opcije upravljanja nisu čvrsto definirani i određeni i mogu se mijenjati sukladno zahtjevima i željama investitora u izvedbenoj fazi projekta. Ovaj iskaz je projektantskog tipa i služi isključivo za procjenu troškova te ne sadrži obavezujuće cijene. Cijene su bez PDV-a. Garancija za ugrađenu opremu mora iznositi najmanje dvije godine.</t>
  </si>
  <si>
    <t>Radovi koji nisu u cijeni i koji ne ulaze u obaveze izvoditelja, odnosno ugraditelja dizala:</t>
  </si>
  <si>
    <t>•	Pravilnik o sigurnosti dizala (NN 20/16)</t>
  </si>
  <si>
    <t>•	Pravilnik o sigurnosti strojeva (NN 28/2011)</t>
  </si>
  <si>
    <t>•	Otvor(i) za odimljavanje u atmosferu - pri vrhu voznog okna, prema uvjetima zadanima u tekstu i crtežu projekta ugradnje dizala.
•	Dozvoljena temperatura u voznom oknu: min. +5 °C, max +40 °C 
•	Napajanje (napojni vod za dizalo) te svi beznaponski kontakti (iz vatrodojave, agregatskog sustava itd.) ukoliko isti postoje i ako dizalo mora imati automatiku rada sukladno primljenim signalima. Svi ostali vodovi (za slanje signala prema CNUSu i sl.) Presjek napojnih vodova odrediti sukladno dizalima u izvedbenoj fazi projekta. Svi vodovi dovedeni su do upravljačkog ormara dizala
•	Analogna telefonska linija za dvosmjerni komunikacijski uređaj u kabini dizala, dovedena do upravljačkog ormara dizala
•	Kuke ili profili za montažu, sukladno dizalima u izvedbenoj fazi projekta. 
•	Statika, konstrukcija, materijal i izvedba voznog okna, završno oblaganje voznog okna, ostakljivanje, radovi oko voznog okna i na voznom oknu.
• 	Ispunjavanje zazora između vrata voznog okna i građevinskog otvora za vrata voznog okna vatrootpornim materijalom sukladno vatrootpornosti stijena voznog okna na granici požarnog odjeljka.
•	Završna obrada građevinskog otvora za vrata voznog okna nakon ugradnje dizala. 
•	Osvjetljenje ispred upravljačkog ormara dizala 200 luxa, mjereno na podu. Osvjetljenje na prilazima voznom oknu min. 50 luxa, mjereno na podu.
•	Spajanje postrojenja dizala na instalaciju za izjednačavanje potencijala u objektu.  
•	Prebojavanje svih stijena voznog okna (uključivo pod i strop voznog okna) protuprašnom bojom (protuprašnim premazom) gdje je primjenjivo
•	Ostale napomene navedene u crtežima dizala.</t>
  </si>
  <si>
    <t>DIZALO D1</t>
  </si>
  <si>
    <t>Osnovni podaci o dizalu
Vrsta	osobno dizalo
Nazivna nosivost dizala	675 kg
Broj osoba	9 osoba
Nazivna brzina vožnje	1 m/s
Broj stanica/ulaza	4/4
oznake stanica: -1, 0, 1, 2 (stanica 0 = glavna stanica)
Broj ulaza u kabinu	2, prolazno pod 180°
Instalacija: za suhi zatvoreni prostor temperature od +5°C do +40°C; vlaga ne smije kondenzirati
Visina dizanja	9,92 m
Vrsta upravljanja simpleks, sabirno u oba smjera 
Glavno napajanje / napajanje rasvjete i utičnice 400 V 50 Hz / 230V 50 Hz</t>
  </si>
  <si>
    <t>Pogon	električni / trakcijski – bezreduktorski frekvencijski regulirani pogon
Smještaj pogona	dizalo nema posebnu strojarnicu (MRL); pogonsko postrojenje smješteno je unutar voznog okna dizala
Vođenje	kabina: klizno vođenje s min 4 papuče po 2 vodilice (po 2 papuče po vodilici)
protuuteg: klizno vođenje s min 4 papuče po 2 vodilice (po 2 papuče po vodilici)
Vozno okno
Izvedba: armiranobetonsko
Dimenzije:	širina BS:	1625 mm
dubina TS:	1800 mm
dubina jame HSG: 1100 mm
nadvišenje HSK: min 3010 mm
Vrata voznog okna:
Tip	automatska, horizontalno posmična, teleskopska, 2 krila / T2
Dimenzije širina BT:	900 mm
visina HT: 2100 mm
Izvedba	dovratnici:	obojani čelični lim
krila: obojani čelični lim
vatrootpornost:	EW30 u stanici 0, EW60 u stanici -1, sve prema HRN EN81-58
Kabina / dimenzije, interijer i oprema
Dimenzije širina BK: 1200 mm
dubina TK: 1400 mm
svijetla visina HKC: 2100 mm
Stranice brušeni nehrđajući čelik
Pod	Lokalna ugradnja, obaveza investitora
Strop brušeni nehrđajući čelik</t>
  </si>
  <si>
    <t>Rasvjeta	
• LED rasvjeta u stropu
• nužna rasvjeta
Upravljačka lamela	
• pokazivač položaja kabine i smjera vožnje;
• tipke za kabinski (unutarnji) poziv za sve stanice s Brailleovim oznakama
• tipkalo za otvaranje vrata, tipkalo za zatvaranje vrata
• tipkalo za alarm (zvono)
Ostala oprema	
• ogledalo
• rukohvat
• alarm (zvono)
• dvosmjerni komunikacijski uređaj iz kabine prema van
• tablica s podacima o nosivosti, broju osoba i tvorničkim brojem dizala
Zahvatna naprava kabine: s progresivnim (postupnim) djelovanjem, za brzinu od 1 m/s
Vrata kabine
Tip i dimenzije	(identično kao i vrata voznog okna / vidi vrata voznog okna)
Izvedba	blende/fronte: 	brušeni nehrđajući čelik
krila: brušeni nehrđajući čelik
Zaštita putnika	svjetlosna zavjesa
Količina kabinskih vrata	2</t>
  </si>
  <si>
    <t xml:space="preserve">Ostalo
Protuuteg dizala: čelični okvir ispunjen blokovima (od betona, čelika i sl.)
Vodilice dizala: po dvije vodilice za kabinu i za protuuteg
vodilice se izvode kao stojeće, pridržavane po visini koznolama pričvršćenima na zid voznog okna
Odbojnici za kabinu i za protuuteg, dimenzionirani i odabrani prema brzini dizala, masi nazivno opterećene kabine i masi protuutega
Ovjes kabine i protuutega (u odnosu na pogonski motor)	faktor ovjesa KZU=2 (ovjes 2:1)
Automatska evakuacija u najbližu stanicu (kod nestanka napajanja električnom energijom)
</t>
  </si>
  <si>
    <t>Grupa upravljanja
(upravljački uređaj) i funkcije upravljanja	svi električni i elektronički sklopovi i uređaji potrebni za automatsko upravljanje dizalom, rasvjeta voznog okna i pripadajuće utičnice u postrojenju dizala
UKLJUČENE FUNKCIJE:
• upravljanje: simpleks, sabirno u oba smjera (kabinski pozivi putem upravljačke lamele za svaku stanicu, vanjski poziv u svakoj stanici)
• kontrola otvaranja i zatvaranja vrata u stanici (putem tipkala na upravljačkoj lameli)
• požarni program – detaljan opis pogledati pod "Mjere zaštite od požara"
• dvosmjerni komunikacijski uređaj iz kabine prema van
• povratno upravljanje
• servisno upravljanje
• alarmni uređaj
• signalizacija u kabini i u stanicama
• kontrola točnosti pristajanja, poravnavanja i nekontroliranog gibanja
• kontrola svjetlosne zavjese (kabinska vrata)
• kontrola preopterećenja kabine sa zvučnim i svjetlosnim signalom o preopterećenju u kabini
• automatska evakuacija u slučaju nestanka napajanja električnom energijom
• privremeni sigurnosni uređaj za slučaj smanjenog nadvišenja
Položaj upravljačkog ormara dizala	druga najviša stanica, u okviru vrata voznog okna</t>
  </si>
  <si>
    <t xml:space="preserve">Izrada i dobava opreme postrojenja dizala prema tehničkom opisu postrojenja dizala. 
</t>
  </si>
  <si>
    <t>Odvoz i zbrinjavanje otpada (ambalaža materijala dizala, nastali otpad prilikom montaže dizala).</t>
  </si>
  <si>
    <t>MALOTERETNO DIZALO MTD1</t>
  </si>
  <si>
    <t xml:space="preserve">vrsta dizala: maloteretno dizalo (samo za prijevoz tereta, nije za prijevoz osoba)
nazivna nosivost: 100 kg 
nazivna brzina vožnje: 0,4 m/s 
visina dizanja: 3,15 m 
glavno napajanje 3×400V, 50 Hz (3P+PE+N)
napajanje rasvjete i utičnice 1×230V, 50 Hz (P+PE+N)
broj ulaza u kabinu: 2, pod 180°
broj stanica / ulaza: 2/2
vrsta upravljanja: potpuno vanjsko
instalacija: za suhi, grijani prostor </t>
  </si>
  <si>
    <t>signalizacija: signalizacija prijema naredbe na tipkalu za komandu, koje služi bilo za pozivanje kabine ili za slanje kabine u sljedeću stanicu, indikator zauzetosti (dizalo u stanici s otvorenim vratima), indikator kretanja dizala (strelica), indikator stanice (dizalo dostupno i stoji u stanici sa zatvorenim vratima)
vozno okno: samonosiva čelična konstrukcija (širina SW=900mm, dubina SD=650 mm, nadvišenje HRmin=2860 mm, poslužna visina SH=800 mm) sa zaštitama na nasuprotnim stranama stanica radi zaštite od ispadanja materijala kod utovaranja (prolazna kabina dizala)
okružena armiranim betonom, opekom, gipskartonskim pločama ili sličnim materijalom uz zatvorene sve zazore i otvore preostale nakon ugradnje dizala (nije dio ovog projekta)
vrata voznog okna:	ručna, vertikalno posmična, 2 krila, metalna izvedba, materijal: čelični lim  brušeni nehrđajući čelik, dimenzije DW×DH=600 x 800 mm, vatrootporna EW30 u stanici 0 i EW60 u stanici -1</t>
  </si>
  <si>
    <t>kabina maloteretnog dizala: metalna izvedba sa stranicama od nehrđajućeg brušenog čeličnog lima i 1 policom; Svijetle dimenzije kabine: 
širina CW=600 mm, dubina CD=500 mm, visina CH=800 mm;</t>
  </si>
  <si>
    <t>protuuteg maloteretnog dizala: metalni okvir s metalnim i betonskim elementima
vodilice kabine i protuutega: specijalni profili iz čeličnog lima
smještaj pogonskog stroja: u vrhu voznog okna, iznad zadnje stanice
smještaj upravljačke jedinice:	u istom prostoru gdje je i pogonski stroj</t>
  </si>
  <si>
    <t xml:space="preserve">vrata prostora pogonskog stroja	ručna okretna, s otvaranjem prema van, vatrootporna EW30 
pogonski stroj:	elektromotor s reduktorom, pogonskom i otklonskom užnicom za ovjesnu užad ovjes 1:1
snaga motora do 0,55 kW, In &lt;= 1,6 A, Ia&lt;= 9,6 A  
pogonsko uže: 	čelično pleteno uže, 2 komada	</t>
  </si>
  <si>
    <t>grupa upravljanja:	izvedena za potpuno vanjsko upravljanje za dvije postaje; automatika upravljanja elektromotornim pogonom dizala; signalizacija zauzetosti</t>
  </si>
  <si>
    <t xml:space="preserve">Izrada i dobava opreme postrojenja maloteretnog dizala prema tehničkom opisu postrojenja dizala. </t>
  </si>
  <si>
    <t>Ovaj projekt se člankom 14. stavak 2. podstavak 6. Zakona o autorskom pravu i srodnim pravima (NN 111/21) smatra autorskim djelom.</t>
  </si>
  <si>
    <t>Prilikom razrade onih dijelova projekta koji nisu definirani izvedbenom dokumentacijom pridržavati se svega iz glavnog i izvedbenog projekta. U slučaju neophodnih promjena, prilikom razrade glavnog/izvedbenog projekta, tražiti suglasnost u pisanom obliku koje izrađivaču glavnog i izvedbenog projekta daje Autor projekta, sukladno 115. st. 4 . Zakonu o autorskom pravu i srodnim pravima.</t>
  </si>
  <si>
    <t>Izrađivač razrade izvedbenog projekta (izvedbeni nacrti, detalji, radionički nacrti) je dužan poštovati moralna autorska prava autora projekta i ponašati se u skladu s propisima koji uređuju autorska prava.</t>
  </si>
  <si>
    <t>Izvođač je dužan pridržavati se svih važećih zakona i propisa.</t>
  </si>
  <si>
    <t>Od ulaska na gradilište izvođač je obavezan voditi e-građevinski dnevnik.</t>
  </si>
  <si>
    <t>Izvođač će zajedno sa Glavnim nadzornim inženjerom  izraditi vremenski plan (gantogram) aktivnosti na gradilištu i njime odrediti dinamiku financiranja, dobave materijala i opreme i sl.</t>
  </si>
  <si>
    <t>Izvođač će za obavljene radove biti plaćen po privremenim mjesečnim situacijama.</t>
  </si>
  <si>
    <t>PLANINARSKI DOM ŽITNICA, OKOLNI OBJEKTI I OBJEKTI NA VRHU JAPETIĆA</t>
  </si>
  <si>
    <t>MOBILIZACIJA I DEMOBILIZACIJA OPREME</t>
  </si>
  <si>
    <t>Pripremanje i raspremanje radnika, garniture i opreme.</t>
  </si>
  <si>
    <t>pauš</t>
  </si>
  <si>
    <t>GEOMEHANIČKI I GEOFIZIČKI ISTRAŽNI RADOVI</t>
  </si>
  <si>
    <t>Istražno bušenje ukupno 5 istražnih bušotina, ukupno 25 m'. Slaganje izvađene jezgre u sanduke po 1,0 m duljine jezgre. Uzimanje uzoraka tla i stijene. Mjerenje pojave podzemne vode tijekom bušenja kao i utvrđivanje stabilizirane razine podzemne vode. Terensko ispitivanje zbijenosti standardnim penetracijskim testom (SPT).</t>
  </si>
  <si>
    <t>Obračun prema m' bušenja.</t>
  </si>
  <si>
    <t xml:space="preserve">Stručno vođenje i nadzor pri izvedbi radova istražnog bušenja. Obuhvaća sve potrebne radnje tijekom geomehaničkih istražnih radova. Provodi se klasifikacija tla s odabirom i uzimanjem neporemećenih i poremećenih uzoraka tla i stijene, te njihovom dostavom u geomehanički laboratorij.
</t>
  </si>
  <si>
    <t>Obračun prema broju bušotina.</t>
  </si>
  <si>
    <t>LABORATORIJSKA ISPITIVANJA</t>
  </si>
  <si>
    <t xml:space="preserve">Ispitivanje poremećenih i neporemećenih uzoraka.  </t>
  </si>
  <si>
    <t>Obračun po m' bušenja.</t>
  </si>
  <si>
    <t>GEOTEHNIČKI ELABORAT</t>
  </si>
  <si>
    <t>TROŠKOVNIK GRĐEVINSKO-OBRTNIČKIH I INSTALATERSKIH RADOVA</t>
  </si>
  <si>
    <t>Izvođač je dužan izraditi kompozitne nacrte instalacija (tlocrt stropova), te predočiti ih glavnom projektantu na ovjeru.</t>
  </si>
  <si>
    <t>Detalji, planovi i nacrti koji nisu definirani izvedbenim projektom, a potrebni su za funkcioniranje gradilišta, izvođač izrađuje i predočava ih glavnom projektantu na ovjeru.</t>
  </si>
  <si>
    <t>Isplata sukladno Ugovoru za izvođenje radova.</t>
  </si>
  <si>
    <t>Svi proizvodi koji su u Troškovniku opisani uz navođenje trgovačke marke/oznake popraćeni su formulacijom  "ili jednakovrijedan". Dokaz jednakovrijednosti u vidu tehničke specifikacije, tehničkih listova, certifikata koji potvrđuju kvalitetu i sl. dužan je ponuditelj dostaviti uz ponudu, u svrhu ocjene sukladnosti tražene po projektu.</t>
  </si>
  <si>
    <t>Ovi radovi obuhvaćaju hidroizolaciju i toplinsku izolaciju podruma i poda na tlu, te izvedbu čepaste drenažne trake.
Materijali za izolacije, te izrada trebaju odgovarati Hrvatskim normama, odnosno Tehničkim uvijetima za izoliranje ravnih krovova (HRN U.F2.024 ili jednakovrijedno).
Čvrstoću, hrapavost, vlažnost i kiselost betonske podloge izvođač treba povjeriti i uskladiti recepturu premaza sa kvalitetom podloge. Onečišćene podloge (zemlja, ulje i sl.) čistiti mehanički i vodom, te sredstvima koja propisuje i dozvoljava proizvođač hidroizolacije.
Broj i način nanošenja premaza , prema uputstvu proizvođača. Završetke hidroizolacije , njeno spajanje na druge građevinske elemente, izvesti prema priloženim detaljima navedeni uz pojedinčne stavke ovog troškovnika.
Jedinična cijena treba sadržavati:
- čišćenje i pripremu podloga
- sav rad, materijale, transporte i radne skele
- čišćenje po završenom radu
- nadoknadu eventualne štete nastale iz nepažnje na svojim ili tuđim radovima</t>
  </si>
  <si>
    <t>max. površina, m2 2,73
max. masa krila, kg 120
kut ugradnje 7°-75°
min dim.krila 600x650 mm
Potrebna aerodinamička površina odimljavanja mora biti u skladu s projektom zaštite od požara na objektu, ili HRN EN 12101-2 ili jednakovrijednom normom. U prozore ugraditi elektromotore odgovarajuće nosivosti, povezati ih na centralnu vatrodojavnu mrežu, direktno ili preko odgovarajućih vatrodojavnih centrala. Prozori se u normalnom radu koriste za prozračivanje. Uz motore i upravljačke centrale ugraditi i ostali potreban pribor kao što su optički detektori dima, ručno tipkalo i dr., sve u skladu s projektom zaštite od požara na objektu.
Minimalne tehničke karakteristike motora su 24V DC / 2A / 700N; maksimalna širina kučišta 650 mm. Prozore za odimljavanje spojiti na sustav vatrodojave u skladu s projektom ZOP-a i elektroprojektom.</t>
  </si>
  <si>
    <t>Svi navedeni elementi sistema za odimljavanje moraju imati uvjerenje o sukladnosti za uvoznu opremu, važeće u RH.
Karakteristike sistema krovnog prozora prema HRN EN 14351 ili jednakovrijedno:
-zrakopropusnost, HRN EN 12207: klasa 4 ili jednakovrijedno
-vodonepropusnost, HRN EN 12208: E 1200 ili jednakovrijedno
-protuprovalnost, HRN ENV 1627: WK2 ili jednakovrijedno
-otpornost na udar vjetra, HRN EN 12210: 5C ili jednakovrijedno
-mehanička izdržljivost, HRN EN 12400: klasa 3 ili jednakovrijedno
-prosječni Uf, EN ISO 10077-2: 3.3 W/m2K ili jednakovrijedno</t>
  </si>
  <si>
    <t>Statički proračuni profila i stakla
Protupožarno staklo za ugradnju u izo paket, višeslojno, u skladu s Izvještajem o razredbi otpornosti na požar, važećim u RH.
Čelične profile protupožarnih stavki zaštititi u skladu s HRN EN 12944 ili jednakovrijedno, završna obrada prema izboru projektanta. Preporuka je koristiti sistem Duplex - temeljna obrada vrućim cinčanjem u kvaliteti ZF100, EN 10346 ili jednakovrijedno, završna prema izboru projektanta.
Ugradnju PP stavki izvesti prema smjernicama dobavljača sistema (kataloška rješenja), u skladu s važećim normama i propisima u RH (HRN EN 13501-1,2 ili jednakovrijedno, Pravilnik o otpornosti na požar i drugim zahtjevima koje građevine moraju zadovoljiti u slučaju požara, NN 29/13, i dr.); radioničkom dokumentacijom izrađenom od strane izvođača i odobrenom od strane glavnog projektanta.</t>
  </si>
  <si>
    <t>Ovi tehnički uvjeti odnose se na izbor materijala, projektiranje i izvođenje vanjske obloge kamenom.
Oblik, dimenzija i klasifikacija ploča za oblaganje od prirodnog kamena propisani su odredbama HRN B.B3.200 ili jednakovrijedno.
Materijali koji se upotrebljavaju prilikom ugradnje moraju odgovarati hrvatskim normama:
-   mort mora biti pripremljen i izrađen od mješavine bijelog cementa i uz dodatak hidratiziranog vapna za ubrzavanje vezivanja, plastifikaciju i sl.
-   cement mora odgovarati odredbama HRN B.C1.010, B.C1.011 i B.C1.015 ili jednakovrijedno,
-   hidratizirano vapno mora odgovarati odredbama HRN B.C1.020 ili jednakovrijedno,
-   sredstva za ubrzavanje vezivanja morta ili betona, plastifikatori i sl. moraju udovoljiti namjenjenoj svrsi,
-   pijesak mora biti čist, bez raznih primjesa, granulometrisjkog sastava odgovarajućoj svrsi, pri čemu za mort za zalijevanje međuprostora najkrupnije zrno ne smije biti veće od 0,5 mm,
-   voda mora biti čista bez sastojaka koji bi štetno djelovali na kamen, mort ili metalna spojna sredstva,
-   metalna spojna sredstva svih vrsta (kotve, spojke, klinovi itd.) moraju biti izrađena od nekorodirajućeg metala: nehrđajućeg čelika, pocinčanog čelika, podesnih legura bakra ili sličnih metala.
Zabranjuje se upotreba spojnih sredstava koja su izrađena iz pocinčane žice, šipke, profila ili slično, ako odsječeni krajevi nisu naknadno propisno pocinčani, jer postoji opasnost od rđanja na odsječenim krajevima.</t>
  </si>
  <si>
    <t>Za protupožarne elemente obavezan valjani certifikat prema HRN-DIN 4102 ili jednakovrijedno.
* Međusobne spojeve montažnih konstrukcija te spojeve s okolnim elementima /čvrsti zid, strop, pod/ ukalkulirati u jediničnu cijenu i riješiti u svemu prema uputama proizvođača što se ne naplaćuje posebno (brtvljenje reški akrilnim ili sl. brtvenim masama)
* Otvori za instalacije
Radovi za prilagodbu na instalacijske i ugradbene dijelove koji su ugrađeni prije oblaganja se ne obračunavaju, a prekidi rada ukalkulirani su u jedinične cijene.
Izrezivanje za ugradbenu rasvjetu, ventilacije i sl. uključeno je u jedinične cijene obloge tj. ne iskazuje se posebno!
* Otvori za vrata do vel. 2,5 m2 ne odbijaju se, ojačanje rubova otvora i opšav špalete u jed. cijeni !</t>
  </si>
  <si>
    <t>Ovi radovi obuhvaćaju hidroizolaciju i toplinsku izolaciju vodospreme i poda na tlu, te izvedbu čepaste drenažne trake.
Materijali za izolacije, te izrada trebaju odgovarati Hrvatskim normama, odnosno Tehničkim uvijetima za izoliranje ravnih krovova (HRN U.F2.024 ili jednakovrijedno).
Čvrstoću, hrapavost, vlažnost i kiselost betonske podloge izvođač treba povjeriti i uskladiti recepturu premaza sa kvalitetom podloge. Onečišćene podloge (zemlja, ulje i sl.) čistiti mehanički i vodom, te sredstvima koja propisuje i dozvoljava proizvođač hidroizolacije.
Broj i način nanošenja premaza , prema uputstvu proizvođača. Završetke hidroizolacije , njeno spajanje na druge građevinske elemente, izvesti prema priloženim detaljima navedeni uz pojedinčne stavke ovog troškovnika.
Jedinična cijena treba sadržavati:
- čišćenje i pripremu podloga
- sav rad, materijale, transporte i radne skele
- čišćenje po završenom radu
- nadoknadu eventualne štete nastale iz nepažnje na svojim ili tuđim radovima</t>
  </si>
  <si>
    <t>Zaptivni materijal za dilatacijske razdjelnice mora biti trajnoelastičan, nepropusan za vodu, ne smije štetno utjecati na ostale građevinske materijale s kojima su u dodiru, a sami moraju biti otporni prema utjecajima okolnih građevinskih materijala.
Oblaganje kamenom mogu izvoditi samo specijalizirani izvođači, registrirani za izvođenje ove vrste radova sa referencama na kulturnom dobru.
Izvođač se mora pridržavati važećih propisa i standarda te tehničkih uvjeta za izvođenje kamenarskih radova.
Ukoliko primijeti bilo kakve nedostatke koji bi štetno utjecali na ispravnost obloge, izvođač je obvezan o tome izvijestiti nadzornog inženjera, odnosno izvođača građevinskih radova, sa zahtjevom da se nedostaci uklone prije početka oblaganja.
Naknadni prigovori neće se uvažiti a sve popravke izvođač kamenarskih radova morati će izvršiti o svom trošku.
Sve kamenorezačke radove izvesti stručno i solidno, prema detaljnim nacrtima, opisu troškovnika i uputama projektanta. Ukoliko nastane razlika između troškovnika i detalja, za ispravnost procjene mjerodavan je detalj, te zato izvođač mora prije davanja ponude tražiti detaljne nacrte.
Prije polaganja kamena podlogu treba očistiti od prašine i masnoća.
Kamene ploče moraju biti iz najboljeg materijala I. klase, iste boje, potpuno ravne i bez pukotina. Loše obrađeni, oštećeni ili napukli dijelovi ne smiju se ugrađivati a ukoliko ih izvođač ugradi, morati će ih zamijeniti na vlastiti trošak.</t>
  </si>
  <si>
    <t>Materijali moraju odgovarati Hrvatskim normama, odnosno Zakonu o normizaciji (N.N. 80/13) ili jednakovrijedno - tehnički uvjeti za izvođenje keramičarskih radova.
Opločenje zidova i podova vrši se pomoću vodonepropusnih građevinskih ljepila.
Izvođač treba prije početka radova preuzeti podloge.Izvođač će pregledati podloge (glazure i zaglađeni beton na stubištima), provjeriti njihovu ravninu i eventualno pronađene nedostatke predočiti šefu gradilišta i nadzornom inžinjeru , koji će odrediti način sanacije.Nakon uvođenja u radove, izvođač ker. radova, ne može opravdavati nedostatke u kvaliteti neravninom podloge.
Jedinična cijena treba sadržavati :
-sav rad, materijal. pomoćni materijal i alat
- sve posredne i neposredne troškove
-transport, prijenos i uskladištenje materijala-čišćenje po završenom radu
-odstranjenje otpadaka</t>
  </si>
  <si>
    <t>Upotrebljeni materijali moraju odgovarati Hrvatskim normama (Zakon o normizaciji -  N.N 80/13).
Zidarski radovi obuhvaćaju zidanje vanjskih zidova zgrade tj. sve zidarske radove koji se izvode kao primarna konstrukcije zgrade. Također obuhvaćaju i izradu pregradnih stijena, obzida instalacionih kanala, cementnih glazura, plivajućih podova, dobetoniravanja i dozidavanja pragova, unutarnje žbuke, tj. sve zidarske radove koji se izvode nakon formiranja primarne konstrukcije zgrade.
Prilikom izvođenja zidova zgrada izvođač se mora pridržavati slijedećih mjera:
      zidanje se mora izvoditi sa pravilnim zidarskim vezovima, a preklop mora iznositi najmanje jednu četvrtinu dužine zidnog elementa,
      debljina ležajnica ne smije biti veća od 15 mm, a širina sudarnica ne smije biti manja od 10 mm niti veća od 15 mm,osim kod porobetona koji se ugrađuje na građevinsko ljepilo d=3mm
      ako se zida za vrijeme zime treba zidove zaštiti od mraza.
      zidovi moraju na spojevima biti međusobno povezani zidarskim vezom,a na spoju nosivog i pregradnog zida treba ostvariti vezu metalnim spojnicama.
      za vrijeme zidanja opeku kvasiti vodom
      posebno se ne naplaćuje zatvaranje (žbukanje) žljebova nakon što su položeni instalacioni vodovi.
      za zidanje upotrijebiti produženi mort MM 5 ili MM10
      za zidanje zidova od siporexa upotrijebiti tvornički priređeno ljepilo</t>
  </si>
  <si>
    <t>Materijali za limarske radove moraju odgovarati hrvatskim normama prema Zakonu o normizacijii (N.N. 80/13).
Limarski radovi obuhvaćaju sve vrste pokrivanja i opšivanja limom, kao i izradu i montažu žljebova i vertikalnih odvodnih cijevi .
Izvođač je dužan prije početka radova provjeriti sve građevinske elemente na koje, ili za koje se se pričvršćuje limarija,te da pismeno dostavi nadzornom organu svoje primjedbe u vezi eventualnih nedostataka posebno u slučaju: neodgovarajućeg izbora projektiranog materijala i loše riješenog načina vezivanja limarije za građevinske radove. Ukoliko izvođač nema primjedbi na kvalitetu podloga prije preuzimanja posla smatrat će se da ih je prihvatio kao adekvatne i korektno izvedene.
Dijelovi različitog materijala ne smiju se dodirivati jer bi uslijed toga moglo doći do korozije.
Sastav i učvršćenja moraju biti tako izvedeni da elementi pri toplotnim promjenama mogu nesmetano dilatirati, a da pri tom ostanu nepropusni. Moraju se osigurati od oštećenja koje može izazvati vjetar.
Obračun po površini ili dužini uz iskaz razvijene širine, te komadu za dimnjačke kape, složene opšave i sl.
Limarski radovi izvode se od plastificiranog čeličnog lima d=0,6 mm.
Boja lima prema odabiru projektanta.
Materijal, transport, skelu i pričvrsni materijal uključiti u jediničnu cijenu.
Izvedbene detalje i uzorke od lima izrađuje izvođač, a potpisom ovjerava projektant.
Radove izvođač treba izvesti po uzancama zanatstva bez obzira na nedostatke u opisu troškovnika, bez bilo kakve naknade u cijeni.</t>
  </si>
  <si>
    <t>Dobava i ugradnja tipskog linijskog kanala s pocinčanom rešetkom sa tipskim taložnikom za skupljanje oborinske vode ispred ulaza u podrum, te ispred ulaza u objekt. Linijski kanal se sa PVC cijevi f 160 spaja na reviziono okno. Linijski kanal se postavlja u sloj betona što treba uključiti u cijenu.</t>
  </si>
  <si>
    <t>Upotrebljeni materijali moraju odgovarati Hrvatskim normama (Zakon o normizaciji  N.N 80/13).
Zidarski radovi obuhvaćaju zidanje vanjskih zidova zgrade tj. sve zidarske radove koji se izvode kao primarna konstrukcije zgrade. Također obuhvaćaju i izradu pregradnih stijena, obzida instalacionih kanala, cementnih glazura, plivajućih podova, dobetoniravanja i dozidavanja pragova, unutarnje žbuke, tj. sve zidarske radove koji se izvode nakon formiranja primarne konstrukcije zgrade.
Prilikom izvođenja zidova zgrada izvođač se mora pridržavati slijedećih mjera:
      zidanje se mora izvoditi sa pravilnim zidarskim vezovima, a preklop mora iznositi najmanje jednu četvrtinu dužine zidnog elementa,
      debljina ležajnica ne smije biti veća od 15 mm, a širina sudarnica ne smije biti manja od 10 mm niti veća od 15 mm,osim kod porobetona koji se ugrađuje na građevinsko ljepilo d=3mm
      ako se zida za vrijeme zime treba zidove zaštiti od mraza.
      zidovi moraju na spojevima biti međusobno povezani zidarskim vezom,a na spoju nosivog i pregradnog zida treba ostvariti vezu metalnim spojnicama.
      za vrijeme zidanja opeku kvasiti vodom
      posebno se ne naplaćuje zatvaranje (žbukanje) žljebova nakon što su položeni instalacioni vodovi.
      za zidanje upotrijebiti produženi mort MM 5 ili MM10
      za zidanje zidova od siporexa upotrijebiti tvornički priređeno ljepilo</t>
  </si>
  <si>
    <t>Dobava i postava zvučne i toplinske izolacije poda u prizemlju:
- elastificirani ekspandirani polistiren (15 kg/m3) u dva sloja (2+1 cm)
- PE folija (30kg/m3) debljine 0,2 mm
- podni element od polistirena za podno grijanje debljine 2 cm</t>
  </si>
  <si>
    <t>Dobava i postava zvučne izolacije podova kata i potkrovlja.:
- elastificirani ekspandirani polistiren (15 kg/m3) u dva sloja (2+1 cm)
- ekspandirani polistiren, tvrdi, debljine 2 cm
- PE folija (1000 kg/m3) debljine 0,2 mm</t>
  </si>
  <si>
    <t>Dobava i postava zvučne izolacije stubišta:
- pjenasta folija za prigušenje udarnog zvuka debljine 0,5 cm</t>
  </si>
  <si>
    <t>Materijali za limarske radove moraju odgovarati hrvatskim normama prema Zakonu o normizaciji (N.N.80/13).
Limarski radovi obuhvaćaju sve vrste pokrivanja i opšivanja limom, kao i izradu i montažu žljebova i vertikalnih odvodnih cijevi .
Izvođač je dužan prije početka radova provjeriti sve građevinske elemente na koje, ili za koje se se pričvršćuje limarija,te da pismeno dostavi nadzornom organu svoje primjedbe u vezi eventualnih nedostataka posebno u slučaju: neodgovarajućeg izbora projektiranog materijala i loše riješenog načina vezivanja limarije za građevinske radove. Ukoliko izvođač nema primjedbi na kvalitetu podloga prije preuzimanja posla smatrat će se da ih je prihvatio kao adekvatne i korektno izvedene.
Dijelovi različitog materijala ne smiju se dodirivati jer bi uslijed toga moglo doći do korozije.
Sastav i učvršćenja moraju biti tako izvedeni da elementi pri toplotnim promjenama mogu nesmetano dilatirati, a da pri tom ostanu nepropusni. Moraju se osigurati od oštećenja koje može izazvati vjetar.
Obračun po površini ili dužini uz iskaz razvijene širine, te komadu za dimnjačke kape, složene opšave i sl.
Limarski radovi izvode se od plastificiranog čeličnog lima d=0,6 mm.
Boja lima prema odabiru projektanta.
Materijal, transport, skelu i pričvrsni materijal uključiti u jediničnu cijenu.
Izvedbene detalje i uzorke od lima izrađuje izvođač, a potpisom ovjerava projektant.
Radove izvođač treba izvesti po uzancama zanatstva bez obzira na nedostatke u opisu troškovnika, bez bilo kakve naknade u cijeni.
U jediničnim cijenama uračunati su svi radovi dotične stavke, s dobavom potrebnog materijala, s istovarom i skladištenjem na gradilištu, sav horizontalni i vertikalni transport do radnog mjesta, kao i sva potrebna radna snaga i režijski troškovi, te svi potrebni radovi, predradnje i materijal prema uputama proizvođača.
Predviđeni pokrov su aluminijski plastificirani rombovi iz legure AlMn1Mg0,5, mehanička svojstva H42, kvaliteta boje P.10 mat, za sve stavke. Boja za pojedine elemente prema izboru projektanta. U svim stavkama uključen je sav vezni materijal, kuke, ljepila i slično.</t>
  </si>
  <si>
    <t>Sve izvesti prema detalju, ili prema dogovoru s glavnim projektantom!</t>
  </si>
  <si>
    <t>Dobava i izvedba toplinske fasade vanjskog zida u slojevima:
-lijepljene tvrde ploče mineralne vune (30 kg/m3) učvršćen dodatno na podlogu plastičnim pričvrsnicama sa širokom glavom (min 6 kom/m2). Debljina ploča 15 cm.
- polimercementni mort armiran alkalnootpornom meržicom
- završni sloj od ploča poluobrađenog kamena u ljepilu za ETICS sustave ili jednakovrijedno. Polaganje ploča prema shemi polaganja (nuditi u kamenarskim radovima).</t>
  </si>
  <si>
    <t>Dobava i izvedba toplinske fasade na zidu podruma prema natkrivenom prostoru u slojevima:
-ljepljeni ekstrudirani polistiren u fasadnim pločama (30 kg/m3) i učvršćen dodatno na podlogu plastičnim pričvrsnicama sa širokom glavom (min 6 kom/m2). Debljina ploča 10 cm
- polimercementni mort armiran alkalnootpornom meržicom
- prednamaz
- završni sloj od ploča poluobrađenog kamena u ljepilu za ETICS sustave ili jednakovrijedno. Polaganje ploča prema shemi polaganja (nuditi u kamenarskim radovima.</t>
  </si>
  <si>
    <t>Dobava i izvedba toplinske fasade podgleda podruma iznad vanjskog prostora u slojevima:
-ljepljene ploče mineralne vune za ETICS pročelja ili jednakovrijedno, učvršćene dodatno na podlogu plastičnim pričvrsnicama sa širokom glavom (min 6 kom/m2). Debljina ploča 15 cm
- polimercementni mort armiran alkalnootpornom meržicom
- prednamaz
- završna tankoslojna silokonska fasadna žbuka u tonu prema izboru projektanta jedna od boja na zidovima</t>
  </si>
  <si>
    <t xml:space="preserve">Pravilnik o otpornosti na požar i drugim zahtjevima koje građevine moraju zadovoljiti u slučaju požara (NN 29/13)
</t>
  </si>
  <si>
    <t>Stavke u svemu izraditi u skladu s važećim Pravilnikom o otpornosti na požar i drugim zahtjevima koje građevine moraju zadovoljiti u slučaju požara, NN 29/13; Izvještajem o razredbi otpornosti na požar; izuzetno u skladu s Proširenom primjenom rezultata ispitivanja, HRN EN 15269-5 ili jednakovrijedno
Potrebna dokumentacija koju će izvođač radova priložiti u cilju dokazivanja svojstava dijelova sistema i gotovih stavki određenih projektom i ovim troškovnikom (osim potrebnih karakteristika svakog sistema posebno):
- Izjava o svojstvima, u skladu sa Zakonom o građevinskim proizvodima
(NN 76/13, 30/14, 130/17, 39/19, 118/20) i
- Izvještaj o razredbi otpornosti na požar, HRN EN 13501-2 ili jednakovrijedno
- prema potrebi:
Proračune koeficijenta prolaza topline profila Uf i ukupnog koeficijenta prolaza topline Ucw, u skladu s EN ISO 10077-2 ili jednakovrijedno.</t>
  </si>
  <si>
    <t>Materijali za podopolagačke radove moraju odgovarati Hrvatskim normama, odnosno Zakonu o normizaciji (N.N 80/13)
Izvođač je prije početka postave podova dužan pregledati podloge i vlažnost konstrukcije i preuzeti ih ako odgovaraju kvaliteti dostatnoj za postavu.
U jediničnoj cijeni svake stavke mora biti sadržana nabavka materijala i njegova dostava na gradilište, izravnavajuća masa, eventualno potrebna impregnacija podloge, sva ošteta, alat, sav rad i radna snaga sa sortiranjem i raznašanjem, postavom podova i letvica, struganjem, odstranjivanjem strugotine i prašine.</t>
  </si>
  <si>
    <t>Dobava i postava podnih keramičkih pločica 30x30 cm, u tehničkim prostorijama u podrumu i prizemlju i sanitarijama na katu. Otpornost protiv klizanja minimalno R10. Pločice se postavljaju na pripremljenu podlogu cementnim fleksibilnim ljepilom, te se fugiraju fugir masom u boji prema odabiru projektanta. Na sve završne rubove potrebno je postaviti profiliranu završnu aluminijsku lajsnu debljine 12 mm u boji prema izboru projektanta. Prijelaze između zidova i poda potrebno je obraditi trajnoelastičnim kitom u boji fug mase (što je uključeno u cijenu).
U jedinične cijene uključen je vezni i brtveni materijal, završne lajsne te čiščenje keramike nakon opločenja i fugiranja od ostataka ljepila i fugir mase.</t>
  </si>
  <si>
    <t>Dobava i postava mrazootpornih podnih keramičkih pločica 30x30 cm u negrijanim prostorima podruma. Pločice se postavljaju na pripremljenu podlogu cementnim fleksibilnim ljepilom, te se fugiraju fugir masom u boji prema odabiru projektanta. Na sve završne rubove potrebno je postaviti profiliranu završnu aluminijsku lajsnu debljine 12 mm u boji prema izboru projektanta. Prijelaze između zidova i poda potrebno je obraditi trajnoelastičnim kitom u boji fug mase (što je uključeno u cijenu).
U jedinične cijene uključen je vezni i brtveni materijal,završne lajsne te čiščenje keramike nakon opločenja i fugiranja od ostataka ljepila i fugir mase.</t>
  </si>
  <si>
    <t>Dobava i postava zidnih pločica, istovjetnih klinker pločicama na podu blagovaonice, formata 15x30 cm, prema izboru projektanta. Postav prema shemi polaganja na pripremljenu podlogu cementnim fleksibilnim ljepilom, te se fugiraju fugir masom u boji prema odabiru projektanta. Prije polaganja pločica na zidove izvedene od gipsakartonskih ploča površinu je potrebno pripremiti sredstvom za impregnaciju. Rezanje i brušenje pločica vrši se prema preporuci proizvođača. Na sve završne rubove potrebno je postaviti profiliranu završnu aluminijsku lajsnu debljine 3 mm u boji prema izboru projektanta. U jedinične cijene uključen je vezni i brtveni materijal, završne lajsne te čišćenje keramike nakon opločenja i fugiranja od ostataka ljepila i fugir mase. Predviđa se opločenje do visine cca 240 cm.
Obrada kuteva trajnoelastičnim kitom u boji fugir mase treba biti uključena u cijenu.</t>
  </si>
  <si>
    <t>Dobava i postava zidnih pločica 30x30 cm u boji prema odabiru projektanta. Pločice se postavljaju u sanitarijama prema shemi polaganja na pripremljenu podlogu cementnim fleksibilnim ljepilom, te se fugiraju fugir masom u boji prema odabiru projektanta. Prije polaganja pločica na zidove izvedene od gipsakartonskih ploča površinu je potrebno pripremiti sredstvom za impregnaciju. Rezanje i brušenje pločica vrši se prema preporuci proizvođača. Na sve završne rubove potrebno je postaviti profiliranu završnu aluminijsku lajsnu debljine 3 mm u boji prema izboru projektanta. U jedinične cijene uključen je vezni i brtveni materijal, završne lajsne te čišćenje keramike nakon opločenja i fugiranja od ostataka ljepila i fugir mase. Predviđa se opločenje do visine cca 240 cm.
Obrada kuteva trajnoelastičnim kitom u boji fugi mase treba biti uključena u cijenu.</t>
  </si>
  <si>
    <t>Svi materijali za spuštene stropove ili pregradne stijene i obloge moraju biti prvoklasni,
moraju odgovarati važećim standardima i moraju posjedovati ateste, a svi radovi moraju se izvoditi prema uputama proizvođača elemenata od kojih se radovi izvode.
Ploče koje se ugrađuju su standardnih dimenzija 200 / 125 cm. Spojevi ploča moraju se prekriti trakama od staklenog voala i zagladiti propisanom glet masom.
Rubovi ploča gdje je potrebno osiguranje od oštećenja , ojačavaju se kant al. perforiranim profilima , te se gletaju. Po završetku gletanja površine treba prebrusiti finim brusnim papirom tako da plohe budu potpuno glatke i vez vidljivih tragova spajanja i sl.
Spoj sa zidom ili vertikalnim plohama stropa mora biti zapunjen akrilnim kitom.
Kod izvođenja radova potrebno je pridržavati se svih uputa proizvođača naročito glede uskladištenja ploča i uvjeta temperature i vlažnosti zraka prostora u kojima će se vršiti ugradba ( temp. Od 11-35 stupnjeva i rel. vlažnost zraka do 70% ). Prije početka ugradbe ploče treba donijeti u prostor u koji se ugrađuju min. 24 sata ranije da bi se prilagodile mikroklimatskim uvjetima.
Montaža podkonstrukcije za pregradne zidove započinje prije izrade estriha. Pregradni
zidovi moraju imati traženo prigušenje zvuka od 35 dBa, sa ugradbom min. 5 cm mineralne vune tež. 50 kg/m² unutar zida. Obavezno je brtvljenje sudarnih spojnica uz zidove, strop i pod brtvenom trakom. Izvedba prema detaljima proizvođača . Po završetku je potrebno o trošku izvoditelja radova zatražiti ispitivanje prigušenja zvuka od ovlaštene pravne osobe uz predočenje rezultata mjerenja ( atest ).</t>
  </si>
  <si>
    <t>Montažni zidovi od gipskartonskih ploča
Montažni zidovi gipskartonskog sistema se izvode od podkonstrukcije - nosivih CW profila od pocinčanog lima debljine 0,7 mm presjeka 50/100 mm na maksimalnom razmaku 41,7 - 62,5 cm ( ako stavkom nije drugačije naznačeno ) te s donjim i gornjim UW-profilom. Između profila se umeće mineralna vuna i osigurava se od micanja. Kod spoja sa zidom, stropom ili podom na profile se nanosi brtvena masa, a posebno i temeljito kod zahtjeva za zaštitu od buke. Sve rubne profile na spojevima s podom, stropom i sa zidovima treba učvrstiti odgovarajućim učvrsnim elementima. Učvrsni element za masivni zid, pod ili strop je tipla s vijkom. Za ostale priključne površine koriste se učvrsna sredstva koja odgovaraju podlozi. Sve profile koji su u dodiru s bočnim zidovima i s podom odn. stropom treba prije montaže obložiti samoljepivom PE bertvenom trakom odgovarajuće širine.
Na potkonstrukciju se obostrano pričvršćuju gipskartonske ploče prema opisu u stavci pomoću tzv. vijaka za brzu ugradnju. Kod višeslojnog oblaganja spojevi donjih slojeva GK ploča se samo zapunjavaju a spojevi gornjeg sloja se završno obrađuju gletanjem kako je već opisano. Nakon obrade spojeva završno čitavu površinu pregletati smjesom za izravnanje što ulazi u stavku, tako da su zidovi potpuno pripremljeni za ličenje ili oblaganje keramičkim pločicama. Kod neprekidnih zidova potrebno je u razmaku od 15-20 m ugraditi dilatacijske spojeve. Kod neprekidnih zidnih obloga potrebno je u razmaku od ca.10 m ugraditi dilatacijske spojeve.
Spušteni stropovi od gipskartonskih ploča</t>
  </si>
  <si>
    <t>Dobava i postava piktograma, natpis oznaka za vrata dimenzija 210x297 mm.
Sadržaj s nazivom jednostavno se umetne između dvije pločice pričvršćene vijcima. Pločice su izrađene od kvalitetnog pleksiglasa 2 kom, a vijci od aluminija, 2 kom. Jednostavno postavljanje na vrata pomoću vijaka.</t>
  </si>
  <si>
    <t xml:space="preserve">Prijem, prvi pregled, zahtjev za mjerno mjesto
Prihvaćanje/mjerenje priključenog fotonaponskog generatora na licu mjesta u priključnoj kutiji generatora uključujući primopredaju protokola mjerenja i zahtjeva za mjerno mjesto od strane operatera mreže, zapisnik postrojenja i protokol ispitivanja.
Dodatne vodoinstalaterske usluge
Sljedeće usluge nisu uključene u paket solarnih krovnih panela, ali moraju biti uključene u ukupnu cijenu.
- Kabelski uvod u unutrašnjost objekta u zoni krovne potkonstrukcije
- Isporuka i montaža aluminijske kabelske kanalizacije, izvedene u postojeću punu oplatu prema detaljnom planu proizvođača
Druge usluge
</t>
  </si>
  <si>
    <t>Sljedeće usluge nisu uključene u paket solarnih krovnih panela, ali mogu biti potrebne za dovršetak sustava.
- Radovi klesanja, bušenja i žbukanja
- Ispraznite cijevi od priključne kutije generatora do pretvarača
- Priključak sustava na javnu elektroenergetsku mrežu
- Vatrogasni prekidač (ako je potrebno)
Isporuka i montaža vatrogasne sklopke po potrebi.
Isporuka i montaža krovnog PV sustava sa solarnim krovnim panelima ili jednakovrijedno, uključujući materijal za pričvršćivanje i sve komponente i usluge uključene u paket, prema smjernicama za planiranje izvedbe i montažu proizvođača. Sistemsko rješenje.
Veliki solarni krovni panel:
Nazivna snaga: 100 Wp
Dimenzije: 1400 x 420 mm u položenom području (1,7 komada/m²)
Težina: 12,6 kg/m²
Solarne ćelije: 28 kom mono PERC, polurezane</t>
  </si>
  <si>
    <t>*nadstrešnica za boulder</t>
  </si>
  <si>
    <t>*vidikovac</t>
  </si>
  <si>
    <t>Izrada armiranobetonskog zida debljine 25 cm, betonom kvalitete C25/30 u glatkoj dvostranoj oplati. Beton spravljen u betonari od agregata do 32 mm. Rad obuhvaća: izradu oplate, dobavu i postavljanje armature, kvašenje oplate, ubacivanje betona i zbijanje (vibriranje) sve dok se voda ne pojavi na površini.
U cijenu uključiti izvedbu potrebnih otvora, usjeka, proboja i sl.
* nadstrešnica za boulder</t>
  </si>
  <si>
    <t>Izvedba temelja postojećeg sanitarnog kontejnera, kojeg treba podići za 60 cm. Izvedba temelja betonom kvalitete C25/30 na postojeće temelje, s potrebnim sidrenjem armature u postojeće temelje.
Rad obuhvaća: dobavu i postavljanje armature, ubacivanje betona i zbijanje (vibriranje) sve dok se voda ne pojavi na površini.
U cijenu uključiti izvedbu potrebnih otvora, usjeka, proboja i sl.</t>
  </si>
  <si>
    <t>Dobava i izvedba toplinske fasade na vidljivom dijelu zidova vodospreme u slojevima:
-ljepljeni ekstrudirani polistiren u fasadnim pločama (30 kg/m3) i učvršćen dodatno na podlogu plastičnim pričvrsnicama sa širokom glavom (min 6 kom/m2). Debljina ploča 10 cm
- polimercementni mort armiran alkalnootpornom meržicom
- prednamaz
- završni sloj od kamena u ljepilu za ETICS sustave ili jednakovrijedno, sa sidrenjem. Polaganje ploča prema shemi polaganja (nuditi u kamenarskim radovima).</t>
  </si>
  <si>
    <t>Dobava kamena i oblaganje vidljivog dijela zidova vodospreme priridnim lomljenim kamenom debljine do 10 cm. Koristiti kamen s postojeće kuće. Kamen se postavlja lijepljenjem fleksibilnim ljepilom na izvedeni ETICS fasadni sustav ili jednakovrijedno bez završnog sloja i fugira cementnim materijalom, i dodatnim sidrenjem nehrđajućim sponama.
U jedinične cijene uključen je sav potreban vezni i brtveni materijal, te čiščenje zida nakon opločenja i fugiranja od ostataka ljepila i fugir mase. Kamen je potrebno impregnirati vodootpornim premazom.</t>
  </si>
  <si>
    <t>Planiranje razvitka i rada sportskog penjanja, 
okupljanje djece, mladeži i drugih osoba koje se žele baviti Sportsko penjačkim sportom
sudjelovanje u sportskom natjecanju u sportsko penjačkom sportu
pripremanje svojih članova za sudjelovanje u sastavu gradske, županijske odnosno državne reprezentacije
provođenje sportske obuke i sportske pripreme članova u Sportsko penjačkom sportu
poticanje stručnog usavršavanja natjecatelja, trenera i drugih osoba od značaja za djelovanje Kluba, organiziranje edukacije
organizacija tečajeva penjanja u dvorani i škola penjanja u prirodi
suradnja s drugim sportskim udrugama koje podržavaju ciljeve udruge
poticanje mladih da se bave sportom
izgradnja i održavanje umjetnih stijena za penjanje
izrada i publiciranje stručne literature (knjige, časopisi, stručne studije) vezanih za Sportsko penjački sport, sukladno Zakonu
poduzimanje mjera i stvaranje uvjeta za unapređenje i zaštitu zdravlja i stručnog rada u Klubu
organiziranje i provođenje stručnih savjetovanja, predavanja i seminara i kampova vezanih za Sportsko penjački sport
organiziranje sportskih priredbi čiji su članovi nositelji Kluba
upravljanje sportskim objektima kojih je Klub vlasnik ili korisnik
ukupnom aktivnosti Kluba poticati razumjevanje i usvajanje etičkih vrijednosti, njegovanje tjelesnog i duševnog zdravlja kao i sportski duh kroz bavljenje sportskim aktivnostima.</t>
  </si>
  <si>
    <t>OSTALI OBJEKTI / VIDIKOVAC, NADSTREŠNICA ZA BOULDER, VODOSPREMA, KIOSK</t>
  </si>
  <si>
    <t>A.B.5.7.</t>
  </si>
  <si>
    <t>2.B.1.10.</t>
  </si>
  <si>
    <t>2.B.1.11.</t>
  </si>
  <si>
    <t>2.B.1.12.</t>
  </si>
  <si>
    <t>2.B.1.13.</t>
  </si>
  <si>
    <t>2.B.1.14.</t>
  </si>
  <si>
    <t>2.B.1.15.</t>
  </si>
  <si>
    <t>2.B.1.16.</t>
  </si>
  <si>
    <t>2.B.1.17.</t>
  </si>
  <si>
    <t>2.B.1.18.</t>
  </si>
  <si>
    <t>2.B.1.19.</t>
  </si>
  <si>
    <t>2.B.1.20.</t>
  </si>
  <si>
    <t>2.B.1.21.</t>
  </si>
  <si>
    <t>2.B.1.22.</t>
  </si>
  <si>
    <t>2.B.1.23.</t>
  </si>
  <si>
    <t>2.B.1.24.</t>
  </si>
  <si>
    <t>2.B.1.25.</t>
  </si>
  <si>
    <t>2.B.1.26.</t>
  </si>
  <si>
    <t>2.B.1.27.</t>
  </si>
  <si>
    <t>2.B.1.28.</t>
  </si>
  <si>
    <t>2.B.1.29.</t>
  </si>
  <si>
    <t>2.B.1.30.</t>
  </si>
  <si>
    <t>2.B.1.31.</t>
  </si>
  <si>
    <t>2.B.1.32.</t>
  </si>
  <si>
    <t>2.B.1.33.</t>
  </si>
  <si>
    <t>2.B.1.34.</t>
  </si>
  <si>
    <t>2.B.1.35.</t>
  </si>
  <si>
    <t>2.B.1.36.</t>
  </si>
  <si>
    <t>2.B.1.37.</t>
  </si>
  <si>
    <t>2.B.1.38.</t>
  </si>
  <si>
    <t>2.B.1.39.</t>
  </si>
  <si>
    <t>2.B.1.40.</t>
  </si>
  <si>
    <t>2.B.1.41.</t>
  </si>
  <si>
    <t>2.B.1.42.</t>
  </si>
  <si>
    <t>2.B.1.43.</t>
  </si>
  <si>
    <t>2.B.2.</t>
  </si>
  <si>
    <t>2.B.2.1.</t>
  </si>
  <si>
    <t>2.B.2.2.</t>
  </si>
  <si>
    <t>2.B.2.3.</t>
  </si>
  <si>
    <t>2.B.2.4.</t>
  </si>
  <si>
    <t>2.B.2.5.</t>
  </si>
  <si>
    <t>2.B.2.6.</t>
  </si>
  <si>
    <t>2.B.2.7.</t>
  </si>
  <si>
    <t>2.B.2.8.</t>
  </si>
  <si>
    <t>2.B.2.9.</t>
  </si>
  <si>
    <t>2.B.2.10.</t>
  </si>
  <si>
    <t>2.B.2.11.</t>
  </si>
  <si>
    <t>2.B.2.12.</t>
  </si>
  <si>
    <t>2.B.2.13.</t>
  </si>
  <si>
    <t>2.B.3.</t>
  </si>
  <si>
    <t>2.B.3.1.</t>
  </si>
  <si>
    <t>2.B.4.</t>
  </si>
  <si>
    <t>2.B.3.2.</t>
  </si>
  <si>
    <t>2.B.3.3.</t>
  </si>
  <si>
    <t>2.B.3.4.</t>
  </si>
  <si>
    <t>2.B.3.5.</t>
  </si>
  <si>
    <t>2.B.3.6.</t>
  </si>
  <si>
    <t>2.B.3.7.</t>
  </si>
  <si>
    <t>2.B.3.8.</t>
  </si>
  <si>
    <t>2.B.3.9.</t>
  </si>
  <si>
    <t>2.B.3.10.</t>
  </si>
  <si>
    <t>2.B.3.11.</t>
  </si>
  <si>
    <t>2.B.3.12.</t>
  </si>
  <si>
    <t>2.B.3.13.</t>
  </si>
  <si>
    <t>2.B.3.14.</t>
  </si>
  <si>
    <t>2.B.3.15.</t>
  </si>
  <si>
    <t>2.B.3.16..</t>
  </si>
  <si>
    <t>2.B.4.1.</t>
  </si>
  <si>
    <t>2.B.4.2.</t>
  </si>
  <si>
    <t>2.B.4.3.</t>
  </si>
  <si>
    <t>2.B.4.4.</t>
  </si>
  <si>
    <t>2.B.4.5.</t>
  </si>
  <si>
    <t>2.B.4.6.</t>
  </si>
  <si>
    <t>2.B.4.7.</t>
  </si>
  <si>
    <t>2.B.4.8.</t>
  </si>
  <si>
    <t>2.B.4.9.</t>
  </si>
  <si>
    <t>2.B.4.10.</t>
  </si>
  <si>
    <t>2.B.4.11.</t>
  </si>
  <si>
    <t>2.B.4.12.</t>
  </si>
  <si>
    <t>2.B.4.13.</t>
  </si>
  <si>
    <t>2.B.4.14.</t>
  </si>
  <si>
    <t>2.B.4.15.</t>
  </si>
  <si>
    <t>2.B.4.16.</t>
  </si>
  <si>
    <t>2.B.4.17.</t>
  </si>
  <si>
    <t>2.B.4.18.</t>
  </si>
  <si>
    <t>2.B.4.19.</t>
  </si>
  <si>
    <t>2.B.4.20.</t>
  </si>
  <si>
    <t>2.B.4.21.</t>
  </si>
  <si>
    <t>2.B.4.22.</t>
  </si>
  <si>
    <t>2.B.4.23.</t>
  </si>
  <si>
    <t>2.B.4.24.</t>
  </si>
  <si>
    <t>2.B.4.25.</t>
  </si>
  <si>
    <t>2.B.4.26.</t>
  </si>
  <si>
    <t>2.B.4.27.</t>
  </si>
  <si>
    <t>2.B.4.28.</t>
  </si>
  <si>
    <t>2.B.4.29.</t>
  </si>
  <si>
    <t>2.B.4.30.</t>
  </si>
  <si>
    <t>2.B.4.31.</t>
  </si>
  <si>
    <t>2.B.4.32.</t>
  </si>
  <si>
    <t>2.B.4.33.</t>
  </si>
  <si>
    <t>2.B.4.34.</t>
  </si>
  <si>
    <t>2.B.4.35.</t>
  </si>
  <si>
    <t>2.B.4.36.</t>
  </si>
  <si>
    <t>2.B.4.37.</t>
  </si>
  <si>
    <t>2.B.5.</t>
  </si>
  <si>
    <t>2.B.5.1.</t>
  </si>
  <si>
    <t>2.B.5.2.</t>
  </si>
  <si>
    <t>2.B.5.3.</t>
  </si>
  <si>
    <t>2.B.5.4.</t>
  </si>
  <si>
    <t>2.B.5.5.</t>
  </si>
  <si>
    <t>2.B.5.6.</t>
  </si>
  <si>
    <t>2.B.5.7.</t>
  </si>
  <si>
    <t>2.B.5.8.</t>
  </si>
  <si>
    <t>2.B.5.9.</t>
  </si>
  <si>
    <t>2.B.5.10.</t>
  </si>
  <si>
    <t>2.B.5.11.</t>
  </si>
  <si>
    <t>2.B.5.12.</t>
  </si>
  <si>
    <t>2.B.5.13.</t>
  </si>
  <si>
    <t>2.B.5.14.</t>
  </si>
  <si>
    <t>2.B.5.15.</t>
  </si>
  <si>
    <t>2.B.5.16.</t>
  </si>
  <si>
    <t>2.B.5.17.</t>
  </si>
  <si>
    <t>2.B.5.18.</t>
  </si>
  <si>
    <t>2.B.5.19.</t>
  </si>
  <si>
    <t>2.B.5.20.</t>
  </si>
  <si>
    <t>2.B.5.21.</t>
  </si>
  <si>
    <t>2.B.5.22.</t>
  </si>
  <si>
    <t>2.B.5.23.</t>
  </si>
  <si>
    <t>2.B.6.</t>
  </si>
  <si>
    <t>2.B.6.1.</t>
  </si>
  <si>
    <t>2.B.6.2.</t>
  </si>
  <si>
    <t>2.B.6.3.</t>
  </si>
  <si>
    <t>2.B.6.4.</t>
  </si>
  <si>
    <t>2.B.6.5.</t>
  </si>
  <si>
    <t>2.B.6.6.</t>
  </si>
  <si>
    <t>2.B.6.7.</t>
  </si>
  <si>
    <t>2.B.6.8.</t>
  </si>
  <si>
    <t>2.B.6.9.</t>
  </si>
  <si>
    <t>2.B.6.10.</t>
  </si>
  <si>
    <t>2.B.7.</t>
  </si>
  <si>
    <t>2.B.7.1.</t>
  </si>
  <si>
    <t>2.B.8.</t>
  </si>
  <si>
    <t>2.B.8.1.</t>
  </si>
  <si>
    <t>2.B.9</t>
  </si>
  <si>
    <t>2.B.9.1.</t>
  </si>
  <si>
    <t>2.B.9.</t>
  </si>
  <si>
    <t>2.B.10.</t>
  </si>
  <si>
    <t>2.B.10.1.</t>
  </si>
  <si>
    <t>2.C.1.</t>
  </si>
  <si>
    <t>2.B.9.2.</t>
  </si>
  <si>
    <t>2.B.9.3.</t>
  </si>
  <si>
    <t>2.B.9.4.</t>
  </si>
  <si>
    <t>2.B.9.5.</t>
  </si>
  <si>
    <t>2.B.9.6.</t>
  </si>
  <si>
    <t>2.B.9.7.</t>
  </si>
  <si>
    <t>2.B.9.8.</t>
  </si>
  <si>
    <t>2.B.9.9.</t>
  </si>
  <si>
    <t>2.B.9.10.</t>
  </si>
  <si>
    <t>2.B.9.11.</t>
  </si>
  <si>
    <t>2.B.9.12.</t>
  </si>
  <si>
    <t>2.B.10.2.</t>
  </si>
  <si>
    <t>2.B.10.3.</t>
  </si>
  <si>
    <t>2.B.10.4.</t>
  </si>
  <si>
    <t>2.B.10.5.</t>
  </si>
  <si>
    <t>2.B.10.6.</t>
  </si>
  <si>
    <t>2.B.10.7.</t>
  </si>
  <si>
    <t>2.B.10.8.</t>
  </si>
  <si>
    <t>2.B.10.9.</t>
  </si>
  <si>
    <t>2.B.10.10.</t>
  </si>
  <si>
    <t>2.C.1.1.</t>
  </si>
  <si>
    <t>2.C.1.2.</t>
  </si>
  <si>
    <t>2.C.1.3.</t>
  </si>
  <si>
    <t>2.C.1.4.</t>
  </si>
  <si>
    <t>2.C.1.5.</t>
  </si>
  <si>
    <t>2.C.1.6.</t>
  </si>
  <si>
    <t>2.C.1.7.</t>
  </si>
  <si>
    <t>2.C.1.8.</t>
  </si>
  <si>
    <t>2.C.1.9.</t>
  </si>
  <si>
    <t>2.C.1.10.</t>
  </si>
  <si>
    <t>2.C.1.11.</t>
  </si>
  <si>
    <t>2.C.1.12.</t>
  </si>
  <si>
    <t>2.C.1.13.</t>
  </si>
  <si>
    <t>2.C.1.14.</t>
  </si>
  <si>
    <t>2.C.1.15.</t>
  </si>
  <si>
    <t>2.C.1.16.</t>
  </si>
  <si>
    <t>2.C.1.17.</t>
  </si>
  <si>
    <t>2.C.1.18.</t>
  </si>
  <si>
    <t>2.C.1.19.</t>
  </si>
  <si>
    <t>2.C.1.20.</t>
  </si>
  <si>
    <t>2.C.1.21.</t>
  </si>
  <si>
    <t>2.C.1.22.</t>
  </si>
  <si>
    <t>2.C.1.23.</t>
  </si>
  <si>
    <t>2.C.1.24.</t>
  </si>
  <si>
    <t>2.C.1.25.</t>
  </si>
  <si>
    <t>2.C.1.26.</t>
  </si>
  <si>
    <t>2.C.1.27.</t>
  </si>
  <si>
    <t>2.C.1.28.</t>
  </si>
  <si>
    <t>2.C.1.29.</t>
  </si>
  <si>
    <t>2.C.1.30.</t>
  </si>
  <si>
    <t>2.C.1.31.</t>
  </si>
  <si>
    <t>2.C.1.32.</t>
  </si>
  <si>
    <t>2.A.2.4.</t>
  </si>
  <si>
    <t>2.A.1.3.</t>
  </si>
  <si>
    <t>2.A.1.4.</t>
  </si>
  <si>
    <t>2.A.1.5.</t>
  </si>
  <si>
    <t>2.A.1.6.</t>
  </si>
  <si>
    <t>2.A.1.7.</t>
  </si>
  <si>
    <t>2.A.1.8.</t>
  </si>
  <si>
    <t>2.A.1.9.</t>
  </si>
  <si>
    <t>2.A.1.10.</t>
  </si>
  <si>
    <t>2.A.1.12.</t>
  </si>
  <si>
    <t>2.A.1.14.</t>
  </si>
  <si>
    <t>2.A.1.15.</t>
  </si>
  <si>
    <t>2.A.1.16.</t>
  </si>
  <si>
    <t>2.A.1.17.</t>
  </si>
  <si>
    <t>2.A.2.1.</t>
  </si>
  <si>
    <t>2.A.2.2.</t>
  </si>
  <si>
    <t>2.A.2.5.</t>
  </si>
  <si>
    <t>2.A.2.6.</t>
  </si>
  <si>
    <t>KABELSKA KANALIZACIJA JAKE I SLABE STRUJE UKUPNO:</t>
  </si>
  <si>
    <t>STROJARSKE INSTALACIJE</t>
  </si>
  <si>
    <t>2.C.1..</t>
  </si>
  <si>
    <t>STROJARSKE INSTALACIJE UKUPNO:</t>
  </si>
  <si>
    <t>STROJARSKE INSTALACIJE UKUPNO</t>
  </si>
  <si>
    <t>2a.</t>
  </si>
  <si>
    <t>UKUPNO</t>
  </si>
  <si>
    <t>UKUPNO S PDV-om</t>
  </si>
  <si>
    <t xml:space="preserve">ARHITEKTURA </t>
  </si>
  <si>
    <t xml:space="preserve">ELEKTRO </t>
  </si>
  <si>
    <t xml:space="preserve">STROJARSKE INSTALACIJE </t>
  </si>
  <si>
    <t xml:space="preserve">VODOVOD I KANALIZACIJA </t>
  </si>
  <si>
    <t xml:space="preserve">SPRINKLER </t>
  </si>
  <si>
    <t xml:space="preserve">DIZALA </t>
  </si>
  <si>
    <t xml:space="preserve">PRISTUPNI PUT </t>
  </si>
  <si>
    <t xml:space="preserve">GEOMEHANIKA </t>
  </si>
  <si>
    <t xml:space="preserve">KROVNA FOTONAPONSKA ELEKTRANA </t>
  </si>
  <si>
    <t>2.a</t>
  </si>
  <si>
    <t>ELEKTRO (ELEKTROINSTALACIJE + VATRODOJAVA)</t>
  </si>
  <si>
    <t>Dobava i montaža dodatna toplinska izolacija u pločama dimenzija 1,2 m x 0,6 m, postavlja se na podove prema zemlji ispod izolacije podnog grijanja izrađena od ekspandiranog poliuretana (PUR), obostrano spojiva, debljine 30 mm</t>
  </si>
  <si>
    <t>Dobava i montaža toplinske i zvučna izolacije u preklopnim pločama dimenzija 1,0 m x 0,5 m sa utisnutim rasterom za polaganje, koja se polaže na pod ispod cijevi podnog grijanja u kompletu sa ljepljivom trakom za spajanje ploča, izrađena od ekpandiranog polistrirena (EPS), kaširana čvrstom folijom otpornom na kidanje, debljine 30 mm</t>
  </si>
  <si>
    <t>Dobava i montaža rubna izolacijska traka od PE pjene za cementne estrihe visine 150 mm, debljine 8 mm</t>
  </si>
  <si>
    <t>Dobava i montaža termostat za upravljenje temperaturom prostora grijanje, sa digitalnim displajem, za montažu u zid</t>
  </si>
  <si>
    <t>Dobava i montaža dvocijevni kazetni ventilokonvektor za grijanje i hlađenje, u kompletu ukrasnom maskom, filterom, izmjenjivačem, 3-brzinskim ventilatorom, pumpom i tavicom za odvod kondenzata, montažnim i sitnim potrošnim materijalom
kriterij za nuđenje: učini ne manji i buka ne veća od tražene
Qhl = 3675 W, tw= 7/12°C; tz=26°C 50%
Qgr = 5122 W, tw= 45/40°C; tz=20°C
Lp= 40 dB(A) na 1 m</t>
  </si>
  <si>
    <t>VODOVOD I KANALIZACIJA UKUPNO</t>
  </si>
  <si>
    <t>SPRINKLER UKUPNO</t>
  </si>
  <si>
    <t>PRISTUPNI PUT UKUPNO</t>
  </si>
  <si>
    <t>4.A.</t>
  </si>
  <si>
    <t>4.A.1.</t>
  </si>
  <si>
    <t>4.A.1.1.</t>
  </si>
  <si>
    <t>4.A.1.2.</t>
  </si>
  <si>
    <t>4.A.1.3.</t>
  </si>
  <si>
    <t>4.A.1.4.</t>
  </si>
  <si>
    <t>DN 100 x 2200; PN 10</t>
  </si>
  <si>
    <t>Dobava i montaža protupožarnog ormarića za vanjsku hidrantsku mrežu sa svom opremom. U cijenu su uključeni vijci, sav brtveni i spojni materijal te potreban rad.
Ključ za spojnice ABC - kom1
Tlačna trevira cijev ∅ 52 mm
l = 20 m sa spojnicama C - kom4
Mlaznica sa zasunom ∅ 52 mm - kom 2
Ormarić
Temelj veličine 30 x 50 x 90 cm iz
betona C-20 - kom2</t>
  </si>
  <si>
    <t>Dobava i montaža protupožarne hidrostanice sa dvije paralelno spojene crpke montirane na zajednički okvir, ulaznim i izlaznim kolektorom (sve od nehrđajućeg čelika), armaturom, ormarićem za upravljanje sa ugrađenom mikroprocesorom kontroliranom jedinicom s LCD zaslonom, mogućnošću automatske kaskadne kontrole crpki, automatskom samokontrolom crpki te funkcijama zaštite i monitoringa crpki.
Ugrađene crpke su vertikalne, in line crpke s patronskim mehaničkim brtvama, ugrađenom termičkom zaštitom, izrađene iz nehrđajućeg čelika.
Nepovratni ventili moraju biti ugrađeni na usisnoj strani svake crpke.
Sa hidrostanicom isporučiti membranski spremnik kapaciteta 300 lit, PN10 bar te senzor tlaka za zaštitu od rada na suho, zidnu elektro grijalicu 1kW kao zaštita od smrzavanja, muljnu pumpu Pel=300W te ventilator snage 200W kao zaštita od prevelike vlage u prostoriji hidrostanice.</t>
  </si>
  <si>
    <t>RADNA TOČKA HIDROSTANICE:
Q=15 l/s
H=47 m
Režim rada: dvije radne crpke</t>
  </si>
  <si>
    <t>Dobava i montaža hidrostanice za podizanje tlaka sanitarne vode.
Stavka uključuje
dvije paralelno spojene crpke Pel.= 2x 1,5 kW
Nazivni napon: 3 x 380-415 V
-muljna pumpa za slučaj propuštanja Pel.= 300W
-ventilacija okna= 200W
-zidna el. grijalica= 800W
-na spoj hidrostanice ugraditi bypass te 3x kuglasti ventil za zatvaranje u sva 3 smjera Radna točka pumpe:
Q=1,5 l/s
H=45 m
NAPOMENA:
izvođač je dužan dovesti stavku do potpune funkcionalnosti.
Uz hidrostanicu isporučiti i izjavu o sukladnosti.
Puštanje u pogon hidrostanice treba biti izvedeno od strane servisa ovlaštenog od proizvođača.</t>
  </si>
  <si>
    <t>Dobava i montaža tvrdih PVC SN4 i SN8 tvrdih cijevi i fazonskih komada za kanalizaciju. Spajanje cijevi izvoditi gumenim prstenima</t>
  </si>
  <si>
    <t>Separator treba biti siguran od djelovanja sila uzgona do visine podzemne vode do uljeva u separator. Interijer separatora mora biti premazan višeslojnim zaštitnim epoksidnim premazom, a unutarnji elementi separatora trebaju biti izrađeni iz PEHD-a (otpornost na masne kiseline).
Kontrola i pražnjenje separatora se vrši preko poklopca. Pristup u separator mora biti u skladu s HRN EN 476 ili jednakovrijedno.</t>
  </si>
  <si>
    <t>Dobava i montaža cijevi iz polietilena za pitku vodu. Cijevi su predviđene za izvedbu priključnog sanitarnog voda sa radnim tlakom do 10 bar u mreži. Serija cijevi u odnosu na radni tlak: S 5. U dužni metar cijevi uračunato je spajanje cijevi, ispitivanje zavarenih dijelova na nepropusnost i čvrstoću te popravak oštećenja. U stavku uračunati i elektrospojnice i sve fazonske komade.</t>
  </si>
  <si>
    <t>Dobava i montaža PP niskošumnih kanalizacijskih cijevi (prema EN ISO/IEC 17025 ili jednakovrijedno i DIN 4109 ili jednakovrijedno), te odgovarajućih fazonskih komada za vertikalnu kanalizaciju. Spajanje cijevi izvoditi usađivanjem u naglavke s gumenim prstenima.
U jediničnu cijenu uračunati fazonske komade.
a) niskošumna cijev PP (sanitarna kanalizacija, vertikale)</t>
  </si>
  <si>
    <t>Dobava i montaža toplinske i zvučne izolacije vertikalno i horizontalno vođene sanitarno fekalne kanalizacije gotovim izolacijskim cijevima ili samoljepivim izolacijskim pločama, debljine 9mm.</t>
  </si>
  <si>
    <t>Dobava, prijenos i montaža podnog suhog slivnika sa zaporom mirisa.
S kromiranom rešetkom 120x120mm.
Obračun po kompletu
NAPOMENA: sve tehničke karakteristike mogu odstupati +/- 5%</t>
  </si>
  <si>
    <t>Dobava i montaža privremenog građevinskog čepa za kanalizaciju od PP, za zatvaranje odvodnih priključaka u fazi gradnje.</t>
  </si>
  <si>
    <t xml:space="preserve">Dobava i montaža požarnih obujmica F90 za montažu na kanalizacijske cijevi:
</t>
  </si>
  <si>
    <t>Dobava i montaža vodovodnih cijevi za vruću i hladnu pitku vodu, 67°C . Vodovodne cijevi isporučuju se u šipkama po 4m. U cijenu uračunati sav potreban sitni pribor, spojni materijal, fazonske komade, prelazne komade polipropilen/čelik i potreban učvrsni i ovjesni pribor.
HLADNA VODA</t>
  </si>
  <si>
    <t>Dobava i montaža vodovodnih cijevi za vruću i hladnu pitku vodu, 67°C . Vodovodne cijevi isporučuju se u šipkama po 4m. U cijenu uračunati sav potreban sitni pribor, spojni materijal, fazonske komade, prelazne komade polipropilen/čelik i potreban učvrsni i ovjesni pribor.
TOPLA VODA</t>
  </si>
  <si>
    <t>Dobava i montaža: Izolacija toplih plastičnih vodovodnih cijevi gotovim izolacijskim cijevima.</t>
  </si>
  <si>
    <t>Dobava i montaža: Izolacija hladnih vodovodnih cijevi gotovim izolacijskim cijevima tipa
U zidovima, podovima</t>
  </si>
  <si>
    <t>Dobava i montaža privremenog građevinskog čepa sa navojem od mesinga za provođenje tlačne probe cjevovoda. Čep za pritisak do 15 bar-a, samobrtveći sa ravnom brtvom i masivnim unutrašnjim imbusom SW12, plav ili crven.</t>
  </si>
  <si>
    <t>Dobava i montaža tipske provodnice za provođenje PEHD cijevi kroz zid podruma, za brtvljenje i sprečavanje ulaza vode kroz zid podruma. Kao tipski proizvod tvrtke Roxtec ili jednakovrijedno.</t>
  </si>
  <si>
    <t>rukohvata s obje strane i odgovarajuća tipka sa senzorom .
-rukohvata obostrano (jedan fiksni, drugi podizni)
-zidnog nosača od inoxa s WC četkom
držača toalet papira od inoxa</t>
  </si>
  <si>
    <t>R⅜" za priključak vode sa sitima protiv nečistoća i nepovratnim ventilima.
gibljivim zakretnim ogledalom s dva zgloba
- 2 kutna ventila DN15 spojenim na dovod vode;
Obračun po kompletu.</t>
  </si>
  <si>
    <t xml:space="preserve">-zidnog nosača od inoxa s WC četkom
držača toalet papira od inoxa
WC školjka zidna
</t>
  </si>
  <si>
    <t xml:space="preserve">Dobava, prijenos i montaža kompletnog umivaonika, koji se sastoji od:
*-keramičkog umivaonika s poniklanim samočistećim sifonom s ispustom d32 mm
*-montažnog instalacijskog elementa za umivaonik visine ugradnje 112 cm.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
• jednoručne stojeće mješajuće baterije za THV Ø15mm uključivo i kutne ventile za THV
• kutnim ventilima (spoj na vodovod) sa ukrasnom kapom i rozetom
• svim potrebnim priborom za brtvljenje i montažu
</t>
  </si>
  <si>
    <t>Dobava i montaža TUŠ KADE.
Komplet funkcionalna izvedba sa:
- termoregulirajućom zidnom garniturom Ø 15 mm za TH vodu, telefon tušem, nosačem za tuš
- izljevnim ventilom Ø 32 mm za tuš kadu
- preljevnim ventilom Ø 25 mm
- priborom za brtvljenje i pričvršćenje
- L kabinom s staklenim vratima (kaljeno staklo) za učvrčenje na čvrste zidove</t>
  </si>
  <si>
    <t xml:space="preserve">Sanitarna kanta
</t>
  </si>
  <si>
    <t xml:space="preserve">Ogledalo 800x600x5 mm
</t>
  </si>
  <si>
    <t xml:space="preserve">Sapunara-keramička
</t>
  </si>
  <si>
    <t xml:space="preserve">Držač ručnika - kromirani
</t>
  </si>
  <si>
    <t xml:space="preserve">Držač ručnika - rolo
</t>
  </si>
  <si>
    <t xml:space="preserve">Vješalica-dupla
</t>
  </si>
  <si>
    <t>4.B.</t>
  </si>
  <si>
    <t>4.A.1.5.</t>
  </si>
  <si>
    <t>4.A.1.6.</t>
  </si>
  <si>
    <t>4.A.1.7.</t>
  </si>
  <si>
    <t>4.A.1.8.</t>
  </si>
  <si>
    <t>4.A.1.9.</t>
  </si>
  <si>
    <t>4.A.1.10.</t>
  </si>
  <si>
    <t>4.A.2.</t>
  </si>
  <si>
    <t>4.A.2.1.</t>
  </si>
  <si>
    <t>4.A.2.2.</t>
  </si>
  <si>
    <t>4.A.2.3.</t>
  </si>
  <si>
    <t>4.A.2.4.</t>
  </si>
  <si>
    <t>4.A.2.5.</t>
  </si>
  <si>
    <t>4.A.2.6.</t>
  </si>
  <si>
    <t>4.A.2.7.</t>
  </si>
  <si>
    <t>4.A.2.8.</t>
  </si>
  <si>
    <t>4.A.2.9.</t>
  </si>
  <si>
    <t>4.A.3.</t>
  </si>
  <si>
    <t>4.A.3.1.</t>
  </si>
  <si>
    <t>4.A.3.2.</t>
  </si>
  <si>
    <t>4.A.3.3.</t>
  </si>
  <si>
    <t>4.A.3.4.</t>
  </si>
  <si>
    <t>4.A.3.5.</t>
  </si>
  <si>
    <t>4.A.3.6.</t>
  </si>
  <si>
    <t>4.A.4.</t>
  </si>
  <si>
    <t>4.A.4.1.</t>
  </si>
  <si>
    <t>4.A.4.2.</t>
  </si>
  <si>
    <t>4.A.5.</t>
  </si>
  <si>
    <t>4.A.5.1.</t>
  </si>
  <si>
    <t>4.A.5.2.</t>
  </si>
  <si>
    <t>4.A.5.3.</t>
  </si>
  <si>
    <t>4.A.5.4.</t>
  </si>
  <si>
    <t>4.A.5.5.</t>
  </si>
  <si>
    <t>4.A.5.6.</t>
  </si>
  <si>
    <t>4.A.5.7.</t>
  </si>
  <si>
    <t>4.A.5.8.</t>
  </si>
  <si>
    <t>4.A.5.9.</t>
  </si>
  <si>
    <t>4.A.5.10.</t>
  </si>
  <si>
    <t>4.A.6.</t>
  </si>
  <si>
    <t>4.A.6.1.</t>
  </si>
  <si>
    <t>4.A.6.2.</t>
  </si>
  <si>
    <t>4.A.6.3.</t>
  </si>
  <si>
    <t>4.A.6.4.</t>
  </si>
  <si>
    <t>4.A.6.5.</t>
  </si>
  <si>
    <t>4.A.7.</t>
  </si>
  <si>
    <t>4.A.7.1.</t>
  </si>
  <si>
    <t>4.B.1.</t>
  </si>
  <si>
    <t>4.B.1.1.</t>
  </si>
  <si>
    <t>4.B.2.</t>
  </si>
  <si>
    <t>4.B.2.1.</t>
  </si>
  <si>
    <t>4.B.2.2.</t>
  </si>
  <si>
    <t>4.B.2.3.</t>
  </si>
  <si>
    <t>4.B.2.4.</t>
  </si>
  <si>
    <t>4.B.2.5.</t>
  </si>
  <si>
    <t>4.B.2.6.</t>
  </si>
  <si>
    <t>4.B.2.7.</t>
  </si>
  <si>
    <t>4.B.2.8.</t>
  </si>
  <si>
    <t>4.B.2.9.</t>
  </si>
  <si>
    <t>4.B.2.10.</t>
  </si>
  <si>
    <t>4.B.2.11.</t>
  </si>
  <si>
    <t>4.B.2.12.</t>
  </si>
  <si>
    <t>4.B.2.13.</t>
  </si>
  <si>
    <t>4.B.2.14.</t>
  </si>
  <si>
    <t>4.B.2.15.</t>
  </si>
  <si>
    <t>4.B.2.16.</t>
  </si>
  <si>
    <t>4.B.2.17.</t>
  </si>
  <si>
    <t>4.B.3.</t>
  </si>
  <si>
    <t>4.B.3.1.</t>
  </si>
  <si>
    <t>4.C.</t>
  </si>
  <si>
    <t>4.C.1.</t>
  </si>
  <si>
    <t>4.C.1.1.</t>
  </si>
  <si>
    <t>4.C.2.</t>
  </si>
  <si>
    <t>4.C.2.1.</t>
  </si>
  <si>
    <t>4.C.2.2.</t>
  </si>
  <si>
    <t>4.C.2.3.</t>
  </si>
  <si>
    <t>4.C.2.4.</t>
  </si>
  <si>
    <t>4.C.2.5.</t>
  </si>
  <si>
    <t>4.C.2.6.</t>
  </si>
  <si>
    <t>4.C.2.7.</t>
  </si>
  <si>
    <t>4.C.2.8.</t>
  </si>
  <si>
    <t>4.C.2.9.</t>
  </si>
  <si>
    <t>4.C.2.10.</t>
  </si>
  <si>
    <t>4.C.2.11.</t>
  </si>
  <si>
    <t>4.C.2.12.</t>
  </si>
  <si>
    <t>4.C.2.13.</t>
  </si>
  <si>
    <t>4.C.2.14.</t>
  </si>
  <si>
    <t>4.C.2.15.</t>
  </si>
  <si>
    <t>4.C.2.16.</t>
  </si>
  <si>
    <t>4.C.3.</t>
  </si>
  <si>
    <t>4.C.3.1.</t>
  </si>
  <si>
    <t>4.D.</t>
  </si>
  <si>
    <t>4.D.1.</t>
  </si>
  <si>
    <t>4.D.2.</t>
  </si>
  <si>
    <t>4.D.3.</t>
  </si>
  <si>
    <t>4.D.4.</t>
  </si>
  <si>
    <t>4.D.5.</t>
  </si>
  <si>
    <t>4.D.6.</t>
  </si>
  <si>
    <t>4.D.7.</t>
  </si>
  <si>
    <t>4.E.</t>
  </si>
  <si>
    <t>4.E.1.</t>
  </si>
  <si>
    <t>4.E.2.</t>
  </si>
  <si>
    <t>4.E.3.</t>
  </si>
  <si>
    <t>4.E.4.</t>
  </si>
  <si>
    <t>6.1.</t>
  </si>
  <si>
    <t>6.2.</t>
  </si>
  <si>
    <t>DIZALO D1 UKUPNO</t>
  </si>
  <si>
    <t>DIZALA UKUPNO</t>
  </si>
  <si>
    <t>(OTU I st. 1-02.).
Geodetski radovi pri iskolčenju, iskolčenje i građenje obuhvaćaju:
a) iskolčenje osi prometnica sa čvrstim oznakama na terenu i osiguranje tjemena
b) iskolčenje poprečnih profila i iskolčenje kompletne prometne površine
c) sva mjerenja koja su u vezi s prijenosom podataka iz projekata na teren i obrnuto, za sve vrijeme građenja
d) održavanje iskolčenih oznaka na terenu u cijelom razdoblju od početka radova do predaje radova investitoru
e) prije početka radova potrebno je "grubo iskolčiti" cijelu situaciju, sve objekte, instalacije i ceste, da se ustanovi točnost parcele i površine za građenje,
f) izradu snimka izvedenog stanja.
Rad se mjeri u m2 zahvata u skladu s projektima. Osiguranje osi, održavanje i obnova osi i drugih točaka nužnih za uspješno izvođenje radova za sve vrijeme građenja, te potreban materijal i troškovi prijevoza vezani uz taj radu plaćaju se po m2 zahvata.</t>
  </si>
  <si>
    <t xml:space="preserve">Automatska hidraulična rampa 
   • letva duljine 3m
   • vrijeme ciklusa (otvaranje/zatvaranje) 3s
   • kontakti za prikaz statusa rampe
   • ugrađen ventilator
   • elektronsko usporavanje
   • ručna deblokada u slučaju nestanka struje
   • namjenjena za kontinuirani rad
   • napajanje 230VAC (+6%-10%) 50 Hz
   • termalna zaštita motora do 120°C
   • radna temperatura -20°C  do +55°C 
   • potrošnja maksimalno 220W
tip FAAC 620 Rapid ili jednakovrijedan </t>
  </si>
  <si>
    <t xml:space="preserve">Faac eksterni prijemnik, XR2 433C ili jednakovrijedan </t>
  </si>
  <si>
    <t xml:space="preserve">Faac daljinski upravljač, XT2 433SLH ili jednakovrijedan </t>
  </si>
  <si>
    <t>(OTU III st.5-01)
Nosivi sloj izvodi se od mehanički zbijenog zrnatog kamenog materijala. Obuhvaća nabavu materijala, prijevoz, upotrebu opreme te sav rad na izradi i ugradnji sloja.
Nakon preuzimanja ispitanog planuma u pogledu zabijenosti, ravnosti projektiranih nagiba, a sve prema važečim normama, pristupa se izradi nosivog sloja od drobljenog kamenog materijala.
Za izradu ovog sloja treba upotrijebiti drobljeni kameni materijal za koji je pribavljen atest o njegovoj podobnosti za izradu nosivog sloja.
Kameni materijal se mora navoziti (navlačiti) tako da se ne ošteti izvedeni profil posteljice.
Zahtjevana zbijenost za makadamski kolnik Ms=50 MN/m2
Sve nepravilnosti utvrđene za vrijeme zbijanja mora izvođač o svom trošku ukloniti.
Sva tekuća i kontrolna ispitivanja treba vršiti prema važećim standardima i propisima u toku građenja.</t>
  </si>
  <si>
    <t>Obračun po m³ ugrađenog kamenog agregata u zbijenom stanju.</t>
  </si>
  <si>
    <t>8.4.</t>
  </si>
  <si>
    <t>8.1.1.</t>
  </si>
  <si>
    <t>8.2.1.</t>
  </si>
  <si>
    <t>8.2.2.</t>
  </si>
  <si>
    <t>8.3.1.</t>
  </si>
  <si>
    <t>MOBILIZACIJA I DEMOBILIZACIJA OPREME UKUPNO</t>
  </si>
  <si>
    <t>GEOMEHANIČKI I GEOFIZIČKI ISTRAŽNI RADOVI UKUPNO</t>
  </si>
  <si>
    <t>LABORATORIJSKA ISPITIVANJA UKUPNO</t>
  </si>
  <si>
    <t>GEOTEHNIČKI ELABORAT UKUPNO</t>
  </si>
  <si>
    <t>8.1.</t>
  </si>
  <si>
    <t>8.2.</t>
  </si>
  <si>
    <t>8.3.</t>
  </si>
  <si>
    <t>GEOMEHANIKA UKUPNO</t>
  </si>
  <si>
    <t>Dobava, montaža i spajanje invertera izlazne snage AC 10.000 W, maksimalna ulazna snaga DC 15.000 Wp STC, maksimalni ulazni napon 1.100 Vdc, nazivni napon mreže 3 ~ N-PE 400 Vac, maksimalna izlazna struja 16,9 Aac, frekvencija 50 Hz, 60 Hz / - 5Hz … +5 Hz, faktor distiorzije THD &lt; 3%, stupanj mehaničke zaštite IP65.</t>
  </si>
  <si>
    <t>Dobava i montaža vatrootporni sidreni vijak s M6 navojem i šesterokutnom maticom za direktnu montažu bez tiple. Veličina ključa 10, za provrt 5 mm. Ispitan prema ETAG 001 - dio 3 ili jednakovrijedno. Razred vatrootpornosti do R120 za beton i zid</t>
  </si>
  <si>
    <t>Brtvljenje kabelskih prodora na granici požarnih sektora smjesom vatrootpornosti EI90</t>
  </si>
  <si>
    <t>Izrada, dobava i montaža svjetlosne kupole izrađene od 2-strukog stakla sa gornjim polikarbonatskim slojem otpornim na tuču
Dimenzija kupole N= 116X116 cm , građevinski otvor K=120x120 cm, svijetli otvor L=100x130 cm.
Kupola se montira na izolirani poliesterski nastavni vijenac V= 30 cm, sa aluminijskim okvirem na koji se pričvrščuju škare sa elektromotorom koje omogučuju otvaranje kupole 140°. Kupola u skladu sa EN 12101 ili jednakovrijedno.
Elektromotor max 4.0 A 24 V DC, predviđen je za direktno otvaranje kupola prema vani.
Kućište elektromotora od laganog metala u EV1 eloksaži.</t>
  </si>
  <si>
    <t>Antena SAT GIBERTINI OP 100 AL ili jednakovrijedno</t>
  </si>
  <si>
    <t>LNB Quattro GSS GRUNDIG GLQ40 ili jednakovrijedno</t>
  </si>
  <si>
    <t>Nosač dva LNB-a GIBERTINI ili jednakovrijedno</t>
  </si>
  <si>
    <t>Multiprekidač 9/8</t>
  </si>
  <si>
    <t>Dobava, montaža i spajanje podžbuknih priključnica R-TV-SAT, modularni komplet sastavljen od: podžbukna kutija za 2 modula (1 kom), nosač za 2 modula (1 kom), priključnica R-TV-SAT, 2M (1 kom) i okvir za 2 modula (1 kom)</t>
  </si>
  <si>
    <t>Dobava i isporuka vatrootpornog ormara za smještaj vatrodojavne centrale. Izrada od čeličnog pocinčanog lima, završna obrada plastifikacijom u boji RAL kataloga po specifikaciji naručitelja- ostakljena vrata izvedena su protupožarnim staklom u klasi F60, debljine 21cm- ugrađena protupožarna brava po DIN-18250 ili jednakovrijedno i cilindar sa tri ključa- certificiran po ovlaštenim ustanovama u RH- dimenzije 80x80x25 cm</t>
  </si>
  <si>
    <t>Dobava i isporuka adresabilne sirene napajane iz petlje, niske potrošnje, sljedećih minimalnih tehničkih karakteristika:
- napajanje iz petlje ili preko vanjskog napajanja
- termoplastično kućište crvene boje
- izbor minimalno 14 tonova (putem zasebnog programatora ili centrale za dojavu požara)
- mogućnost sinkronizacije s ostalim sirenama u sustavu
- signalizacijska LED s mogućnošću mijenjanja boje
- glasnoća do 101 dB(A)@1m
- integriran izolator kratkog spoja (prema HRN EN 54-17 ili jednakovrijedno)
- radni napon minimalno u rasponu od 20 do 30Vdc
- IP65 zaštita, pogodna za vanjsku ugradnju (IP21 prema HRN EN 54-3)
- struja mirovanja najviše 0,5 mA
- struja alarma najviše 5 mA</t>
  </si>
  <si>
    <t>Dobava i isporuka adresabilne sirene s bljeskalicom napajane iz petlje, niske potrošnje, sljedećih minimalnih tehničkih karakteristika:
- napajanje iz petlje ili preko vanjskog napajanja
- termoplastično kućište crvene boje
- izbor minimalno 14 tonova i 2 jačine bljeskanja (putem zasebnog programatora ili centrale za dojavu požara)
- svjetlosno pokrivanje bljeskalicom W = 3,5-10 (prema HRN EN 54-23 ili jednakovrijedno)
- frekvencija bljeskanja 0,5 Hz
- mogućnost sinkronizacije s ostalim sirenama u sustavu
- signalizacijska LED dioda s mogućnošću mijenjanja boje
- glasnoća do 101 dB(A)@1m
- integriran izolator kratkog spoja (prema HRN EN 54-17)
- radni napon minimalno u rasponu od 18 do 30Vdc</t>
  </si>
  <si>
    <t>- IP65 zaštita, pogodna za vanjsku ugradnju (IP21 prema HRN EN 54-3 ili jednakovrijedno)
- struja mirovanja najviše 0,5 mA
- struja alarma najviše 23 mA
- radna temperatura -10°C do +55°C
- mora biti sukladna normama HRN EN 54-3, HRN EN 54-17, HRN EN 54-23 ili jednakovrijednima</t>
  </si>
  <si>
    <t>Dobava i isporuka naljepnica (putokaza) tipa D1 i D2 za označavanje puta od prijelaznog mjesta vatrogasne tehnike do centrale za dojavu požara sukladno HRN DIN 4066 ili jednakovrijedno</t>
  </si>
  <si>
    <t>Dobava i montaža dizalice topline sa zrakom hlađenim kondenzatorom (aksijalnim ventilatorima) i hidrauličkim modulom kao kompaktna jedinica sa scroll rashladnim kompresorom, sve u izvedbi za vanjsku ugradnju
Kompresor je DC inverter sa promjenjivim učinom što omogučava da jedinica radi bez hidrauličkog spremika (uz zadovoljen uvjet minimalne količine radnog medija).
U sklopu uređaja nalazi se elektrokomandni ormar sa mikroprocesorskim regulatorom za upravljanje radom uređaja uz mogućnosti klizanja prema vanjskoj temperaturi, nadzor radnih parametara, dijagnozu greške, mogućnost izbora postavne vrijednosti i prikaz parametara.
Hidraulički modul se satoji od cirkulacijske crpke (promjenjivog protoka), ekspanzijske posude i sigurnosnog ventila.
Za zaštitu hidrauličkog modula od smrzavanja isporučuje se sa ugrađenim elektrogrijačem</t>
  </si>
  <si>
    <t>Uređaj se ispručuje s kaskadnim ragulatorom za vođenje tri vjedinice i pripremu PTV-a
Uz uređaj se isporučuju protočna sklopka (flow switch), ožićeni daljinski upravljač i antivibracijska postolja
kriterij za nuđenje: učin grijanja pri -15°C i 40/45°C ne manji od traženog, energetski razred A +++ u grijanju i buka( zvučna snaga) ne veća od tražene
Qh=14,5 kW pri 7/12°C, Tok=35°C
Qg= 16kW pri 40/45°C, Tok=-15°
Qg= 16kW pri 30/35°C, Tok=7°
SCOP: 4,46
Lw= 66dB(A)</t>
  </si>
  <si>
    <t>Dobava i montaža Fleksibilnog spoja dizalice topline na cijevnu instalaciju grijanja i hlađenja, uključivo holendere i brtve</t>
  </si>
  <si>
    <t>Dobava i montaža izolacija cjevovoda od pjenastog polimera (PEEF) sa parnom branom, za sustave klimatizacije, u kompletu sa ljepilom i trakom
Toplinska vodljivost izolacije λ (0°C) ≤ 0,35 W/mK, koeficijent otpora difuziji vodene pare μ ≥ 10.000
Razred reakcije na požar prema HRN EN13501.1: B-s3d0 ili jednakovrijedno
kriterij za nuđenje: toplinska vodljivost izolacije ne manja od tražene i odgovarajući razred reakcije na požar</t>
  </si>
  <si>
    <t>automatska regulacija za upravljanje radom jedinice, u kompletu sa regulatorom, svim potrebnim osjetnicima temperature i tlaka, termostatima, presostatima, pogonima žaluzina potrebnim za upravljanje radom, ožičenim daljinskim upravljačem i modulom za spoj na CNUS
Regulacija upravlja:
- polaznom temperaturom zraka ili temperaturom prostora
- nadzor zaprljanosti filtera
- brojem okretaja ventilatora i nadzor rada ventilatora
- night i free cooling</t>
  </si>
  <si>
    <t>Dobava i ugradnja limenih pravokutnih kanala za razvod zraka izrađenih od pocinčanog čeličnog lima u kompletu s prirubnicama, brtvenim i montažnim materijalom.
Debljina lima prema EN1505 ili jednakovrijedno</t>
  </si>
  <si>
    <t>Oblaganje (dobava i ugradnja) kanala izolacijom od pjenastog polimera (PEEF) sa parnom branom, za sustave klimatizacije, u kompletu sa ljepilom i trakom
Toplinska vodljivost izolacije λ (0°C) ≤ 0,35 W/mK, koeficijent otpora difuziji vodene pare μ ≥ 7.000 (ploče)
Razred reakcije na požar prema HRN EN13501.1: B-s3d0 ili jednakovrijedno
kriterij za nuđenje toplinska vodljivost izolacije ne manja od tražene i odgovarajući razred reakcije na požar</t>
  </si>
  <si>
    <t>Oblaganje (dobava i ugradnja) kanala iznad evakuacijskih puteva mineralnom vunom debljine 25/50 mm kaširanoj na auluminijskoj foliji, u kompletu sa svim montažnim i spojnim materijalom
Razred reakcije na požar prema HRN EN13501.1: A2-s1,d0 ili jednakovrijedno</t>
  </si>
  <si>
    <t>Oblaganje (dobava i ugradnja) kanala izolacijom od pjenastog polimera (PEEF) sa parnom branom i antimikrobnom zaštitom, za sustave klimatizacije, u kompletu sa ljepilom i trakom
Toplinska vodljivost izolacije λ (0°C) ≤ 0,35 W/mK, koeficijent otpora difuziji vodene pare μ ≥ 10.000
Razred reakcije na požar prema HRN EN13501.1: B-s3d0 ili jednakovrijedno
kriterij za nuđenje toplinska vodljivost izolacije ne manja od tražene i odgovarajući razred reakcije na požar</t>
  </si>
  <si>
    <t>Dobava i montaža protupožarna zaklopka, elektromotorna, sa pogonom, povratnom oprugom (zatvoreno pri nestanku napajanja) i krajnjim kontaktima za indikaciju položaja u kompletu sa ovjesom (ovisnom o vrsti materijala zida u koji se ugrađuje) i montažnim materijalom; sve prema uputama proizvođača
vatrootpornost 90 minuta
Stavka obuhvaća sav potreban materijal i radove, izradu radioničkih nacrta i detalja koje je prije ugradnje potrebno dostaviti nadzornom inženjeru na ovjeru
Ugradnja se izvodi ovisno o materijalu od kojih su izvedeni zidovi; sve prema uputama proizvođača
kriterij za nuđenje dimenzija i vatrootpornost ne manja od tražene</t>
  </si>
  <si>
    <t>SEPARATOR MASNOĆA
Dobava i ugradnja separatora masti biljnog i životinjskog porijekla. Separator mora biti konstruiran, proizveden i testiran prema HRN EN 1825 ili jednakovrijedno, nazivne veličine NS 7 s integriranom taložnicom zapremnine 700 lit.
Minimalni kapacitet uskladištene izdvojene masti mora biti 280 lit dok sveukupni volumen ne smije biti veći od 1.500 lit.
Uljev i izljev separatora moraju biti DN 150, utični spoj s kliznom brtvom (prema HRN EN 1401 - UKC cijevi).
Dubina uljevne cijevi mjereno od kote poklopca do kote dna cijevi uljeva T = 0,7 m do 5,38 m (točnu dubinu treba definirati prije naručivanja separatora). Separator se treba isporučivati s poklopc-em/-ima prema HRN EN 124 ili jednakovrijedno, klase nosivosti D400, svijetlog otvora promjera 600mm s natpisom: "SEPARATOR".
Separator mora biti izrađen iz armiranog betona prema HRN EN 206-1 ili jednakovrijedno, razreda čvrstoče C35/45, razreda izloženosti: XA2, XC4, XD2, XF3, XS2.</t>
  </si>
  <si>
    <t>Dobava i montaža polipropilenskih kanalizacijskih cijevi visoke gustoće PP, te odgovarajućih fazonskih komada. Spajanje cijevi izvoditi usađivanjem u naglavke s gumenim prstenima.
a) cijev PP
b) fazonski komadi</t>
  </si>
  <si>
    <t>•	Sigurnosna pravila za konstrukciju i ugradnju dizala -- Dizala za prijevoz osoba i tereta -- 20. dio: 
Osobna dizala i teretno osobna dizala (EN 81-20:2014 ili jednakovrijedno)</t>
  </si>
  <si>
    <t>•	Sigurnosna pravila za konstrukciju i ugradnju dizala -- Pregledi i ispitivanja -- 50. dio: 
Pravila projektiranja, proračuni, pregledi i ispitivanja dijelova dizala (EN 81-50:2014 ili jednakovrijedno)</t>
  </si>
  <si>
    <t>•	Sigurnosna pravila za konstrukciju i ugradnju dizala – 3. dio: Električna i hidraulična maloteretna dizala EN 81-3:2000+A1:2008/AC:2009 ili jednakovrijedno</t>
  </si>
  <si>
    <t>Dozvoljene su i druge harmonizirane norme iz obitelji EN 81 ili jednakovrijedno ukoliko rješenje dizala zahtijeva pozivanje na iste. Nije dozvoljen početak ugradnje dizala prije predočenja važećih certifikata.</t>
  </si>
  <si>
    <t>Privremeni sigurnosni uređaj	
Uređaj za osiguravanje minimalno potrebnog sigurnosnog prostora na krovu kabine tijekom servisne, odnosno inspekcijske vožnje (nadvišenje dizala smanjeno u odnosu na standardno zahtijevano prema EN81-20 ili jednakovrijedno). Uređaj mora zadovoljavati odredbe EN81-21 ili jednakovrijedno.
Uređaj za otvaranje kočnice pogonskog motora dizala	
Uređaj služi za otvaranje pogonske kočnice u slučaju zastoja dizala i potrebe za evakuacijom putnika iz kabine dizala. Korištenje kočnice opisano je u uputama koje se nalaze u upravljačkom ormaru dizala. Korištenje uređaja dozvoljeno je samo uz strogo pridržavanje uputa, a spašavanje iz kabine smije provoditi samo za to ovlaštena odnosno osposobljena osoba. Uređaj može biti mehanički (na principu poluge) ili električni (napajan baterijski).
Upravljanje i elementi upravljanja
Signalizacija po stanicama	
digitalni pokazivač položaja kabine (sve stanice)
digitalni pokazivač smjera daljnje vožnje (sve stanice)
potvrda zadanog vanjskog poziva (sve stanice)
zvučni signal dolaska kabine u stanicu (sve stanice)
Vanjski pozivi po stanicama	pozivna tipka "vožnja gore" (najniža stanica)
pozivna tipka "vožnja dolje" (najviša stanica)
pozivna tipka "vožnja dolje", pozivna tipka "vožnja gore"(ostale stanice)
Signalizacija u kabini	digitalni pokazivač položaja kabine
digitalni pokazivač smjera daljnje vožnje
zvučni i optički signal prepoterećenja kabine
zvučni signal «Alarm»
potvrda zadanog kabinskog poziva</t>
  </si>
  <si>
    <t>Dobava i ugradnja odvodne cijevi debljine 0,7 mm Ø 80mm, boja po izboru projektanta uklj. sav potreban materijal i dodatnu opremu, zajedno s vodolovnim grlima. Izvedba na terasama prvog kata. Odvdone cijevi ugraditi podžbukno. Sve ostalo projektu vodovoda i odvodnje. Sve uskladiti s projektantom.</t>
  </si>
  <si>
    <t>Dobava i ugradnja obloge dimnjaka i ventilacijskih cijevi al. limom, debljine 0,70 mm, boja i kvaliteta materijala kao osnovna pozicija. Uključivo sve spojne elemente prema uputama proizvođača. Obračun po m2.</t>
  </si>
  <si>
    <t>Izvedba obloge stropa prizemlja daščanom građom koja je dobivena rušenjem starog objekta. Daščana građa mora biti očišćena od svih čavala i željeznih elemenata, obrušena i postavljena na potkronstrukciju. Završna obrada bijelim lakom.
Stavku provjeriti s troškovnikom opreme.</t>
  </si>
  <si>
    <t xml:space="preserve">Svi betonski i armiranobetonski radovi imaju se izvesti prema Tehničkom propisu za građevinske konstrukcije (NN 17/17).
Jedinična cijena mora sadržavati :
- izradu, dopremu i ugradbu betona, te zaštitu betonskih konstrukcija
- postavu i skidanje radne skele
-sve posredne i neposredne troškove za rad, materijal, alat i građevinske strojeve
- njegu betona
- uzimanje labaratorijskih uzoraka na mjestu i u vrijeme ugradnje betona za svaku tehn. fazu
Klasa betona mora biti prema projektu konstrukcije i troškovniku, sa dodacima za vodonepropusnost, ako je zahtjevano.
U toku ugradnje AB konstrukcije potrebno je uzimati uzorke betona koji se dostavljaju u ovlašteni laboratorij radi atestiranja. Uzorci betona uzeti u tvornici betona nisu relevantni zbog mogućnosti da se naknadnim dodavanjem vode zbog potrebe transporta smanji čvrstoća.
Skela i oplata moraju imati takvu sigurnost i krutost da bez štetnih deformacija mogu primati opterećenje i uticaje koji nastaju tijekom izvedbe radova, te ostvariti punu sigurnost radnika, sredstava za rad kao i prolaznika.
U cijenu oplate uključena su i podupiranja, uklještenja, te postava i skidanje sa čišćenjem i slaganjem na deponij udaljen do 80m.
Beton treba ugrađivati upotrebom vibratora. Oplata se smije skinuti tek pošto ugrađeni beton dobije odgovarajuću čvrstoću, po nalogu nadzornog inženjera. Skidanje oplata treba raditi pažljivo da ne bi došlo do oštećenja konstrukcije, a naročito tankih armirano-betonskih elemenata.
U iskazu količina oplate su izražene razvijene površine.
Betonske podloge obračunavaju se u m3.
Izvedba rupa i otvora u AB pločama i zidovima, do 3 m2, uključena je u cijenu.
Armaturu ugrađivati prema projektu savijanja željeza, ugrađivati samo očišćenu armaturu (bez hrđe), postavljenu na mjestu prema projektu konstrukcije, pomoću PVC podložaka
Izvođač je dužan izraditi projekt betona.
</t>
  </si>
  <si>
    <t>Svi betonski i armiranobetonski radovi imaju se izvesti prema Tehničkim propisima za građevinske konstrukcije (NN 17/17).
Jedinična cijena mora sadržavati :
- izradu, dopremu i ugradbu betona, te zaštitu betonskih konstrukcija
- postavu i skidanje radne skele
-sve posredne i neposredne troškove za rad, materijal, alat i građevinske strojeve
- njegu betona
- uzimanje labaratorijskih uzoraka na mjestu i u vrijeme ugradnje betona za svaku tehn. fazu
Klasa betona mora biti prema projektu konstrukcije i troškovniku, sa dodacima za vodonepropusnost, ako je zahtjevano.
U toku ugradnje AB konstrukcije potrebno je uzimati uzorke betona koji se dostavljaju u ovlašteni laboratorij radi atestiranja. Uzorci betona uzeti u tvornici betona nisu relevantni zbog mogućnosti da se naknadnim dodavanjem vode zbog potrebe transporta smanji čvrstoća.
Skela i oplata moraju imati takvu sigurnost i krutost da bez štetnih deformacija mogu primati opterećenje i uticaje koji nastaju tijekom izvedbe radova, te ostvariti punu sigurnost radnika, sredstava za rad kao i prolaznika.
U cijenu oplate uključena su i podupiranja, uklještenja, te postava i skidanje sa čišćenjem i slaganjem na deponij udaljen do 80m.
Beton treba ugrađivati upotrebom vibratora. Oplata se smije skinuti tek pošto ugrađeni beton dobije odgovarajuću čvrstoću, po nalogu nadzornog inženjera. Skidanje oplata treba raditi pažljivo da ne bi došlo do oštećenja konstrukcije, a naročito tankih armirano-betonskih elemenata.
U iskazu količina oplate su izražene razvijene površine.</t>
  </si>
  <si>
    <t>Premosne diode: 1
Klasa zaštite: II
Spajanje modula: 4,0 mm² solarni kabel sa Slimline PV konektorskim sustavom
Certifikati: ISO 9001, ISO 14001, IEC 61215:2016, IEC 61730 ili jednakovrijedno.
Jamstvo izvedbe: najmanje 97% u prvoj godini, nakon toga maksimalno smanjenje od 0,7% godišnje do 25 godina
Kompatibilnost: krovna ploča FX.12
Boja po izboru projektanta.
Snaga sustava: vidi projekt za fotonponsku elektranu.
Solarni krovni panel veliki ili ekvivalentan</t>
  </si>
  <si>
    <t>b) Thuja  (plicata ili occidentalis)</t>
  </si>
  <si>
    <t>c) Picea glauca/Picea pungens</t>
  </si>
  <si>
    <t xml:space="preserve">a) Picea abies </t>
  </si>
  <si>
    <t xml:space="preserve">Iskop rupa za sadnju novih stabala, nabava sadnica i supstrata i njihova sadnja.
Mjesta sadnje i postupci prema projektu sadnje, izrađenog od strane izvođača. </t>
  </si>
  <si>
    <t>d) Taxus baccata</t>
  </si>
  <si>
    <t>e) Chamaecyparis lawsoniana ili Cupressocyparis leylandii</t>
  </si>
  <si>
    <t>f) Abies alba</t>
  </si>
  <si>
    <t>Izvođač je dužan održavati stabla do primopredaje.</t>
  </si>
  <si>
    <t>Izrada armirano betonskih temelja ploče debljine 40 cm, odnosno prema planu oplate, betonom kvalitete C25/30 (potrebna rubna oplata). Beton spravljen u betonari od agregata do 32 mm. Rad obuhvaća: izradu jednostrane oplate, dobavu i postavljanje armature, kvašenje oplate, ubacivanje betona i zbijanje (vibriranje) sve dok se voda ne pojavi na površini. Na mjestima prekida betoniranja ugraditi streh-metal što treba uključiti u cijenu. Površina betona treba biti dobro zaglađena.
U cijenu uključiti izvedbu potrebnih otvora, usjeka, proboja i sl.</t>
  </si>
  <si>
    <t>Dvokrilna vrata na ulazu u gradilište</t>
  </si>
  <si>
    <t>Izrada, dostava i ugradnja betona kvalitete C25/30.</t>
  </si>
  <si>
    <t>Betonska podloga debljine 10 cm sa finim zaribavanjem površine kao podloge za hidroizolaciju.</t>
  </si>
  <si>
    <t>Izrada, dostava i ugradnja mikrobetona.</t>
  </si>
  <si>
    <t xml:space="preserve">Zaštita horizontalne hidroizolacije podruma slojem mikrobetona debljine 5 cm. </t>
  </si>
  <si>
    <t>Armirano betonska temeljna ploča dizala debljine 40 cm, vodonepropusnim betonom  (potrebna rubna oplata). Beton spravljen u betonari od agregata do 32 mm. Rad obuhvaća: izradu jednostrane oplate, dobavu i postavljanje armature, kvašenje oplate, ubacivanje betona i zbijanje (vibriranje) sve dok se voda ne pojavi na površini. Na mjestima prekida betoniranja ugraditi streh-metal što treba uključiti u cijenu. Površina betona treba biti dobro zaglađena.
U cijenu uključiti izvedbu potrebnih otvora, usjeka, proboja i sl.</t>
  </si>
  <si>
    <t>Armiranobetonski zidovi uljne jame debljine 20 cm, vodonepropusnim betonom u glatkoj dvostranoj oplati. Beton spravljen u betonari od agregata do 16 mm. Rad obuhvaća: izradu oplate, dobavu i postavljanje armature, kvašenje oplate, ubacivanje betona i zbijanje (vibriranje) sve dok se voda ne pojavi na površini.
U cijenu uključiti izvedbu potrebnih otvora, usjeka, proboja i sl.</t>
  </si>
  <si>
    <t>Armirano betonska temeljna ploča debljine 40 cm, vodonepropusnim betonom (potrebna rubna oplata). Beton spravljen u betonari od agregata do 32 mm. Rad obuhvaća: izradu jednostrane oplate, dobavu i postavljanje armature, kvašenje oplate, ubacivanje betona i zbijanje (vibriranje) sve dok se voda ne pojavi na površini. Na mjestima prekida betoniranja ugraditi streh-metal što treba uključiti u cijenu. Površina betona treba biti dobro zaglađena.
U cijenu uključiti izvedbu potrebnih otvora, usjeka, proboja i sl.</t>
  </si>
  <si>
    <t>Vanjski i unutarnji armiranobetonski zidovi podruma debljine 20 cm, vodonepropusnim betonom u glatkoj dvostranoj oplati. Beton spravljen u betonari od agregata do 16 mm. Rad obuhvaća: izradu oplate, dobavu i postavljanje armature, kvašenje oplate, ubacivanje betona i zbijanje (vibriranje) sve dok se voda ne pojavi na površini.
U cijenu uključiti izvedbu potrebnih otvora, usjeka, proboja i sl.</t>
  </si>
  <si>
    <t>Armiranobetonski stupovi 30x30 cm, betonom u glatkoj četverostranoj oplati. Beton spravljen u betonari od agregata do 16 mm. Rad obuhvaća: izradu oplate, dobavu i postavljanje armature, kvašenje oplate, ubacivanje betona i zbijanje (vibriranje) sve dok se voda ne pojavi na površini.
U cijenu uključiti izvedbu potrebnih otvora, usjeka, proboja i sl.</t>
  </si>
  <si>
    <t>Armirano betonska stropna ploča iznad podruma debljine 20 cm betonom u potrebnoj oplati. Beton spravljen u betonari od agregata do 32 mm. Rad obuhvaća: izradu oplate, dobavu i postavljanje armature, kvašenje oplate, ubacivanje betona i zbijanje (vibriranje) sve dok se voda ne pojavi na površini. U cijenu uključiti izvedbu potrebnih otvora, usjeka, proboja i sl.</t>
  </si>
  <si>
    <t>Armirano betonska stropna ploča iznad prizemlja debljine 12 cm u potrebnoj oplati. Beton spravljen u betonari od agregata do 32 mm. Rad obuhvaća: izradu oplate, dobavu i postavljanje armature, kvašenje oplate, ubacivanje betona i zbijanje (vibriranje) sve dok se voda ne pojavi na površini. U cijenu uključiti izvedbu potrebnih otvora, usjeka, proboja i sl.
Postava na lamelirane drvene nosače.</t>
  </si>
  <si>
    <t>Armirano betonska stropna ploča u šahtu (nosač za dimnjak, površine za invalide) debljine 20 cm u potrebnoj oplati. Beton spravljen u betonari od agregata do 32 mm. Rad obuhvaća: izradu oplate, dobavu i postavljanje armature, kvašenje oplate, ubacivanje betona i zbijanje (vibriranje) sve dok se voda ne pojavi na površini. U cijenu uključiti izvedbu potrebnih otvora, usjeka, proboja i sl.</t>
  </si>
  <si>
    <t>Vanjski i unutarnji armirano betonski zidovi prizemlja debljine 20 cm u glatkoj dvostranoj oplati. Beton spravljen u betonari od agregata do 16 mm. Rad obuhvaća: izradu dvostrane oplate, dobavu i postavljanje armature, kvašenje oplate, ubacivanje betona i zbijanje (vibriranje) sve dok se voda ne pojavi na površini.
U cijenu uključiti izvedbu potrebnih otvora, usjeka, proboja i sl.</t>
  </si>
  <si>
    <t>Armiranobetonski stupovi prizemlja 30x30 cm u glatkoj četverostranoj oplati. Beton spravljen u betonari od agregata do 16 mm. Rad obuhvaća: izradu oplate, dobavu i postavljanje armature, kvašenje oplate, ubacivanje betona i zbijanje (vibriranje) sve dok se voda ne pojavi na površini.
U cijenu uključiti izvedbu potrebnih otvora, usjeka, proboja i sl.</t>
  </si>
  <si>
    <t>Armiranobetonske grede prizemlja 30x34 cm u glatkoj trostranoj oplati. Beton spravljen u betonari od agregata do 16 mm. Rad obuhvaća: izradu oplate, dobavu i postavljanje armature, kvašenje oplate, ubacivanje betona i zbijanje (vibriranje) sve dok se voda ne pojavi na površini.
U cijenu uključiti izvedbu potrebnih otvora, usjeka, proboja i sl.</t>
  </si>
  <si>
    <t>Armirano betonsko trokrako stubište s međupodestima od prizemlja do kata, betonom kvalitete C25/30 u potrebnoj glatkoj oplati. Beton spravljen u betonari od agregata do 16 mm. Rad obuhvaća: izradu oplate, dobavu i postavljanje armature, kvašenje oplate, ubacivanje betona i zbijanje (vibriranje) sve dok se voda ne pojavi na površini.
U cijenu uključiti izvedbu potrebnih otvora, usjeka, proboja i sl.</t>
  </si>
  <si>
    <t>Armirano betonsko trookrako stubište s međupodestom od podruma do prizemlja, u potrebnoj glatkoj oplati. Beton spravljen u betonari od agregata do 32 mm. Rad obuhvaća: izradu oplate, dobavu i postavljanje armature, kvašenje oplate, ubacivanje betona i zbijanje (vibriranje) sve dok se voda ne pojavi na površini.
U cijenu uključiti izvedbu potrebnih otvora, usjeka, proboja i sl.</t>
  </si>
  <si>
    <t>Armirano betonski zidovi 1. kata debljine 20 cm u glatkoj dvostranoj oplati. Beton spravljen u betonari od agregata do 16 mm. Rad obuhvaća: izradu dvostrane oplate, dobavu i postavljanje armature, kvašenje oplate, ubacivanje betona i zbijanje (vibriranje) sve dok se voda ne pojavi na površini.
U cijenu uključiti izvedbu potrebnih otvora, usjeka, proboja i sl.</t>
  </si>
  <si>
    <t>Armirano betonsko četverokrako stubište s međupodestima od kata do potkrovlja, betonom kvalitete C25/30 u potrebnoj glatkoj oplati. Beton spravljen u betonari od agregata do 16 mm. Rad obuhvaća: izradu oplate, dobavu i postavljanje armature, kvašenje oplate, ubacivanje betona i zbijanje (vibriranje) sve dok se voda ne pojavi na površini.
U cijenu uključiti izvedbu potrebnih otvora, usjeka, proboja i sl.</t>
  </si>
  <si>
    <t>Armirano betonski zidovi 2. kata debljine 20 cm betonom kvalitete C25/30 u glatkoj dvostranoj oplati. Beton spravljen u betonari od agregata do 16 mm. Rad obuhvaća: izradu dvostrane oplate, dobavu i postavljanje armature, kvašenje oplate, ubacivanje betona i zbijanje (vibriranje) sve dok se voda ne pojavi na površini.
U cijenu uključiti izvedbu potrebnih otvora, usjeka, proboja i sl.</t>
  </si>
  <si>
    <t>Armirano betonska kosa krovna ploča na oknu dizala i ventilacijskog kanala debljine 20 cm betonom kvalitete C25/30 u potrebnoj oplati. Beton spravljen u betonari od agregata do 32 mm. Rad obuhvaća: izradu oplate, dobavu i postavljanje armature, kvašenje oplate, ubacivanje betona i zbijanje (vibriranje) sve dok se voda ne pojavi na površini. U cijenu uključiti izvedbu potrebnih otvora, usjeka, proboja i sl.</t>
  </si>
  <si>
    <t>Armirano betonsko jednokrako stubište s podestom na ulazima u podrum, betonom kvalitete C25/30 u potrebnoj glatkoj oplati. Beton spravljen u betonari od agregata do 16 mm. Rad obuhvaća: izradu oplate, dobavu i postavljanje armature, kvašenje oplate, ubacivanje betona i zbijanje (vibriranje) sve dok se voda ne pojavi na površini.
U cijenu uključiti izvedbu potrebnih otvora, usjeka, proboja i sl.</t>
  </si>
  <si>
    <t>Jednokrako stubište na terenu u potrebnoj glatkoj oplati. Beton spravljen u betonari od agregata do 16 mm. Rad obuhvaća: izradu oplate, dobavu i postavljanje armature, kvašenje oplate, ubacivanje betona i zbijanje (vibriranje) sve dok se voda ne pojavi na površini.
U cijenu uključiti izvedbu potrebnih otvora, usjeka, proboja i sl.</t>
  </si>
  <si>
    <t>Armirano betonski potporni i uporni zidovi na parceli, debljine 20 cm, betonom kvalitete C25/30 u potrebnoj dvostranoj oplati. Rad obuhvaća: izradu oplate, dobavu i postavljanje armature, kvašenje oplate, ubacivanje betona i zbijanje (vibriranje) sve dok se voda ne pojavi na površini.
U cijenu uključiti izvedbu potrebnih otvora, usjeka, proboja i sl.</t>
  </si>
  <si>
    <t>Armirano betonski temelji potpornih i upornih zidova na parceli u zemlji. Rad obuhvaća: izradu oplate, dobavu i postavljanje armature, kvašenje oplate, ubacivanje betona i zbijanje (vibriranje) sve dok se voda ne pojavi na površini.
U cijenu uključiti izvedbu potrebnih otvora, usjeka, proboja i sl.</t>
  </si>
  <si>
    <t>Izrada, dostava i ugradnja betona.</t>
  </si>
  <si>
    <t>Dobava i ugradnja blok opeke.</t>
  </si>
  <si>
    <t>Dobava i ugradnja dimnjaka.</t>
  </si>
  <si>
    <t>Dobava i ugradnja okvira za korito za pranje cipela od AB, završna obrada kao kulir.</t>
  </si>
  <si>
    <t>Dobava i ugradnja žbuke</t>
  </si>
  <si>
    <t>Dobava i ugradnja mikroarmiranog estriha.</t>
  </si>
  <si>
    <t>Dobava i ugradnja armiranog estriha.</t>
  </si>
  <si>
    <t>Dobava i ugradnja mesinganog "L" profila 30/30/3 mm u podnu konstrukciju za razliku dva poda u materijalima ili visini.</t>
  </si>
  <si>
    <t>Dobava i ugradnja čeličnog okvira za kokos otirač ispred ulaza u objekt. Ugradba se vrši cementnim mortom MM-10 u uštemane rupe u podu.
a) okvir veličine 2,20 x1,00 m</t>
  </si>
  <si>
    <t>Dobava i ugradnja tipskih ventilacijskih rešetki veličine 20x40 cm od aluminijskog lima (isti materijal kao pokrov i obloga dimnjaka) na ventilacijskim kanalima iznad krova. Ugradba se vrši cementnim mortom MM-10.</t>
  </si>
  <si>
    <t>Završno čišćenje objekta</t>
  </si>
  <si>
    <t>Čišćenje objekta</t>
  </si>
  <si>
    <t>Dobava i ugradnja cementnog morta za zaštitu podnih instalacija. Zaštita se izvodi u dogovoru sa izvođačem instalacija, a nakon izvršenih ispitivanja instalacija.</t>
  </si>
  <si>
    <t>Dobava i ugradnja cementnog morta za izvedbu holkera na spoju poda i zida na spoju horizontalne i vertikalne hidroizolacije podruma.</t>
  </si>
  <si>
    <t>Dobava i ugradnja vapneno cementnog morta debljine 2 cm, za žbukanje bočnih strana stubišnih krakova nakon postavljanja kamenog opločenja, s prethodnim prskanjem površina cementnim mlijekom uz dodatak krupnog pijeska. Sve uglove je potrebno ojačati ugradnjom tipskih elemenata za ojačanje.
Sve betonske površine prethodno premazati SN vezom.</t>
  </si>
  <si>
    <t>Dobava i ugradnja produžnog cementnog morta debljine 2 cm za izradu grube i fine žbuke podgleda stubišnih krakova, s prethodnim premazivanjem SN vezom i prskanjem površina cem. mlijekom uz dodatak krupnog pijeska.</t>
  </si>
  <si>
    <t>Dobava i ugradnja cementnog i produžnog morta</t>
  </si>
  <si>
    <t>Zidarska obrada</t>
  </si>
  <si>
    <t>U ukupnu cijenu su uklljučene razne zidarske pripomoći kod montaže svih vrsta instalacija i opreme prema utrošenim satima ovjerenim od strane nadzornog inženjera.</t>
  </si>
  <si>
    <t>Dobava, izvedba, amortizacija i demontaža fasadne skele visine do 15 m od tipskih elemenata ili od bešavnih cijevi i spojnica. Prije izvedbe skele, izvođač je dužan izraditi projekat skele, za svaku stranu objekta posebno, u kome treba obuhvatiti sve mjere zaštite na radu, zaštite radnika na skeli, zaštite eventualnih prolaznika, uzemljenje protiv udara groma ili visokog napona i statičke sigurnosti skele. Skelu treba "obući" u jutenu tkaninu ili plastičnu foliju.
Dio skele se izvodi konzolno iznad susjednih objekata.
Obračun po m2 horizontalne projekcije skele na teren, mjereno po rubovima skele.</t>
  </si>
  <si>
    <t>Dobava i postava točkastih snjegobrana za krovne panele, boje i kvalitete materijala kao osnovna pozicija, (visina 60mm, širina 40 mm.) koji se ugrađuju u falc panela. Snjegobrane ugraditi sukladno normi ÖNORM B 1991-1-3 ili jednakovrijedno prema shemi FX.12 2 3,4 kom /m2. U prva dva početna reda ugraditi dva snjegobrane na svaki panel.Uklj. čavle za krovnu ljepenku 2,8/25.</t>
  </si>
  <si>
    <t>Izvedba opločenja vidljivog dijela armiranobetonskih potpornih i upornih zidova prirodnim lomljenim kamenom prema odabiru projektanta. Kamen je potrebno impregnirati vodootpornim premazom.
Kamen se postavlja u cementni mort što treba uključiti u cijenu.</t>
  </si>
  <si>
    <t>Dobava i izvedba spuštenog stropa od gips-kartonskih ploča debljine 1,25 cm na potrebnoj potkonstrukciji. Potkonstrukcija se pričvršćuje na drvenu stropnu konstrukciju.
U cijenu uključiti sva potrebna sredstva za pričvršćenje i potkonstrukciju, te gletanje spojeva ploča i ojačanja uglova rabic pletivom.</t>
  </si>
  <si>
    <t>Dobava i izvedba spuštenog stropa od vodootpornih gips-kartonskih ploča debljine 1,25 cm na potrebnoj potkonstrukciji. Strop se postavlja u sanitarijama. Potkonstrukcija se pričvršćuje na drvenu stropnu konstrukciju.
U cijenu uključiti sva potrebna sredstva za pričvršćenje i potkonstrukciju, te gletanje spojeva ploča i ojačanja uglova rabic pletivom.</t>
  </si>
  <si>
    <t>Dobava i izvedba maski od gips-kartonskih ploča debljine 1,25 cm na potrebnoj potkonstrukciji.
U cijenu uključiti sva potrebna sredstva za pričvršćenje i potkonstrukciju, te gletanje spojeva ploča i ojačanja uglova rabic pletivom.</t>
  </si>
  <si>
    <t>Dobava i izvedba unutrašnjeg suhomontažnog pregradnog zida debljine 15 cm (elektro ormari i sprinkler stanica), vatrootpornosti 90 minuta.
Jedinična cijena obuhvaća izradu nosive konstrukcije zida od samostojećih metalnih profila, dobavu i ugradnju ploča kamene vune, te izradu obloge od velikoformatnih gipskartonskih ploča s bandažiranjem i gletanjem spojeva kao pripremom za soboslikarsko-ličilačke radove.
- gipskartonske vatrootporne ploče 2x1,25 cm GKB
- samostojeći metalni profili CW 100 mm
- kamena vuna (50 kg/m3), d=5,0 cm
- gipskartonske vatrootporne ploče 2x1,25 cm GKB</t>
  </si>
  <si>
    <t>Dobava i izvedba unutrašnjeg suhomontažnog pregradnog zida debljine 20 cm (ulazni prostor), vatrootpornost 60 minuta.
Jedinična cijena obuhvaća izradu nosive konstrukcije zida od samostojećih metalnih profila, dobavu i ugradnju ploča kamene vune, te izradu obloge od velikoformatnih gipskartonskih ploča s bandažiranjem i gletanjem spojeva kao pripremom za soboslikarsko-ličilačke radove.
- gipskartonske vatrootporne ploče 2x1,25 cm GKB
- samostojeći metalni profili CW 150 mm
- kamena vuna (50 kg/m3), d=5,0 cm
- gipskartonske vatrootporne ploče 2x1,25 cm GKB</t>
  </si>
  <si>
    <t>Dobava i izvedba spuštenog stropa od vatrootpornih gips-kartonskih ploča debljine 2,0 cm na potrebnoj potkonstrukciji, za postizanje vatrootpornosti 90 minuta.. Potkonstrukcija se pričvršćuje na drvenu stropnu konstrukciju.
U cijenu uključiti sva potrebna sredstva za pričvršćenje i potkonstrukciju, te gletanje spojeva ploča i ojačanja uglova rabic pletivom.</t>
  </si>
  <si>
    <t>Dobava i izvedba vatrootporne obloge oko kanalice elektroinstalacija u spuštenom stropu sanitarija (odijeljivanje od ostalih instalacija), od vatrootpornih gips-kartonskih ploča, debljine 2,0 cm, za postizanje vatrootpornosti 90 minuta.
Oblaganje kanalice dimenzija 200 x 100 mm, duljina 10 m.</t>
  </si>
  <si>
    <t>Dobava i izvedba vatrootporne obloge dimnjaka, po cijeloj visini dimnjaka, sve do vrha dimnjaka. Postići vatrootpornost od 60 minuta. Obloga gips-kartonskim pločama debljine 2,0 cm, sa svim potrebnim sredstvima.
Visina dimnjaka 12,0 m.</t>
  </si>
  <si>
    <t>Dobava i izvedba vatrootporne obloge odvoda nape do krova. Postići vatrootpornost od 60 minuta. Obloga gips-kartonskim pločama debljine 2,0 cm, sa svim potrebnim sredstvima.
Visina 9,5 m.</t>
  </si>
  <si>
    <t>Dobava i izvedba vatrootpornog zida šahta, debljine 10 cm, do pune visine. Postići vatrootpornost 60 minuta. Obloga gips-kartonskim pločama debljine 2,0 cm, sa svim potrebnim sredstvima.
Visina 8,5 m.</t>
  </si>
  <si>
    <t>Dobava i oblaganje elektroinstalacija jake struje u šahtu vatrootpornom oblogom u punoj visini. Postići vatrootpornost 60 minuta. Obloga gips-kartonskim pločama debljine 2,0 cm, sa svim potrebnim sredstvima.
Dimenzija kabelske police 200 x 100 mm.
Visina 12.0 m.</t>
  </si>
  <si>
    <t>Dobava i oblaganje elektroinstalacija jake struje unutar stubišta prizemlja vatrootpornom oblogom. Postići vatrootpornost 90 minuta. Obloga gips-kartonskim pločama debljine 2,0 cm, sa svim potrebnim sredstvima. Završno obložiti aluminijskim limom, debljine 1,5 mm.
Dimenzija kabelske police 200 x 100 mm.
Duljina 2.5 m</t>
  </si>
  <si>
    <t>Dobava i oblaganje stropa ulaznog dijela prizemlja i nadstrešnice vatrootpornom oblogom, ispod drvene obloge. Postići vatrootpornost 60 minuta. Obloga gips-kartonskim pločama debljine 2,0 cm, sa svim potrebnim sredstvima.</t>
  </si>
  <si>
    <t>Dobava i oblaganje vatrootpornim gipskartonskim pločama ispod solarne elektrane. Postava na rogove, sve prema detalju. Postići vatrootpornost 90 minuta. Obloga gips-kartonskim pločama debljine 2,0 cm, sa svim potrebnim sredstvima.</t>
  </si>
  <si>
    <t>Dobava i oblaganje vatrootpornim gips-kartonskim pločama dijela sljemena krova. Postići vatrootpornost 60 minuta. Obloga gips-kartonskim pločama debljine 2,0 cm, sa svim potrebnim sredstvima.</t>
  </si>
  <si>
    <t>Dobava i obloganje vatrootpornim pločama ventilacijskih kanala iznad razine krova. Postići vatrootpornost 60 minuta. Obloga gips-kartonskim pločama debljine 2,0 cm, sa svim potrebnim sredstvima.</t>
  </si>
  <si>
    <t>Izrada, dobava i postava maski od vodootpornih gips-kartonskih ploča debljine 1,25 cm na potrebnoj potkonstrukciji. Postići vatrootpornost 60 minuta.
U cijenu uključiti sva potrebna sredstva za pričvršćenje i potkonstrukciju, te gletanje spojeva ploča i ojačanja uglova rabic pletivom.
Dovršiti do faze spremne za bojanje (gletanje, bandažiranje, otprašivanje, akril na spojevima sa drugim materijalima i dr)</t>
  </si>
  <si>
    <t>Dobava i postava ormara za vatrogasni aparat S6/9. Metalni, staklena vrata sa bravicom, ravni krov. Dimenzija ormarića: 325x710x240 mm od inoxa.</t>
  </si>
  <si>
    <t>VENTILACIJA I KLIMATIZACIJA - Dobava i izvedba protupožarne izolacije kanala, materijalom vatrootpornosti EI90, negorivom mineralnom pločm s projektiranom matricom ojačana odabranim vlaknima i punilima. U stavku uključiti sav potreban montažni i brtveni pribor.</t>
  </si>
  <si>
    <t>VENTILACIJA I KLIMATIZACIJA - Dobava i izvedba materijala za brtvljenje prodora ventilacijskih kanala sa PPZ zaklopkom kroz betonsku (gips-kartonsku) granicu zone EI90. Betonski otvor premazati akrilnim kitom; između betona i zaklopke ugraditi (obostrano) ploče od kamene vune; klasa HRN DIN 4102-A ili jednakovrijedno, sirova gustoća &gt; 150 kg/m3 i talište t &gt; 10000C ili jednakovrijedna. Spoj kamene vune i zaklopke zakitati elastičnom, vatrozaštitnom brtvenom masom. Ploče kamene vune (obostrano ugrađene) premazati vatrozaštitnim premazom.
Ili prostor između zaklopke i betona zatvoriti vatrozaštitnom žbukom.</t>
  </si>
  <si>
    <t>GRIJANJE I HLAĐENJE - Dobava materijala za bušenje prodora kroz zidove, obraditi otvor žbukom, zaštita prodora pjenom i prema shemi i dispoziciji. Prodori kroz požarne zidove s protupožarnom pjenom. Brtvljenje prostora između betona i cijevi vatrozaštitnom masom. U skladu s Elaboratom zaštite od požara i detaljima prodora kroz požarne zidove, prostore.</t>
  </si>
  <si>
    <t>INTEGRIRANI SOLARNI KROVNI PANELI
PV sustav integriran u krov sa solarnim krovnim pločama.
Dobava i montaža krovno integriranog fotonaponskog sustava na postojeću podkonstrukciju. Zahvaljujući integraciji solarnog krovnog panela u ravnini s površinom krova, nije potrebno probijati krovni pokrov za pričvršćivanje modula. Sve žice i utični spojevi skriveni su zbog sustava i stoga nisu izloženi vremenskim prilikama. Sve dolje opisane komponente i usluge moraju biti uključene u ukupnu cijenu.
Montaža se izvodi u skladu s izvedbenim planom proizvođača na objektu i smjernicama proizvođača.
Komponente:
Solarni krovni panel veliki/mali
Kabeli za spajanje (predmontirani)
Za spajanje dva reda solarnih krovnih panela jedan na drugi. Svi potrebni kablovi, utikači i utičnice su uključeni. Komponente moraju biti obrađene u skladu sa smjernicama proizvođača. Paket žica kabela (unaprijed sastavljen).</t>
  </si>
  <si>
    <t>TROETAŽNA KOLICA SV 3
Dobava
nosivost kolica: 120 kg (nosivost police: 40kg), ručke za guranje, 4 okretna kotača fi 125 mm (2 sa kočnicom),
3 police dim. 845x545 mm, varena konstrukcija, masa: 24 kg, dim. 970x670x1000 mm</t>
  </si>
  <si>
    <t>INOX LINIJSKI NEUTRALNI ELEMENT
Dobava
zatvoren sa 3 strane; otklopna vrata; donja i srednja polica; klizači; dim. 400x700x900 mm</t>
  </si>
  <si>
    <t>INOX LINIJSKI NEUTRALNI ELEMENT SA GRIJANOM KUPKOM
Dobava
kapacitet korita: 3 x GN1/1 - 150 mm*; donja polica; neutralni prostor; klizna vrata; nadgradnja sa staklo/plexi zaštitom sa stražnje strane; ručno punjenje; klizači; dim. 1200x700x900 mm
*gastro posude nisu uključene u cijenu</t>
  </si>
  <si>
    <t>INOX LINIJSKI NEUTRALNI ELEMENT SA GRIJANOM KUPKOM
Dobava
kapacitet korita: 2 x GN1/1 - 150 mm*; donja polica; neutralni prostor; otklopna vrata; nadgradnja sa staklo/plexi zaštitom sa stražnje strane; ručno punjenje; klizači; dim. 900x700x900 mm
*gastro posude nisu uključene u cijenu</t>
  </si>
  <si>
    <t>INOX LINIJSKI NEUTRALNI ELEMENT SA HLAĐENIM KORITOM 20 mm
Dobava
kapacitet korita: 2 x GN1/1-20 mm*; donja polica; neutralni prostor; otklopna vrata; nadgradnja sa staklo/plexi zaštitom sa stražnje strane; klizači; dim. 900x700x900 mm
*gastro posude nisu uključene u cijenu</t>
  </si>
  <si>
    <t>INOX LINIJSKI NEUTRALNI ELEMENT
Dobava
zatvoren sa 3 strane; otklopna vrata; donja i srednja polica; klizači; dim. 500x700x900 mm</t>
  </si>
  <si>
    <t>ZATVORENO POSTOLJE 
Dobava
inox postolje zatvoreno sa 3 strane, donja polica, dim. 200x665x620 mm</t>
  </si>
  <si>
    <t>NEUTRALNI BLOK STOL 
Dobava
inox AISI 304 ili jednakovrijedno, dim. 200x730x250 mm</t>
  </si>
  <si>
    <t>ELEKTRIČNI ROŠTILJ 
Dobava
električni roštilj sa dvije zone grijanja sa glatkom kromiranom pločom, izrađen iz AISI 304 nehrđajućeg čelika ili jednakovrijedno, gornja ploča debljine 1,5 mm, grijana ploča upuštena 40 mm u odnosu na radnu površinu, potpuno zavarena površina kako bi se omogućilo lakše čišćenje, grijana površina presvućena sa poliranim kromom sa 65 mm hladne površine na prednjoj strani grijaće ploče, okrugla ispusna rupa za masnoću promjera 40 mm, posuda za sakupljanje masnoće kapaciteta 2.5 l, grijanje pomoću grijača izrađenih od Incoloy materijala, aktivacija grijanja signalizirana pomoću signalne lampice na kontrolnoj ploči, temperatura grijanja termostatski kontrolirana sa kontrolom od 110 do 280C, sigurnosni termostat isključuje uređaj u slučaju kvara radnog termostata, dimenzija grijače površine 535x530 mm, strugač za glatku ploču dolazi u kompletu,
priključna snaga: 7.5 kW, napon: 400 V, dim. 600x730x250 mm</t>
  </si>
  <si>
    <t>ZATVORENO POSTOLJE 
Dobava
inox postolje zatvoreno sa 3 strane, donja polica, dim. 600x665x620 mm</t>
  </si>
  <si>
    <t>ELEKTRIČNA FRITEZA DVOKORITNA 
Dobava
električna friteza izrađena iz AISI 304 nehrđajućeg čelika ili jednakovrijedno, debljina lima: 1,5 mm, dizajnirano za postavljanje leđa na leđa bez odvoda za dim, duboko vučena korita izrađena iz AISI 304 nehrđajućeg čelika ili jednakovrijedno sa zaobljenim unutarnjim rubovima, korita sa širokom prednjom ekspanzionim zonom za ulje i pjenu i hladnom zonom za skupljanje čestica hrane, grijanje pomoću demontažnih grijača uronjenih u ulje izrađenih iz AISI 304 nehrđajućeg čelika ili jednakovrijedno, aktivacija grijanja je signalizirana lampicom koja se nalazi na kontrolnoj ploči, temperatura ulja u koritu kontrolirana pomoću mehaničkog termostata, sa podešavanjem od 100 do 185C, sigurnosni termostat sa ručnim resetiranjem, demontažni filter, košara, poklopac i korito za ispust ulja dolazi u kompletu, kapacitet: 2x10 l, učinkovito zagrijavanje od 0.9 kW/l ulja, snaga: 18 kW, napon: 400 V, dim. 600x730x250 mm</t>
  </si>
  <si>
    <t>ELEKTRIČNA NAGIBNA PEČENJARA 
Dobava 
kapacitet: 60 l, ploča od nehrđajućeg čelika, inox grijači smješteni ispod korita, snaga grijača: 10 kW, napon: 400 V,
dim. 800x730x870 mm</t>
  </si>
  <si>
    <t>KROMIRANA MJEŠALICA 
Dobava
kromirana mesingana mješalica za dopunjavanje vode - ugradnja na montažne jedinice</t>
  </si>
  <si>
    <t>NEUTRALNI BLOK STOL 
Dobava
inox AISI 304 ili jedakovrijedno, ladica: dubine 100 mm, dim. 600x730x250 mm</t>
  </si>
  <si>
    <t>ELEKTRIČNI ŠTEDNJAK SA 4 ZONE GRIJANJAI ELEKTRIČNOM PEĆNICOM
Dobava
jednodijelna ploča sa 4 neovisne zone grijanja od po 2.5 kW, dim. pećnice: 575x490x295 mm, snaga pećnice:
4.2 kW, ugrađen termostat za štednju energije, regulacija temperature u 7 točaka, napon: 400 V, snaga: 14.2 kW,
dim. 800x730x870 mm</t>
  </si>
  <si>
    <t>INOX KUĆIŠTE RASVJETA 64W
Dobava
materijal: AISI 304, dim. 1250x150x80 mm</t>
  </si>
  <si>
    <t>INOX CENTRALNA NAPA
Dobava
filteri izrađeni po sistemu labirint limova, ispusr za masnoće, bez osvjetljenja, bez ventilatora i ventilacionih kanala, dim. 2600x1800x450 mm</t>
  </si>
  <si>
    <t>TROETAŽNA KOLICA SV 3 ili jednakovrijedno
Dobava
nosivost kolica: 120 kg (nosivost police: 40kg), ručke za guranje, 4 okretna kotača fi 125 mm (2 sa kočnicom),
3 police dim. 845x545 mm, varena konstrukcija, masa: 24 kg, dim. 970x670x1000 mm</t>
  </si>
  <si>
    <t>KANTA ZA OTPATKE SA PEDALOM 50 l
Dobava
volumen: 50 l, 2 okretna kotačića i 2 nogice, sa pedalom, dim. 380x615 mm</t>
  </si>
  <si>
    <t>ZIDNI SANITARNI UMIVAONIK IP0074 ili jednakovrijedno
Dobava
pogon na koljeno, slavina, dim. 400x400x250/350 mm</t>
  </si>
  <si>
    <t>INOX LINIJSKI NEUTRALNI ELEMENT
Dobava
zatvoren sa 3 strane; otklopna vrata; donja i srednja polica; dim. 500x700x900 mm</t>
  </si>
  <si>
    <t>INOX LINIJSKI NEUTRALNI ELEMENT SA HLAĐENIM KORITOM 20 mm
Dobava
kapacitet korita: 2 x GN1/1-20 mm*; donja polica; neutralni prostor; otklopna vrata; nadgradnja sa staklo/plexi zaštitom sa stražnje strane; dim. 900x700x900 mm
*gastro posude nisu uključene u cijenu</t>
  </si>
  <si>
    <t>INOX LINIJSKI NEUTRALNI ELEMENT SAGRIJANOM KUPKOM
Dobava
kapacitet korita: 2 x GN1/1 - 150 mm*; donja polica; neutralni prostor; otklopna vrata; nadgradnja sa staklo/plexi zaštitom sa stražnje strane; ručno punjenje; dim. 900x700x900 mm
*gastro posude nisu uključene u cijenu</t>
  </si>
  <si>
    <t>INOX LINIJSKI NEUTRALNI ELEMENT SA GRIJANOM KUPKOM
Dobava
kapacitet korita: 4 x GN1/1 - 150 mm*; donja polica; neutralni prostor; klizna vrata; nadgradnja sa staklo/plexi zaštitom sa stražnje strane; ručno punjenje; dim. 1500x700x900 mm
*gastro posude nisu uključene u cijenu</t>
  </si>
  <si>
    <t>INOX LINIJSKI NEUTRALNI ELEMENT
Dobava
zatvoren sa 3 strane; otklopna vrata; donja i srednja polica; dim. 700x700x900 mm</t>
  </si>
  <si>
    <t>INOX KOLICA ZA PRIJEVOZ POSLUŽAVNIKA
Dobava
kapacitet: 10 poslužavnika, graničnik sa stražnje strane, 4 okretna kotača (2 sa kočnicom), cijevna konstrukcija
20x20 mm, vodilice profil "L" 30x30 mm, debljine 1.2 mm, svi spojevi vareni, dim. 400x560x1550 mm</t>
  </si>
  <si>
    <t>JEDNORUČNA MJEŠALICA - STOLNA
Dobava
stolna mješalica</t>
  </si>
  <si>
    <t>INOX ZATVORENI VISEĆI ELEMENT
Dobava
klizna vrata, donja i srednja polica, materijal: AISI 304, dim. 1100x400x600 mm</t>
  </si>
  <si>
    <t>INOX OTVORENI JEDNOKORITNI SUDOPER
Dobava
desno 1 korito dim. 400x500x300 mm, rupa za mješalicu, donja polica, uzdignut rub 100/20 mm, vodeni rub,
dim. 1100x700x850 mm</t>
  </si>
  <si>
    <t>INOX ZATVORENI VISEĆI ELEMENT
Dobava
klizna vrata, donja i srednja polica, dim. 1200x400x600mm</t>
  </si>
  <si>
    <t>RASHLADNI STOL CGN2-R290-A ili jednakovrijedno
Dobava
lijevo 2 rashladna box-a; srednja polica; desno agregat; radna temperatura: -2/+8 C; uzdignuti rub 100/20 mm;
napon: 230 V; snaga: 0,18 kW; masa: 136 kg; unutarnji i vanjski plašt iz inoxa AISI 304; dim. 1400x700x850 mm</t>
  </si>
  <si>
    <t>TUŠ SA MJEŠALICOM - STOLNI
Dobava
predviđeno za montažu na stol; ručke za toplu i hladnu vodu; mješalica za vodu; crijevo i ručni tuš; crijeva za spajanje na toplu i hladnu vodu;
visina: 1200 mm</t>
  </si>
  <si>
    <t>AUTOMATSKI OMEKŠIVAČ VODE 
Dobava 
vremenski omekšivač; radni protok: 0-30 l/min; kapacitet: 1950 l kod 10 dH; potrošnja soli: 1 kg/regeneraciji;
radni tlak: 2-6 bar, ulazna temperatura vode: max. 30 C, elektromehanički ventil za upravljanje; pušta tvrdu vodu tijekom regeneracija; količina smjese za omekšavanje: 6,5 l; priključak: 3/4 "; masa: 11 kg; napon: 230 V; snaga:
3 W; dim. 280x410x535 mm</t>
  </si>
  <si>
    <t>PERILICA SUĐA 
Dobava
ugrađen dozator pranja i pumpa ispiranja sa atmosferskim bojlerom
3 programa pranja: 60, 90 i 180 s, kapacitet: 39 košara/h, dim. košare: 500x500 mm, visina otvora: 385 mm, kapacitet komore za pranje: 15 l, potrošnja vode: 2 l/košari, dvostruka stijenka komore i vrata, vučene vodilice, prikaz temperature vode, ThermoStop - kontrola temperature ispiranja, snaga: 7.9 kW, napon: 400/50/3N,
dim. 600x600x820 mm
*uz perilicu se isporučuju: 1 košara za čaše, 1 košara za tanjure i 1 košara za pribor</t>
  </si>
  <si>
    <t>INOX OTVORENI JEDNOKORITNI SUDOPER
Dobava
desno 1 korito dim. 500x500x300 mm, rupa za mješalicu, uzdignut rub 100/20 mm, vodeni rub, lijevo prostor za perilicu suđa, dim. 1500x700x850 mm</t>
  </si>
  <si>
    <t>MLIN I DEHIDRATOR ZA OBRADU ORGANSKOGOTPADA (trofazni)
Dobava
kapacitet: 400 kg/h; program samočišćenja - WasteStation može poduzeti temeljito čišćenje, osiguravajući da cijeli sustav nema hrane i masti; samopražnjenje - eliminira potrebu osoblja da isprazni sklop svrdla, skraćujući vrijeme rada potrebno za rad stroja; inteligentni elektronički senzor detektira kada je kanta puna; vizualna upravljačka ploča
- kuhinje su bučno okruženje, pa WasteStation uključuje jednostavan LED zaslon koji omogućuje praćenje stanja opreme tijekom rada; ušteda energije - kompaktan dizajn i kratko vrijeme obrade osiguravaju niske operativne troškove i minimalno korištenje kuhinjskog prostora; maksimalno povećajte higijenu u kuhinji - potpuno zatvoreni sustav sprječava ulazak hrane u jedinicu, održava stroj čistim i bez otpada i smanjuje buku pri radu; nakon svake operacije, stroj poduzima brzi ciklus samoispiranja, sprječavajući nakupljanje hrane; napon: 400 V; snaga: 2,95 kW;
masa: 95/110 kg; dim. 600x700x1044 mm
*kanta za otpad i strugalica se naručuju odvojeno!</t>
  </si>
  <si>
    <t>INOX ČETVEROETAŽNA STALAŽA
Dobava
4 police podesive po visini, nogice podesive, materijal: AISI 304 ili jednakovrijedno, dim. 840x500x1800 mm</t>
  </si>
  <si>
    <t>INOX OTVORENI DVOKORITNI SUDOPER
Dobava
lijevo 2 korita dim. 400x500x250 mm, rupa za mješalicu, donja polica, uzdignut rub 100/20 mm, vodeni rub,
dim. 1100x700x850 mm</t>
  </si>
  <si>
    <t>ZAMRZIVAČ GRN-VL9-EV-SE-LED ili jednakovrijedno
Dobava
zamrzivač visoke energentske učinkovitosti, energetski razred: "C", rashladni medij: R290, razmak između vodilica 5 cm, unutarnja dubina: 65 cm (kapacitet GN2/1), 35/40 kg/m3 ekološki prihvatljive izolacije od poliuretana bez HCFC spoja, digitalni display sa prikazom temperature, automatski sistem odleđivanja, automatsko isparavanje
vode pomoću vrućeg plina, podesive nogice od nehrđajućeg čelika, automatsko osvjetljenje komore kada su vrata otvorena, na vratima magnetne brtve koje se lako skidaju i čiste, ambijentalna temperatura: 43C i 65% vlage, temperaturni raspon: -22/-10 C, kapacitet: 700 l, 3 plastificirane police GN2/1, izrađen iz AISI 304 nehrđajućeg čelika ili jednakovrijedno, debljina izolacije: 85 mm, napon: 220</t>
  </si>
  <si>
    <t>HLADNJAK GRN-VN9-EV-SE-LED ili jednakovrijedno
Dobava
hladnjak visoke energentske učinkovitosti, energetski razred: "A", rashladni medij: R600A, razmak između vodilica 5 cm, unutarnja dubina: 65 cm (kapacitet GN2/1), 35/40 kg/m3 ekološki prihvatljive izolacije od poliuretana bez HCFC spoja, digitalni display sa prikazom temperature, automatski sistem odleđivanja, automatsko isparavanje vode pomoću vrućeg plina, podesive nogice od nehrđajućeg čelika, automatsko osvjetljenje komore kada su vrata otvorena, na vratima magnetne brtve koje se lako skidaju i čiste, ambijentalna temperatura: 43C i 65% vlage, temperaturni raspon: -2/+8 C, kapacitet: 700 l, 4 plastificirane police GN2/1, izrađen iz AISI 304 nehrđajućeg čelika ili jednakovrijedno, debljina izolacije: 85 mm, napon: 230V,</t>
  </si>
  <si>
    <t>INOX ČETVEROETAŽNA STALAŽA
Dobava
4 police podesive po visini, nogice podesive, materijal: AISI 304, dim. 1600x500x1800 mm</t>
  </si>
  <si>
    <t>INOX OTVORENI JEDNOKORITNI SUDOPER
Dobava
lijevo 1 korito dim. 500x500x300 mm, rupa za mješalicu, donja polica, uzdignut rub 100/20 mm, vodeni rub,
dim. 700x700x850 mm</t>
  </si>
  <si>
    <t>INOX OTVORENI RADNI STOL
Dobava
donja polica, uzdignut rub 100/20 mm, dim. 1800x700x850 mm</t>
  </si>
  <si>
    <t>INOX RADNI STOL LADIČAR
Dobava 
3 ladice u 1 stupcu, uzdignut rub 100/20 mm, dim. 600x700x850 mm</t>
  </si>
  <si>
    <t>SET OD 5 DISKOVA - fi190 mm
Dobava
disk za ploške: 2 mm; disk za ribanje: 2 mm; disk za julienne: 4x4 mm; disk za kockice: 10x10x10 mm</t>
  </si>
  <si>
    <t>STROJ ZA REZANJE POVRĆA CL 50
Dobava 
kapacitet: do 150 kg/h; 50-400 objeda/dan, 1 brzina: 375 O/min, indukcijski motor, napon: 230 V, snaga: 0.55 kW,
masa: 17,6 kg, dim. 380x305x595 mm</t>
  </si>
  <si>
    <t>INOX OTVORENI RADNI STOL
Dobava
donja polica, uzdignuti rub 100/20 mm, dim. 1400x700x850 mm</t>
  </si>
  <si>
    <t>INOX OTVORENI RADNI STOL
Dobava
donja polica, uzdignut rub 100/20 mm, dim. 1000x700x850 mm</t>
  </si>
  <si>
    <t>ZIDNI SANITARNI UMIVAONIK IP0074
Dobava
na koljeno, slavina, dim. 400x400x250/350 mm</t>
  </si>
  <si>
    <t>LJUŠTILICA KRUMPIRA LP-90
Dobava
stolna, kapacitet: 90 kg/h, snaga: 0.25 kW, napon: 230V 1N AC, dim. 600x375x400 mm</t>
  </si>
  <si>
    <t>INOX OTVORENI DVOKORITNI SUDOPER
Dobava
lijevo 2 korita dim. 400x500x250 mm, rupa za mješalicu, donja polica, uzdignut rub 100/20 mm, vodeni rub,
dim. 1600x700x850 mm</t>
  </si>
  <si>
    <t>Dobava i izrada nosivog sloja od mehanički stabiliziranog kamenog materijala debljine 20 cm. Primjenjuje se krupnozrnati kameni materijal koji treba zadovoljiti granulometrijske uvjete. Završni sloj izvesti od sitnog kamenog materijala sa kvašenjem i zbijanjem do potrebne zbijenosti. Nakon razastiranja, planiranja, profiliranja vrši se sabijanje vibracijskim sredstvima do modula stišljivosti: Ms&gt;60 MN/m2</t>
  </si>
  <si>
    <t>Dobava i ugradnja cementnog morta za izradu holkela cem. mortom na spoju poda i zida na spoju horizontalne i vertikalne hidroizolacije podruma.</t>
  </si>
  <si>
    <t>Čišćenje objekata</t>
  </si>
  <si>
    <t>Završno čišćenje objekata</t>
  </si>
  <si>
    <t>Sve vidljive površine trebaju biti obrađene prema troškovniku, ravne bez tragova piljenja, brazda ili bilo kakvog oštećenja.
Obveza izvođača je pregled lokacije na kojoj izvodi radove, pregled elemenata koji se eventualno zamjenjuju te ukoliko je što u troškovniku nejasno, treba tražiti dodatno objašnjenje od projektanta prije davanja ponude jer se kasniji prigovori neće uzeti u obzir niti priznati bilo kakva razlika za naplatu.
Organizacija privremenog deponija kamena na prostoru kojim gospodari investitor.
Jedinična cijena mora sadržavati:
- sav potreban materijal; kamene ploče i ljepilo sa atestima
- sav potreban rad
- transportne troškove
- zaštita ugrađenih elemenata
- čišćenje prostora u tijeku rada i po završnom radu sa uklanjanjem otpadaka
- popravak štete učinjene na svojim ili tuđim radovima pri radu iz nepažnje
- razrada detalja te predočenje uzoraka i detalja projektantu i investitoru
- toniranje novih kamenih elemenata na pročeljima u ton po uzoru na postojeće
Prije nabave kamena izvođač je dužan prezentirati uzorke pojedine obrade kamena
na uvid i odobrenje projektantu.
Napomena: Sva opločenja se izvode prema detaljima, shemama polaganja i u dogovoru s projektantom.</t>
  </si>
  <si>
    <t>Izrada, dobava i postava betonskih prefabrikata pozornice amfiteatra, u kružnim segmentima. Debljina ploče 8 cm, povšinska obrada kao kulir, s grubim sitnim agregatom. Armirano vlakima.
Sve ostalo pema detaljnom nacrtu.</t>
  </si>
  <si>
    <t>Dobava i postava toplinske izolacije kosog krova od mineralne vune u pločama debljine 20 cm (45 kg/m3). Mineralna vuna se utiskuje između postavljenih rogova s donje strane. Ugradnja s parnom branom s unutarnje strane.</t>
  </si>
  <si>
    <t>B.1.14.</t>
  </si>
  <si>
    <t>"HRN EN 13479 Opća norma za dodatni i potrošni materijal za zavarivanje čelika - dodatni materijali i praškovi za zavarivanje taljenjem, ili jednakovrijedno
HRN EN ISO 2560: Dodatni i potrošni materijal za ručno elektrolučno zavarivanje nelegiranih i sitnozrnatih čelika - razredba, ili jednakovrijedno
HRN EN 439: Dodatni i potrošni materijali - zaštitni plinovi za REL i rezanje, ili jednakovrijedno
HRN EN 440: Dodatni materijali za zavarivanje čelika - žice za elektrolučno zavarivanje taljivom elektrodom u zaštitnoj atmosferi plinova, ili jednakovrijedno
HRN EN 1670:Građevni okovi - otpornost na koroziju - zahtjevi i ispitne metode", ili jednakovrijedno
"HRN EN 12206: Boje i lakovi - prekrivni materijali za aluminij i alu legure za arhitektonske potrebe, ili jednakovrijedno
HRN EN ISO 2808: Boje i lakovi- određivanje debljine filma, ili jednakovrijedno
HRN EN ISO 8501: Priprema čeličnih podloga prije nanošenja boja i srodnih proizvoda - vizualna procjena čistoče površine - 1.dio: Stupnjevi hrđanja i stupnjevi pripreme nezaštićenih čeličnih površina nakon potpunog uklanjanja prethodnih prevlaka; 2. dio: Stupnjevi pripreme prethodno zaštićenih čeličnih površina nakon mjestimičnog uklanjanja prethodnih prevlaka, ili jednakovrijedno
HRN EN 8503: Priprema čeličnih podloga prije nanošenja boja i srodnih proizvoda - 1.dio: specifikacije i definicije ISO komparatora profila površine; 2.dio: Metoda stupnjevanja profila površine čelika čišćenog mlazom abraziva, ili jednakovrijedno
HRN EN 12944-1: Boje i lakovi - Zaštita od korozije čeličnih konstrukcija zaštitnim sustavom boja - opći uvod", ili jednakovrijedno</t>
  </si>
  <si>
    <t>Popis hrvatskih propisa i normi za izvođenje:
"HRN EN 573 Aluminij i alu legure - kem. sastav i oblici gnječenih proizvoda: EN AW 6060, ili jednakovrijedno
HRN EN 755 Aluminij i alu legure - istisnute šipke, cijevi i profili - dopuštena odstupanja mjera i oblika, ili jednakovrijedno
HRN EN 12020 Aluminij i alu legure - istisnuti precizni profili od legura EN AW 6060 - dopuštena odstupanja mjera i oblika, ili jednakovrijedno
HRN EN 485 Aluminij i alu legure - limovi, trake i ploče, ili jednakovrijedno
HRN EN 1090:Izvedba čeličnih i aluminijskih konstrukcija: 1. dio - opći uvjeti sukladnosti; 2. dio -tehnički zahtjevi za čelične konstrukcije; 3. dio - tehnički zahtjevi za aluminijske konstrukcije, ili jednakovrijedno
HRN EN 10025; Čelična legura: S235JR (sirovi profil), ili jednakovrijedno
HRN EN 10346; Čelična legura: S 250 GD (valjani profili iz vruće pocinčanih traka), ili jednakovrijedno
HRN EN 10149 čelična legura: S 260 NC (vučeni i normalizirani profili, elektrogalvanizirani), ili jednakovrijedno
HRN EN 10088 Legure inox profila - 1.4307 (AISI 304), 1.4401 (AISI 316), 1.4404 (316L), ili jednakovrijedno
HRN EN 10020: Definicije i razredba vrsta čelika, ili jednakovrijedno
HRN EN 10021: Opći tehnički uvjeti isporuke za čelik i čelične proizvode, ili jednakovrijedno
HRN EN 10027: Sustavi označavanja za čelike; 1. dio nazivi čelika; 2. dio brojčani sustav, ili jednakovrijedno
HRN EN 10025: Toplo valjani proizvodi od konstrukcijskih čelika; 1. dio - Opći tehnički uvjeti isporuke; 2. dio - Tehnički uvjeti isporuke za nelegirane čelike, ili jednakovrijedno
HRN EN 10210-1: Toplo oblikovani šuplji profili od nelegiranih i sitnozrnatih čelika; 1.dio: Tehnički uvjeti isporuke", ili jednakovrijedno</t>
  </si>
  <si>
    <t>" HRN EN 14351-1:2006 prozori i vrata - norma za proizvod, izvedbene značajke; 1.dio: prozori i vanjska pješačka vrata bez otpornosti na požar
HRN EN 12207:2001 Prozori i vrata – Propusnost zraka, razredba, ili jednakovrijedno
HRN EN 12208:2001 Prozori i vrata – Vodonepropusnost, razredba, ili jednakovrijedno
HRN EN 12210:2001 Prozori i vrata – Otpornost na opterećenje vjetrom – Razredba, ili jednakovrijedno
HRN EN 12211:2001 Prozori i vrata – Otpornost na opterećenje vjetrom – Metoda ispitivanja, ili jednakovrijedno
HRN EN 1192: 2001 Vrata - razredba zahtjeva čvrstoče, ili jednakovrijedno
HRN EN 1529:2001 Vratna krila - visina, širina, debljina i pravokunost - razredba dopuštenih odstupanja, ili jednakovrijedno
HRN EN 1530:2001 Vratna krila - opća i lokalna ravnost - razredba dopuštenih odstupanja, ili jednakovrijedno
HRN EN 12217:2005 Vrata - sile otvaranja i zatvaranja - zahtjevi i razredba, ili jednakovrijedno
HRN EN 12219:2001 Vrata - klimatski utjecaji - zahtjevi i razredba, ili jednakovrijedno
HRN EN 13115:2001 Prozori - razredba mehaničkih svojstava - vertikalno opterećenje, torzija, sile otvaranja i zatvaranja, ili jednakovrijedno
HRN EN 179:2001 Građevni okovi - dijelovi izlaza za nuždu s kvakom ili pritisnom pločom - zahtjevi i metode ispitivanja", ili jednakovrijedno
"HRN EN 410:1998 Staklo u graditeljstvu - određivanje svjetlosnih i sunčanih značajka ostakljenja, ili jednakovrijedno
HRN EN 947:1998 Zaokretna i okretna vrata - određivanje otpornosti na vertikalno opterećenje, ili jednakovrijedno
HRN EN 948:1999 Zaokretna i okretna vrata - određivanje otpornosti na statičku torziju, ili jednakovrijedno
HRN EN 949:1998 Prozori i ovješene fasade vrata, rebrenice i zasloni - određivanje otpornosti na udar mekoga i teškoga tijela, ili jednakovrijedno</t>
  </si>
  <si>
    <t>HRN EN 950:1999 Određivanje otpornosti na udar tvrdim tijelom, ili jednakovrijedno
HRN EN 1026:2000 Prozori i vrata - propusnost zraka, metoda ispitivanja, ili jednakovrijedno
HRN EN 1027:2000 Prozori i vrata - metoda ispitivanja, ili jednakovrijedno
HRN EN 1121:2000 Ponašanje između dva različita klimatska uvjeta - metoda ispitivanja, ili jednakovrijedno
HRN EN 1191:2000 Prozori i vrata - otpornost na uzastopno otvaranje i zatvaranje - metoda ispitivanja, ili jednakovrijedno
HRN EN 12046-1:2003 Sile otvaranja i zatvaranja - ispitne metode - 1.dio: prozori, ili jednakovrijedno
HRN EN 12046-2:2000 Sile otvaranja i zatvaranja - metoda ispitivanja - 1.dio: vrata, ili jednakovrijedno
HRN EN 12211:2000 Prozori i vrata - Otpornost na opterećenje vjetrom - metoda ispitivanja, ili jednakovrijedno
HRN EN ISO 140-3 Akustika - mjerenje razine zvuka u zgradama i elem. zgrada - 3.dio: lab. mjerenja, ili jednakovrijedno
HRN EN ISO 717-1 Akustika - određivanje razine zvuka u zgradama, ili jednakovrijedno
HRN EN ISO 12657 Termička svojstva prozora i vrata - lab. ispitivanjeprolaza topline pomoću vruće kutije 1. dio: gotovi prozori i vrata; 2.dio: krovni prozori", ili jednakovrijedno
"HRN EN 1125:2003 Građevni okovi - dijelovi izlaza za nuždu s pritisnom šipkom - zahtjevi i ispitne metode, ili jednakovrijedno
HRN EN 1670:2008 Građevni okovi - otpornost na koroziju, ili jednakovrijedno
HRN EN ISO 10077-1 Toplinske značajke prozora, vrata i zaslona - proračun koeficijenta prolaza topline - 1.dio: pojednostavljena metoda, ili jednakovrijedno
HRN EN ISO 10077-2 Toplinske značajke prozora, vrata i zaslona - proračun koeficijenta prolaza topline - 2.dio: numerička metoda za okvire, ili jednakovrijedno</t>
  </si>
  <si>
    <t>HRN EN 1522/1523 Prozori, vrata i zasloni – Otpornost na pucanj-zahtjevi i razredba/metoda ispitivanja, ili jednakovrijedno
HRN EN 1627:2012 Vrata za pješake, prozori, ovješene fasade, rešetke i kapci - otpornost na provalu - razredba i zahtjevi, ili jednakovrijedno
HRN EN 14024:2008 Metalni profili s prekinutim toplinskim mostom, mehanička svojstva, razredba i zahtjevi, ili jednakovrijedno
HRN EN 12400:2008 Prozori i vrata, mehanička trajnost - zahtjevi i razredba, ili jednakovrijedno
HRN EN 16034:2014 Pješačka vrata, industrijska, komercijalana i garažna vrata i prozori - Norma za proizvod, izvedbene značajke - Značajke u odnosu na otp. na požar i/ili kontrolu dima, ili jednakovrijedno
HRN EN 13501-2:2010 Razredba građevnih proizvoda i građevnih elemenata prema ponašanju u požaru -- 2. dio: Razredba prema rezultatima ispitivanja, ili jednakovrijedno
HRN EN 1634-1:2008 Ispitivanje otp. na požar i kontrolu dima vrata, roleta i prozora koji se mogu otvarati, ili jednakovrijedno
HRN EN 1634-3:2008 Ispitivanje otpornosti vrata i sklopova za zatvaranje otvora na požar -- 3. dio: Protudimna vrata i zatvarači, ili jednakovrijedno
HRN EN 1364-1:2015 Ispitivanja otpornosti na požar nenosivih elemenata -- 1. dio: Zidovi", ili jednakovrijedno
"HRN EN 13830:2008 Ovješene fasade - norma za proizvod, ili jednakovrijedno
HRN EN 12152:2002 Ovješene fasade - propusnost zraka, zahtjevi i razredba, ili jednakovrijedno
HRN EN 12153:2000 Ovješene fasade - propusnost zraka, metoda ispitivanja, ili jednakovrijedno</t>
  </si>
  <si>
    <t>HRN EN 12154:1999 Ovješene fasade - vodonepropusnost, ili jednakovrijedno
HRN EN 12155:2000 Ovješene fasade - vodonepropusnost – lab. ispitivanje pod statičkim tlakom, ili jednakovrijedno
HRN EN 13116:2001 Ovješene fasade - otpornost na opterećenje vjetrom - zahtjevi za svojstva, ili jednakovrijedno
HRN EN 12179:2008 Ovješene fasade - otpornost na opterećenje vjetrom – Metoda ispitivanja, ili jednakovrijedno
HRN EN 14019:2008 Ovješene fasade - otpornost na mehanički udar, izvedbena svojstva, ili jednakovrijedno
HRN EN ISO 10848-2:2008 Ovješene fasade - lab. mjerenje bočnog prijenosa zračnog i udarnog zvuka, ili jednakovrijedno
HRN EN 13947:2008 Ovješene fasade - toplinske značajke ovješenih fasada- proračun koeficijenta prolaska topline", ili jednakovrijedno
"Tehnički propisi - kontrola kvalitete, zahtjevi, ispitivanja, sukladnost, toplinska zaštita:
Zakon o gradnji (NN RH br. 153/13, 20/17, 39/19, 125/19)
Zakon o građevnim proizvodima, (NN 76/13, 30/14, 130/17, 39/19, 118/20)
Tehnički propis o racionalnoj uporabi energije i toplinskoj zaštiti u zgradama, NN 110/08, 97/14, 128/15, 102/20)
Tehnički propis za prozore i vrata (NN 69/06)
Zakon o zaštiti na radu (NN RH br. 71/14, 118/14, 154/14, 94/18, 96/18)
Zakon o normizaciji (NN RH br. 80/13)
Tehnički propisi za održavanje čeličnih konstrukcija za vrijeme eksploatacije, SL 6/65
Tehnički propisi za pregled i ispitivanja nosivih čeličnih konstrukcija, SL 6/65
Tehnički propis za čelične konstrukcije (NN 112/08, 125/10, 73/12, 136/12)</t>
  </si>
  <si>
    <t>Stavka se sastoji od 20 polja.</t>
  </si>
  <si>
    <t>Sve isto kao st. B.4.1., samo se sastoji od 11 polja.</t>
  </si>
  <si>
    <t>U nacrtima označeno kao AL stavka 5.</t>
  </si>
  <si>
    <t>Dimenzija polja 800 x 4480 mm, dimenzija krovnog prozora 800 x 980 mm.</t>
  </si>
  <si>
    <t>Stavka se sastoji od 3 polja i 2 krovna prozora.</t>
  </si>
  <si>
    <t>Dobava, izrada i ugradnja krovnog ostakljenja s aluminijskim krovnim prozorima za odimljavanje, u sistemu s prekidom toplinskog mosta.
Konstrukcija prozora može biti u slijedećim kombinacijama:
- Niski i visoki štok u kombinaciji sa pokrivnim kapama za vidljivo i nevidljivo pričvršćenje omogućavaju ugradnju stakla različitih debljina i ukupne visine prozora od 125, 130, 135 i 150 mm
Profil krila mora biti max. visine 85 mm, s dodatnom toplinskom izolacijom – mora omogućiti ugradnju troslojnog stakla debljine 28-48 mm (ovisno o pokrivnoj kapi).
- Potrebne tehničke karakteristike prozora:
kut otvaranja/otklop max. 60°
min. širina krila 600 mm
max. širina, mm 2100
min. visina krila 650 mm
max. visina, mm 2100</t>
  </si>
  <si>
    <t>U nacrtima označeno kao AL stavka 6.</t>
  </si>
  <si>
    <t>B.4.9.</t>
  </si>
  <si>
    <t>Sve isto kao stavka B.5.7., samo dimenzije 296x209 cm.</t>
  </si>
  <si>
    <t>Izrada, doprema i montaža vanjske zaštite zabata potkrovlja od konstrukcije gredica i letava (vertikalna postava). Gredice se pričvršćuju na sekundarnu konstrukciju rogova, a dimenzije su 8x8 cm ili 10x10 cm. Vertikalne letve su dimenzije 8x5 cm.
Obrada lazurom, izvedba od smrekovine.</t>
  </si>
  <si>
    <t>Izrada, doprema i ugradnja vanjske klupe od lamiliranog drva, tlocrtne dimenzije 583 x 45 cm, prema shemi. Obrada lazurom.</t>
  </si>
  <si>
    <t>B.1.15.</t>
  </si>
  <si>
    <t>b) l= 290 cm</t>
  </si>
  <si>
    <t>A.4.29.</t>
  </si>
  <si>
    <t>m1</t>
  </si>
  <si>
    <t>A.4.30.</t>
  </si>
  <si>
    <t>Lijevo otvaranje</t>
  </si>
  <si>
    <t>Desno otvaranje</t>
  </si>
  <si>
    <t>U nacrtima označeno kao stavka unutarnje stolarije 5.</t>
  </si>
  <si>
    <t>U nacrtima označeno kao stavka unutarnje stolarije 6.</t>
  </si>
  <si>
    <t>Dobava i ugradnja jednokrilnih punih zaokretnih vrata svijetlog otvora 80x210 cm, te zidarskog otvora 90x215 cm.
Ugradnja u podrumu i prizemlju.
Vrata su bez praga s dovratnicima koji se ugrađuju unutar građevinskog otvora. Dovratnici u ravnini s vanjskim zidom, bez lajsne. Paziti na uredan detalj spoja!  Vrata se ugrađuju u zid od gipskartonskih ploča ukupne debljine 10 i 15 cm. Vratno krilo izvedeno od dvije ploče iverala debljine 8 mm s međuprostorom ispunjenim saćem, tvornički lakirana u boji po izboru projektanta PU lakom. Vratno krilo je u ravnini s rubom dovratnika. Kvake sa rozetama od brušenog inoxa ili mat aluminija, po izboru projektanta. Brave sa mogućnošću zaključavanja. U donjem dijelu vrata ugraditi Al ventilacijsku rešetku veličine 40x12 cm.
Stavka uključuje sve potrebne radove do potpune funkcionalne i estetske gotovosti.
Sve izvesti prema shemama, detaljima i u dogovoru s projektantom.</t>
  </si>
  <si>
    <t>U nacrtima označeno kao stavka unutarnje stolarije 7.</t>
  </si>
  <si>
    <t>Dobava i ugradnja jednokrilnih punih zaokretnih vrata svijetlog otvora 60x210 cm, te zidarskog otvora 70x215 cm.
Ugradnja na podestima stubišta.
Vrata su bez praga s dovratnicima koji se ugrađuju unutar građevinskog otvora. Dovratnici u ravnini s vanjskim zidom, bez lajsne. Paziti na uredan detalj spoja!  Vrata se ugrađuju u AB zid debljine 20 cm. Vratno krilo izvedeno od dvije ploče iverala debljine 8 mm s međuprostorom ispunjenim saćem, tvornički lakirana u boji po izboru projektanta PU lakom. Vratno krilo je u ravnini s rubom dovratnika. Kvake sa rozetama od brušenog inoxa ili mat aluminija, po izboru projektanta. Brave sa mogućnošću zaključavanja. 
Stavka uključuje sve potrebne radove do potpune funkcionalne i estetske gotovosti.
Sve izvesti prema shemama, detaljima i u dogovoru s projektantom.</t>
  </si>
  <si>
    <t>Dobava i ugradnja jednokrilnih punih zaokretnih vrata vatrootpornosti 30 minuta. Vrata su svijetlog otvora 80x225 cm, te zidarskog otvora 90x230 cm. 
Ugradnja u podrumu.
Vrata su bez praga sa futer dovratnicima. Vrata se ugrađuju u zid od gipskartonskih ploča ukupne debljine 15 cm. Futer štokovi se izvode u kombinaciji mediapana i masiva lakirano u boju po izboru projektanta PU lakom.. Panik kvake sa rozetama od brušenog inoxa ili mat aluminija. Brave sa mogućnošću zaključavanja.
Stavka uključuje sve potrebne radove do potpune funkcionalne i estetske gotovosti.
Sve izvesti prema shemama, detaljima i u dogovoru s projektantom.</t>
  </si>
  <si>
    <t xml:space="preserve">Dobava i ugradnja jednokrilnih punih zaokretnih vrata vatrootpornosti 60 minuta. Vrata su svijetlog otvora 80x210 cm, te zidarskog otvora 90x215 cm. 
Ugradnja u podrumu.
Vrata su bez praga sa futer dovratnicima. Vrata se ugrađuju u zid od gipskartonskih ploča ukupne debljine 15 cm. Futer štokovi se izvode u kombinaciji mediapana i masiva lakirano u boju po zboru projektanta PU lakom. Panik kvake sa rozetama od brušenog inoxa ili mat aluminija. Brave sa mogućnošću zaključavanja.
Stavka uključuje sve potrebne radove do potpune funkcionalne i estetske gotovosti.
Sve izvesti prema shemama, detaljima i u dogovoru s projektantom.
</t>
  </si>
  <si>
    <t xml:space="preserve">Dobava i ugradnja jednokrilnih ostakljenih vrata vatrootpornosti 30 minuta. Stijena se sastoji od ostakljenih zaokretnih vrata i fiksnog dijela sa strane te nadsvijetlom. Zidarski otvor je 143x265 cm. Vrata su svijetlog otvora 135x260 cm.
Ugradnja u prizemlju.
Vrata su bez praga sa futer dovratnicima. Stijena se ugrađuje u zid od vatrootprnih GK ploča ukupne debljine 20 cm. Staklo lamistal 10 mm. Panik kvake sa rozetama od brušenog inoxa ili mat aluminija. Brave sa mogućnošću zaključavanja.
Stavka uključuje sve potrebne radove do potpune funkcionalne i estetske gotovosti.
Sve izvesti prema shemama, detaljima i u dogovoru s projektantom.
</t>
  </si>
  <si>
    <t xml:space="preserve">Dobava i ugradnja punih zaokretnih vrata vatrootpornosti 30 minuta. Svijetli otvor vrata je 90x210 cm, a zidarski otvor 100x215 cm. 
Ugradnja u prizemlju.
Vrata su bez praga sa futer dovratnicima. Stijena se ugrađuje u zid od armiranog betona ukupne debljine 20 cm. Panik kvake sa rozetama od brušenog inoxa ili mat aluminija, kao FSB po izboru projektanta. Brave sa mogućnošću zaključavanja.
Stavka uključuje sve potrebne radove do potpune funkcionalne i estetske gotovosti.
Sve izvesti prema shemama, detaljima i u dogovoru s projektantom.
</t>
  </si>
  <si>
    <t>Lijevo otvaranje.</t>
  </si>
  <si>
    <t>Dobava i ugradnja ostakljenih zaokretnih vrata vatrootpornosti 30 minuta. Svijetli otvor vrata je 100x210 cm, a zidarski otvor 110x215 cm. 
Ugradnja na katu.
Vrata su bez praga sa futer dovratnicima. Stijena se ugrađuje u zid od armiranog betona ukupne debljine 20 cm. Panik kvake sa rozetama od brušenog inoxa ili mat aluminija, kao FSB po izboru projektanta. Brave sa mogućnošću zaključavanja.
Stavka uključuje sve potrebne radove do potpune funkcionalne i estetske gotovosti.
Sve izvesti prema shemama, detaljima i u dogovoru s projektantom.</t>
  </si>
  <si>
    <t>vidi : shemu 3 bravarskih stavki</t>
  </si>
  <si>
    <t>vidi : shemu 7 bravarskih stavki</t>
  </si>
  <si>
    <t>vidi : shemu 8 bravarskih stavki</t>
  </si>
  <si>
    <t>vidi : shemu 9 bravarskih stavki</t>
  </si>
  <si>
    <t xml:space="preserve">Izrada, dobava i ugradnja maske ventilacijskog prodora na fasadi od inox Æ190 ili jednakovrijedno, II 3mm, sa Pe mrežicom protiv insekata, uključivo inox odstojnike i vijke s ukrasnim maticama. </t>
  </si>
  <si>
    <t>B.9.13.</t>
  </si>
  <si>
    <t>Postava lijepljenjem fleksibilnim ljepilom. S donje strane klupčice, uz vanjski rub treba urezati okapnicu 5x5 mm.
U jedinične cijene uključen je sav potreban vezni i brtveni materijal, te čiščenje zida nakon opločenja i fugiranja od ostataka ljepila. Kamen je potrebno impregnirati vodootpornim premazom.</t>
  </si>
  <si>
    <t>Dobava i ugradnja jednokrilnih punih zaokretnih vrata svijetlog otvora 92x210 cm, te zidarskog otvora 102x215 cm. 
Ugradnja u podrumu.
Vrata su bez praga s dovratnicima koji se ugrađuju unutar građevinskog otvora. Dovratnici u ravnini s vanjskim zidom, bez lajsne. Paziti na uredan detalj spoja! Vrata se ugrađuju u AB zid ukupne debljine 20 cm. Futer štokovi se izvode u kombinaciji mediapana i masiva lakirano u bijelu boju PU lakom. Vratno krilo izvedeno od dvije ploče iverala debljine 8 mm s međuprostorom ispunjenim saćem, tvornički lakirana u boji po izboru projektanta PU lakom. Vratno krilo je u ravnini s rubom dovratnika. Kvake sa rozetama od brušenog inoxa ili mat aluminija, po izboru projektanta. Brave sa mogućnošću zaključavanja. U donjem dijelu vrata ugraditi Al ventilacijsku rešetku veličine 40x12 cm.
Stavka uključuje sve potrebne radove do potpune funkcionalne i estetske gotovosti.
Sve izvesti prema shemama, detaljima i u dogovoru s projektantom.</t>
  </si>
  <si>
    <t>U nacrtima označeno kao stavka unutarnje stolarije P3a.</t>
  </si>
  <si>
    <t xml:space="preserve">Dobava i ugradnja ostakljene stijene s jednokrilnih ostakljenim vratima Stijena se sastoji od ostakljenih zaokretnih vrata i fiksnog dijela sa strane te nadsvijetlom. Zidarski otvor je 115x289 cm. Vrata su svijetlog otvora 100x210 cm.
Ugradnja u podrumu.
Ugradnja  AB zidove. Staklo lamistal 10 mm. Panik kvake sa rozetama od brušenog inoxa ili mat aluminija. Brave sa mogućnošću zaključavanja.
Stavka uključuje sve potrebne radove do potpune funkcionalne i estetske gotovosti.
Sve izvesti prema shemama, detaljima i u dogovoru s projektantom.
</t>
  </si>
  <si>
    <t>Uključiti izradu poklopca šahta 60x60cm (ulaz u bazen za sprinkler) u isto maniri, u inox okviru.</t>
  </si>
  <si>
    <t>Izrada, dobava i montaža okvira za kokos otirač od vruće cinčanih čeličnih L profila 30x30x3 mm sa konzolicama od plosnog željeza 22/2 mm za ugradbu.</t>
  </si>
  <si>
    <t>* lamelirani nosač  20x20 cm, L=14,90 m</t>
  </si>
  <si>
    <t>* lamelirani nosač  20x20 cm, L=13,90 m</t>
  </si>
  <si>
    <t>* lamelirani nosač  20x20 cm, L=6,00 m</t>
  </si>
  <si>
    <t>* lamelirani nosač  20x20 cm, L=3.00 m</t>
  </si>
  <si>
    <t>* drvene gredice  20x10 cm, L=6.00 m</t>
  </si>
  <si>
    <t>* drvene gredice  20x10 cm, L=3.00 m</t>
  </si>
  <si>
    <t>Dobava i ugradnja tipske inox mreže od viskokvalitetnih inox sajli i kopči na spremištu za drva. Mreža se učvršćuje na potkonstrukciju od vruće cinčanih čeličnih L-profila 50x50x5 mm. Izvesti sve prema nacrtu, detaljima i u dogovoru s projektantom. Na prednjoj strani spremišta izvode se dvokrilna zaokretna vrata na potrebnoj potkonstrukciji i s potrebnim okovom obloge.
Sve izvesti prema shemama, detaljima i u dogovoru s projektantom do potpune gotovosti.</t>
  </si>
  <si>
    <t>Dobava i ugradnja ograde od vruće cinčanih čeličnih profila kvadratičnog i L presjeka 50x50x5 mm, koji se učvršćuju na podnu konstrukciju. Ispuna polja inox mrežom od visokokvalitetnih inox sajli i kopči. Sve prema nacrtu. Visina ograde 290 cm. Obračun po m1 kompletno ugrađene ograde.</t>
  </si>
  <si>
    <t xml:space="preserve">Dobava i ugradnja prefabriciranog stola za stolni tenis, postava na krov vodospreme.
Sve ostalo prema uputi proizvođača. </t>
  </si>
  <si>
    <t>B.B.6.5.</t>
  </si>
  <si>
    <t>* drvene gredice  20x10 cm, L=1.50 m</t>
  </si>
  <si>
    <t>* daske debljine 4 cm</t>
  </si>
  <si>
    <t>* lamelirani nosač (spreg)  20x20 cm, L=14,00 m</t>
  </si>
  <si>
    <t>* lamelirani nosač (spreg)  20x20 cm, L=13,50 m</t>
  </si>
  <si>
    <t>Penjalište se nalazi na dvije stranice, na potkonstrukciji od drvenih gredica 10x10 cm. Sve izvesti prema nacrtu. detaljima i u dogovoru s projektantom. U cijenu i obračun se uključuje kompletan sadržaj za dovršenje (sidreni vijci, limovi za ojačanje, spojna sredstva, obrada, premaz i dr.), te pokrov penjališta prema shemi.
Uključiti i hvataljke za penjanje (cca. 6 kom / m2)
Sve ostalo prema uputama postavljača penjačke opreme.</t>
  </si>
  <si>
    <t>Dobava, izrada i ugradnja unutarnjeg nadglavnog sustava zaštite od sunca i zamračenja u obliku platnenih rolo sjenila. Pogon je elektromotorni, 230 V. Kučište je aluminijsko, dimenzija max. 110x125 mm, u skladu s dimenzijama otvora koji platno štiti; gornji nosač (konzola) je čelični, pocinčani. Ostali dijelovi su aluminijski, odgovarajuće plastificirani ili eloksirani. Vođenje je pomoću alu vodilica s brtvenim četkicama, što omogućuje potpunu zapreku prolazu svjetla na spoju platna i vodlice. El. priključak u obliku Hirschmanove spojke, klasa zaštite IP 44. Upravljanje tipkalom postavljenim na lokaciji prema izboru projektanta. Prilikom ugradnje bravarske stavke voditi računa o kabliranju, tj. predvidjeti izvor napajanja 230V. Potrebni elektroradovi obuhvaćeni troškovnikom elektroinstalaterskih radova jake i slabe struje.</t>
  </si>
  <si>
    <t>Odvoz materijala preostalog od iskopa, nakon zatrpavanja rova na gradsku deponiju (do 30 km), uključivo utovar, istovar i razastiranje.
Količina u rastresitom stanju za zemljište III kategorije</t>
  </si>
  <si>
    <t>Odvoz viška materijala na deponiju
Sav višak materijala iz iskopa rovova za kanalizacijske kolektore i priključke, građevinskih jama za kontrolna okna i vodolovna grla, a koji je ostao nakon zatrpavanja istih mora se odvesti na deponiju udaljenosti do 30 km.
U cijenu je uključen utovar, prijevoz, istovar, te razastiranje materijala.
Obračun po m3 materijala, u rastresitom stanju.</t>
  </si>
  <si>
    <t>Dobava i montaža slivnika za odvodnju sa kuhinjskih podova.
Dobava i montaža podnog jednodijelnog industrijskog slivnika izrađenog prema HRN EN 1253 ili jednakovrijedno, sa prirubnicom za plitku hidroizolaciju i izvadivim zaporom za miris (sifonom) i horizontalnim odvodom DN100, protoka 2,8 l/sec, sve izrađeno iz nehrđajućeg čelika AISI 304 ili jednakovrijedno. Tijelo slivnika promjera 157 mm, sa prirubnicom za uklještenje hidroizolacije, dosjed za rešetku i zapor za miris izrađeni sa radijusom većim od 3 mm prema higijnskom dizajnu HRN EN 14159 ili jednakovrijedno te EHEDG ili jednakovrijednim standardima za prehrambenu industriju, radi lakšeg čišćenja i održavanja. Materijal dodatno zaštićen postupkom pikopasivizacije nakon izrade radi dodatne zaštite od agresivnih medija i korozije. Rešetka mrežasta protuklizna, elektropolirana radi lakšeg čišćenja, klase nosivosti A15.</t>
  </si>
  <si>
    <t>* vodosprema</t>
  </si>
  <si>
    <t xml:space="preserve">Izrada vanjskih armiranobetonskih zidova vodospreme debljine 20 cm, vodonepropusnim betonom kvalitete C25/30 u glatkoj dvostranoj oplati. Beton spravljen u betonari od agregata do 16 mm. Rad obuhvaća: izradu oplate, dobavu i postavljanje armature, kvašenje oplate, ubacivanje betona i zbijanje (vibriranje) sve dok se voda ne pojavi na površini.
</t>
  </si>
  <si>
    <t>U cijenu uključiti izvedbu potrebnih otvora, usjeka, proboja i sl.</t>
  </si>
  <si>
    <t>NAPOMENA: Prije izvođenja radova dimenzije kontrukcije i armiranje usuglasiti sa projektom konstrukcije. Točne pozicije proboja utvrditi sa proizvođaćem opreme.</t>
  </si>
  <si>
    <t>U ploči izvesti otvor 60x60 cm. Iznad otvora u ploči montirati lijevano-željezni poklopac s okvirom vel. 600x600 mm (uzeti u obzir u ovoj stavci). Poklopac ne smije biti na parkiralištu ili kolniku, a mora biti lakog tipa (ispod opt. 50 kn) s dvije uvlačno-izvlačne ručke koje se mogu uhvatiti punom šakom.</t>
  </si>
  <si>
    <t>Izvedba prostorije za smještaj hidrostanice, svijetlih dimenzija 270x180cm. Prostoriju izvesti armiranim vodonepropusnim betonom C 25/30 u dvostranoj oplati, debljine bočnih stijenki 20 cm. Stjenke okna ožbukati cementnom žbukom 1:2 zaglađenom do crnog sjaja. 
NAPOMENA: Prije izvođenja radova dimenzije kontrukcije i armiranje usuglasiti sa projektom konstrukcije. Točne mjere pozicije proboja utvrditi sa proizvođaćem opreme.</t>
  </si>
  <si>
    <t xml:space="preserve">Izrada armirano betonske stropne ploče vodospreme debljine 20 cm vodonepropusnim betonom kvalitete C25/30 u potrebnoj oplati. Beton spravljen u betonari od agregata do 32 mm. Rad obuhvaća: izradu oplate, dobavu i postavljanje armature, kvašenje oplate, ubacivanje betona i zbijanje (vibriranje) sve dok se voda ne pojavi na površini. U cijenu uključiti izvedbu potrebnih otvora, usjeka, proboja i sl.
</t>
  </si>
  <si>
    <t>Svi bravarski radovi moraju biti izvedeni prema radioničkim nacrtima izrađenim temeljem troškovnika, shema i projektantskih detalja. Cijenu izrade radioničkih nacrta uključiti u jedinične cijene.
Radioničke nacrte će prije početka izvedbe potpisom ovjeriti projektant .
Upotrebljeni materijali moraju odgovarati Hrvatskim normama, (Zakon o normizaciji N.N 80/13).
ČN vrata i ostale Čn konstrukcije obraditi toplim cinčanjem, bez završne boje.
Sve mjere kontrolirati u naravi prije izvedbe!
Troškovničke stavke uključuju dobavu, izradu i ugradnju svih opisanih elemenata.U cijenu ulazi i sav potreban pribor i ugradbeni materijal (vijci, zakovice i sl.) kao i čišćenje. Izvođač je odgovoran za nadoknadu šteta koje eventualno prouzroči na svojim ili tuđim radovima.
Elementi čelične konstrukcije izrađuju se od čelika u skladu sa specifikacijom materijala priloženom uz izvedbene nacrte. Obračun po specifikaciji u radioničkoj dokumentaciji (obračunska knjiga). U cijenu treba uključiti svu potrebnu pripremu za izradu i montažu (troškove gradilišta, skele, alate, pomoćni materijal). Izvoditelj je dužan provoditi kontrolu izrade i montaže prema tehničkim propisima i normama i voditi propisanu evidenciju toka radova prema važećim zakonima. Prije početka radova izvoditelj mora izraditi tehnološki projekt izrade i montaže čelične konstrukcije prema pravilniku za montažu čeličnih nosivih konstrukcija i program kontrole kvalitete prema programu kontrole i dokazu kvalitete u glavnom projektu.
U cijeni su obuhvaćeni svi dokazi kvalitete za materijale i postupke.</t>
  </si>
  <si>
    <t>Dobava i postava geotekstila 300 g/m2 na kontaktnu plohu zemlje i batude.</t>
  </si>
  <si>
    <t>Dobava i postava cestovnog geotekstila 300 g/m2 na kontaktnu plohu posteljice i nosivog sloja na terasama na terenu.</t>
  </si>
  <si>
    <t>Dobava i postava cestovnog geotekstila 300 g/m2 na kontaktnu plohu posteljice i nosivog sloja na pristupnim stazama.</t>
  </si>
  <si>
    <t>Dobava i postava geotekstila 300 g/m2 na kontaktnu plohu zemlje i šljunka.</t>
  </si>
  <si>
    <t>Dobava i izrada sustava izolacije terase iznad vodospreme.
Na suhu i čistu betonsku podlogu u padu izvodi se izolacija kako slijedi:
* fleksibilna polimer bitumenska traka s uloškom od staklene tkanine.
* ekstrudirani polistiren XPS u 2 međusobno okomita sloja (25 kg/m3) ukupne debljine 10 cm
* PP/PES filc, geotekstil (300 g/m2) debljine 2 mm</t>
  </si>
  <si>
    <t>Dobava i izrada sustava izolacije terase iznad podruma.
Na suhu i čistu betonsku podlogu u padu izvodi se izolacija kako slijedi:
* PP/PES filc debljine 2 mm
* jednoslojna hidroizolacija sintetskim TPO trakama 1000 kg/m3, debljine 2 mm mehanički učvršćenim za podlogu
* ekstrudirani polistiren XPS u 2 međusobno okomita sloja (25 kg/m3) ukupne debljine 10 cm
* PP/PES filc, geotekstil (300 g/m2) debljine 2 mm
Hidroizolacijski sloj podignuti, preko izvedenog holkela, najmanje 30 cm uz obodne zidove i učvrstiti metalnom lajsnom.</t>
  </si>
  <si>
    <t>Dobava i izrada hidrizolacije terasa iznad prizemlja.
Na suhu i čistu podlogu od OSB ploča izvodi se izolacija kako slijedi:
* PP/PES filc debljine 2 mm
* jednoslojna hidroizolacija sintetskim TPO trakama 1000 kg/m3, debljine 2 mm mehanički učvršćenim za podlogu
* PP/PES filc, geotekstil (300 g/m2) debljine 2 mm
Hidroizolacijski sloj podignuti, preko izvedenog holkela, najmanje 30 cm uz obodne zidove i učvrstiti metalnom lajsnom.</t>
  </si>
  <si>
    <t>Dobava i izvedba signalizacije za potrebe gradilišta, prema Zakonu o sigurnosti prometa na cestama (NN 67/08, 48/10, 74/11, 80/13, 158/13, 92/14, 64/15, 108/17, 70/19, 42/20, 85/22, 114/22, 133/23) i Pravilniku o prometnim znakovima, signalizaciji i opremi na cestama (NN 92/19), regulacija na ulici te uklanjanje nakon završetka svih radova.
Predviđeno vrijeme trajanja privremene regulacije prometa je za vrijeme trajanja svih radova. Cijenu treba ponuditi prema elaboratu privremene regulacije prometa, a po računu ovlaštenog poduzeća.</t>
  </si>
  <si>
    <t>Odvoz viška materijala iz iskopa na gradsku deponiju udaljenu do 30 km</t>
  </si>
  <si>
    <t>Ostali sitni nespecificirani materijal (L, N i PE sabirnice, nosači, kanalice, stopice, vijci i sl.). Cijena komplet izvedenog ormara sa montažom i spajanjem na objektu, te isporukom sheme spajanja stvarno izvedenog stanja</t>
  </si>
  <si>
    <t>Ostali sitni nespecificirani materijal (L, N i PE sabirnice, nosači, kanalice, stopice, vijci i sl. ). Cijena komplet izvedenog ormara sa montažom i spajanjem na objektu, te isporukom sheme spajanja stvarno izvedenog stanja</t>
  </si>
  <si>
    <t xml:space="preserve"> - čišćenje radnog prostora nakon završetka svake faze rada te prijenos otpadnog materijala na gradsku deponiju udaljenu do 30 km</t>
  </si>
  <si>
    <t>Čišćenje građevinske parcele od nepotrebnog sadržaja (raslinja, smeća i dr.) s utovarom, odvozom i odlaganjem smeća na gradilišnu deponiju na udaljenosti do 30 km. U cijenu treba biti ukljućena i naknada za odlaganje smeća na gradilišnoj deponiji.</t>
  </si>
  <si>
    <t>Višekratno čišćenje objekta i gradilišta nakon dovršetka pojedinih radova. Rad obuhvaća ručno metenje, odnošenje šute i odvoz na gradilišnu deponiju udaljenu do 30 km i dr. Nakon svakog završenog rada obavlja se čišćenje što treba uključiti u jedinstvenu cijenu.
Čišćenje obaviti tako da se ne nanesu mehanička i kemijska oštećenja.</t>
  </si>
  <si>
    <t>Višekratno čišćenje objekata i gradilišta nakon dovršetka pojedinih radova. Rad obuhvaća ručno metenje, odnošenje šute i odvoz na gradilišnu deponiju udaljenu do 30 km, smeća i dr. Nakon svakog završenog rada obavlja se čišćenje što treba uključiti u jedinstvenu cijenu.
Čišćenje obaviti tako da se ne nanesu mehanička i kemijska oštećenja.</t>
  </si>
  <si>
    <t>Strojni iskop površinskog humusnog sloja zatravnjenog tla i tla oko doma debljine 30 cm sa utovarom u kamion, odvozom i odlaganjem humusa na gradilišnom deponiju udaljenom do 30 km. Obračun po m3 stvarno iskopanih količina u sraslom stanju.</t>
  </si>
  <si>
    <t>Utovar u kamion i odvoz na gradilišnu deponiju udaljenu do 30 km, viška zemlje od iskopa. Obračun po m3 uzimajući u obzir koeficijent rastresitosti.</t>
  </si>
  <si>
    <t>Strojni iskop površinskog humusnog sloja zatravnjenog tla debljine 30 cm sa utovarom u kamion, odvozom i odlaganjem humusa na gradilišnu deponiju udaljenu do 30 km. Obračun po m3 stvarno iskopanih količina u sraslom stanju.</t>
  </si>
  <si>
    <t>Široki strojni iskop tla tipa A za dovođenje terena na projektirane visine sa pravilnim profiliranjem stranica iskopa. Iskopana zemlja se utovara u kamion, odvozi i odlaže na gradilišnu deponiju udaljenu do 30 km.
Obračun po m3 stvarno iskopanih količina u sraslom stanju.</t>
  </si>
  <si>
    <t>Pažljivo uklanjanje cijelog planinarskog doma, u skladu s projektom uklanjanja. Prethodno je potrebno kuću očistiti od svog inventara, koji se može dalje koristiti.
Uklanjanje se vrši tako da se što više mateirjala ponovno koristi u izgradnji novog doma, poput drvene građe ili kamena. Stoga je potrebno pažljivo ukloniti sav materijal, a ono što će se ponovno koristiti deponirati na gradilištu.
Pažljivo treba ukloniti:
* limeni crijep / deponiranje na gradilištu
* krovna potkonstrukcija / deponiranje na gradilištu
* krovna konstrukcija / deponiranje na gradilištu
* dimnjak po cijeloj visini / utovar i odvoz na gradilišnu deponiju
* drvena građa međukatnih konstrukcija / sortirati i dobre dijelove deponirati na gradilištu
* drvena konstrukcija kata / sortirati i dobre dijelove deponirati na gradilištu
* ziđe stare (izvorne) zgrade u prizemlju od kamenih blokova / sortirati, očistiti od morta i vezivnog materijala i sortirati na gradilištu
* kameni temelji izvorne zgrade / sortirati, očistiti od morta i vezivnog materijala i sortirati na gradilištu
Posebnu pažnju treba posvetiti kaljevoj peći (rastaviti i deponirati na gradilištu), te policama s vješalicama u blagovaonici, koje isto treba pažljivo demontirati staviti na sigurno mjesto.
Ostatak doma treba pažljivo ukloniti, utovariti i odvesti na gradilišnu deponiju udaljenu do 30 km.
Uračunati utovar u kamion, odvoz i odlaganje materijala na gradilišnom deponiju udaljenom do 30 km. U cijenu treba uključiti i pristojbu za odlaganje otpada na gradilišnom deponiju. Prije davanja ponude postojeću građevinu je potrebno pregledati.</t>
  </si>
  <si>
    <t>Uklanjanje objekta uz planinarski dom - kiosk, veličine GBP= cca 20,00, m2, pravokutnog tlocrta, s jednostrešnim krovom, koji se sastoji od drvene konstrukcije, s vratima i prozorom, zajedno s temeljem objekta.
Uklanjanje se vrši tako da se što više mateirjala ponovno koristi u izgradnji novog doma, poput drvene građe ili kamena. Stoga je potrebno pažljivo ukloniti sav materijal, a ono što će se ponovno koristiti deponirati na gradilištu.
Pažljivo treba ukloniti:
* limeni crijep / deponiranje na gradilištu
* drvenu građu / sortirati i deponirati na gradilištu
Ostatak treba pažljivo ukloniti, utovariti i odvesti na gradilišnu deponiju udaljenu do 30 km.
Uračunati utovar u kamion, odvoz i odlaganje materijala na gradilišnom deponiju udaljenom do 30 km. U cijenu treba uključiti i pristojbu za odlaganje otpada na gradilišnom deponiju. Prije davanja ponude postojeću građevinu je potrebno pregledati.</t>
  </si>
  <si>
    <t>OPĆI UVJETI ZEMLJANIH RADOVA
Tlocrtno iskolčenje zgrade i određivanje kote ±0,00) provesti prema planu Situacija koristeći i geodetsku snimku .
Iskolčenje će prije početka radova pregledati i eventualno korigirati projektant.
Prije početka zemljanih radova, teren treba očistiti od šiblja i korova ili manjih stabala. Stabla vaditi sa korijenjem.
Ti radovi kao i radovi oko razmjeravanja terena i obilježavanja zgrade uračunati su u jedinične cijene.
Planiranje dna širokog iskopa i iskopa za temelje izvesti sa točnošću od ±3 cm, što je uključeno u jediničnu cijenu.
Iskop kontroliraju i prihvaćaju nadzorni inžinjer i geodet koji je iskolčio zgradu.
Ukoliko izvođač prilikom iskopa zemlje naiđe na bilo kakve predmete, objekte ili instalacije, dužan je na tom mjestu obustaviti radove i o tome obavijestiti investitora i nadzornog inženjera.
Iskopani materijal treba odlagati na dovoljnom odstojanju od ruba iskopa, da ne dođe do zarušavanja, prema uputi geomehaničara.
Ukoliko je izvođač otkopao ispod projektom predviđene temeljne ravnine obavezan je bez naknade popuniti tako nastale šupljine betonom MB10 do projektirane kote.Zabranjeno popunjavanje šljunkom.
Količine iskopa, transporta i nasipa zemlje obračunavaju se prema sraslom stanju tla. Ukoliko troškovničkom stavkom nije drugačije navedeno odvoz zemlje uključuje transport na gradilišnu deponiju udaljenu do 30 km.
Napomena: Kod odvoza materijala od iskopa ne uzima se posebno u obzir koeficijent rastresitosti.</t>
  </si>
  <si>
    <t>Čišćenje građevinske parcele od nepotrebnog sadržaja (raslinja, smeća i dr.) s utovarom, odvozom i odlaganjem smeća na gradilišnom deponiju udaljenosti do 30 km. U cijenu treba biti ukljućena i naknada za odlaganje smeća na gradilišnoj deponiji.</t>
  </si>
  <si>
    <t>Čišćenje građevinske parcele od nepotrebnog sadržaja (raslinja, smeća i dr.) s utovarom, odvozom i odlaganjem smeća na gradilišnu deponiju udaljenu do 30 km. U cijenu treba biti ukljućena i naknada za odlaganje smeća na gradilišnoj deponiji.</t>
  </si>
  <si>
    <t>U jediničnoj cijeni sadržano je:
* sav materijal, dobava i uskladištenje, te unutarnji transporti
* sav rad opisan u stavci
* potrebna radna skela
* čišćenje svakodnevno i po završenom radu uključivo odvoz viška materijala na
gradilišnu deponiju udaljenu do 30 km
* popravci štete na vlastitom ili drugim radovima učinjeni iz nepažnje
* troškovi zaštite na radu i troškovi atesta
U cijeni pojedine stavke treba obuhvatiti skelu, dobavu i ugradnju materijala - osnovnog i pomoćnog, sve pripremne i međufaze rada potrebne za korektno dovršenje stavke prema pravilima struke i važećim propisima bez obzira da li je sve to napomenuto u pojedinoj stavci troškovnika.
Obloga stropa ili zida postavlja se nakon kompletno dovršene instalacije koja se montira unutar konstrukcije.</t>
  </si>
  <si>
    <t xml:space="preserve">Svi betonski i armiranobetonski radovi imaju se izvesti prema Tehničkom propisu za građevinske konstrukcije (NN 17/17).
Jedinična cijena mora sadržavati :
- izradu, dopremu i ugradbu betona, te zaštitu betonskih konstrukcija
- postavu i skidanje radne skele
-sve posredne i neposredne troškove za rad, materijal, alat i građevinske strojeve
- njegu betona
- uzimanje labaratorijskih uzoraka na mjestu i u vrijeme ugradnje betona za svaku tehn. fazu
Klasa betona mora biti prema projektu konstrukcije i troškovniku, sa dodacima za vodonepropusnost, ako je zahtjevano.
U toku ugradnje AB konstrukcije potrebno je uzimati uzorke betona koji se dostavljaju u ovlašteni laboratorij radi atestiranja. Uzorci betona uzeti u tvornici betona nisu relevantni zbog mogućnosti da se naknadnim dodavanjem vode zbog potrebe transporta smanji čvrstoća.
Skela i oplata moraju imati takvu sigurnost i krutost da bez štetnih deformacija mogu primati opterećenje i uticaje koji nastaju tijekom izvedbe radova, te ostvariti punu sigurnost radnika, sredstava za rad kao i prolaznika.
U cijenu oplate uključena su i podupiranja, uklještenja, te postava i skidanje sa čišćenjem i slaganjem na deponij udaljen do 80m.
Beton treba ugrađivati upotrebom vibratora. Oplata se smije skinuti tek pošto ugrađeni beton dobije odgovarajuću čvrstoću, po nalogu nadzornog inženjera. Skidanje oplata treba raditi pažljivo da ne bi došlo do oštećenja konstrukcije, a naročito tankih armirano-betonskih elemenata.
U iskazu količina oplate su izražene razvijene površine.
Betonske podloge obračunavaju se u m3.
Izvedba rupa i otvora u AB pločama i zidovima, do 3 m2, uključena je u cijenu.
Armaturu ugrađivati prema projektu savijanja željeza, ugrađivati samo očišćenu armaturu (bez hrđe), postavljenu na mjestu prema projektu konstrukcije, pomoću PVC podložaka
Izvođač je dužan izraditi projekt betona.
Sve nedoumice riješiti prema planu oplate i planu armature, ili u dogovoru s projektantom i nadzorom.
</t>
  </si>
  <si>
    <t xml:space="preserve">Izrada mikroarmiranog cem. estriha MM-10 kao plivajućeg poda u sloju debljine 10 cm preko položenog elastificiranog polistirena zaštićenog PE folijom na terasi iznad podruma. Estrih se armira čeličnim vlaknima. </t>
  </si>
  <si>
    <t>Dobava, doprema i ugradnja zrcala u sanitarijama.</t>
  </si>
  <si>
    <t>DIZALA - Dobava i izvedba okna za oddimljavanje, sve prema Prikazu svih primijenjenih mjera zaštite od požara.</t>
  </si>
  <si>
    <t>Projekt penjačke stijene na vidikovcu ugovara izvođač - u izvedbenom projektu je data načelna pozicija.</t>
  </si>
  <si>
    <t>Nadstrešnica za boulder: Projekt stijene za boulder s potrebnom opremom ugovara izvođač - u izvedbenom projektu je data načelna pozicija.</t>
  </si>
  <si>
    <t xml:space="preserve">Dobava i izrada gornjeg završetka krova (sljemena) u ne-ventiliranoj izvedbi. Stavka uključuje: izvedbu rubnu-okapnu aluminijsku traku r.š. 20 cm debljine 1,00 mm i kant lajsnu od alu lima r.š. 25cm debljine 0,70 mm. Pojedini elementi maksimalne duljine 2 m spajaju se falcanjem. Boje i kvalitete materijala kao i osnovna pozicija. U cijenu uključiti eventualno potrebne pomoćne i spojne materijale, montirati stručno, vjetrootporno i s omogućenim dilatacijskim radom. Sve prema uputama proizvođaća. </t>
  </si>
  <si>
    <t>Dobava, montaža i spajanje upravljačka jedinica s napajanjem u nuždi, 4.5A, 120W, interni kapacitet 2.3Ah, za jednu alarmnu grupu i jednu grupu za provjetravanje.
Boja: Narančasta RAL 2011 ili jednakovrijedno
Mogučnost nadogradnje sa IO420 za spajanje na CNUS putem BACnet-a.
Automatsko prebacivanje s mreže na bateriju. U slučaju nužde, s baterijom 24 V, osigurana je autonomija sustava minimalno 72 sata.
Sa prednje strane je alarmna kontrolna ploča:
- tipka za manualno aktiviranje alarma, reset tipka i LED indikacija stanja sustava "alarm", "u radu" i "kvar"
- dvije okrugle pozadinski osvjetljene tipke za upravljanje motorima u funkciji provjetravanja "otvori"; "zatvori"
Širina: 140 mm; Visina: 248 mm; Dubina: 85 mm</t>
  </si>
  <si>
    <t>Dobava, montaža i spajanje centrala za odimljavanje, VdS, 960W, interni kapacitet 24-38Ah, BUS komunikacija, predviđeno grupiranje u 4 grupe do 10A, napajanje centrale 230V, izlaz za komponente 24V, osigurana autonomija 72h. U skladu sa EN 12101-10 ili jednakovrijedno.
Mogučnost podešavanja funkcija GEZE PC RWA softverom.
Mogučnost za 5 dodatnih modula.
Mogučnost nadogradnje sa IO420 za spajanje na CNUS putem BACnet-a.
Osigurati beznaponski kontakt centralnog požarnog sustava za automatsku aktivaciju
Dimenzije: 600x600x250mm</t>
  </si>
  <si>
    <t>Dobava, montaža i spajanje ručni javljač / tipkalo, 24V DC, VdS, RAL 2011 orange ili jednakovrijedno
- za ručnu aktivaciju sustava
- LED prikaz stanja sustava (Alarm/ otovreno/ stanje pripravnosti/ greška)
- mogučnost resetiranja sustava unutar javljača
- isporuka u metalnom kučištu sa ključem</t>
  </si>
  <si>
    <t>Dobava, isporuka i ugradnja vatrodojavnog kabela, krutih vodiča 1x2x1 mm2, oznake JB-H(St)H
- crvene boje
- samogasiva PVC izolacija
- bezhalogeni, malodimni
- CPR klasifikacija C - s1a, d0, a1
Uključeno uvlačenje kabela u instalacijske cijevi ili kanalice.</t>
  </si>
  <si>
    <t>Dobava, isporuka i ugradnja vatrodojavnog kabela, krutih vodiča, poboljšanih svojstava u požaru, s očuvanjem električne funkcije u požaru, oznake JB-H(St)H E30 2x2x0,8mm2
- crvene boje
- samogasiva PVC izolacija
- bezhalogeni, malodimni
- CPR klasifikacija C - s1a, d0, a1
Uključeno uvlačenje kabela u instalacijske cijevi ili kanalice.</t>
  </si>
  <si>
    <t>Polaganje rebraste CS cijevi fi 25 mm u spuštenom
stropu i/ili zidu
Uključeno uvlačenje kabela u instalacijske cijevi ili kanalice.</t>
  </si>
  <si>
    <t>Dobava i montaža izolacija cjevovoda od pjenastog polimera (PEEF) sa parnom branom, za sustave klimatizacije, u kompletu sa ljepilom i trakom
Toplinska vodljivost izolacije λ (0°C) ≤ 0,35 W/mK, koeficijent otpora difuziji vodene pare μ ≥ 10.000
Razred reakcije na požar prema HRN EN13501.1: B-s3d0 ili jednakovrijedno.
kriterij za nuđenje: toplinska vodljivost izolacije ne manja od tražene i odgovarajući razred reakcije na požar</t>
  </si>
  <si>
    <t>NAPOMENA:</t>
  </si>
  <si>
    <t>Sitni potrošni materijal koji nije posebno specificiran, a potreban je za montažu navedenog materijala i opreme žica za varenje, plin, pile za željezo i sl. uključen je u cijenu ponude.</t>
  </si>
  <si>
    <t>Građevinska pripomoć na uspostavi prodora potrebnih za polaganje cjevovoda iz trošovnika, zaštita cjevovoda u podu i križanja sa ostalim instalacijama obuhvaća sve potrebne radove na izradi prodora u zidovima, podovima i stropovima u kojima se otvori ne moraju izvoditi strojno te se isto obračunavaju u ponudi.</t>
  </si>
  <si>
    <t>Oprema se montira do pune pogonske gotovosti.</t>
  </si>
  <si>
    <t>Građevinska pripomoć na uspostavi prodora u zidovima i podovima za prolaz cjevovoda uključena je u cijenu ponude.</t>
  </si>
  <si>
    <t xml:space="preserve">Dobava i montaža kupaonskiog cijevnog radijatoar sa ugrađenim elektrogrijačem sa termostatom i priključnim kabelom, montažnim i sitnim potrošnim materijalom
kriterij za nuđenje: učin ne manji od tražeog
H1275x400
Qgr = 398 W
Nel = 400 W / 230 V
Elektrospajanje opreme do pune pogonske gotovosti
</t>
  </si>
  <si>
    <t>Građevinska pripomoć na uspostavi prodora potrebnih za polaganje cjevovoda iz trošovnika, zaštita cjevovoda u podu i križanja sa ostalim instalacijama obuhvaća sve potrebne radove na izradi prodora u zidovima, podovima i stropovima u kojima se otvori ne moraju izvoditi strojno te se ista obračunavaju u ponudi.</t>
  </si>
  <si>
    <t>Elektropovezivanje ventilokonvektora, puštanje u pogon, ovjera garancije od strane ovlaštenog servisera, obuka korisnika, dostava uputa na hrvatskom jeziku u elektronskom obliku, na prijenosnom mediju.</t>
  </si>
  <si>
    <t>Građevinska pripomoć na uspostavi prodora u zidovima za prolaz kanalima obračunava se u ponudi.</t>
  </si>
  <si>
    <t>Građevinska pripomoć na uspostavi prodora u zidovima i podovima za prolaz kanalima se obračunava u ponudi.</t>
  </si>
  <si>
    <t>Građevinska pripomoć na uspostavi prodora potrebnih za polaganje cjevovoda i odvoda kondenzata iz trošovnika, zaštita cjevovoda i odvoda u podu i križanja sa ostalim instalacijama obuhvaća sve potrebne radove na izradi prodora u zidovima, podovima i stropovima u kojima se otvori ne moraju izvoditi strojno te je obuhvaćena ponudom.</t>
  </si>
  <si>
    <t>Printanje i postavljanje oznaka opasnosti na strojarnici prema ZNR i ZOP.</t>
  </si>
  <si>
    <t xml:space="preserve">Iskop kanala u zemljištu tipa A za polaganje vodovodnih cijevi. Dubinu iskopa izvesti do 1,2m. Širina rova 0,6m. Predviđen je ručni iskop 30% i strojni iskop 70%.
</t>
  </si>
  <si>
    <t>Proširenje dna rova u zemljištu tipa A radi izvedbe vodomjernog okna. Iskopani materijal odbaciti na udaljenost preko 1.0 m od bočne ivice rova, kako bi se spriječilo urušavanje iskopanog materijala u rov.</t>
  </si>
  <si>
    <t>Dobava i ugradnja biološkog uređaja za pročišćavanje sanitarno-potrošnih otpadnih voda, za 44 ES (ekvivalentnih stanovnika) sa spremnikom mulja, aeracijskom zonom,
razvodom aeracije unutar aeracijske zone tanka, kompresorom za unos zraka, upravljački elektroormar i pripadajuća automatika, kao i sustav završne obrade otpadne vode te sav potreban spojni, montažni i brtveni materijal.
Uređaj mora posjedovati otvore za inspekciju i pražnjenje. Na svakom otvoru predvidjeti ugradnju poklopca za zelenu površinu sa natpisom «pročistač». Spoj ulaz/izlaz fi 150 mm (prilagodljivo uvjetima na gradilištu).
Uređaj posjeduje Certifikat kvalitete ISO 9001. Izrađen prema HRN EN 12566 ili jednakovrijednoj normi za izradu pročistača.
Atestna dokumentacija, Upute za rad i Certifikati kvalitete uključeni u ovu stavku.</t>
  </si>
  <si>
    <t>Dobava i ugradnja Sprinkler alarmne ventilske stanice “suha” NO80 u kompletu sa sprinkler alarmnim ventilom NO80, ubrzivačem, zasunom s indikacijom otvorenosti NO80 (2 kom) ispred i iznad sprinkler ventila, ventilom alarmnog zvona sa indikacijom otvorenosti, svom pripadajućom armaturom, manometrima, signalna tlačna sklopka za nadzor tlaka zraka i alarmnom tlačnom sklopkom, sve s dokazom kvalitete- izjavom o sukladnosti i s VdS certifikatom)</t>
  </si>
  <si>
    <t>Dobava i ugradnja Sprinkler alarmne ventilske stanice “mokra” NO100 u kompletu sa sprinkler alarmnim ventilom NO100, tampon bocom, zasunom s indikacijom otvorenosti NO100 (2 kom) ispred i iznad sprinkler ventila, ventilom alarmnog zvona sa indikacijom otvorenosti, svom pripadajućom armaturom, manometrima i alarmnom tlačnom sklopkom, sve s dokazom kvalitete- izjavom o sukladnosti i s VdS certifikatom)</t>
  </si>
  <si>
    <t>Dobava i ugradnja alarmnog zvona - hidrauličkog, u kompletu s hvatačem nečistoća s dokazom kvalitete- izjavom o sukladnosti i s VdS certifikatom)
- ulaz 3/4", izlaz 1"</t>
  </si>
  <si>
    <t>Dobava i ugradnja elektromotorne sprinkler pumpe na postolju N=7,5kW, 3x400V, vertikalna izvedba , u kompletu s prirubnicama i protuprirubnicama NO100, brtvama i vijčanim spojevima; kompezacijom na usisu; asimetričnom i simetričnom redukcijom, (Pumpa s dokazom kvalitete- hrvatskom izjavom o sukladnosti i izjavom o sukladnosti prema VdS)
Q=0,0 l/min; H=4,2 bar
Q=420 l/min; H=4,2 bar
Q=570 l/min; H=4,0 bar
Q=660 l/min; H=3,9 bar
Q=840 l/min; H= 3,5 bar
Q=1.080 l/min; H= 2,5 bar</t>
  </si>
  <si>
    <t>Dobava i ugradnja elektromotorne jockey pumpe na postolju, u kompletu s elektromotorom, N=1,5kW, 3x400V, ivertikalna izvedba, u kompletu s prirubnicama, protuprirubnicama, brtvama i vijčanim spojevima; sa svom potrebnom svjetlosnom i zvučnom signalizacijom , sukladno VdS propisima, (s dokazom kvalitete- izjavom o sukladnosti)</t>
  </si>
  <si>
    <t>Dobava i ugradnja zasuna s indikacijom otvorenosti (sa krajnjom sklopkom - tamper switch) NP16, u kompletu s prirubnicama, protuprirubnicama, brtvama i vijčanim spojevima; s dokazom kvalitete- izjavom o sukladnosti i s VdS certifikatom) slijedeće dimenzije:
NO150</t>
  </si>
  <si>
    <t>Dobava i ugradnja zasuna s indikacijom otvorenosti (sa krajnjom sklopkom - tamper switch) NP16, u kompletu s prirubnicama, protuprirubnicama, brtvama i vijčanim spojevima; s dokazom kvalitete- izjavom o sukladnosti i s VdS certifikatom) slijedeće dimenzije:
NO100</t>
  </si>
  <si>
    <t>Dobava i ugradnja zasuna s indikacijom otvorenosti (sa krajnjom sklopkom - tamper switch) NP16, u kompletu s prirubnicama, protuprirubnicama, brtvama i vijčanim spojevima; s dokazom kvalitete- izjavom o sukladnosti i s VdS certifikatom) slijedeće dimenzije:
NO50</t>
  </si>
  <si>
    <t>Dobava i ugradnja mjerne blende u kompletu s mjernim instrumentom, s dokazom kvalitete- izjavom o sukladnosti i s VdS certifikatom) slijedeće dimenzije: slijedećih dimenzija:
NO80</t>
  </si>
  <si>
    <t>Dobava i ugradnja kuglastog ventila, navojni NP16, slijedećih dimenzija:
NO25 -1"</t>
  </si>
  <si>
    <t>Dobava i ugradnja nepovratnog ventila, NP10, u kompletu sa utornim spojnicama (s VdS certifikatom), slijedeće dimenzije:
NO100</t>
  </si>
  <si>
    <t>Dobava i ugradnja nepovratnog ventila, navojni NP16, slijedećih dimenzija:
NO25 -1"</t>
  </si>
  <si>
    <t>Dobava i ugradnja seta za električni start pumpe - priključak tlačne sklopke, sastoji se od:
Manometar 0-16 bar, Ø100mm, 1/2" (kom.1)
Ventil kuglasti troputi s T pozicijom, 1/2" (kom.1)
Tlačna sklopka s VdS certifikatom 1/2" (kom.1)
Pocinčani T komad 1/2" (kom.1)
Pocinčani nipl 1/2" (kom.2)
Pocinčano koljeno 1/2" (kom.2)
Priključak na kolektor NO100- 1"-1/2" (kom.1)</t>
  </si>
  <si>
    <t>Dobava i ugradnja kompresora zraka u kompletu sa elektromotorom i spremnikom volumena 24 l, snage 1,5 kW, dobava zraka 135 l/min, 8 bar i s priključkom suhe mreže s blendom 1,5mm, sigurnosnim ventilom umjerenim na 3,5 bar, regulatorom tlaka zraka, tlačnom sklopkom I manometrima te pripadajuća cijevna armatura NO20 i spojem kompresora na suhu alarmnu sprinkler stanicu</t>
  </si>
  <si>
    <t>Dobava i ugradnja obilaska s prigušnicom / Ms pločicom s otvorom za minimalni protok sprinkler pumpe u kompletu s holenderom 3/4" i čeličnim pocinčanim cijevima HRN EN 10220/10255 ili jednakovrijedno, šavna, ispitana na 50 bar te svim raznim pocinčanim fitinzima HRN EN 10242 ili jednakovrijedno, s dokazom kvalitete fitinga - izjavom o sukladnosti i s VdS certifikatom,
slijedeće dimenzije:
NO20 -3/4"</t>
  </si>
  <si>
    <t>Dobava i ugradnja hidrantskog ormarića 500x500x150 mm za smještaj "B" spojnica, RAL 3000, u kompletu s
- Vatrogasna stabilna spojnica tip Storz "B" (R21/2") - 2 komada
- Vatrogasna slijepa spojnica tip Storz "B" (R21/2") - 2 komada
te naljepnica : PRIKLJUČAK VATROGASNOG VOZILA NA SPRINKLER INSTALACIJU</t>
  </si>
  <si>
    <t>Dobava i ugradnja ventila s plovkom, navojni priključak ventila , NP16, slijedećih dimenzija:
NO50- 2"</t>
  </si>
  <si>
    <t>Dobava i ugradnja hvatača nečistoća, NP16 s dokazom kvalitete- izjavom o sukladnosti i s VdS certifikatom) slijedeće dimenzije:
NO50</t>
  </si>
  <si>
    <t>Dobava i ugradnja spremnika za kompenzaciju tlaka 12 litara, np10 bar, zajedno s manometrom i kuglastim ventilima 1 ". Prema projektu</t>
  </si>
  <si>
    <t>Dobava i ugradnja čelične cijevi, pocinčane, HRN EN 10255 ili jednakovrijedno, šavna, vruće cinčana, tvornički ispitana na 50 bar.
U kompletu sa pocinčanim cijevnim lukovima, pocinčanim redukcijama, pocinčanim T komadima, te svim raznim pocinčanim fitinzima. Pocinčani fitinzi sukladni HRN EN 10242 ili jednakovrijedno, s dokazom kvalitete- izjavom o sukladnosti i s VdS certifikatom.
Cijev slijedeće dimenzije:
NO20 - 3/4"</t>
  </si>
  <si>
    <t>Dobava i ugradnja čelične cijevi, pocinčane, HRN EN 10255 ili jednakovrijedno, šavna, vruće cinčana, tvornički ispitana na 50 bar.
U kompletu sa pocinčanim cijevnim lukovima, pocinčanim redukcijama, pocinčanim T komadima, te svim raznim pocinčanim fitinzima i izlaznim priključcima za opremu. Pocinčani fitinzi sukladni HRN EN 10242 ili jednakovrijedno, s dokazom kvalitete- izjavom o sukladnosti i s VdS certifikatom.
Cijev slijedeće dimenzije:
NO25 -1"</t>
  </si>
  <si>
    <t>Dobava i ugradnja čelične cijevi, pocinčane, HRN EN 10255 ili jednkovrijedno, šavna, vruće cinčana, tvornički ispitana na 50 bar.
U kompletu sa pocinčanim cijevnim lukovima, pocinčanim redukcijama, pocinčanim T komadima, te svim raznim pocinčanim fitinzima i izlaznim priključcima za opremu. Pocinčani fitinzi sukladni HRN EN 10242 ili jednakovrijedno, s dokazom kvalitete- izjavom o sukladnosti i s VdS certifikatom.
Cijev slijedeće dimenzije:
NO50 - 2"</t>
  </si>
  <si>
    <t>Dobava i ugradnja čelične cijevi, crne, HRN EN 10220/10255/10217 ili jednakovrijedno, šavna, tvornički ispitana na 50 bar.
U kompletu sa cijevnim lukovima, redukcijama, T komadima, te svim raznim fitinzima.
Cijev slijedeće dimenzije:
NO65 - 2 1/2"</t>
  </si>
  <si>
    <t>Dobava i ugradnja čelične cijevi, crne, HRN EN 10220/10255/10217 ili jednakovrijedno, šavna, tvornički ispitana na 50 bar.
U kompletu sa cijevnim lukovima, redukcijama, T komadima, te svim raznim fitinzima.
Cijev slijedeće dimenzije:
NO80 - 3"</t>
  </si>
  <si>
    <t>Dobava i ugradnja čelične cijevi, crne, HRN EN 10220/10255/10217 ili jednakovrijedno, šavna, tvornički ispitana na 50 bar.
U kompletu sa cijevnim lukovima, redukcijama, T komadima, te svim raznim fitinzima.
Cijev slijedeće dimenzije:
NO100 - 4"</t>
  </si>
  <si>
    <t>Dobava i ugradnja čelične cijevi, crne, HRN EN 10220/10255/10217 ili jednakovrijedno, šavna, tvornički ispitana na 50 bar.
U kompletu sa cijevnim lukovima, redukcijama, T komadima, te svim raznim fitinzima.
Cijev slijedeće dimenzije:
NO150 - 6"</t>
  </si>
  <si>
    <t>Dobava i ugradnja ovjesnog i konzolnog materijala, pocinčanog, za pričvršćenje i ovjes cjevovoda (s VdS certifikatom), za cijevi slijedećeg promjera:
NO32 do NO50</t>
  </si>
  <si>
    <t>Dobava i ugradnja ovjesnog i konzolnog materijala, pocinčanog, za pričvršćenje i ovjes cjevovoda (s VdS certifikatom), za cijevi slijedećeg promjera:
NO15 do NO25</t>
  </si>
  <si>
    <t>Dobava i ugradnja ovjesnog i konzolnog materijala, pocinčanog, za pričvršćenje i ovjes cjevovoda (s VdS certifikatom), za cijevi slijedećeg promjera:
NO65</t>
  </si>
  <si>
    <t>Dobava i ugradnja ovjesnog i konzolnog materijala, pocinčanog, za pričvršćenje i ovjes cjevovoda (s VdS certifikatom), za cijevi slijedećeg promjera:
NO80</t>
  </si>
  <si>
    <t>Dobava i ugradnja ovjesnog i konzolnog materijala, pocinčanog, za pričvršćenje i ovjes cjevovoda (s VdS certifikatom), za cijevi slijedećeg promjera:
NO100</t>
  </si>
  <si>
    <t>Dobava i ugradnja ovjesnog i konzolnog materijala, pocinčanog, za pričvršćenje i ovjes cjevovoda (s VdS certifikatom), za cijevi slijedećeg promjera:
NO150</t>
  </si>
  <si>
    <t>Dobava i ugradnja priključnog potopljenog dijela cjevevoda - preljev , izvedenog od cijevi DN 100, duljina cijevi cca. 2 m, koljena 90 stupnjeva, sa svim raznim fitinzima i spojnicama.</t>
  </si>
  <si>
    <t>Dobava i ugradnja priključnog potopljenog dijela cjevevoda za spoj instalacije od bazana do sprinkler pumpe u kompletu protuvrtložnom izvedbom usisa, izvedeno od cijevi DN 150, sa svim raznim fitinzima i spojnicama,</t>
  </si>
  <si>
    <t>Dobava i ugradnja priključnog potopljenog dijela cjevevoda za spoj instalacije od bazana do jockey pumpe od cijevi DN 25, . Kompletan sklop zaštititi vrućim pocinčavanjem.</t>
  </si>
  <si>
    <t>Dobava i ugradnja dvodijelne kružne brtve za brtvljenje cjevovoda za prodor cijevi kroz beton, za brtvljenje pod tlakom, uz bušenje rupe. Cijev slijedeće dimenzije
NO150</t>
  </si>
  <si>
    <t>Dobava i ugradnja dvodijelna kružne brtve za brtvljenje cjevovoda za prodor cijevi kroz beton, za brtvljenje pod tlakom, uz bušenje rupe. Cijev slijedeće dimenzije
NO100</t>
  </si>
  <si>
    <t>Dobava i ugradnja dvodijelne kružne brtve za brtvljenje cjevovoda za prodor cijevi kroz beton, za brtvljenje pod tlakom, uz bušenje rupe. Cijev slijedeće dimenzije:
NO80</t>
  </si>
  <si>
    <t>Dobava i ugradnja dvodijelne kružne brtve za brtvljenje cjevovoda za prodor cijevi kroz beton, za brtvljenje pod tlakom, uz bušenje rupe. Cijev slijedeće dimenzije:
NO50</t>
  </si>
  <si>
    <t>Dobava i ugradnja dvodijelne kružne brtve za brtvljenje za prodor cijevi kroz beton, za brtvljenje pod tlakom, uz bušenje rupe. Cijev slijedeće dimenzije:
NO25</t>
  </si>
  <si>
    <t>Dobava i ugradnja odzračnog lončića u kompletu s kuglastim ventilom DN20- 3/4" I priključkoma na cjevovod</t>
  </si>
  <si>
    <t>Dobava i nanos temeljne i završne boje, uključujući čišćenje i ličenje 2x crnog cjevovoda</t>
  </si>
  <si>
    <t>Dobava i ugradnja ormarića za rezervne mlaznice s natpisom</t>
  </si>
  <si>
    <t>Dobava i postava zidnih uputa za rad i održavanje, :
- "mokra" stanica - 1 kom
- " suha" stanica - 1 kom
- kompletan sustav sprinklera -1 kom
te oznake :
- natpis SPRINKLER STANICA
- oznake smjera protoka
- oznake obavijesti i opasnosti</t>
  </si>
  <si>
    <t>Izrada I dobava knjige uputa sustava, obuka korisnika, u dva tiskana primjerka i u PDF formatu, na prijenosnom mediju.</t>
  </si>
  <si>
    <t>Za svu opremu uključena je tlačna proba, ispiranje cjevovoda i odzračivanje, te čišćenje gradilišta od ostataka montaže.</t>
  </si>
  <si>
    <t>U cijenu je uključeno i stavljanje instalacije u pripravno radno stanje - punjenje preljevnog spremnika vodom , podešavanje parametara sustava (tlakovi, protoci, signalizacija i sl.) te punjenje cjevovoda komprimiranim zrakom pod tlakom.</t>
  </si>
  <si>
    <t>Dobava i ugradnja izolacije podzemnog cijevovoda Termopanom ( za priključak vatrogasnog vozila i za 1. punjenje sprinkler bazena)</t>
  </si>
  <si>
    <t>Dobava i ugradnja materijala za brtvljenje navojnih spojeva.</t>
  </si>
  <si>
    <t>U cijenu je uključen sav sitni potrošni materijal.</t>
  </si>
  <si>
    <t>U cijenu je uključeno prvo ispitivanje sprinkler instalacije od ovlaštene pravne osobe, te dobava zapisnika jednom tiskanom izdanju i PDF formatu na prijenosnom mediju i uvjerenja o funkcionalnosti sprinkler sustava , puštanje u rad kompletnog sustava</t>
  </si>
  <si>
    <t>Dobava i ugradnja napojno-upravljačkog ormara sprinkler pumpe I jockey pumpe , N=9,0 kW , sa svom potrebnom svjetlosnom i zvučnom signalizacijom, sukladno VdS propisima (s dokazom kvalitete- hrvatskom izjavom o sukladnosti i izjavom o sukladnosti prema VdS)</t>
  </si>
  <si>
    <t>Dobava i ugradnja sprinkler centrale 8 zona u kompletu s aku baterijama za potrebnu autonomiju.</t>
  </si>
  <si>
    <t>Dobava i ugradnja višedijelne kružne brtve za brtvljenje kabela za prodor kabela kroz beton, za brtvljenje pod tlakom, uz bušenje rupe.</t>
  </si>
  <si>
    <t>Dobava i ugradnja kabela JBY-STY-2X2X0,8MM2 za spajanje indikatora protoka, krajnjih sklopki , tlačnih sklopki, te ostale elektro opreme u sprinkler stanici, te spajanje sprinkler ormara sa sprinkler nadzornom centralom</t>
  </si>
  <si>
    <t>Dobava i ugradnja kabela PP-Y 3x1,5mm za napajanje nivo sonde u bazenu vode s prespojnom kutijom</t>
  </si>
  <si>
    <t>Dobava i ugradnja nivo sonde za nadzor nivoa vode u bazenu s prespojnom kutijom</t>
  </si>
  <si>
    <t>Dobava i ugradnja temperaturnog osjetnika - termostat s mogućnošću podešavanja</t>
  </si>
  <si>
    <t>Dobava i ugradnja nadzirane kutije za ključ sprinkler stanice</t>
  </si>
  <si>
    <t>Dobava i ugradnja detektora vode (senzor poplave)</t>
  </si>
  <si>
    <t>Dobava i ugradnja "Kauflex" cijevi ili jednakovrijedne fi16 za montažu kabela , u kompletu s nosačima I uvodnicama</t>
  </si>
  <si>
    <t>Dobava i ugradnja "Kauflex" cijevi ili jednakovrijedne fi12 za montažu kabela , u kompletu s nosačima I uvodnicama</t>
  </si>
  <si>
    <t>Dobava i ugradnja metalne perforirane kabelske police s poklopcem i montažnim i spojnim priborom PK-50/30, za razvod kablova</t>
  </si>
  <si>
    <t>Dobava i ugradnja metalne perforirane kabelske police s poklopcem i montažnim i spojnim priborom PK-100/50, za razvod kablova</t>
  </si>
  <si>
    <t>Dobava i ugradnja cjevovoda s FeZn trakom u sprinkler stanici za uzemljenje, uključujući spojne i pričvrsne elemente, za izjednačavanje potencijala, sve to povezano na centralni uzemljivač</t>
  </si>
  <si>
    <t>Dobava i ugradnja sitnog montažnog i potrošnog materijala za montažu elektro instalacije u sprinkler stanici i objektu ( uvodnice, stopice, ovjesi I sl.)</t>
  </si>
  <si>
    <t>U cijenu ponude je uključena dobava i montaža specifizirane opreme te ožičenje i spajanje vodiča - kabela na sprinker opremu.</t>
  </si>
  <si>
    <t>Sva ispitivanja ispravnosti električnih instalacija I elektro opreme sukladno zakonskoj regulativi (mjerenje otpora izolacije, mjerenje prijelaznog otpora I sl.) te obuka korisnika I izrada dokumentacije izvedenog stanja u jednom tiskanom primjerku te u PDF formatu na prijenosnom mediju.</t>
  </si>
  <si>
    <t>Dobava i ugradnja sprinkler mlaznice stojeće, 1/2", K80, 68°C, standard response + rezervne sprinkler mlaznice (s dokazom kvalitete-izjavom o sukladnosti i s VdS certifikatom u jednom tiskanom primjerku i u PDF formatu, na prijenosnom mediju)</t>
  </si>
  <si>
    <t>Dobava i ugradnja sprinkler mlaznice stojeće, 1/2", K80, 93°C, standard response + rezervne sprinkler mlaznice (s dokazom kvalitete- izjavom o sukladnosti i s VdS certifikatom u jednom tiskanom primjerku i u PDF formatu, na prijenosnom mediju)</t>
  </si>
  <si>
    <t>Dobava i ugradnja sprinkler mlaznice, viseće suhe HTS l=300 mm, standard response (VdS certifikat) s ukrasnom rozetom + rezervne sprinkler mlaznice. U kompletu sa zaštitnom mrežicom</t>
  </si>
  <si>
    <t>Dobava i ugradnja sprinkler mlaznice viseće, s poklopcem, mlaznica 1/2'', K=80, 72°C, poklopac 60°C, završna obrada poklopca "hairline finish / brušeni natur čelik" + rezervne sprinkler mlaznice (s dokazom kvalitete- izjavom o sukladnosti i s VdS/LPCB/CE certifikatom u jednom tiskanom primjerku i u PDF formatu, na prijenosnom mediju )</t>
  </si>
  <si>
    <t>Dobava i postava ključa za montažu stojećih I visećih sprinkler mlaznica</t>
  </si>
  <si>
    <t>Dobava i postava specijalnog ključa s nastavkom za montažu mlaznica visećih s poklopcem</t>
  </si>
  <si>
    <t>Dobava i ugradnja savitljive cijevi (i/ili čelične pocinčane cijevi HRN EN 10255  ili jednakovrijedno DN25-1" duljine cca 1,2 m i pocinčanih cijevnih fitinga sukladni HRN EN 10242 ili jednakovrijedno,) za ugradnju sprinkler mlaznice na nivo spuštenog stropa:
- duljine 1200 mm,
- promjer savitljive cijevi NO25,
- priključak na ogranak
- priključak na mlaznicu
- T komad
- u kompletu sa certificiranim ovjesom za savitljivu cijev ( s dokazom kvalitete- izjavom o sukladnosti i s VdS certifikatom)</t>
  </si>
  <si>
    <t>Dobava i ugradnja kompleta katne armature , koji se sastoji od:
- leptir zasuna, slijedećih karakteristika:
- dimenzija: NO65
- spoj na cjevovod: utorni
- vrsta: sa električnom i vizualnom kontrolom
otvorenosti
- s dokazom kvalitete- izjavom o sukladnosti i s VdS certifikatom)
- nepovratnog ventila slijedećih karakteristika:
- dimenzija: NO65
- spoj na cjevovod: utorni
- s dokazom kvalitete- izjavom o sukladnosti i s VdS certifikatom)
- indikatora protoka slijedećih karakteristika:
- dimenzija: NO65
- s dokazom kvalitete- izjavom o sukladnosti i s VdS certifikatom)
- cirkulacione pumpe u obilasku kontrolora protoka , N=200W , 230V , s priključcima 5/4" i holenderima s brtvama za spoj, te priključcima</t>
  </si>
  <si>
    <t>Dobava i ugradnja kompleta za ispust vode s etaže, koji se sastoji od :
- kuglasti ventil DN25 -1" - 3 kom
U kompletu sa svim potrebnim fitinzima za spoj na katni cjevovod i odvodni cjevovod ispusta</t>
  </si>
  <si>
    <t>Dobava i ugradnja priključka za hvatanje kondenzata suhe mreže , izvedba prema detalju iz projekta s tekućinom protiv smrzavanja, 2 dcl.</t>
  </si>
  <si>
    <t>Dobava i ugradnja priključka za ispiranje cjevovoda NO50, koji se sastoji od:
- ventil kuglasti 2"
- čep pocinčani 2"
- dupla spojnica , pocinčana , 2"</t>
  </si>
  <si>
    <t>Dobava i ugradnja priključka za ispitivanje sprinkler instalacije sukladan VdS propisu za montažu na kraj cijevne mreže</t>
  </si>
  <si>
    <t>Dobava i ugradnja priključka za drenažu sprinkler instalacije:
- spoj na cijev
-kuglasti ventil 1/2"
- čep pocinčani</t>
  </si>
  <si>
    <t>Dobava i ugradnja čelične cijevi, crne, HRN EN 10220/10255/10217 ili jednakovrijedno, šavna, tvornički ispitana na 50 bar.
U kompletu s cijevnim lukovima, redukcijama, T komadima, te svim raznim spojnim fitinzima i izlaznim priključcima. S dokazom kvalitete- izjavom o sukladnosti.
Cijev slijedeće dimenzije:
NO25 -1"</t>
  </si>
  <si>
    <t>Dobava i ugradnja čelične cijevi, crne, HRN EN 10220/10255/10217 ili jednakovrijedno, šavna, tvornički ispitana na 50 bar.
U kompletu s cijevnim lukovima, redukcijama, T komadima, te svim raznim spojnim fitinzima i izlaznim priključcima. S dokazom kvalitete- izjavom o sukladnosti.
Cijev slijedeće dimenzije:
NO32 -1 1/4"</t>
  </si>
  <si>
    <t>Dobava i ugradnja čelične cijevi, crne, HRN EN 10220/10255/10217 ili jednakovrijedno, šavna, tvornički ispitana na 50 bar.
U kompletu s cijevnim lukovima, redukcijama, T komadima, te svim raznim spojnim fitinzima i izlaznim priključcima. S dokazom kvalitete- izjavom o sukladnosti.
Cijev slijedeće dimenzije:
NO40 -1 1/4"</t>
  </si>
  <si>
    <t>Dobava i ugradnja čelične cijevi, crne, HRN EN 10220/10255/10217 ili jednakovrijedno, šavna, tvornički ispitana na 50 bar.
U kompletu s cijevnim lukovima, redukcijama, T komadima, te svim raznim spojnim fitinzima i izlaznim priključcima. S dokazom kvalitete- izjavom o sukladnosti.
Cijev slijedeće dimenzije:
NO50 -2"</t>
  </si>
  <si>
    <t>Dobava i ugradnja čelične cijevi, crne, HRN EN 10220/10255/10217 ili jednakovrijedno, šavna, tvornički ispitana na 50 bar.
U kompletu s cijevnim lukovima, redukcijama, T komadima, te svim raznim spojnim fitinzima i izlaznim priključcima. S dokazom kvalitete- izjavom o sukladnosti.
Cijev slijedeće dimenzije:
NO65 -2 1/2"</t>
  </si>
  <si>
    <t>Dobava i ugradnja čelične cijevi, crne, HRN EN 10220/10255/10217 ili jednakovrijedno, šavna, tvornički ispitana na 50 bar.
U kompletu s cijevnim lukovima, redukcijama, T komadima, te svim raznim spojnim fitinzima i izlaznim priključcima. S dokazom kvalitete- izjavom o sukladnosti.
Cijev slijedeće dimenzije:
NO80 - 3"</t>
  </si>
  <si>
    <t>Dobava i ugradnja ovjesnog i konzolnog materijala, pocinčanog, za pričvršćenje cjevovoda (s VdS certifikatom), za cijevi slijedećeg promjera:
NO25</t>
  </si>
  <si>
    <t>Dobava i ugradnja ovjesnog i konzolnog materijala, pocinčanog, za pričvršćenje cjevovoda (s VdS certifikatom), za cijevi slijedećeg promjera:
NO32</t>
  </si>
  <si>
    <t>Dobava i ugradnja ovjesnog i konzolnog materijala, pocinčanog, za pričvršćenje cjevovoda (s VdS certifikatom), za cijevi slijedećeg promjera:
NO40</t>
  </si>
  <si>
    <t>Dobava i ugradnja ovjesnog i konzolnog materijala, pocinčanog, za pričvršćenje cjevovoda (s VdS certifikatom), za cijevi slijedećeg promjera:
NO50</t>
  </si>
  <si>
    <t>Dobava i ugradnja ovjesnog i konzolnog materijala, pocinčanog, za pričvršćenje cjevovoda (s VdS certifikatom), za cijevi slijedećeg promjera:
NO65</t>
  </si>
  <si>
    <t>Dobava i ugradnja ovjesnog i konzolnog materijala, pocinčanog, za pričvršćenje cjevovoda (s VdS certifikatom), za cijevi slijedećeg promjera:
NO80</t>
  </si>
  <si>
    <t>Dobava i nanos temeljne i završne boje,uključujući, čišćenje i ličenje 2x crnog cjevovoda</t>
  </si>
  <si>
    <t>Dobava i ugradnja mehaničkog uređaja za aktiviranje sustava u kučištu od nehrđajućeg čelika s prostorom za smještaj boce sa sredstvom za gašenje i boce s dušikom za aktiviranje u kompletu sa krajnjom sklopkom za daljinsku signalizaciju</t>
  </si>
  <si>
    <t>Dobava i ugradnja spremnika za sredstvo za gašenje od nehrđajučeg čelika 23 L</t>
  </si>
  <si>
    <t>Dobava i ugradnja sredstva za gašenje mokro kemijskog sredstva niskog pH 23 L</t>
  </si>
  <si>
    <t>Dobava i ugradnja plinskog spremnika s dušikom kao pogonskim plinom za gašenje</t>
  </si>
  <si>
    <t>Dobava i ugradnja mlaznice za zaštitu uređaja i nape tip:
1N</t>
  </si>
  <si>
    <t>Dobava i ugradnja mlaznice za zaštitu kanala za odvod zraka iz nape tip:
2W</t>
  </si>
  <si>
    <t>Dobava i ugradnja mlaznice za zaštitu kanala za odvod zraka iz nape tip:
230</t>
  </si>
  <si>
    <t>Dobava i ugradnja nastavka za priključenje mlaznice s mogučnošću podešavanja kuta mlaznice 30°</t>
  </si>
  <si>
    <t>Dobava i ugradnja metalnog poklopca za zaštitu mlaznice od masnoče u kompletu sa sajlom od nehrđajučeg čelika</t>
  </si>
  <si>
    <t>Dobava i ugradnja adaptera za prolaz cijevi kroz stjenku nape s mogučnošću prolaza cijevi bez rezanja</t>
  </si>
  <si>
    <t>Dobava i ugradnja adaptera za prolaz cijevi kroz stjenku nape sa obostranim navojem</t>
  </si>
  <si>
    <t>Dobava i ugradnja adaptera za prolaz cijevi za vođenje sajle za aktiviranje sustava kroz stjenku nape sa navojem</t>
  </si>
  <si>
    <t>Dobava i ugradnja koljena za skretanje sajle za aktiviranje sa metalnom okretnom vodilicom</t>
  </si>
  <si>
    <t>Dobava i ugradnja daljinskog ručnog aktivatora u kompletu sa staklenom zaštitom i sajlom za aktiviranje za nadžbuknu ugradnju</t>
  </si>
  <si>
    <t>Dobava i ugradnja čelične sajle od nehrđajučeg čelika za aktiviranje sustava</t>
  </si>
  <si>
    <t>Dobava i ugradnja nosača topivog javljača škarastog tipa za serijsku ugradnju</t>
  </si>
  <si>
    <t>Dobava i ugradnja topivog javljača za nosač škarastog tipa
NAPOMENA:
Temperatura aktiviranja javljača određuje se nakon što se kuhinja pusti u rad i što se sa specijalnim termometrom izmjeri stvarna maksimalna temperatura unutar kuhinjske nape</t>
  </si>
  <si>
    <t>Dobava i ugradnja cijevi od nehrđajučeg čelika 3/8" normalne debljine stijenke za narezivanje navoja u kompletu sa svim fitinzima od nehrđajučeg čelika (kolčaci, koljena, T komadi, duple spojnice, holenderi ...)
NAPOMENA:
Sve fitinge uračunati u cijenu cijevi po metru</t>
  </si>
  <si>
    <t>Dobava i ugradnja tankostjene cijevi od nehrđajučeg čelika za vođenje sajle za aktiviranje sustava</t>
  </si>
  <si>
    <t>Dobava i ugradnja ovjesnog materijala za vođenje sajle za aktiviranje sustava - sve od nehrđajučeg čelika</t>
  </si>
  <si>
    <t>Za svu opremu uključena je tlačna proba i ispiranje cjevovoda.</t>
  </si>
  <si>
    <t>Funkcionalno ispitivanje i izdavanje Uvjerenja u jednom tiskaonom primjerku i u PDF formatu, na prijensnom mediju.</t>
  </si>
  <si>
    <t>Izrada dokumentacije izvedenog stanja s projektnim dokazom da je sustav izveden sukladno tehničkim karakteristikama, uputama proizvođača i da zadovoljava hidraulički i količinom sredstva za gašenje, u jednom tiskanom izdanju i u PDF primjerku, na prijenosnom mediju.</t>
  </si>
  <si>
    <t>Za ugradnju opreme izvođač mora dostaviti certifikat proizvođača opreme da je ovlašten za ugradnju navedenog sustava. Certfikat se predaje u jednom tiskanom primjerku te u PDF formatu, na prijenosnom mediju.</t>
  </si>
  <si>
    <t>Dobava i montaža privremene ploče za označavanje ulaganja (dimenzija prema zahtjevima EU) tijekom provedbe projekta kao privremene informacije o EU financiranju u skladu sa preporukama o označavanju EU. Plakat izvesti na bravarskoj podkonstrukciji sa pripadajućim temeljima u zemlji.</t>
  </si>
  <si>
    <t>Privremena ploča za označavanje ulaganja</t>
  </si>
  <si>
    <t>Izrada Elaborata utjecaja elektrane na mrežu (EUEM), tiskanog u jednom primjerku i u PDF formatu, na prijenosnom mediju. 
Elaborat mora dobiti suglasnost HEP-ODS, prema Pravilima o priključenju na distribucijsku mreža, izdanje HEP.</t>
  </si>
  <si>
    <t>Izrada Elaborata podešenja zaštite (EPZ), tiskanog u jednom primjerku i u PDF formatu, na prijenosnom mediju. 
Elaborat mora dobiti suglasnost HEP-ODS, prema Pravilima o priključenju na distribucijsku mreža, izdanje HEP.</t>
  </si>
  <si>
    <t>Tlačna proba izvedenog dijela instalacije.</t>
  </si>
  <si>
    <t>Ispitivanje funkcionalnosti ventilacije od strane ovlaštene tvrtke, koja o tome investitoru i glavnom nadzoru dostavlja izvješće u jednom tiskanom primjerku i u PDF formatu, na prijenosnom mediju.</t>
  </si>
  <si>
    <t>Izrada elaborata izvedenog stanja požarnog brtvljenja.
Elaborat izrađuje ovlaštena tvrtka koja izvodi brtvljanja u jednom tiskanom primjerku i u  PDF formatu, na prijenosnom mediju.</t>
  </si>
  <si>
    <t>Izrada izvedbene dokumentacije automatike, elektro shema izvedenih elektrokomandnih ormara, uputa na hrvatskom jeziku i obuka korisnika, u jednom tiskanom primjerku i u PDF formatu, na prijenosnom mediju.</t>
  </si>
  <si>
    <t>Ovlašteni serviser prijavljuje uređaje koji sadrže freone prema Uredbi o tvarima koje oštećuju ozonski sloj i fluoriranim staklničkim plinovima (NN 83/21).</t>
  </si>
  <si>
    <t>Funkcionalno ispitivanje kanalizacije na vodonepropusnost od strane ovlaštene organizacije uz izdavanje Uvjerenja, izdavanje potvrde u jednom tiskanom primjerku i u PDF formatu, na prijenosnom mediju.</t>
  </si>
  <si>
    <t>Funkcionalno ispitivanje kanalizacijske instalacije na vodonepropusnost od strane ovlaštene organizacije uz izdavanje Uvjerenja, izdavanje potvrde u jednom tiskanom primjerku i u PDF formatu, na prijenosnom mediju.</t>
  </si>
  <si>
    <t>Bakteriološka analiza uzoraka vode iz cjevovoda nakon dezinfekcije, uz predočenje izvješća u jednom tiskanom primjerku i u PDF formatu, na prijenosnom mediju.</t>
  </si>
  <si>
    <t>Montaža postrojenja dizala, priprema za tehnički pregled, tehnički pregled dizala. Izvedbeni projekt dizala u jednom tiskanom primjerku i u PDF formatu, na prijenosnom mediju, puštanje dizala u pogon i primopredaja</t>
  </si>
  <si>
    <t xml:space="preserve">Napomena: izvođač izrađuje radioničke nacrte drvene nosive konstrukcije, u jednom tiskanom primjerku i u PDF formatu na prijesnom mediju. Glavni projektant mora ovjeriti nacrte. </t>
  </si>
  <si>
    <t>Dobava, izrada i ugradnja krovnog ostakljenja s otpornošću na požar i nosivošću u sistemu čeličnih profila, klasa REI 60, EN 1090/EXC 2, EN 13501-2 ili jednakovrijedno. Materijal čelika je u kvaliteti S235JR / HRN EN 10025-2:2007 ili jednakovrijedno - toplo valjani proizvodi od konstrukcijskih čelika; HRN EN 10346:2009 ili jednakovrijedno - čelični plosnati proizvodi s prevlakom nanesenom kontinuiranim vrućim uranjanjem.
Sastavni dio podloga za izradu, dobavu i ugradnju bravarskih stavki čine sheme iz projekta te izvedbeni i radionički nacrti, izvezeni u jednom tiskanom primjerku i u PDF formatu na prijenosnom mediju, izrađeni od strane izvođača radova, ovjereni od strane glavnog projektanta. Radionički nacrti moraju sadržavati i detalje spojeva stavki vanjske bravarije na nosivu konstrukciju objekta i njezinu ovojnicu. Prema potrebi, od strane statičara provjeriti dimenzije profila stavki i debljine stakla.
Opšave i izolacijske radove na priključcima stavki na nosivu konstrukciju uključiti u troškove.</t>
  </si>
  <si>
    <t>Sve radioničke nacrte izvezesti u jednom tiskanom primjerku i u PDF formatu na prijenosnom mediju. Dostaviti ih glavnom projektantu na ovjeru.</t>
  </si>
  <si>
    <t>Svi bravarski radovi moraju biti izvedeni prema radioničkim nacrtima izrađenim temeljem troškovnika, shema i projektantskih detalja. Cijenu izrade radioničkih nacrta uključiti u jedinične cijene.
Radioničke nacrte, izvezene u jednom tiskanom primjerku i u PDF formatu na prijenosnom mediju će prije početka izvedbe potpisom ovjeriti projektant .
Upotrebljeni materijali moraju odgovarati Hrvatskim normama, (Zakon o normizaciji N.N 80/13).
ČN vrata i ostale Čn konstrukcije obraditi toplim cinčanjem, bez završne boje.
Sve mjere kontrolirati u naravi prije izvedbe!
Troškovničke stavke uključuju dobavu, izradu i ugradnju svih opisanih elemenata.U cijenu ulazi i sav potreban pribor i ugradbeni materijal (vijci, zakovice i sl.) kao i čišćenje. Izvođač je odgovoran za nadoknadu šteta koje eventualno prouzroči na svojim ili tuđim radovima.
Elementi čelične konstrukcije izrađuju se od čelika u skladu sa specifikacijom materijala priloženom uz izvedbene nacrte. Obračun po specifikaciji u radioničkoj dokumentaciji (obračunska knjiga). U cijenu treba uključiti svu potrebnu pripremu za izradu i montažu (troškove gradilišta, skele, alate, pomoćni materijal). Izvoditelj je dužan provoditi kontrolu izrade i montaže prema tehničkim propisima i normama i voditi propisanu evidenciju toka radova prema važećim zakonima. Prije početka radova izvoditelj mora izraditi tehnološki projekt izrade i montaže čelične konstrukcije prema pravilniku za montažu čeličnih nosivih konstrukcija i program kontrole kvalitete prema programu kontrole i dokazu kvalitete u glavnom projektu.
U cijeni su obuhvaćeni svi dokazi kvalitete za matrerijale i postupke.</t>
  </si>
  <si>
    <t>Izrada elaborat protupožarnog brtvljenja 4 kom, u jednom tiskanom primjerku i u PDF formatu na prijenosnom mediju.</t>
  </si>
  <si>
    <t>Napomena: Izvođač je dužan izraditi radioničke nacrte, izvezenih jednom tiskanom primjerku i u PDF formatu na prijenosnom mediju i predočiti ih glavnom projektantu na potvrdu.</t>
  </si>
  <si>
    <t>Svi bravarski radovi moraju biti izvedeni prema radioničkim nacrtima izrađenim temeljem troškovnika, shema i projektantskih detalja. Cijenu izrade radioničkih nacrta uključiti u jedinične cijene.
Radioničke nacrte, izvezenih u jednom tiskanom primjerku i u PDF formatu na prijenosnom mediju će prije početka izvedbe potpisom ovjeriti projektant .
Upotrebljeni materijali moraju odgovarati Hrvatskim normama, (Zakon o normizaciji N.N 80/13).
ČN vrata i ostale Čn konstrukcije obraditi toplim cinčanjem, bez završne boje.
Sve mjere kontrolirati u naravi prije izvedbe!
Troškovničke stavke uključuju dobavu, izradu i ugradnju svih opisanih elemenata.U cijenu ulazi i sav potreban pribor i ugradbeni materijal (vijci, zakovice i sl.) kao i čišćenje. Izvođač je odgovoran za nadoknadu šteta koje eventualno prouzroči na svojim ili tuđim radovima.
Elementi čelične konstrukcije izrađuju se od čelika u skladu sa specifikacijom materijala priloženom uz izvedbene nacrte. Obračun po specifikaciji u radioničkoj dokumentaciji (obračunska knjiga). U cijenu treba uključiti svu potrebnu pripremu za izradu i montažu (troškove gradilišta, skele, alate, pomoćni materijal). Izvoditelj je dužan provoditi kontrolu izrade i montaže prema tehničkim propisima i normama i voditi propisanu evidenciju toka radova prema važećim zakonima. Prije početka radova izvoditelj mora izraditi tehnološki projekt izrade i montaže čelične konstrukcije prema pravilniku za montažu čeličnih nosivih konstrukcija i program kontrole kvalitete prema programu kontrole i dokazu kvalitete u glavnom projektu.
U cijeni su obuhvaćeni svi dokazi kvalitete za matrerijale i postupke.</t>
  </si>
  <si>
    <t>Obaveza izvođača izrada radioničkog nacrta, isporuka u jednom tiskanom primjerku i u PDF formatu na prijenosnom mediju.</t>
  </si>
  <si>
    <t>Nacrt mora biti izvezen u jednom tiskanom primjerku i u PDF formatu na prijenosnom mediju i ovjeren od strane glavnog projektanta.</t>
  </si>
  <si>
    <t>Ispitivanje kvalitete električne energije po normi HR EN 50160 ili jednakovrijedno, te izrada elaborata, izvezenog u jednom tiskanom primjerku i u PDF formatu na prijenosnom mediju.</t>
  </si>
  <si>
    <t>Izrada dokumentacije izvedenog stanja u 3 primjerka u kompletu za tehnički pregled te na prijenosnom mediju u PDF formatu i otvorenom formatu.</t>
  </si>
  <si>
    <t>Vakumiranje, puštanje u pogon, eventualna nadopuna freonom i uljem, ovjera garancije od starne ovlaštenog servisera i dostava uputa na hrvatskom jeziku u jednom tiskanom primjerku i u PDF formatu, na prijenosnom mediju.</t>
  </si>
  <si>
    <t>Mjerenje postignutog nivoa buke u okolnom i unutrašnjem prostoru i izdavanje certifikata od strane ovlaštene tvrtke u jednom tiskanom primjerku i u PDF formatu, na prijenosnom mediju.</t>
  </si>
  <si>
    <t>Mjerenje učinkovitosti ventilacije i izdavanje certifikata od strane ovlaštene tvrtke, jednom tiskanom primjerku i u PDF formatu, na prijenosnom mediju.</t>
  </si>
  <si>
    <t>Ispitivanje strojeva sa povećanom opasnosti od strane ovlaštene tvrtke, izvješće u jednom tiskanom primjerku i u PDF formatu, na prijenosnom mediju.</t>
  </si>
  <si>
    <t>Ispitivanje mikroklime u radnim prostorima od strane ovlaštene tvrtke, izvješće u jednom tiskanom primjerku i u PDF formatu, na prijenosnom mediju.</t>
  </si>
  <si>
    <t>Izrada projektne dokumentacije izvedenog stanja strojarskih instalacija, tiskano u 2 tiskana primjerka i u PDF formatu, na prijenosnom mediju.</t>
  </si>
  <si>
    <t>Izrada snimke i dokumentacije izvedenog stanja u jednom tiskanom primjerku i u PDF formatu, na prijenosnom mediju.</t>
  </si>
  <si>
    <t>Dobava i polaganje pranog riječnog  pijeska, granulacije 0-4 mm, po prethodno položenim cijevima u rovu presjeka 30x80 cm, debljine 10 cm.</t>
  </si>
  <si>
    <t>Izrada geotehničkog izvještaja koja uključuje obradu i interpretaciju rezultata svih terenskih i laboratorijskih ispitivanja. U jednom tiskanom primjerku i u PDF i u editibilnom digitalnom formatu, na prijenosnom mediju.</t>
  </si>
  <si>
    <t>Dobava i ugradnja jednokrilnih punih zaokretnih vrata svijetlog otvora 80x210 cm, te zidarskog otvora 90x215 cm. 
Ugradnja u prizemlju.
U donjem dijelu vrata ugraditi Al ventilacijsku rešetku veličine 40x12 cm. Vrata su bez praga s dovratnicima koji se ugrađuju unutar građevinskog otvora. Dovratnici u ravnini s vanjskim zidom, bez lajsne. Paziti na uredan detalj spoja! Vrata se ugrađuju u zid od armiranog betona ukupne debljine 20 cm (ulaz u spremište kuhinje u podrumu). Vratno krilo izvedeno od dvije ploče iverala debljine 8 mm s međuprostorom ispunjenim saćem, tvornički lakirana u boji po izboru projektanta PU lakom. Vratno krilo je u ravnini s rubom dovratnika. Kvake sa rozetama od brušenog inoxa ili mat aluminija, po izboru projektanta. Brave sa mogućnošću zaključavanja. U donjem dijelu vrata ugraditi Al ventilacijsku rešetku veličine 40x12 cm.
Stavka uključuje sve potrebne radove do potpune funkcionalne i estetske gotovosti.</t>
  </si>
  <si>
    <t>Dobava i ugradnja jednokrilnih punih zaokretnih vrata svijetlog otvora 80x210 cm, te zidarskog otvora 90x215 cm. 
Ugradnja na katu. 
Vrata su bez praga s dovratnicima koji se ugrađuju unutar građevinskog otvora. Dovratnici u ravnini s vanjskim zidom, bez lajsne. Paziti na uredan detalj spoja! Vrata se ugrađuju u zid od gipskartonskih ploča ukupne debljine 10 i 15 cm.  Vratno krilo izvedeno od dvije ploče iverala debljine 8 mm s međuprostorom ispunjenim saćem, tvornički furnirana u smreku (istovjetno konačnoj oblozi zidova u sobama). Vratno krilo je u ravnini s rubom dovratnika. Kvake sa rozetama od brušenog inoxa ili mat aluminija, po izboru projektanta. Brave sa mogućnošću zaključavanja. 
Stavka uključuje sve potrebne radove do potpune funkcionalne i estetske gotovosti.
Sve izvesti prema shemama, detaljima i u dogovoru s projektantom.</t>
  </si>
  <si>
    <t>Sve isto kao stavka B.7.5., samo svijetli otvor 70x210 cm i ugradnja Al ventlacijske rešetke veličine 40x12 cm u donjem dijelu vratnog krila.
Ugradnja na katu.</t>
  </si>
  <si>
    <t>Sve isto kao stavka B.7.5., samo svijetli otvor 60x210 cm i ugradnja Al ventlacijske rešetke veličine 40x12 cm u donjem dijelu vratnog krila.
Ugradnja na katu.</t>
  </si>
  <si>
    <t>B.7.17.</t>
  </si>
  <si>
    <t>Dimenzije 800 x 4480 mm</t>
  </si>
  <si>
    <t>Dobava, izrada i ugradnja krovnog ostakljenja s dva krovna prozora koji se postavlja na drvene rogove kosog krova. Otvaranje prozora pomoću elektromotora. Veličina otklopnih prozora je 2x80x170 cm. Prozor u okviru od aluminisjkih vučenih profila s prekinutim toplinskim mostom. Ostakljenje kaljenim izo staklom 6+12+4+12+6 mm, vanjsko staklo low-E, ispuna inertnim plinom. Završna obrada za krilo i doprozornik je plastifikacija u boji po izboru projektanta. Prozori su opremljeni tipskom bravom i elektromotorom za otvaranje prozora.
Za zaštitu od sunca su predviđeno je unutarnje sjenilo u boji stolarije sa elektropogonom - što treba nuditi u stavci.
U stavku je potrebno uračunati sav potreban okov, kao i sva potrebna sredstva i materijal za ugradnju. Stavka uključuje sve potrebne radove do potpune funkcionakne i estetske gotovosti.</t>
  </si>
  <si>
    <t>Izvedba malog žleba za odvodnju oborisnke vode prema terenu (ulazna terasa)</t>
  </si>
  <si>
    <t>Dobava i ugradnja unutarnjih prozorskih klupčica od smrekovine, debljine 4 cm, na prozore u prizemlju i katu.</t>
  </si>
  <si>
    <t>Dubina klupčica 25 cm, širina 200, 290 i 450 cm.</t>
  </si>
  <si>
    <t>a) l= 55 cm</t>
  </si>
  <si>
    <t>b) l= 200 cm</t>
  </si>
  <si>
    <t>c) l= 290 cm</t>
  </si>
  <si>
    <t>d) l= 450 cm</t>
  </si>
  <si>
    <t>B.9.14.</t>
  </si>
  <si>
    <t>B.9.15.</t>
  </si>
  <si>
    <t>Izrada, doprema i montaža drvene fiksne rešetke na otvorenom prostoru podruma. Stijena se izvodi od okvira od čeličnih "L" profila na koje se učvršćuju vertikalne drvene letvice 5x5 cm na razmaku od 5 cm. Drveni dio rešetke se izrađuju od suhog smrekovog drva max vlažnosti 18% impregniranog sredstvima protiv nametnika. Okvir rešetke se vijcima učvršćuje u armiranobetonski zid i strop prema odabiru projektanta. Završna obrada okvira rešetke je bojanje lazurom u tonu po izboru projektanta, a prema uputama Konzervatora.
Stavka obuhvaća izmjeru na licu mjesta, izradu radioničkih nacrta, izvezenih u jednom tiskanom primjerku i u PDF formatu na prijenosnom mediju, nabavu materijala, izradu rešetke u radionici do pune gotovosti, dovoz na gradilište i montažu.
Uključiti i dobavu i ugradnju zaštitne mrežie s unutarnje strane za zaštitu od insekata i sitni životinja.
* drvena rešetka u čeličnom okviru u zidarskom otvoru 357x209 cm.</t>
  </si>
  <si>
    <t>Izrada, dobava i postava jednokrilnih protupožarnih instalacijskih vrata otpornih na požar 60 minuta. 
Dimenzije vrata su 70 x 180 cm</t>
  </si>
  <si>
    <t>Grede se naslanjaju na AB konstrukciju, time da se dvije grede konzolno nastavljaju na stubišnu jezgru. Ugraditi čelične nosače, prema izvedbenom projektu, te iste grede dodatno sidriti rogovima. Detalj je potrebno definirati radioničkim nacrtom u jednom tiskanom primjerku i u PDF formatu na prijenosnom mediju, a ovjerava ih glavni projektant.</t>
  </si>
  <si>
    <t>Drvenu građu konstrukcije potrebno je premazati protupožarnim premazom za drvene konstrukcije na bazi vode bez otapala. Treba zadovoljiti sljedeća svojstva:
Ponašanje u požaru: B-s1,d0
Vrijeme sušenja između slojeva (~1000 µm je suho nakon 8 sata pri 20 °C, 50 % rel. vlažnosti zraka): 7 d
Bruto gustoća (± 0,05 kg/l): 1,3 g/cm³
Vrijeme sušenja (pri 20 °C, 50 % rel. vlažnosti zraka za 1 mm debljine mokrog filma) (pribl.): 24 h
Temperatura primjene min.: 6 °C
Temperatura primjene max.: 35 °C
HOC (VOC) -sadržaj: &lt;1 g/l
Boja: Prozirna</t>
  </si>
  <si>
    <t>* ispune gredicama 10x 40 cm, između nosača, L= 2,96 m</t>
  </si>
  <si>
    <t>* ispuna blažujkama 4x20 cm, između nosača, L= 2,96 m</t>
  </si>
  <si>
    <t>* premaz protupožarnim premazom</t>
  </si>
  <si>
    <t>* drvena nazidnica 20x26 cm, L= 16,20 m</t>
  </si>
  <si>
    <t>* drvena nazidnica 20x26 cm, L= 9,60 m</t>
  </si>
  <si>
    <t>* drvena nazidnica 20x26 cm, L= 3,20 m</t>
  </si>
  <si>
    <t>* lamelirani nosač  20x32 cm, L=4,30 m</t>
  </si>
  <si>
    <t>* pomoćni nosač 20x22 cm, L= 9,52 m</t>
  </si>
  <si>
    <t>* kosnici 10x20 cm, L= 4,20 m</t>
  </si>
  <si>
    <t>* sljemena greda 20x80 cm, L= 9,40 m</t>
  </si>
  <si>
    <t>* sljemena greda 20x36 cm, L= 3,00 m</t>
  </si>
  <si>
    <t>* grede 10x20 cm, na donjim čelima rogova (vezna greda), L= 16,15 m</t>
  </si>
  <si>
    <t>* drveni stupovi  20x20 cm, h=2,30 m</t>
  </si>
  <si>
    <t>* drveni stupovi  20x20 cm, h=2,50 m</t>
  </si>
  <si>
    <t>* drveni kosnici (spreg)  20x20 cm, L=2,90 m</t>
  </si>
  <si>
    <t>* drveni kosnici (spreg)  20x20 cm, L=4,40 m</t>
  </si>
  <si>
    <t>* drvene podrožnice 20x30 cm, L=4,00 m</t>
  </si>
  <si>
    <t>* drvene podrožnice 20x30 cm, L=4,30 m</t>
  </si>
  <si>
    <t>* drveni rogovi 14x18 cm, L=4,80 m</t>
  </si>
  <si>
    <t>b) valjci promjera 100 cm</t>
  </si>
  <si>
    <t>a) valjci promjera 50 cm</t>
  </si>
  <si>
    <t xml:space="preserve">Sanacija filtera postojećeg spremnika pitke vode, koji uključuje izmjenu šljunka. Podrazumijeva sav rad i materijal, sve prijevoze i prijenose.“ </t>
  </si>
  <si>
    <t>Napomene:</t>
  </si>
  <si>
    <t>1. Projektna jednakovrijednost se dokazuje svjetlotehničkim izračunom i usporednim prikazom (po normi definirano, projektirano i zamjensko) Esr i uO na specificiranim izračunskim ravnima, te UGR-om specifičnih pozicija u prostoriji, te po potrebi UGRL-om svjetiljke.
2. Vizualna jednakovrijednost opreme se dokazuje oblikovnostima i gabaritima samog proizvoda, bojom kućišta svjetiljke, materijalom izrade, završnom obradom.
3. Svjetlotehnička jednakovrijednost se dokazuje ukupnim svjetlosnim tokom svjetiljke (lm), temperaturnom  bojom svjetla (K), strandardnim odstupanjem boje (SDMC) i odzivom boje (CRI).
4. Eksploatacijska jednakovrijednost opreme se dokazuje definiranim vijekom trajanja (L/B 50000 h) i stupnjem greške LED modula.
Ponuditelj može ponuditi i opremu drugih proizvođača te izvoditi predmete instalacije s istom, ako su karaktersitike bolje ili jednake karakteristikama projektne dokumentacije i specificirane opreme.
Potvrda tehničkih svojstava svjetiljke obveza je proizvođača svjetiljke koji je kao takav imenovan na certifikatima odnosno tehničkim listovima.</t>
  </si>
  <si>
    <t>Oznaka u nacrtu S1.1</t>
  </si>
  <si>
    <t>Dobava, ugradnja i spajanje rasvjetnog tijela:</t>
  </si>
  <si>
    <t>tip i mjesto ugradnje: nadgradna stropna svjetiljka
boja kućišta svejtiljke: RAL9016
materijal svjetiljke: aluminij
materijal difuzor: PMMA
dimenzije svjetiljke: maks. Ø220 x v110mm
maksimalna masa: 1,9kg
izvor svjetlosti je integrirani LED
simetrična svjetlosna distribucija: široki snop maks. 100° 
temperatura boje: 2700K
index uzvrata boje: CRI &gt; 90
svjetlosni tok svjetiljke: 2900lm
kromatska tolerancija: &lt; SCDM2
ukupna nazivna snaga: maks. 24W
klasa zaštite: II
minimalni stupanj zaštite: IP20
minimalni vijek trajanja LED izvora pri L80/B10: 60.000h
regulacija svjetlosnog toka: PUSH dimanje putem tipkala
napajanje: integrirano, 220-240V, 50/60Hz
svjetiljka u kompletu sa setom za montažu
svjetiljka u skladu s ENEC i CE
jamstvo u trajanju od min. 5 godina</t>
  </si>
  <si>
    <t>Oznaka u nacrtu S2.1</t>
  </si>
  <si>
    <t>tip i mjesto ugradnje: nadgradna stropna svjetiljka
boja kućišta svejtiljke: RAL9005
materijal svjetiljke: aluminij
materijal leće: optičko staklo
dimenzije svjetiljke: maks. Ø80 x v55mm
maksimalna masa: 0,35kg
izvor svjetlosti je integrirani LED
simetrična svjetlosna distribucija: široki snop maks. 45° 
temperatura boje: 2700K
index uzvrata boje: CRI &gt; 90
svjetlosni tok svjetiljke: 950lm
kromatska tolerancija: &lt; SCDM3
ukupna nazivna snaga: maks. 12W
klasa zaštite: I
minimalni stupanj zaštite: IP20
minimalni vijek trajanja LED izvora pri L70/B50: 35.000h
regulacija svjetlosnog toka: on/off
napajanje: integrirano, 220-240V, 50/60Hz
svjetiljka u kompletu sa setom za montažu
svjetiljka u skladu s CE
jamstvo u trajanju od min. 5 godina</t>
  </si>
  <si>
    <t>Oznaka u nacrtu S4.1</t>
  </si>
  <si>
    <t>tip i mjesto ugradnje: nadgradna stropna svjetiljka
boja kućišta svejtiljke: RAL7021
materijal svjetiljke: aluminij
materijal leće: serigrafirano staklo
dimenzije svjetiljke: maks. Ø90 x v85mm
izvor svjetlosti je integrirani LED
simetrična svjetlosna distribucija: široki snop maks. 40° 
temperatura boje: 2700K
index uzvrata boje: CRI &gt; 80
svjetlosni tok svjetiljke: 750lm
ukupna nazivna snaga: maks. 9W
klasa zaštite: I
minimalni stupanj zaštite: IP66
stupanj zaštite od udara IK07
minimalni vijek trajanja LED izvora pri L80/B20: 50.000h
regulacija svjetlosnog toka: on/off
napajanje: integrirano, 220-240V, 50/60Hz
svjetiljka u kompletu sa setom za montažu
svjetiljka u skladu s CE
jamstvo u trajanju od min. 5 godina</t>
  </si>
  <si>
    <t>Oznaka u nacrtu S4.2</t>
  </si>
  <si>
    <t>tip i mjesto ugradnje: nadgradna stropna svjetiljka
boja kućišta svejtiljke: RAL7021
materijal svjetiljke: aluminij
materijal leće: serigrafirano staklo+saćasti filter
dimenzije svjetiljke: maks. Ø90 x v85mm
izvor svjetlosti je integrirani LED
simetrična svjetlosna distribucija: široki snop maks. 40° 
temperatura boje: 2700K
index uzvrata boje: CRI &gt; 80
svjetlosni tok svjetiljke: 500lm
ukupna nazivna snaga: maks. 9W
klasa zaštite: I
minimalni stupanj zaštite: IP66
stupanj zaštite od udara IK07
minimalni vijek trajanja LED izvora pri L80/B20: 50.000h
regulacija svjetlosnog toka: on/off
napajanje: integrirano, 220-240V, 50/60Hz
svjetiljka u kompletu sa setom za montažu
svjetiljka u skladu s CE
jamstvo u trajanju od min. 5 godina</t>
  </si>
  <si>
    <t>Oznaka u nacrtu S4.3</t>
  </si>
  <si>
    <t>tip i mjesto ugradnje: nadgradna stropna svjetiljka
boja kućišta svejtiljke: RAL7021
materijal svjetiljke: aluminij
materijal leće: serigrafirano staklo+saćasti filter
dimenzije svjetiljke: maks. Ø90 x v85mm
izvor svjetlosti je integrirani LED
simetrična svjetlosna distribucija: široki snop maks. 25° 
temperatura boje: 2700K
index uzvrata boje: CRI &gt; 80
svjetlosni tok svjetiljke: 500lm
ukupna nazivna snaga: maks. 9W
klasa zaštite: I
minimalni stupanj zaštite: IP66
stupanj zaštite od udara IK07
minimalni vijek trajanja LED izvora pri L80/B20: 50.000h
regulacija svjetlosnog toka: on/off
napajanje: integrirano, 220-240V, 50/60Hz
svjetiljka u kompletu sa setom za montažu
svjetiljka u skladu s CE
jamstvo u trajanju od min. 5 godina</t>
  </si>
  <si>
    <t>Oznaka u nacrtu S5.1</t>
  </si>
  <si>
    <t>tip i mjesto ugradnje: nadgradna stropna svjetiljka
boja kućišta svejtiljke: siva
materijal svjetiljke: plastika
materijal difuzora: opalna plastika
dimenzije svjetiljke: maks. d1300 x š100 x v115mm
maksimalna masa: 3,5kg
izvor svjetlosti je integrirani LED
simetrična svjetlosna distribucija: široki snop
temperatura boje: 3000K
index uzvrata boje: CRI &gt; 84
svjetlosni tok svjetiljke: 6100lm
ukupna nazivna snaga: maks. 42W
klasa zaštite: I
minimalni stupanj zaštite: IP66
stupanj zaštite od udara IK10
minimalni vijek trajanja LED izvora pri L80/B10: 70.000h
radna temperatura okoliša: -25 do +40 °C
regulacija svjetlosnog toka: on/off
napajanje: integrirano, 220-240V, 50/60Hz
svjetiljka u kompletu sa setom za montažu
svjetiljka u skladu s CE
jamstvo u trajanju od min. 5 godina</t>
  </si>
  <si>
    <t>Oznaka u nacrtu S6.1</t>
  </si>
  <si>
    <t>tip i mjesto ugradnje: ovjesna stropna svjetiljka
boja kućišta svejtiljke: crna
materijal svjetiljke: željezo
dimenzije svjetiljke: maks. Ø300 x v70mm
maksimalna masa: 1,3kg
izvor svjetlosti je LED žarulja E27
simetrična svjetlosna distribucija: široki snop
temperatura boje: 2700K
index uzvrata boje: CRI &gt; 85
svjetlosni tok svjetiljke: 400lm
ukupna nazivna snaga: maks. 15W
klasa zaštite: I
minimalni stupanj zaštite: IP20
stupanj zaštite od udara IK06
regulacija svjetlosnog toka: on/off
napajanje: integrirano, 220-240V, 50/60Hz
svjetiljka u kompletu s žaruljom i ovjesnim setom za montažu duljine 150cm
svjetiljka u skladu s CE
jamstvo u trajanju od min. 5 godina</t>
  </si>
  <si>
    <t>Oznaka u nacrtu S7.1</t>
  </si>
  <si>
    <t>tip i mjesto ugradnje: LED reflektorska svjetiljka za montau na trofaznu tračnicu
mogućnost zakretanja/naginjanja:  360°/90°  
boja kućišta svejtiljke: crna
materijal svjetiljke: aluminij
materijal leće: staklo+film od plastike
dimenzije svjetiljke: maks. d175 x š50 x v130mm
maksimalna masa: 0,5kg
izvor svjetlosti je integrirani LED
simetrična svjetlosna distribucija: srednje-široki snop
temperatura boje: 3000K
index uzvrata boje: CRI &gt; 90
svjetlosni tok svjetiljke: 650lm
kromatska tolerancija: &lt; SCDM2
ukupna nazivna snaga: maks. 12W
klasa zaštite: I
minimalni stupanj zaštite: IP20
minimalni vijek trajanja LED izvora pri L90: 50.000h
regulacija svjetlosnog toka: dimanje putem kotačića na kućištu
napajanje: integrirano, 220-240V, 50/60Hz
svjetiljka u skladu s CE
jamstvo u trajanju od min. 5 godina</t>
  </si>
  <si>
    <t>Oznaka u nacrtu S8.1</t>
  </si>
  <si>
    <t>tip i mjesto ugradnje: LED reflektorska svjetiljka za montau na trofaznu tračnicu
mogućnost zakretanja/naginjanja:  360°/90°  
boja kućišta svejtiljke: crna
materijal svjetiljke: aluminij
materijal leće: staklo+film od plastike
dimenzije svjetiljke: maks. d175 x š50 x v130mm
maksimalna masa: 0,5kg
izvor svjetlosti je integrirani LED
simetrična svjetlosna distribucija: široki snop
temperatura boje: 3000K
index uzvrata boje: CRI &gt; 90
svjetlosni tok svjetiljke: 650lm
kromatska tolerancija: &lt; SCDM2
ukupna nazivna snaga: maks. 12W
klasa zaštite: I
minimalni stupanj zaštite: IP20
minimalni vijek trajanja LED izvora pri L90: 50.000h
regulacija svjetlosnog toka: dimanje putem kotačića na kućištu
napajanje: integrirano, 220-240V, 50/60Hz
svjetiljka u skladu s CE
jamstvo u trajanju od min. 5 godina</t>
  </si>
  <si>
    <t>Oznaka u nacrtu S9.1</t>
  </si>
  <si>
    <t>tip i mjesto ugradnje: LED reflektorska svjetiljka za montau na trofaznu tračnicu
mogućnost zakretanja/naginjanja:  360°/90°  
boja kućišta svejtiljke: crna
materijal svjetiljke: aluminij
materijal leće: staklo+film od plastike
dimenzije svjetiljke: maks. d175 x š50 x v130mm
maksimalna masa: 0,5kg
izvor svjetlosti je integrirani LED
simetrična svjetlosna distribucija: uski snop
temperatura boje: 3000K
index uzvrata boje: CRI &gt; 90
svjetlosni tok svjetiljke: 650lm
kromatska tolerancija: &lt; SCDM2
ukupna nazivna snaga: maks. 12W
klasa zaštite: I
minimalni stupanj zaštite: IP20
minimalni vijek trajanja LED izvora pri L90: 50.000h
regulacija svjetlosnog toka: dimanje putem kotačića na kućištu
napajanje: integrirano, 220-240V, 50/60Hz
svjetiljka u skladu s CE
jamstvo u trajanju od min. 5 godina</t>
  </si>
  <si>
    <t>Oznaka u nacrtu S10.1</t>
  </si>
  <si>
    <t>tip i mjesto ugradnje: 24V LED traka za montažu u ALU profilu
boja kućišta profila: aluminij
materijal pokrova: opalna plastika
dimenzije LED trake: š80 x v3mm
izvor svjetlosti je integrirani LED
simetrična svjetlosna distribucija: široki snop
temperatura boje: 2400K
index uzvrata boje: CRI &gt; 90
svjetlosni tok svjetiljke: 650lm
kromatska tolerancija: &lt; SCDM2
ukupna nazivna snaga: maks. 9,6W/m'
klasa zaštite: III
minimalni stupanj zaštite: IP53
minimalni vijek trajanja LED izvora pri L80/B10: 50.000h
radna temperatura okoliša: -20 do +45 °C
regulacija svjetlosnog toka: SWITCH dimanje putem tipkala
napajanje: vanjsko, 220-240V/24V, 50/60Hz, IP20
svjetiljka u kompletu s ALU profilom, opalnim pokrovom, montažnim setom i driverom
svjetiljka u skladu s CE
jamstvo u trajanju od min. 5 godina</t>
  </si>
  <si>
    <t>Oznaka u nacrtu S11.1</t>
  </si>
  <si>
    <t>tip i mjesto ugradnje: 24V LED T fleksi tuba za montažu u ALU profilu
boja kućišta profila: aluminij
dimenzije LED trake: š16 x v28mm
izvor svjetlosti je integrirani LED
simetrična svjetlosna distribucija: široki snop
boja svjetla: amber
index uzvrata boje: CRI &gt; 90
svjetlosni tok svjetiljke: 200lm
kromatska tolerancija: &lt; SCDM2
ukupna nazivna snaga: maks. 6W/m'
klasa zaštite: III
minimalni stupanj zaštite: IP67
minimalni vijek trajanja LED izvora pri L80/B10: 50.000h
radna temperatura okoliša: -20 do +45 °C
regulacija svjetlosnog toka: on/off
napajanje: vanjsko, 220-240V/24V, 50/60Hz, IP67
svjetiljka u kompletu s ALU profilom, montažnim setom i driverom
svjetiljka u skladu s CE
jamstvo u trajanju od min. 5 godina</t>
  </si>
  <si>
    <t>Oznaka u nacrtu S12.1</t>
  </si>
  <si>
    <t>tip i mjesto ugradnje: zidna nadgradna svjetiljka 
boja kućišta svejtiljke: antracit
materijal svjetiljke: čelik
materijal difuzora: prozirno staklo+opalno staklo
dimenzije svjetiljke: maks. Ø100 x d130 x v220mm
izvor svjetlosti je integrirani LED
simetrična svjetlosna distribucija: difuzno svjetlo
temperatura boje: 2700K
index uzvrata boje: CRI &gt; 80
svjetlosni tok svjetiljke: 200lm
ukupna nazivna snaga: maks. 3W
klasa zaštite: II
minimalni stupanj zaštite: IP44
regulacija svjetlosnog toka: on/off
napajanje: integrirano, 220-240V, 50/60Hz
svjetiljka u skladu s CE
jamstvo u trajanju od min. 5 godina</t>
  </si>
  <si>
    <t>Oznaka u nacrtu S13.1</t>
  </si>
  <si>
    <t>tip i mjesto ugradnje: zidna nadgradna svjetiljka 
boja kućišta svejtiljke: crna
materijal svjetiljke: čelik
materijal difuzora: prozirno staklo+opalno staklo
dimenzije svjetiljke: maks. Ø120 x d160 x v80mm
izvor svjetlosti je LED žarulja G9
simetrična svjetlosna distribucija: široki snop
temperatura boje žaulje: 2700K
index uzvrata boje: CRI &gt; 80
svjetlosni tok svjetiljke: 350lm
ukupna nazivna snaga: maks. 6W
klasa zaštite: II
minimalni stupanj zaštite: IP44
regulacija svjetlosnog toka: on/off
napajanje: integrirano, 220-240V, 50/60Hz
svjetiljka u kompletu s odgovarajućom žaruljom 2700K
svjetiljka u skladu s CE
jamstvo u trajanju od min. 5 godina</t>
  </si>
  <si>
    <t>Oznaka u nacrtu S14.1</t>
  </si>
  <si>
    <t>tip i mjesto ugradnje: zidna baterijska nadgradna svjetiljka 
boja kućišta svejtiljke: crna
materijal svjetiljke: aluminij
materijal difuzora: prozirni polikarbonat
dimenzije svjetiljke: maks. š185 x d185 x v300mm
izvor svjetlosti je integrirani LED
simetrična svjetlosna distribucija: široki snop
temperatura boje: 2700K
index uzvrata boje: CRI &gt; 80
svjetlosni tok svjetiljke: 150lm
ukupna nazivna snaga: maks. 2,2W
klasa zaštite: III
minimalni stupanj zaštite: IP65
regulacija svjetlosnog toka: on/off
napajanje: integrirano, 220-240V, 50/60Hz
način napajanje baterije: USB-C 
svjetiljka u skladu s CE
jamstvo u trajanju od min. 5 godina</t>
  </si>
  <si>
    <t>Oznaka u nacrtu S15.1</t>
  </si>
  <si>
    <t>tip i mjesto ugradnje: zidna nadgradna svjetiljka 
boja kućišta svejtiljke: RAL7016
materijal svjetiljke: aluminij
materijal difuzora: opalno staklo
dimenzije svjetiljke: maks. Ø85 x d95 x v8mm
maksimalna masa: 0,6kg
izvor svjetlosti je integrirani LED
simetrična svjetlosna distribucija: srednje-široki snop
temperatura boje: 2700K
index uzvrata boje: CRI &gt; 90
svjetlosni tok svjetiljke: 430lm
kromatska tolerancija: &lt; SCDM3
ukupna nazivna snaga: maks. 12W
klasa zaštite: III
minimalni stupanj zaštite: IP65
regulacija svjetlosnog toka: on/off
napajanje: integrirano, 220-240V, 50/60Hz
svjetiljka u skladu s CE
jamstvo u trajanju od min. 5 godina</t>
  </si>
  <si>
    <t>Oznaka u nacrtu Š1.1</t>
  </si>
  <si>
    <t>Dobava, ugradnja i spajanje tračnog sustava:</t>
  </si>
  <si>
    <t xml:space="preserve">tip i mjesto ugradnje: stropni nadgradni tračni trofazni sustav						
boja tračnice: crna						
materijal tračnice: aluminij						
dimenzije tračnice: maks. š34 x v34mm						
maksimalna masa: 1,1kg//m'						
tračni sustav u kompletu sa svim potrebnim priborom za nadgradnu montažu, napojnicima, spojnim elementima i završnim kapama						
jamstvo u trajanju od min. 5 godina						</t>
  </si>
  <si>
    <t>Oznaka u nacrtu P1.1</t>
  </si>
  <si>
    <t>tip i mjesto ugradnje: stropna nadgradna svjetiljka 
namjena: osvjetljavanje evakuacijskih ruta
boja kućišta svejtiljke: RAL9016
materijal svjetiljke: aluminij
dimenzije svjetiljke: maks. š150 x d150 x v35mm
maksimalna masa: 1,0kg
izvor svjetlosti je integrirani LED
svjetlosni tok svjetiljke: 113lm
ukupna nazivna snaga: maks. 4W
minimalni stupanj zaštite: IP40
autonomija baterije: 3h
mogućnost rada: pripravni i trajni spoj
napajanje: integrirano, 220-240V, 50/60Hz
svjetiljka u skladu s CE
jamstvo u trajanju od min. 5 godina</t>
  </si>
  <si>
    <t>Oznaka u nacrtu P2.1</t>
  </si>
  <si>
    <t>tip i mjesto ugradnje: stropna nadgradna svjetiljka 
namjena: antipanično osvjetljavanje
boja kućišta svejtiljke: RAL9016
materijal svjetiljke: aluminij
dimenzije svjetiljke: maks. š150 x d150 x v35mm
maksimalna masa: 1,0kg
izvor svjetlosti je integrirani LED
svjetlosni tok svjetiljke: 113lm
ukupna nazivna snaga: maks. 4W
minimalni stupanj zaštite: IP40
autonomija baterije: 3h
mogućnost rada: pripravni i trajni spoj
napajanje: integrirano, 220-240V, 50/60Hz
svjetiljka u skladu s CE
jamstvo u trajanju od min. 5 godina</t>
  </si>
  <si>
    <t>Oznaka u nacrtu P3.1</t>
  </si>
  <si>
    <t>tip i mjesto ugradnje: stropna nadgradna svjetiljka 
namjena: antipanično osvjetljavanje
boja kućišta svejtiljke: RAL9016
materijal svjetiljke: aluminij
dimenzije svjetiljke: maks. š150 x d200 x v50mm
maksimalna masa: 1,3kg
izvor svjetlosti je integrirani LED
svjetlosni tok svjetiljke: 113lm
ukupna nazivna snaga: maks. 6W
minimalni stupanj zaštite: IP65
autonomija baterije: 8h
mogućnost rada: pripravni i trajni spoj
napajanje: integrirano, 220-240V, 50/60Hz
svjetiljka u skladu s CE
jamstvo u trajanju od min. 5 godina</t>
  </si>
  <si>
    <t>Oznaka u nacrtu P4.1</t>
  </si>
  <si>
    <t>tip i mjesto ugradnje: stropna/zidna nadgradna piktogram svjetiljka 
boja kućišta svejtiljke: RAL9016
materijal svjetiljke: polikarbonat
dimenzije svjetiljke: maks. š235 x d50 x v180mm
maksimalna masa: 0,5kg
izvor svjetlosti je integrirani LED
svjetlosni tok svjetiljke: 113lm
ukupna nazivna snaga: maks. 8,5W
minimalni stupanj zaštite: IP42
autonomija baterije: 3h
mogućnost rada: pripravni i trajni spoj
napajanje: integrirano, 220-240V, 50/60Hz
piktogram svjetiljka s pripadajućim pokazivačima smjera i montažnim setom
svjetiljka u skladu s CE
jamstvo u trajanju od min. 5 godina</t>
  </si>
  <si>
    <t>m'</t>
  </si>
  <si>
    <t xml:space="preserve">Dobava materijala, izvedba i ugradnja kioska uz planinarski dom za posluživanje pića. Drvena konstrukcije sustava stup-greda presjeka 15x15 cm, vanjska oplata drvena, a završna obloga u aluminijskom falcanom limu. Boja po izboru projektanta. Ugradnja s hidroizolacijom (polimerbitumenska) i toplinskom izolacijom (mineralna vuna, d= 15 cm). 
Podna konstrukcija je od HEB 120 profila, na koju se montira konstrukcija kioska. Postaviti zaštitu od vlaženja na tlo, i s donje strane je potrebno izolacija XPS pločama, debljine 10 cm.
Krov nije prohodan. Odvodnju oborinskih voda spojiti na cisternu.
Iza kioska potrebno je postaviti zaštitnu ogradu ukupne duljine 11 m od ČN cijevi 50 x 50 x 5 mm, ruće cinčanu.
Komplet s uređajima, izlogom s integriranim vratima i svom opremom. Na čelu ugraditi aluminijsku ostakljenu stijenu. Ugraditi trokrilni klizni prozor s klupčicom za posluživanje. U svemu se pridržavati sheme (vidi list 66). Izvođač treba napraviti radionički nacrt, u jednom tiskanom primjerku i PDF ormatu, na prijenosnom mediju, na ovjeru glavnom projekantu. 
Tlocrtna dimenzija kioska 516 x 338 cm, visina od 294 - 400 cm (promjenjiva visina). </t>
  </si>
  <si>
    <t xml:space="preserve">Dobava i montaža korita od nehrđajućeg čelika nehrđajuće korito za pranje za montažu na pod. Postava preko puta glavnog ulaza u dom. Korito uključuje nagibnu rešetku, crijevo i slavine za vodu i pranje korita. Korito na sebi ima držač za razna sredstva. 
Ispust uključuje HT koljena DN 100 (110 mm) spojena na stražnju stijenku. </t>
  </si>
  <si>
    <t>U nacrtima označeno kao AL stavka 6a.</t>
  </si>
  <si>
    <t>U nacrtima označeno kao AL stavka 7.</t>
  </si>
  <si>
    <t>U nacrtima označeno kao AL stavka 8.</t>
  </si>
  <si>
    <t>U nacrtima označeno kao AL stavka 9.</t>
  </si>
  <si>
    <t>U nacrtima označeno kao AL stavka 10.</t>
  </si>
  <si>
    <t>U nacrtima označeno kao AL stavka 11.</t>
  </si>
  <si>
    <t>U nacrtima označeno kao AL stavka 12.</t>
  </si>
  <si>
    <t>U nacrtima označeno kao AL stavka 13.</t>
  </si>
  <si>
    <t>U nacrtima označeno kao AL stavka 14.</t>
  </si>
  <si>
    <t>U nacrtima označeno kao AL stavka 15.</t>
  </si>
  <si>
    <t>U nacrtima označeno kao AL stavka 16.</t>
  </si>
  <si>
    <t>B.4.10.</t>
  </si>
  <si>
    <t>B.4.11.</t>
  </si>
  <si>
    <t>B.4.12.</t>
  </si>
  <si>
    <t>B.4.13.</t>
  </si>
  <si>
    <t>B.4.14.</t>
  </si>
  <si>
    <t>B.4.15.</t>
  </si>
  <si>
    <t>B.4.16.</t>
  </si>
  <si>
    <t>B.4.17.</t>
  </si>
  <si>
    <t xml:space="preserve">Al. vertikalni i horizontalni profili nazivne širine 50 mm. Vertikalni i horizontalni Al. profili odabran je prema uvjetima izrade nosive drvene konsttukcije. Podložni al. profil oblikovno je namjenjen za prihvat stakla u vertikalnom i horizontalnom smjeru. Postava Al. podložnog izvodi se inox vijcima koji se pričvrščuju na postavljenu drvenu nosivu konstukciju. Nosiva drvena konstukcija opisana u zasebnoj stavci. </t>
  </si>
  <si>
    <t xml:space="preserve">Al. kontinuirana fasada izvodi se na način da su stakla u vertikalnom i horizontalnom smjeru pridržana Al. "podkapom - potisni profil" sa odgovarajućim brtvama, te "kapama" u vertikalnom smjeru dubine 16 mm, a u horizontalnom smjeru konusna kapa visine 3-5 mm. </t>
  </si>
  <si>
    <t>Odabrani sustav Al. profila potrebno je da  konstuktivno, tehnički i kvalitativno zadovoljava u potunosti uvjete iz troškovničkog opisa, te traženu kvalitetu kao i oblikovnu riješenje odobreno od projektanta građevine, kao i da zadovolji uvijet koeficijenta prolaza topline Uf=1.5 W/(m²K), a u kombinaciji sa odabranim staklom koji zadovoljava uvijet Ug=0.6 W/(m²K),  ukupni koeficijent prolaza topline za karakteristično fiksno polje dim. 1230X1480 mm  iznosi  Uw≤ 1,0 W/(m²K)</t>
  </si>
  <si>
    <t>Kod izrada ponude ponuditelj Al. radova u obavezi je projektanta upoznti sa tehničkim i kvalitativnim uvjetima odabranog sustava Al. profila, te samo nakon dobivene suglasnosti od projektanata sustava Al. profila moguće je izraditi ponudu prema kojoj će se izvoditi Al. radovi.</t>
  </si>
  <si>
    <t>Ostakljenje IZO staklom 8+14+6+14+44.2= 50 mm;</t>
  </si>
  <si>
    <t xml:space="preserve">  vanjsko staklo: </t>
  </si>
  <si>
    <t>međuprostor:</t>
  </si>
  <si>
    <t xml:space="preserve">  srednje staklo: </t>
  </si>
  <si>
    <t>unutarnje staklo:</t>
  </si>
  <si>
    <t xml:space="preserve">Brtvljenje, spajanje te postava Al. fasade izvodi se prema sistemskim riješenjima propisanim od strane tehničkog ureda proizvođača odabranog sustava. </t>
  </si>
  <si>
    <t>Cinčanje ležajeva izvodi se kao vruče cinčanje u debljini nanosa cinka od 120 mikrona. Sidrenje ležajeva je na AB konstrukciju pomoću odgovarajućih sidrenih vijaka.</t>
  </si>
  <si>
    <t>Obračun radova radi se po m² izvedene Al. kontinuirane ostakljene fasade. U obračun    ulaze svi vidljivi djelovi Al. fasade sa  pripadajučim završnim opšavima po obodu fasade.</t>
  </si>
  <si>
    <t>- prema EN 673 ili jednakovrijedno; Ug=0,6 W/(m²K)
- prema EN 410 ili jednakovrijedno;545:545 solar faktor - g= 52 % 
- prema EN 410 ili jednakovrijedno; Energy Reflection - ρe  16 %</t>
  </si>
  <si>
    <t>- d= 8 mm, kaljeno</t>
  </si>
  <si>
    <t>- ARGON 90% d= 16 mm (s aluminijskom izloacijskom letvicom)</t>
  </si>
  <si>
    <t>- 6 mm; float prozirno staklo</t>
  </si>
  <si>
    <t>- s pojačanom zaštitom od sunca; d= 44.2 mm, laminirano.</t>
  </si>
  <si>
    <t>U cijenu uključena po cijelom obodu Al. fasade vanjska vodonepropusna-paropropusna folija, unutarnja zrakonepropusna-paronepropusna folija sve prema RAL smjernicama. Folija treba zadovoljiti tehničke karakteristike kao ME508 ili jednakovrijedno.</t>
  </si>
  <si>
    <t>Svi potrebni rubni, vanjski i unutarnji opšavi izrađeni iz Al. lima u prirodnoj boji aluminija, te Č. pocinčani ležajevi za postavu Al. fasade na drvenu krovnu konstukciju. Predmetni Č. ležajevi se zasebno projektiraju u zavisnosti od osnovne nosive drvene konstukcije. Cjelovito konstuktivno rješenje prihvata nosive Al. konstukcije na drvenu konstrukciju uskladit će se kroz izradu radioničke dokumentacije. U crtežima radioničke dokumentacije rješit će se detalji završnih opšavnih limova a sve usklađeno sa linearno osnačenim detaljima u projektantskim crtežima koji su sastavni dio dokumentacije prema kojoj se izrađuje ponuda za izvođenje.</t>
  </si>
  <si>
    <t xml:space="preserve">Izvođać Al. radova je dužan izraditi projektnu dokumentaciju sa izvedbenim shemama i svim detaljima ugradbe, te ju predati na pregled i ovjeru projektantu građevine. Samo po usaglašenim shemama i detaljima moguće je pristupiti izradi radioničke dokumentacije na osnovu koje se izrađuje i montira Al. stolarija.
</t>
  </si>
  <si>
    <t xml:space="preserve">Ugradbena dubina doprozornika 70 mm, širine min. 67 mm, krilo dubine 80 mm, ukupne širine min. 80 mm. </t>
  </si>
  <si>
    <t xml:space="preserve">Mogućnost ugradnje stakla u prozorsko krilo od 32-55 mm. </t>
  </si>
  <si>
    <t xml:space="preserve">Izrada Al. prozora izvodi se na način da su spojevi  izvedeni sa kutnim ili ravnim spojnicama koje omogućuju pričvrščenje sa Al. ili inox trnovima, te ljepljene spoja dvokomponentnim ljepilom što omogućuje čvrsti spoj. </t>
  </si>
  <si>
    <t>Vanjska i unutarnja brtva svojim oblikom prilagođena je da preklapa u cijelosti obodno cijelu površinu stakla unutar staklodržača što omogućuje prekid toplinskih tokove uokolo ruba stakla. Sastav brtvi za brtvljenje između doprozornika i krila sastoji se od srednja sedmerokomorna brtva izvedena u kombinaciji EPDM materijala i materijala sa poboljšanim toplinskim karakteristikama i unutarnje brtve konusnog oblika prilagođenog obliku naljeganja na doprozornik. Staklo u krilu ili doprozorniku zabrtvljeno je vanjskom brtvom visine 9 mm u EPDM izvedbi i unutarnje brtve visine 7-8 mm izduženog oblika. Po obodu dosjeda stakla postavlja se izolator, a u donjem dijelu na AL. profil postavlja se PVC držači.</t>
  </si>
  <si>
    <t>Boja okova po odabiru projektanta građevine, a sve prema proizvodnom programu proizvođača okova.</t>
  </si>
  <si>
    <t>Odabrani okov prilagoditi težinu i geometriju krila, tako da nesmetano zadovoljava funkciju otvaranja. Okov za sustav O/Z otvaranja sa aluminijskom poluolivom primjenjuje se LM5200, nosivosti 150 kg,  ili tehnički i kvalitativno jednako vrijedan okov, sa mogućnošću podešavanja okova u tri smjera.</t>
  </si>
  <si>
    <t>Na O/Z prozore visine H≤1250 mm potrebno je ugraditi dodatno zaključavanje po visini.</t>
  </si>
  <si>
    <t xml:space="preserve">U cijeni stavke uključiti komplet sav potreban rad i materijal prema opisu u troškovniku, kao i sve dodatne radove i materijale potrebne da se izradi kompletna stavka kao oblikovna i funkcionalna cjelina. Svi spojni limovi, opšavi, tolinske izolacije, hidroizolacije i parne brane, RAL ugradnja, koje se prema pravilima struke ugrađuju, sastavni su dio stavke. </t>
  </si>
  <si>
    <t xml:space="preserve">Ugrađeni Al. prozor potrebno je zadovoljavati uvjete: </t>
  </si>
  <si>
    <t>ZRAKOPROPUSNOSTI</t>
  </si>
  <si>
    <t>razred 4</t>
  </si>
  <si>
    <t>- po normi HRN EN 12207 ili jednakovrijedno</t>
  </si>
  <si>
    <t>VODONEPROPUSNOSTI</t>
  </si>
  <si>
    <t>- po normi HRN EN 12208 ili jednakovrijedno</t>
  </si>
  <si>
    <t>razred E1200</t>
  </si>
  <si>
    <t>- po normi HRN EN 12210 ili jednakovrijedno</t>
  </si>
  <si>
    <t>razred C5/B5</t>
  </si>
  <si>
    <t>OTPORNOST NA OPTEREĆENJE VJETROM</t>
  </si>
  <si>
    <t xml:space="preserve">Postava Al. prozora unutar AB i zidane konstukcije od blok opeke pomoću samoreznih,  galvaniziranih ili pocinčanih vijaka sa upuštenom glavom primjerenih za ovakvu vrstu montaže. </t>
  </si>
  <si>
    <t>Sastavni dio stavke je samoljepljiva RAL traka koja zadovoljava uvjete vodonepropusnosti-paropropusnosti sa vanjske strane, te zrakonepropusnosti-paronepropusnosti sa unutarnje strane, a sve prema RAL smjernicama postavljeno po cijelom obodu doprozornika. Obostrano ljepljiva folija potrebno je da zadovolji  tehničkih karakteristika kao ME508 ili jednakovrijedno.</t>
  </si>
  <si>
    <t>Izvođać Al. radova dužan je izraditi projektnu dokumentaciju sa izvedbenim shemama i svim detaljima ugradbe, te ju predati na pregled i ovjeru projektantu građevine. Samo po usaglašenim shemama i detaljima moguće je pristupiti izradi radioničke dokumentacije na osnovu koje se predmetne Al. stavke izrađuju i montiraju.</t>
  </si>
  <si>
    <t>Brtva za potisni profil u EPDM izvedbi nazubljenog  oblika (tri pera) sa otvorom unutar volumena brtve za što kvalitetnije prianjanje uz staklo dubine 6 mm. Na krajeve horizontalnih brtvi postavljaju se umeci u EPDM izvedbi. Na istaknuti vanjski dio vertikalnog i horizontalnog profila potrebno je postaviti politermide termo izolatore odgovarajuće visine u odnosu na debljinu stakla.</t>
  </si>
  <si>
    <t xml:space="preserve">Ugradbena dubina doprozornika 70 mm, širine 75 mm, krilo dubine 70 mm, ukupne širine 100 mm. </t>
  </si>
  <si>
    <t>Izrada Al. vrata izvodi se na način da su spojevi  izvedeni sa kutnim  spojnicama koje omogućuju pričvrščenje sa Al. ili inox trnovima, te ljepljene spoja dvokomponentnim ljepilom što omogućuje čvrsti spoj. Vanjska i unutarnja brtva svojim oblikom prilagođena je da preklapa u cijelosti obodno cijelu površinu stakla unutar staklodržača što omogućuje prekid toplinskih tokove uokolo ruba stakla ("brtve sa repićima"). Vanjska brtva debljine 4 mm, a unutarnja min. 6 mm.</t>
  </si>
  <si>
    <t>Vrata se izvode sa pragom visine 23 mm.  Al. vrata su opremljena sa tri para okruglih "rollenband" pantiju po krilu, obostrano INOX kvakom objekt klase, INOX bravom zatvaranja u tri točke sa jezičkom i cilindrom, INOX prihvatnom lajsnom, ili tehniči i kvalitativno jednako vrijedan.</t>
  </si>
  <si>
    <t>Odabrani sustav Al. profila potrebno je konstuktivno, tehnički i kvalitativno zadovoljava u potunosti uvjete iz troškovničkog opisa, te traženu kvalitetu kao i oblikovnu riješenje odobreno od projektantice građevine, kao i da                   zadovolji uvijet koeficijenta prolaza topline Uf=2.5 W/(m²K), a u kombinaciji sa odabranim staklom koji zadovoljava uvijet Ug=0,6 W/(m²K), linearni gubici topline Ψ 0,045 W/(m K),  ukupni koeficijent prolaza topline za karakteristična jednokrilna vrata dim. 1230X2180 mm iznosi  Uw≤ 1.6 W/(m²K)</t>
  </si>
  <si>
    <t xml:space="preserve">Mogućnost ugradnje stakla u vratna krila od 6-45 mm. </t>
  </si>
  <si>
    <t xml:space="preserve">Ostakljenje Al vrata; </t>
  </si>
  <si>
    <t>Ostakljenje IZO staklom 33.2+16+4+16+33.2= 48 mm;</t>
  </si>
  <si>
    <t>Izvođać Al. radova dužan je izraditi projektnu dokumentaciju sa izvedbenim shemama i svim detaljima ugradbe, te ju predati na pregled i ovjeru projektantu građevine. Samo po usaglašenim shemama i detaljima moguće je pristupiti izradi radioničke dokumentacije na osnovu koje se izrađuju Al. stavke i montiraju.</t>
  </si>
  <si>
    <t xml:space="preserve"> vanjsko staklo: </t>
  </si>
  <si>
    <t xml:space="preserve"> srednje staklo: </t>
  </si>
  <si>
    <t xml:space="preserve">Ugrađena Al. vrata moraju zadovoljavati uvjete: </t>
  </si>
  <si>
    <t>razred 2</t>
  </si>
  <si>
    <t>razred 5A</t>
  </si>
  <si>
    <t>razred C2</t>
  </si>
  <si>
    <t>- B572
- prema EN 410 ili jednakovrijedno;545:545 solar faktor - g= 52 % 
- prema EN 410 ili jednakovrijedno; Energy Reflection - ρe  16 %</t>
  </si>
  <si>
    <t>- prema EN 673 ili jednakovrijedno; Ug=0,6 W/(m²K)
- prema EN 410 ili jednakovrijedno;  solar faktor - g= 52 % 
- prema EN 410 ili jednakovrijedno; Energy Reflection - ρe 16 %</t>
  </si>
  <si>
    <t>- s pojačanom zaštitom od sunca; d= 33.2 mm, Laminirano</t>
  </si>
  <si>
    <t>- ARGON 90% d= 16 mm (s aluminijskom izolacijskom letvicom)</t>
  </si>
  <si>
    <t>- 4 mm; float prozirno staklo</t>
  </si>
  <si>
    <t>Odabrani sustav Al. profila potrebno je da  konstuktivno, tehnički i kvalitativno zadovoljava u potpunosti uvjete iz troškovničkog opisa, te traženu kvalitetu kao i oblikovnu riješenje odobreno od projektanta građevine, kao i da zadovolji uvijet koeficijenta prolaza topline Uf=1.4 W/(m²K), a u kombinaciji sa odabranim staklom koji zadovoljava uvijet Ug=0.6 W/(m²K),  ukupni koeficijent prolaza topline za karakteristični jednokrilni prozor dim. 1230X1480 mm  iznosi  Uw≤0,95W/(m²K)</t>
  </si>
  <si>
    <t>Prije ugovaranja radova Izvoditelj radova u obavezi je računski dokazati i predati na uvid projektantu dokaz da je ukupni koeficijent prolaza topline za cijelokupnu površinu svih prozora  Uw≤ 1,1 W/(m²K).</t>
  </si>
  <si>
    <t xml:space="preserve">Kao i svi potrebni rubni, vanjski i unutarnji opšavi. Sve izrađeno iz Al. lima d=1,5 mm, te vanjska ekstrudirana klupčica d= 2 mm, cca R.Š.= 280 mm sa okapom 25 mm, koja se montira na pripremljeni PVC "podštok" učvrščen u donjoj zoni al. prozora. Al. klupčica i opšav  u prirodnoj boji aluminija. </t>
  </si>
  <si>
    <t>Kao i svi potrebni rubni, vanjski i unutarnji opšavi . Sve izrađeno iz Al. lima d=1,5 mm u prirodnoj boji aluminija.</t>
  </si>
  <si>
    <t>Dimenzije platna 64 x 280 cm.</t>
  </si>
  <si>
    <t>Izvedba u prirodnoj boji aluminija.</t>
  </si>
  <si>
    <t>Izrada, doprema i montaža Alu jednokrilnih punih zaokretnih vrata. Okov prema odabiru projektanta. Izvesti u prirodnoj boji aluminija. Na vratno krilo postaviti okapnicu. 
Stavka obuhvaća izmjeru na licu mjesta, izradu radioničkih nacrta, izvezenih jednom tiskanom primjerku i u PDF formatu na prijenosnom mediju, nabavu materijala, izradu vrata u radionici do pune gotovosti, dovoz na gradilište i montažu.
* jednokrilna vrata, desno otvaranje u zidarskom otvoru 120x265 cm.</t>
  </si>
  <si>
    <t>Izrada, doprema i montaža ostakljenih Alu dvokrilnih zaokretnih vrata. Okov prema odabiru projektanta. Izvesti u prirodnoj boji aluminija. Na vratno krilo postaviti okapnicu. 
Stavka obuhvaća izmjeru na licu mjesta, izradu radioničkih nacrta, izvezenih jednom tiskanom primjerku i u PDF formatu na prijenosnom mediju, nabavu materijala, izradu vrata u radionici do pune gotovosti, dovoz na gradilište i montažu.
* dvokrilna vrata u zidarskom otvoru 290x265 cm.</t>
  </si>
  <si>
    <t>Izrada, doprema i montaža ostakljenih Alu jednokrilnih zaokretnih vrata. Okov prema odabiru projektanta. Izvesti u prirodnoj boji aluminija. Na vratno krilo postaviti okapnicu. 
Stavka obuhvaća izmjeru na licu mjesta, izradu radioničkih nacrta izvezenih u jednom tiskanom primjerku i u PDF formatu na prijenosnom mediju, nabavu materijala, izradu vrata u radionici do pune gotovosti, dovoz na gradilište i montažu.* jednokrilna vrata, desno otvaranje u zidarskom otvoru 100x219 cm.</t>
  </si>
  <si>
    <t>Izrada, doprema i montaža ostakljenih Alu jednokrilnih zaokretnih vrata. Okov prema odabiru projektanta. Izvesti u prirodnoj boji aluminija. Na vratno krilo postaviti okapnicu. 
Stavka obuhvaća izmjeru na licu mjesta, izradu radioničkih nacrta izvezenih u jednom tiskanom primjerku i u PDF formatu na prijenosnom mediju, nabavu materijala, izradu vrata u radionici do pune gotovosti, dovoz na gradilište i montažu.
* jednokrilna vrata, lijevo otvaranje u zidarskom otvoru 100x219 cm.</t>
  </si>
  <si>
    <t>Dobava, izrada i montaža četverokrilnog kliznog prozora za izdavanje hrane. Prozor se izrađuje od AL profila u prirodnoj boji aluminija. Ostakljenje troslojno izo staklo sa Low-e premazom i ispunom inertnim plinom. Okov prema odabiru projektanta. Uključivši izradu klupčice / police za tacne, te nadstrešnicom, prema detaljnom nacrtu, sve u boji po izboru projektanta.
Stavka obuhvaća izmjeru na licu mjesta, izradu radioničkih nacrta izvezenih u jednom tiskanom primjerku i u PDF formatu na prijenosnom mediju, nabavu materijala, izradu vrata u radionici do pune gotovosti, dovoz na gradilište i montažu.
U cijenu uključiti i zaštitu od sunca, platno s vanjske strane, koje se ugrađuje u kutiju. Širina platna po cijeloj širini prozora, boja po izboru projektanta. Pogon na elektromotor, s upravljačkom jedinicom.
* dvokrilni prozor u zidarskom otvoru 450x176 cm.</t>
  </si>
  <si>
    <t>Izrada, doprema i montaža Alu ostakljenih dvokrilnih zaokretnih vrata. Okov prema odabiru projektanta. Izvesti u prirodnoj boji aluminija. Na vratno krilo postaviti okapnicu. 
Stavka obuhvaća izmjeru na licu mjesta, izradu radioničkih nacrta, izvezenih u jednom tiskanom primjerku i u PDF formatu na prijenosnom mediju, nabavu materijala, izradu vrata u radionici do pune gotovosti, dovoz na gradilište i montažu.
* dvokrilna vrata u zidarskom otvoru 200x226 cm.</t>
  </si>
  <si>
    <t>Izrada, doprema i montaža Alu četverokrilnog otklopno-zaokretnog prozora. Okov prema odabiru projektanta. Izvesti u prirodnoj boji aluminija. 
Stavka obuhvaća izmjeru na licu mjesta, izradu radioničkih nacrta, izvezenih u jednom tiskanom primjerku i u PDF formatu na prijenosnom mediju, nabavu materijala, izradu vrata u radionici do pune gotovosti, dovoz na gradilište i montažu.
U cijenu uključiti i zaštitu od sunca, platno s vanjske strane, koje se ugrađuje u kutiju. Širina platna po cijeloj širini prozora, boja po izboru projektanta. Pogon na elektromotor, s upravljačkom jedinicom.
* četverokrilni prozor u zidarskom otvoru 450x196 cm.</t>
  </si>
  <si>
    <t>Izrada, doprema i montaža Alu dvokrilnog otklopno-zaokretnog prozora. Okov prema odabiru projektanta. Izvesti u prirodnoj boji aluminija. 
Stavka obuhvaća izmjeru na licu mjesta, izradu radioničkih nacrta, izvezenih jednom tiskanom primjerku i u PDF formatu na prijenosnom mediju, nabavu materijala, izradu vrata u radionici do pune gotovosti, dovoz na gradilište i montažu.
U cijenu uključiti i zaštitu od sunca, platno s vanjske strane, koje se ugrađuje u drvenu kutiju. Širina platna po cijeloj širini prozora, boja po izboru projektanta. Pogon na elektromotor, s upravljačkom jedinicom.
* dvokrilni prozor u zidarskom otvoru 290x196 cm.</t>
  </si>
  <si>
    <t>Izrada, doprema i montaža Alu dvokrilnog otklopno-zaokretnog prozora. Okov prema odabiru projektanta. Izvesti u prirodnoj boji aluminija. 
Stavka obuhvaća izmjeru na licu mjesta, izradu radioničkih nacrta, izvezenih jednom tiskanom primjerku i u PDF formatu na prijenosnom mediju, nabavu materijala, izradu vrata u radionici do pune gotovosti, dovoz na gradilište i montažu.
U cijenu uključiti i zaštitu od sunca, platno s vanjske strane, koje se ugrađuje u kutiju. Širina platna po cijeloj širini prozora, boja po izboru projektanta. Pogon na elektromotor, s upravljačkom jedinicom.
* četverokrilni prozor u zidarskom otvoru 290x176 cm.</t>
  </si>
  <si>
    <t>Izrada, doprema i montaža Alu jednokrilnog otklopno-zaokretnog prozora. Okov prema odabiru projektanta. Izvesti u prirodnoj boji aluminija. 
Stavka obuhvaća izmjeru na licu mjesta, izradu radioničkih nacrta, izvezenih jednom tiskanom primjerku i u PDF formatu na prijenosnom mediju, nabavu materijala, izradu vrata u radionici do pune gotovosti, dovoz na gradilište i montažu.
* jednokrilni prozor u zidarskom otvoru 55x55 cm.</t>
  </si>
  <si>
    <t>Izrada, doprema i montaža Alu trokutaste višedijelne stijene na zabaima potkrovlja. U srednjem dijelu stijene su 4 otklopno-zaokretna prozora. Okov prema odabiru projektanta. Izvesti u prirodnoj boji aluminija. 
Stavka obuhvaća izmjeru na licu mjesta, izradu radioničkih nacrta, izvezenih jednom tiskanom primjerku i u PDF formatu na prijenosnom mediju, nabavu materijala, izradu vrata u radionici do pune gotovosti, dovoz na gradilište i montažu.
* višedijelna stijena trokutastog oblika dimenzije 436x436 cm, nagib hipotenuze 45⁰.</t>
  </si>
  <si>
    <t xml:space="preserve">Dobava i montaža krovne obloge od falcanog lima sa stojećim falcom od aluminijskog lima ili jednakovrijedno. Boja pokrova prirodni aluminij, svijetla širina trake 40 cm, na rubovima 52 cm. Debljina lima 0,6 ili 0,7 mm, težina do 2,6 kg/m2. </t>
  </si>
  <si>
    <t>Polaganje: s desna na lijevo, spojevi izmaknuti min. 220mm, uklj. originalni pričvrsni materijal (poc. čavli s utorima), položiti stručno i otporno na vremenske nepogode prema uputi za polaganje na punu oplatu min. debljine 24 mm ili letve, uklj. potreban pomoćni materijal za montažu (npr. zakovice, vijke), treba paziti na besprijekorno prozračivanje krova.</t>
  </si>
  <si>
    <t>Solarni paneli su integrirani u pokrov - vidi troškovnik elektro-radova, st. 2.A.1.1.</t>
  </si>
  <si>
    <t>* količine vode 2 l/m2/min
* propustljivost zraka 1-9,9 m3/h pri razlici pritiska 10-300 Pa ili izražena koeficijentom manjim od 0,25, te ukupno treba biti ocijenjena s C kategorijom kvalitete.
* svi spojevi trebaju biti bez deformacija pri koncentriranom opterećenju (sili) od 1 kN
* najveći prolaz topline 3,0 W/m2°K
* otpornost na buku najmanje 32 dB po kriteriju DIN 4109 ili jednakovrijedno.
Ugradnja se vrši po principu suhe ugradnje brtvljenjem i zaptivanjem, te ugradnjom kutnih lajsni, a sve usklađeno s ostalim radovima. Na pragovima ulaznih vrata ugraditi toplinsku izolaciju za prekid "hladnog mosta", podvući vanjsku, neprekinutu hidroizolaciju u sljubnicu između praga i spojne letve, a gornju profiliranu stranicu praga opšiti profilom od aluminija. Izvoditelj treba predočiti vlastiti prijedlog radioničkih detalja.
Vrata opremljena okovom i bravom prema odabiru projektanta.
Kvaka kao FSB prema odabiru projektanta.</t>
  </si>
  <si>
    <t>U nacrtima označeno kao stavka vanjske stolarije 14.</t>
  </si>
  <si>
    <t>U nacrtima označeno kao stavka vanjske stolarije 14a.</t>
  </si>
  <si>
    <t>U nacrtima označeno kao stavka vanjske stolarije 15.</t>
  </si>
  <si>
    <t>a) l= 270 cm</t>
  </si>
  <si>
    <t>Isto kao prethodna stavka, samo apliciranje na bočne strane stepenica. Širina cca. 20 cm.</t>
  </si>
  <si>
    <t>Dobava i postava klinker pločica (istovjetnih iz st. B.12.1.) na pročelje prizemlja i podruma, na prethodno postavljen i pripremljen toplinski sustav. Prema potrebi podlogu treba izravnati posebnim mortom. Keramika se lijepi fleksibilnim cementnim ljepilom, te fugira posebnom cementnom masom za fugiranjem s aditivima protiv spriječavanja nastanka plijesni, bakterija i gljivica, do širine 8 mm.</t>
  </si>
  <si>
    <t>Polaganje, uglovi i špalete prema planu polaganja keramike, koji se izrađuje prije izvedbe keramike, a potvrđuje ga projektant.</t>
  </si>
  <si>
    <t>Visina rada od 75 - 615 cm.</t>
  </si>
  <si>
    <t>Dubina špaleta 18 cm.</t>
  </si>
  <si>
    <t>a) pročelje</t>
  </si>
  <si>
    <t>b) špalete</t>
  </si>
  <si>
    <t>B.12.6.</t>
  </si>
  <si>
    <t>c) aluminijski profil</t>
  </si>
  <si>
    <t xml:space="preserve">Dobava i izvedba unutrašnjeg suhomontažnog obložnog zida debljine 10 cm - zid sanitarija / podrum prema AB zidu.
Jedinična cijena obuhvaća izradu nosive konstrukcije zida od samostojećih metalnih profila, dobavu i ugradnju ploča, kamene vune, te izradu obloge od velikoformatnih gipskartonskih ploča s bandažiranjem i gletanjem spojeva kao pripremom za soboslikarsko-ličilačke radove.
- gipskartonske vodoodbojne ploče 1,25 cm GKBI
- gipskartonske standardne ploče 1,25 cm GKB
- samostojeći metalni profili CW 75 mm
- kamena vuna (50 kg/m3), d=7,5 cm
</t>
  </si>
  <si>
    <t>Dobava i izvedba unutrašnjeg suhomontažnog pregradnog zida debljine 10 cm - zid sanitarija / podrum i kuhinja.
Jedinična cijena obuhvaća izradu nosive konstrukcije zida od samostojećih metalnih profila, dobavu i ugradnju ploča, kamene vune, te izradu obloge od velikoformatnih gipskartonskih ploča s bandažiranjem i gletanjem spojeva kao pripremom za soboslikarsko-ličilačke radove.
- gipskartonske vodoodbojne ploče 1,25 cm GKBI
- gipskartonske standardne ploče 1,25 cm GKB
- samostojeći metalni profili CW 50 mm
- kamena vuna (50 kg/m3), d=10 cm
- gipskartonske standardne ploče 1,25 cm GKB
- gipskartonske vodoodbojne ploče 1,25 cm GKBI</t>
  </si>
  <si>
    <t>Dobava i izvedba unutrašnjeg suhomontažnog pregradnog zida debljine 20 cm - zid sanitarija / kat.
Jedinična cijena obuhvaća izradu nosive konstrukcije zida od samostojećih metalnih profila, dobavu i ugradnju ploča, kamene vune, te izradu obloge od velikoformatnih gipskartonskih ploča s bandažiranjem i gletanjem spojeva kao pripremom za soboslikarsko-ličilačke radove.
- gipskartonske vodoodbojne ploče 1,25 cm GKBI
- gipskartonske standardne ploče 1,25 cm GKB
- samostojeći metalni profili CW 2x50 mm
- kamena vuna (50 kg/m3), d=10 cm
- gipskartonske standardne ploče 1,25 cm GKB
- gipskartonske vodoodbojne ploče 1,25 cm GKBI</t>
  </si>
  <si>
    <t>B.14.9.</t>
  </si>
  <si>
    <t>Dobava i izvedba unutrašnjeg suhomontažnog pregradnog zida debljine 15 cm - zid hodnik / spavaonice - kat.
Jedinična cijena obuhvaća izradu nosive konstrukcije zida od samostojećih metalnih profila, dobavu i ugradnju ploča, kamene vune, te izradu obloge od velikoformatnih gipskartonskih ploča s bandažiranjem i gletanjem spojeva kao pripremom za soboslikarsko-ličilačke radove.
- gipskartonske standardne ploče 1,25 cm GKB
- gipskartonske standardne ploče 1,25 cm GKB
- samostojeći metalni profili CW 100 mm
- kamena vuna (50 kg/m3), d=10 cm
- zaštitna folija
- drvena obloga - opisana u stolarskim radovima</t>
  </si>
  <si>
    <t>Dobava i izvedba unutrašnjeg suhomontažnog pregradnog zida debljine 10 cm - zid hodnik / spavaonice - kat.
Jedinična cijena obuhvaća izradu nosive konstrukcije zida od samostojećih metalnih profila, dobavu i ugradnju ploča, kamene vune, te izradu obloge od velikoformatnih gipskartonskih ploča s bandažiranjem i gletanjem spojeva kao pripremom za soboslikarsko-ličilačke radove.
- gipskartonske standardne ploče 1,25 cm GKB
- gipskartonske standardne ploče 1,25 cm GKB
- samostojeći metalni profili CW 100 mm
- kamena vuna (50 kg/m3), d=10 cm
- zaštitna folija
- drvena obloga - opisana u stolarskim radovima</t>
  </si>
  <si>
    <t>Dobava i izvedba unutrašnjeg suhomontažnog pregradnog zida debljine 20 cm - zid sanitarije / spavaonice - kat.
Jedinična cijena obuhvaća izradu nosive konstrukcije zida od samostojećih metalnih profila, dobavu i ugradnju ploča, kamene vune, te izradu obloge od velikoformatnih gipskartonskih ploča s bandažiranjem i gletanjem spojeva kao pripremom za soboslikarsko-ličilačke radove.
- gipskartonske vodoodbojne ploče 1,25 cm GKBI
- gipskartonske standardne ploče 1,25 cm GKB
- samostojeći metalni profili CW 2x50 mm
- kamena vuna (50 kg/m3), d=10 cm
- zaštitna folija
- drvena obloga - opisana u stolarskim radovima</t>
  </si>
  <si>
    <t>Razdjelna konstrukcija između dvije spavaonice - drvena obloga / opisana u stolarskim stavkama.
- samostojeći metalni profili CW 75 mm
- kamena vuna (50 kg/m3), d=7,5 cm
- obostrano zaštitna folija</t>
  </si>
  <si>
    <t>B.14.10.</t>
  </si>
  <si>
    <t>B.14.11.</t>
  </si>
  <si>
    <t xml:space="preserve">Dobava i izvedba unutrašnjeg suhomontažnog obložnog zida debljine 10 cm - zid hodnik kata / prema fasadnom zidu.
Jedinična cijena obuhvaća izradu nosive konstrukcije zida od samostojećih metalnih profila, dobavu i ugradnju ploča, kamene vune, te izradu obloge od velikoformatnih gipskartonskih ploča s bandažiranjem i gletanjem spojeva kao pripremom za soboslikarsko-ličilačke radove.
- gipskartonske standardne ploče 1,25 cm GKB
- gipskartonske standardne ploče 1,25 cm GKB
- samostojeći metalni profili CW 75 mm
- kamena vuna (50 kg/m3), d=7,5 cm
</t>
  </si>
  <si>
    <t>Dobava i izvedba unutrašnjeg suhomontažnog pregradnog zida debljine 15 cm - zid sanitarije / hodnik - kat.
Jedinična cijena obuhvaća izradu nosive konstrukcije zida od samostojećih metalnih profila, dobavu i ugradnju ploča, kamene vune, te izradu obloge od velikoformatnih gipskartonskih ploča s bandažiranjem i gletanjem spojeva kao pripremom za soboslikarsko-ličilačke radove.
- gipskartonske vodoodbojne ploče 1,25 cm GKBI
- gipskartonske standardne ploče 1,25 cm GKB
- samostojeći metalni profili CW 75 mm
- kamena vuna (50 kg/m3), d=7,5 cm
- gipskartonske standardne ploče 1,25 cm GKB
- gipskartonske standardne ploče 1,25 cm GKB</t>
  </si>
  <si>
    <t>Armirano betonske stepenice parceli, varijabilne debljine, betonom kvalitete C25/30 u potrebnoj dvostranoj oplati. Rad obuhvaća: izradu oplate, dobavu i postavljanje armature, kvašenje oplate, ubacivanje betona i zbijanje (vibriranje) sve dok se voda ne pojavi na površini.
U cijenu uključiti izvedbu potrebnih otvora, usjeka, proboja i sl.</t>
  </si>
  <si>
    <t>A.4.31.</t>
  </si>
  <si>
    <t>Izvedba popravaka oštećenih dijelova postojećih potpornih zidova od kamena, što uključuje vađenje oštećenih dijelova, zbrinjavanje i odvoz kamena, te ugradnja novih kamena, s fugiranjem.</t>
  </si>
  <si>
    <t>B.13.3.</t>
  </si>
  <si>
    <t>Za potkonstrukciju solarnog sustava i fotonaponske module vijdeti ARHITEKTURA - stavka B.18.9.</t>
  </si>
  <si>
    <t xml:space="preserve">Elektrokomandni ormar sa automatskom regulacijom za upravljanje razdiobom ventilacije sa mogučnošću prebacivanja 0% - 50%-100% obima ventilacie između etaža, ožičen i ispitan, zidna montaža,u kompletu sa svom potrebnom opremom za upravljanje sa 4 VAV kontrolera, montažnim i spojnim materijalom.  </t>
  </si>
  <si>
    <t>kpl</t>
  </si>
  <si>
    <t>Regulator varijabilnog protoka za ugradnju u pravokutne kanale</t>
  </si>
  <si>
    <t>Sastavljen od kućišta izrađenog od galvaniziranog čeličnog lima,  klapne za regulaciju protoka, elektromotornog pogona klapne,  regulatora protoka sa osjetnikom razlike tlaka, mjernom blendom, u kompletu sa spojnim i montažnim materijalom</t>
  </si>
  <si>
    <t>Područje rada: do 1000 Pa</t>
  </si>
  <si>
    <t>Pogon motora i upravljanje usklađeni sa elektrokomandnim ormarom iz prethodne stavke</t>
  </si>
  <si>
    <t>Regulator se isporučuje sa zvučnom i toplinskom izolacijom debljine 50 mm u oblozi od galvaniziranog čeličnog lima</t>
  </si>
  <si>
    <t>350x350</t>
  </si>
  <si>
    <t>3.7.18.</t>
  </si>
  <si>
    <t>3.7.22.</t>
  </si>
  <si>
    <t>2.A.1.1.</t>
  </si>
  <si>
    <t>2.A.1.2.</t>
  </si>
  <si>
    <t>2,A,1.11.</t>
  </si>
  <si>
    <t>2.A.1.13.</t>
  </si>
  <si>
    <t xml:space="preserve">Koristiti PU pjenu protupožarne klase B1 (HRN EN 13501-1 ili jednakovrijedno - teško zapaljivo), silikone klase B2 (normalno zapaljivo), mineralnu vunu klase A (nezapaljivo, točka taljenja 1000 st.c). Kao slijepe okvire koristiti čelične cijevi ili profile min. debljine stijenke 2 mm; za opšave čel. ili aluminijske limove debljine 1-3 mm.
Ugradnju stavki izvesti u skladu s radioničkim nacrtima, izvezenih u jednom tiskanom primjerku i u PDF formatu na prijenosnom mediju, izrađenim od strane izvođača radova, ovjerenim od strane glavnog projektanta, a koji u moraju obuhvaćati slijedeće elemente ugradnje prozora (RAL smjernice):
- ugradnju stavke na pravilnu liniju izoterme kod koje nema kondenzata na
unutarnjoj stijenki stakla/profila
- ugradnju stavke na sistemski PVC bazni profil - nema toplinskog mosta
- paronepropusnost spoja sa zidom s unutarnje strane i vodonepropusnost / paropropusnost s vanjske
</t>
  </si>
  <si>
    <t>- odgovarajuću širinu bočne fuge između štoka i zida širine
- ugradnju stakla s okvirom u skladu sa zahtjevima zaštite od buke.
U cijeni stavke uključiti komplet sav potreban rad i materijal prema opisu u troškovniku, kao i sve dodatne radove i materijale potrebne da se izradi kompletna stavka kao oblikovna i funkcionalna cjelina. Svi spojni limovi, opšavi, ekspandirajuće trake, PP laminati, PP gips ploče priključka i dr., koji se ugrađuju, sastavni su dio predmetnih stavki.</t>
  </si>
  <si>
    <t>Dobava i montaža dvocijevnog ventilokonvektora za grijanje i hlađenje, za parapetnu ili podstropnu ugradnju, usis sa donje strane, u kompletu ukrasnom maskom, filterom, izmjenjivačem, 3-brzinskim ventilatorom i izoliranom tavicom za odvod kondenzata, montažnim i sitnim potrošnim materijalom
Za podstropni ventilokonvektor Isporuka obuhvača tlačnu rešetku, limenu štucnu za spoj rešetke sa ventilokonvektorom i potreban spojni i izolacijski materija
kriterij za nuđenje: učini ne manji i buka ne vaća od tražene</t>
  </si>
  <si>
    <t>Izrada, doprema i postava maski od smrekovih dasaka ili jednakovrijedno u potkrovlju. Postava ispod prozora. Maske se izrađuju u segmentima širine 160 cm, visine 100 cm. Montažno / demontažna izvedba. Obrada mat prozirnom lazurom.</t>
  </si>
  <si>
    <t>Dio maski izvesti s perforacijama zbog postave ventilokonvektora iza njih. Bočne strane zatvoriti montažno / demontažnim maskama trokutastog oblika, dimenzije 100 x 100 cm, hipotenuze cca 144 cm.</t>
  </si>
  <si>
    <t>b) maske s perforacijama</t>
  </si>
  <si>
    <t>c) trokutaste maske</t>
  </si>
  <si>
    <t>a) maske pune 160 x 100 cm</t>
  </si>
  <si>
    <t>Uključivo sav potreban potrošni materijal, okovi, sustav pričvršćenja i sl.</t>
  </si>
  <si>
    <t>Betonska ploča u nagibu prema odvodima debljine 8-12 cm na terasi iznad podruma i ulaznoj terasi laganim betonom težine do 2200 kg/m3. Beton armiran plastičnim vlaknima (1,5 kg/m3).
Obrada gornje plohe kao kulir, ubacivanje kamenog agregata malog zrna, i kasnije ispiranje površine. Dilatranje površine prema potrebi na svakih 9 m2.</t>
  </si>
  <si>
    <t>Izrada betonske ploče u nagibu prema odvodima debljine 8-12 cm na terasama na katu laganim betonom težine do 2200 kg/m3. Beton armiran plastičnim vlaknima (1,5 kg/m3). Preklop na vertikalu do obloge kamenom, prema detalju.
Obrada gornje plohe kao kulir, ubacivanje kamenog agregata malog zrna, i kasnije ispiranje površine. Dilatranje površine prema potrebi na svakih 9 m2.</t>
  </si>
  <si>
    <t xml:space="preserve">Dobava i ugradnja armaturno-izolacijskog elementa na spoju stupa i požarnog zida u prizemlju. Armaturno-izolacijski element sa šipkom za prijenos poprečne sile za pozitivnu i negativnu poprečnu silu. Glavni stupanj nosivosti VV1. Razred vatrootpornosti REI 120. Duljina jednog elementa 1000 mm, visina (širina) elementa 300 mm. </t>
  </si>
  <si>
    <r>
      <t xml:space="preserve">Dimenzija okvira prilagoditi koritu iz stavke </t>
    </r>
    <r>
      <rPr>
        <b/>
        <sz val="9"/>
        <rFont val="Calibri"/>
        <family val="2"/>
      </rPr>
      <t>B.9.13.</t>
    </r>
    <r>
      <rPr>
        <sz val="9"/>
        <rFont val="Calibri"/>
        <family val="2"/>
      </rPr>
      <t xml:space="preserve"> Debljina stijenke cca. 5 cm. Spojiti na odvod prema projektu vodoopskrbe i odvodnje.
Sve ostalo prema shemi i radioničkom nacrtu, kojeg izrađuje izvođač.</t>
    </r>
  </si>
  <si>
    <t>Dobava materijala i izrada sustava poda kata. Sustav se izvodi postavom OSB ploča debljine 2,4 cm preko drvene konstrukcije na gumene podloške. Preko OSB ploča postavljaju se tvrde ploče mineralne vune u dva sloja tvrde 2x5 cm. Preko mineralne vune postavlja se razdjelna PE folija i OSB ploče debljine 2,4 cm, u dva sloja s međusobno okomitim spojevima. Sve ostalo kao u prethodnoj stavci.</t>
  </si>
  <si>
    <t>Dobava i postava drvenih kontra letvi 8x5 cm preko položenih OSB ploča. Sve površine drvenih rogova se premazuju zaštitnim premazima za drvo s fungiciodno insekticidnim svojstvom, na bazi kombinacije alkidnih smola, fungicidnih i insekticidnih supstanci, te dodataka.
Postava hidroizolacijske membrane (vodonepropusna paropropusna membrana).
U cijenu i obračun se uključuje kompletan sadržaj za dovršenje (sidreni vijci, limovi za ojačanje, spojna sredstva, obrada, premaz i dr.).</t>
  </si>
  <si>
    <t>Dobava materijala i izrada opšava podgleda strehe iznad terasa brodskim podom od smrekovog drva debljine 2,4 cm I klase. Završna obrada brodskog poda je bajcanje u tonu po izboru projektanta. Sve izvesti prema detalju i u dogovoru s projektantom. U cijenu i obračun se uključuje kompletan sadržaj za dovršenje (sidreni vijci, limovi za ojačanje, spojna sredstva, obrada, premaz i dr.).</t>
  </si>
  <si>
    <t>Dobava i ugradnja višeslojne sintetičke hidroizolacijske membrane, ojačane poliesterom, za usporenje plamena. Vanjsko ispitivanje na požar prema ENV 1187, klasificirano prema EN 13501-5, BROOF (t1) ili jednakovrijedno. Izvoditi prema uputama proizvođaća.</t>
  </si>
  <si>
    <t>* količine vode 2 l/m2/min
* propustljivost zraka 1-9,9 m3/h pri razlici
pritiska 10-300 Pa ili izražena koeficijentom manjim od 0,25, te ukupno treba biti ocijenjena s C kategorijom kvalitete.
* svi spojevi trebaju biti bez deformacija pri
koncentriranom opterećenju (sili) od 1 kN
* najveći prolaz topline 1,24 W/m2°K
* otpornost na buku najmanje 32 dB, bazen 42 dB, po kriteriju DIN 4109.
Ugradnja se vrši po principu RAL ugradnje, brtvljenjem i zaptivanjem, te ugradnjom kutnih lajsni, a sve usklađeno s ostalim radovima. Na spoju s drvenom konstrukcijom, ugraditi toplinsku izolaciju za prekid "hladnog mosta". Izvoditelj treba predočiti vlastiti prijedlog radioničkih detalja.</t>
  </si>
  <si>
    <t xml:space="preserve">Karakteristike traženog sistema:
-toplinska klasa materijala, RMG 1.1 DIN 4108, Uf=ca 1.8 W/m2K ili jednakovrijedno
-zrakopropusnost DIN EN ISO 12152 ili jednakovrijedno,
-vodonepropusnost DIN EN ISO 12154 ili jednakovrijedno
-proračun Uw koeficijenta DIN EN ISO 10077-1, EN 13947:2006 ili jednakovrijedno
-protuprovalnost DIN V ENV 1627 ili jednakovrijedno
-otpornost na udar vjetra EN 13116 ili jednakovrijedno
-mehanička otpornost na udar EN 14019 ili jednakovrijedno
-površinska obrada DIN 17611 ili jednakovrijedno
-kontrola kvalitete DIN EN ISO 9001 ili jednakovrijedno
-smjernice TRAV EN 12600 ili jednakovrijedno
-opća norma za ovješ. fasade EN 13830 ili jednakovrijedno
- materijal DIN EN 10027: S235JRG2 (RSt 37-2) ili jednakovrijedno
</t>
  </si>
  <si>
    <t>Dobava, izrada i ugradnja krovnog ostakljenja u aluminijskom fasadnom sistemu s prekidom toplinskog mosta, sistem, prema shemi i detalju. Stakleni krov se postavlja preko drvenih rogova dimenzija 14x18 cm.</t>
  </si>
  <si>
    <t xml:space="preserve">Oštri rubovi profila!
Dimenzije polja (osna dimenzija) - 800 x 2850 mm. Podjela prema shemi. 
Radionički nacrt izvezen u jednom tiskanom primjerku i u PDF formatu, na prijenosnom mediju, koji je potvrđen od strane glavnog projektanta. </t>
  </si>
  <si>
    <t>Sve izvesti prema shemama i u dogovoru s projektantom.
* Unutarnje sjenilo na elektropogon uključeno u cijenu.</t>
  </si>
  <si>
    <t>B.4.18.</t>
  </si>
  <si>
    <t>Ugradba građevne stolarije izvodi se suhom montažom.
Svi stolarski radovi moraju biti izvedeni prema radioničkim nacrtima izrađenim temeljem troškovnika, shema i projektantskih detalja. Cijenu izrade radioničkih nacrta uključiti u jedinične cijene.
Radioničke nacrte izvezesti u jednom tiskanom primjerku i u PDF format na prijenosnom mediju, a prije početka izvedbe će ih potpisom ovjeriti glavni projektant .
Sva vrata okovati cilindar petljama,usadnim bravama s ključem. Vidljivi okov po izboru projektanta, montaža uključena u cijenu.
Svi vanjske stijene, vrata i prozori će se izraditi odsmrekovog drva I klase, sa završnom obradom poliuretanskim lakom u boji po izboru projektanta. Prijeklop krila i okvira treba biti sa tri kontaktne površine i s brtvilom.
Ustakljenje je troslojno izo staklo s Low-E premazom i ispunom inertnim plinom. Unutarnje nedostupne površine trebaju biti potpuno očišćene. Utor stakla treba biti potpuno ispunjen trajnoelastičnim kitom. Okov treba biti kvalitetan i funkcionalan, prilagođen potrebama i od postojanog materijala.
Okov treba biti provjereni sustav, te stoga prije proizvodnje treba dobiti suglasnost projektanta. Finalno proizvedeni elementi trebaju prije ugradnje biti ispitani (po tri uzorka iz serije) i zadovoljiti slijedeće bitne tehničke uvjete kvalitete.
* po kriterijima standarda D.E8.193 i D.E8.235 ili jednakovrijedno
* vodotijesnost na pritisak od 300 Pa</t>
  </si>
  <si>
    <t>Izrada, dobava i montaža punih jednokrilnih zaokretnih vrata vatrootpornoti 30 min trapeznog oblika. Vrata se izrađuju od suhog smrekovog drva max vlažnosti 18% impregniranog sredstvima protiv nametnika. Okov prema odabiru projektanta. Završna obrada krila i dovratnika je bojanje uljnom bojom u tonu po izboru projektanta. Ostakljenje dvostrukim izo staklom. Na vratno krilo postaviti okapnicu. Donji dio vrata do visine cca 30 cm opšiven plastificiranim aluminijskim limom.
Stavka obuhvaća izmjeru na licu mjesta, izradu radioničkih nacrta, izvezenih jednom tiskanom primjerku i u PDF formatu na prijenosnom mediju, nabavu materijala, izradu vrata u radionici do pune gotovosti, dovoz na gradilište i montažu.
* jednokrilna vrata, lijevo otvaranje u zidarskom otvoru 110x188-299 cm.</t>
  </si>
  <si>
    <t>Stavku provjeriti s troškovnikom opreme.</t>
  </si>
  <si>
    <r>
      <t xml:space="preserve">Izrada, dobava i montaža vruće pocinčane čelične konstrukcije rampe sa terena do kata objekta prema statičkom proračunu i radioničkim detaljima, koje izrađuje izvođač.
Konstrukcija se sastoji od okvira od čeličnih HEA 200 profila, koji se međusobno povezuju kvadratnim profilima 100x100x5 mm. Okvir se pričvršćuje na armiranobetonsku gredu iznad prizemlja. Preko čeličnog okvira se postavlja TV lim sa uzorkom suze, kvaliteta: S235JR, norma: EN 10025 ili jednakovrijedno, tolerancija dimenzije: EN 10051 ili jednakovrijedno. Debljina lima 5/6 mm. Uz rampu se obostrano izvodi ograda prema shemi. Ispuna ograde mrežom od nehrđajućeg čelika, od  visokokvalitetne žičane užadi SS 304, 304L, 316, 316L i prstenova od nehrđajućeg čelika.
Sve izvesti prema shemama, detaljima i u dogovoru s projektantom. Visina penjanja je cca 70 cm.
</t>
    </r>
    <r>
      <rPr>
        <b/>
        <sz val="9"/>
        <rFont val="Calibri"/>
        <family val="2"/>
      </rPr>
      <t>vidi : shemu 1 bravarskih stavki</t>
    </r>
  </si>
  <si>
    <t>U cijeni su obuhvaćeni svi dokazi kvalitete za materijale i postupke.
Stubište se izvodi od nosivih IPE 200 nosača koji se oslanjaju na međukatnu konstrukciju kata i potkrovlja. Gazišta i čela se izvode od TV lima sa uzorkom suze, kvaliteta: S235JR, norma: EN 10025 ili jednakovrijedno, tolerancija dimenzije: EN 10051 ili jednakovrijedno. Debljina lima 5/6 mm. Na tetive se s vanjske strane pričvršćuje ograda od vruće cinčanih L-profila 50x50x5 mm.  Između vertikalnih stupova ispuna ograde mrežom od nehrđajućeg čelika, od  visokokvalitetne žičane užadi SS 304, 304L, 316, 316L i prstenova od nehrđajućeg čelika.</t>
  </si>
  <si>
    <t>Izrada, dobava i montaža ograde unutarnjeg četverokrakog stubišta. Ograda se izvodi od vruće cinčane čelične konstrukcije (stupovi i horizontale) koji se učvršćuju bočno na stubišni krak. Preko horizontala se učvršćuju drvene vertikalne letvice vijcima s ukrasnom glavom. Letvice su dimenzija 50x50 mm. Rukohvat je pocinčani ČN profil Ø 30 mm. Sve izvesti prema shemi i u dogovoru s projektantom. 
Visina ograde je 110 cm.</t>
  </si>
  <si>
    <t>Izrada, dobava i montaža ograde terasa. Ograda se izvodi od vruće cinčane čelične konstrukcije (stupovi i horizontale) od čeličnih L profila 50x50x5 mm, koji se učvršćuju odozgo na podnu konstrukciju. Preko horizontala se učvršćuju drvene vertikalne letvice vijcima s ukrasnom glavom. Letvice su dimenzija 50x50 mm. Rukohvat je drvena letvica 90x70 mm horizontalno postavljena. Sve izvesti prema shemi i u dogovoru s projektantom. Završna obrada je lakiranje drva bezbojnom lazurom.
Visina ograde je 110 cm.</t>
  </si>
  <si>
    <t>Izrada, dobava i montaža ograde na potpornom zidu prema podrumu. Ograda se izvodi od vruće cinčane čelične konstrukcije (stupovi i horizontale) od čeličnih profila 50x50x5 mm, koji se učvršćuju odozgo na podnu konstrukciju. Između vertikalnih stupova  ugrađuje se mreža od nehrđajućeg čelika, od  visokokvalitetne žičane užadi SS 304, 304L, 316, 316L i prstenova od nehrđajućeg čelika. Sve izvesti prema shemi i u dogovoru s projektantom. 
Visina ograde je 110 cm.</t>
  </si>
  <si>
    <t>Izrada, dobava i montaža rukohvata na zidovima oko doma. Izvodi se od vruće cinčanih čeličnih profila 50x50x5 mm (stupovi i horizontale) koji se učvršćuju odozgo na podnu konstrukciju. Stupovi su na maksimalnom razmaku od 190 cm. Sve izvesti prema shemi i u dogovoru s projektantom. 
Visina ograde je 110 cm.</t>
  </si>
  <si>
    <t>Izrada, dobava i montaža rukohvata na zidovima oko doma. Izvodi se od vruće cinčanih čeličnih profila 50x50x5 mm koji se učvršćuju na vanjske stepenice. Sve izvesti prema shemi i u dogovoru s projektantom. 
Visina rukohvata je 110 cm.</t>
  </si>
  <si>
    <t>Izrada, dobava i ugradnja jednodijelne ventilacijske usisne rešetke. Rešetka se sastoji od okvira od vruće cinčanih čeličnih profila veličine 560x800 mm ispunjenog Z- lamelama 50x2 mm postavljenih tako da onemogućuju ulaz oborinskih voda. S unutarnje strane treba postaviti zaštitnu mrežu protiv ptica i insekata.
Sve izvesti prema radioničkom nacrtu izrađen od strane izvođača i u dogovoru s projektantom.</t>
  </si>
  <si>
    <t xml:space="preserve">Izrada, dobava i ugradnja vratnog krila od vruće cinčanog ČN lima veličine 100x80 cm, debljine 2 mm, s otvorom za očitanje stanja, na okviru od vruće cinčanih L-profila 50x50x5 mm usidrenom u zid, ugrađena preko ormarića za struju na fasadi zgrade. U cijenu uračunati okov (bez brave) i sav završni materijal.
Sve izvesti prema radioničkom nacrtu izrađen od strane izvođača i u dogovoru s projektantom.
</t>
  </si>
  <si>
    <t xml:space="preserve">Izrada, dobava i montaža okvira za rešetku i rešetke za čišćenje obuće. Okvir se izvodi od vruće cinčanih čeličnih L-profila 30x30x3 mm sa konzolicama od plosnog željeza 22/2 mm za ugradbu. Rešetka se izvodi od plosnih profila 20x3 mm postavljenih horizontalno i vertikalno na razmaku od 2 cm.
Sve izvesti prema radioničkom nacrtu izrađen od strane izvođača i u dogovoru s projektantom.
</t>
  </si>
  <si>
    <r>
      <t xml:space="preserve">Ugradnja u prethodno fabricirano betonsko korito, vidi stavka </t>
    </r>
    <r>
      <rPr>
        <b/>
        <sz val="9"/>
        <rFont val="Calibri"/>
        <family val="2"/>
      </rPr>
      <t>A.4.30.</t>
    </r>
    <r>
      <rPr>
        <sz val="9"/>
        <rFont val="Calibri"/>
        <family val="2"/>
      </rPr>
      <t xml:space="preserve">
Sve ostalo prema shemi i radioničkom nacrtu, kojeg izrađuje izvođač.</t>
    </r>
  </si>
  <si>
    <t>Dobava i postava držača za 3 (tri) zastave. Izvedba od vruće cinčanog čelika. 
Sve izvesti prema radioničkom nacrtu izrađen od strane izvođača i u dogovoru s projektantom.</t>
  </si>
  <si>
    <t>Izrada, dobava i ugradnja čeličnih stepenica u podrumu od čelika od vruće cinčanih elemenata (ČN profila 50x50x4 mm, te platforma 100 x 100 cm od TV lima sa uzorkom suze, kvaliteta: S235JR, norma: EN 10025 ili jednakovrijedno, tolerancija dimenzije: EN 10051 ili jednakovrijedno, debljina lima 5/6 mm, te dva gazišta širine 1000 mm, dubine 250 mm). Od vruće cinčanog čelika. Uključivši sav potreban materijal i rad.
Sve izvesti prema radioničkom nacrtu izrađen od strane izvođača i u dogovoru s projektantom.</t>
  </si>
  <si>
    <t>Otvaranje lijevo</t>
  </si>
  <si>
    <t xml:space="preserve">Sve vidljive površine trebaju biti obrađene prema troškovniku, ravne bez tragova piljenja, brazda ili bilo kakvog oštećenja.
Obveza izvođača je pregled lokacije na kojoj izvodi radove, pregled elemenata koji se eventualno zamjenjuju te ukoliko je što u troškovniku nejasno, treba tražiti dodatno objašnjenje od projektanta prije davanja ponude jer se kasniji prigovori neće uzeti u obzir niti priznati bilo kakva razlika za naplatu. Obračun prema stvarno izvedenim radovima.
Organizacija privremenog deponija kamena na prostoru kojim gospodari investitor.
Jedinična cijena mora sadržavati:
- sav potreban materijal; kamene ploče i ljepilo sa atestima
- sav potreban rad
- transportne troškove
- zaštita ugrađenih elemenata
- čišćenje prostora u tijeku rada i po završnom radu sa uklanjanjem otpadaka
- popravak štete učinjene na svojim ili tuđim radovima pri radu iz nepažnje
- razrada detalja te predočenje uzoraka i detalja projektantu i investitoru
- toniranje novih kamenih elemenata na pročeljima u ton po uzoru na postojeće
Prije nabave kamena izvođač je dužan prezentirati uzorke pojedine obrade kamena
na uvid i odobrenje projektantu.
Napomena: Sva opločenja se izvode prema dogovoru s projektantom. </t>
  </si>
  <si>
    <t>B.14.5.</t>
  </si>
  <si>
    <t>B.14.12.</t>
  </si>
  <si>
    <t>B.14.13.</t>
  </si>
  <si>
    <t>B.14.14.</t>
  </si>
  <si>
    <t>B.14.15.</t>
  </si>
  <si>
    <t>Dobava, srezivanje i postavljanje drvene konstrukcije vidikovca. Konstrukcija se sastoji od lameliranih stupova, greda i kosnika koje se postavljaju na armiranobetonsku temeljnu ploču. Lamelirane nosače sidriti u armiranobetonsku gredu vijcima M12.
Sve površine drvenih elemenata se premazuju zaštitnim premazima za drvo s fungiciodno insekticidnim svojstvom, na bazi kombinacije alkidnih smola, fungicidnih i insekticidnih supstanci, te dodataka.
U cijenu i obračun se uključuje kompletan sadržaj za dovršenje (sidreni vijci, limovi za ojačanje, spojna sredstva, obrada, lazurni bezbojni premaz na bazi vode i dr.).
Izvođač je dužan izraditi radioničke nacrte konstrukcije, izvezenih u jednom tiskanom primjerku i u PDF formatu na prijenosnom mediju i dati na odobrenje projektantu i nadzornom inženjeru.</t>
  </si>
  <si>
    <t>Dobava, srezivanje i postavljanje drvene konstrukcije natkrivenog prostora za boulder i spremište za drva. Konstrukcija se sastoji od drvenih stupova od smrekova drva dimenzija 16x16 cm koji se preko papuča oslanjaju na armiranobetonsku temeljnu ploču. Na lamelirani nosač i sekundarnu konstrukciju potkrovlja i kata oslanjaju se drveni rogovi 14x20 cm na razmaku od cca 80 cm.
Sve površine drvenih elemenata se premazuju zaštitnim premazima za drvo s fungiciodno insekticidnim svojstvom, na bazi kombinacije alkidnih smola, fungicidnih i insekticidnih supstanci, te dodataka.
U cijenu i obračun se uključuje kompletan sadržaj za dovršenje (sidreni vijci, limovi za ojačanje, spojna sredstva, obrada, lazurni bezbojni premaz na bazi vode i dr.).
Sve izvesti prema nacrtu, detaljima i u dogovoru s projektantom.</t>
  </si>
  <si>
    <t>Dobava, srezivanje i postavljanje drvene konstrukcije kosog jednostrešnog krovišta iznad bouldera. Konstrukcija se sastoji od podrožnica 16x18 cm koja se oslanja na drvene stupove. Na postavljene podrožnice oslanjaju se drveni rogovi 12x16 cm na razmaku od cca 80 cm.
Sve površine drvenih elemenata se premazuju zaštitnim premazima za drvo s fungiciodno insekticidnim svojstvom, na bazi kombinacije alkidnih smola, fungicidnih i insekticidnih supstanci, te dodataka.
U cijenu i obračun se uključuje kompletan sadržaj za dovršenje (sidreni vijci, limovi za ojačanje, spojna sredstva, obrada, lazurni bezbojni premaz na bazi vode i dr.).</t>
  </si>
  <si>
    <t>Nabava materijala, izrada, transport i montaža čelične konstrukcije vidikovca sa  dvokrakim stubištem sa međupodestima. Spajanje elemenata konstrukcije vrši se principijelno vijčanim vezama. Konstrukcija se izrađuje prema važećim propisima za čelične konstrukcije. Elementi čelične konstrukcije izrađuju se od vruće cinčanog čelika u skladu sa specifikacijom materijala priloženom uz izvedbene nacrte. Limovi i puni profili od WNR 1.4404. ili jednakovrijedno, obračun po specifikaciji u radioničkoj dokumentaciji (obračunska knjiga). U cijenu treba uključiti svu potrebnu pripremu za izradu i montažu (troškove gradilišta, skele, alate, pomoćni materijal). Izvoditelj je dužan provoditi kontrolu izrade i montaže prema tehničkim propisima i normama i voditi propisanu evidenciju toka radova prema važećim zakonima. Prije početka radova izvoditelj mora prema izvedbenom projektu izraditi statičku provjeru i radionički nacrt izrade i montaže čelične konstrukcije prema pravilniku za montažu čeličnih nosivih konstrukcija i program kontrole kvalitete prema programu kontrole i dokazu kvalitete u glavnom projektu.</t>
  </si>
  <si>
    <t>U cijeni su obuhvaćeni svi dokazi kvalitete za materijale i postupke.
Stubište se izvodi od nosivih IPE 200 nosača koji se oslanjaju na međukatnu konstrukciju kata i potkrovlja. Gazišta i čela se izvode od TV lima sa uzorkom suze, kvaliteta: S235JR, norma: EN 10025 ili jednakovrijedno, tolerancija dimenzije: EN 10051 ili jednakovrijedno, debljina lima 5/6 mm. Ograda se izvodi od vruće cinčane čelične konstrukcije (stupovi i horizontale) od čeličnih profila 50x50x5 mm, koji se učvršćuju odozgo na podnu konstrukciju. Između vertikalnih stupova ugrađuje se mreža od nehrđajućeg čelika, od  visokokvalitetne žičane užadi SS 304, 304L, 316, 316L i prstenova od nehrđajućeg čelika.</t>
  </si>
  <si>
    <t>Dobava i ugradnja tipskih upuštenih poklopaca od pocinčanog čelika s okvirom na vodospremi. Poklopci će se naknadno opločiti betonskom oblogom kao ostatak poda. Veličina poklopce 600x600 mm, debljina obloge do 65 mm. Poklopac je vodotijesan i plinotijesan. Razreda je opterećenja do B125 (nosivost 150 kN).</t>
  </si>
  <si>
    <t>Izrada, dobava postava betonskih prefabrikata u obliku valjaka, promjera 50, visine 50 cm, debljina stijenke oko 6 cm te promjera 100 cm, visine 50 cm, debljine stijenke oko 6 cm, površinske obrade kao kulir, s grubim sitnim agregatom. Armirano vlakima. Postava na posteljicu od šljunka.</t>
  </si>
  <si>
    <t>Legura:EN AW 3005 ili EN AW 3105 prema EN 573-3 ili jednakovrijedno
Klasa reakcije na požar: A1 prema EN 13501-1 ili jednakovrijedno
Ponašanje u slučaju izloženosti vatri izvana: bez ispitivanja u skladu s EN 13501-5 ili odlukom 2000/553/EZ ili jednakovrijedno
UV otpornost prema ÖNORM EN 13523-10:2017-04-01 ili jednakovrijedno
Deklaracija proizvoda za okoliš prema ISO 14025 i EN 15804: EPD-GDA-20130260-IBG1-DE ili jednakovrijedno
Referentni vijek trajanja prema ekološkoj deklaraciji proizvoda: = 70 godina.
Ako se hladno oblikovani aluminijski lim koristi za namjeravanu svrhu, nepoznati su odnosi učinaka na okoliš i zdravlje.</t>
  </si>
  <si>
    <t>B.4.19.</t>
  </si>
  <si>
    <t>B.4.20.</t>
  </si>
  <si>
    <t xml:space="preserve">Uključiti aluminijski dilatacijski C profil između keramike i AB ploče terasa, h= 50 mm, te alumijski početni profil na dnu. Brtviti kontakt s podom visokokvalitetnim trajnoelastičnim kitom. </t>
  </si>
  <si>
    <t>d) aluminijski početni L profil 20 x 50 mm</t>
  </si>
  <si>
    <t>B.14.2.</t>
  </si>
  <si>
    <r>
      <t xml:space="preserve">Široki strojni iskop tla A </t>
    </r>
    <r>
      <rPr>
        <sz val="9"/>
        <rFont val="Calibri"/>
        <family val="2"/>
        <charset val="238"/>
      </rPr>
      <t xml:space="preserve">kategorije </t>
    </r>
    <r>
      <rPr>
        <sz val="9"/>
        <rFont val="Calibri"/>
        <family val="2"/>
      </rPr>
      <t>za dovođenje terena na projektirane visine sa pravilnim profiliranjem stranica iskopa. Iskopani materijal se utovara u kamion, odvozi i odlaže na gradilišnu deponiju udaljenu do 30 km.
Obračun po m3 stvarno iskopanih količina u sraslom stanju.</t>
    </r>
  </si>
  <si>
    <r>
      <t xml:space="preserve">Strojni iskop tla A </t>
    </r>
    <r>
      <rPr>
        <sz val="9"/>
        <rFont val="Calibri"/>
        <family val="2"/>
        <charset val="238"/>
      </rPr>
      <t xml:space="preserve">kategorije </t>
    </r>
    <r>
      <rPr>
        <sz val="9"/>
        <rFont val="Calibri"/>
        <family val="2"/>
      </rPr>
      <t>za temeljne trake ispod potpornih i upornih zidova sa pravilnim profiliranjem stranica iskopa.
Iskopani materijal se odlaže na gradilištu i koristi za kasnija zatrpavanja i nasipavanja.
Obračun po m3 stvarno iskopanih količina u sraslom stanju.</t>
    </r>
  </si>
  <si>
    <r>
      <t>Armirano betonska ploča ispod terasa na tlu, debljine 15 cm u potrebnoj rubnoj oplati. Gornja površina ploče treba biti izvedena u padu prema odvodnim rešetkama i rubu prilaza - vidi stavka</t>
    </r>
    <r>
      <rPr>
        <b/>
        <sz val="9"/>
        <rFont val="Calibri"/>
        <family val="2"/>
      </rPr>
      <t xml:space="preserve"> A.4.25.</t>
    </r>
    <r>
      <rPr>
        <sz val="9"/>
        <rFont val="Calibri"/>
        <family val="2"/>
      </rPr>
      <t xml:space="preserve"> Rad obuhvaća: izradu oplate, dobavu i postavljanje armature, kvašenje oplate, ubacivanje betona i zbijanje (vibriranje) sve dok se voda ne pojavi na površini.
Obrada gornje plohe kao kulir, ubacivanje kamenog agregata malog zrna, i kasnije ispiranje površine. Dilatranje površine prema potrebi na svakih 9 m2.</t>
    </r>
  </si>
  <si>
    <r>
      <t xml:space="preserve">Izrada, dobava i ugradnja vanjskih prozorskih klupčica u podrumu od kulira, s grubim agregatom, debljine 5 cm, armirano. Izrada u radionici. Dubina klupčice </t>
    </r>
    <r>
      <rPr>
        <sz val="9"/>
        <rFont val="Calibri"/>
        <family val="2"/>
        <charset val="238"/>
      </rPr>
      <t>52</t>
    </r>
    <r>
      <rPr>
        <sz val="9"/>
        <rFont val="Calibri"/>
        <family val="2"/>
      </rPr>
      <t xml:space="preserve"> cm.</t>
    </r>
  </si>
  <si>
    <r>
      <t xml:space="preserve">Izrada mikroarmiranog cem. estriha MM-10 kao plivajućeg poda u sloju debljine 6 cm preko položenih cijevi podnog grijanja na tipskoj podlozi od EPS-a na podovima u prizemlju. Estrih se armira </t>
    </r>
    <r>
      <rPr>
        <strike/>
        <sz val="9"/>
        <rFont val="Calibri"/>
        <family val="2"/>
        <charset val="238"/>
      </rPr>
      <t>čeličnim</t>
    </r>
    <r>
      <rPr>
        <sz val="9"/>
        <rFont val="Calibri"/>
        <family val="2"/>
      </rPr>
      <t xml:space="preserve"> vlaknima.</t>
    </r>
  </si>
  <si>
    <r>
      <t>Izrada armiranog cem. estriha MM-10 kao plivajućeg poda u sloju debljine 5 cm preko položenih ploča mineralne vune i hidroizolacijske folije</t>
    </r>
    <r>
      <rPr>
        <strike/>
        <sz val="9"/>
        <rFont val="Calibri"/>
        <family val="2"/>
        <charset val="238"/>
      </rPr>
      <t xml:space="preserve"> na podu kata i potkrovlja</t>
    </r>
    <r>
      <rPr>
        <sz val="9"/>
        <rFont val="Calibri"/>
        <family val="2"/>
      </rPr>
      <t>. Estrih se armira vlaknima.</t>
    </r>
  </si>
  <si>
    <r>
      <t xml:space="preserve">Dobava materijala i izrada sustava vanjskog zabatnog zida. Sustav se izvodi postavom </t>
    </r>
    <r>
      <rPr>
        <sz val="9"/>
        <rFont val="Calibri"/>
        <family val="2"/>
        <charset val="238"/>
      </rPr>
      <t xml:space="preserve">drvenih smrekovih dasaka debljine 2,0 cm na pero i utor na drvenu potkonstrukciju (vertikalna postava). </t>
    </r>
    <r>
      <rPr>
        <sz val="9"/>
        <rFont val="Calibri"/>
        <family val="2"/>
      </rPr>
      <t xml:space="preserve">Preko drvene potkonstrukcije postavljaju se ploče mineralne vune debljine 4 cm i PE folija s prelijepljenim preklopima i zabrtvljenim prodorima. Između konstrukcije zida postavlja se mineralna vuna debljine 16 cm. Na konstrukciju se postavlja </t>
    </r>
    <r>
      <rPr>
        <sz val="9"/>
        <rFont val="Calibri"/>
        <family val="2"/>
        <charset val="238"/>
      </rPr>
      <t xml:space="preserve">OSB ploča </t>
    </r>
    <r>
      <rPr>
        <sz val="9"/>
        <rFont val="Calibri"/>
        <family val="2"/>
      </rPr>
      <t xml:space="preserve">debljine 2,0 cm na koju se postavlja potkonstrukcija za ploče mineralne vune kaširane voalom. Završna obrada zida s vanjske strane su vertikalne daske od smrekovine  I klase </t>
    </r>
    <r>
      <rPr>
        <sz val="9"/>
        <rFont val="Calibri"/>
        <family val="2"/>
        <charset val="238"/>
      </rPr>
      <t xml:space="preserve">ili jednakovrijedne kvalitete </t>
    </r>
    <r>
      <rPr>
        <sz val="9"/>
        <rFont val="Calibri"/>
        <family val="2"/>
      </rPr>
      <t>na potkonstrukciji . Sve izvesti prema detalju i u dogovoru s projektantom. U cijenu i obračun se uključuje kompletan sadržaj za dovršenje (sidreni vijci, limovi za ojačanje, spojna sredstva, obrada, premaz i dr.).</t>
    </r>
  </si>
  <si>
    <r>
      <t xml:space="preserve">Dobava i postava toplinske izolacije ispod temeljne ploče od XPS ploča (40 kg/m3, </t>
    </r>
    <r>
      <rPr>
        <sz val="9"/>
        <rFont val="Aptos Narrow"/>
        <family val="2"/>
      </rPr>
      <t>λ≤</t>
    </r>
    <r>
      <rPr>
        <sz val="9"/>
        <rFont val="Calibri"/>
        <family val="2"/>
      </rPr>
      <t xml:space="preserve"> 0.037 W/m2K, visoke tlačne čvrstoće </t>
    </r>
    <r>
      <rPr>
        <sz val="9"/>
        <rFont val="Aptos Narrow"/>
        <family val="2"/>
      </rPr>
      <t>δ</t>
    </r>
    <r>
      <rPr>
        <sz val="9"/>
        <rFont val="Calibri"/>
        <family val="2"/>
      </rPr>
      <t>10%def = 700 kPa.</t>
    </r>
  </si>
  <si>
    <r>
      <t xml:space="preserve">Dobava i postava toplinske izolacije kosog krova od toplinsko-izolacijskih ploča, obostrano kaširanih mineralnim flisem, između postavljenih rogova. Debljina ploča 14 cm, koeficijent toplinske provodljivosti </t>
    </r>
    <r>
      <rPr>
        <sz val="9"/>
        <rFont val="Aptos Narrow"/>
        <family val="2"/>
      </rPr>
      <t>λ= 0.024 W/mK, tlačne čvrstoće ≥ 100 kPa. Ugradnja s parnom branom s unutarnje strane.</t>
    </r>
  </si>
  <si>
    <r>
      <t xml:space="preserve">Dobava i izrada gornjeg završetka krova (sljemena) u </t>
    </r>
    <r>
      <rPr>
        <sz val="9"/>
        <rFont val="Calibri"/>
        <family val="2"/>
        <charset val="238"/>
      </rPr>
      <t>ventiliranoj</t>
    </r>
    <r>
      <rPr>
        <sz val="9"/>
        <rFont val="Calibri"/>
        <family val="2"/>
      </rPr>
      <t xml:space="preserve"> izvedbi. Stavka uključuje: izvedbu rubnu-okapnu aluminijsku traku r.š. 20 cm debljine 1,00 mm i kant lajsnu od alu lima r.š. 25cm debljine 0,70 mm. Pojedini elementi maksimalne duljine 2 m spajaju se falcanjem. Boje i kvalitete materijala kao i osnovna pozicija. U cijenu uključiti eventualno potrebne pomoćne i spojne materijale, montirati stručno, vjetrootporno i s omogućenim dilatacijskim radom. Sve prema uputama proizvođaća i detalja.</t>
    </r>
  </si>
  <si>
    <r>
      <t xml:space="preserve">Dobava i ugradanja krovnih žljebova, polukružne izvedbe s povijenim vanjskim i unutarnjim rubom, veličina R.Š 400mm, (dimenzija slična EN 612 ili jednakovrijedno) debljina 0,70 mm, </t>
    </r>
    <r>
      <rPr>
        <sz val="9"/>
        <rFont val="Calibri"/>
        <family val="2"/>
        <charset val="238"/>
      </rPr>
      <t>boja kao krov</t>
    </r>
    <r>
      <rPr>
        <sz val="9"/>
        <rFont val="Calibri"/>
        <family val="2"/>
      </rPr>
      <t>, s potrebnim kukama iz aluminijske legure otporne na savijanje i zaokretanje, pričvrstiti na svakoj roženici ili pogodnoj strešnoj dasci, dodatak sredstva za brtvljenje i lijepljenje, te odgovarajućih alu patentnih zakovica (poštivati propise proizvođača!), stručno montirati u padu, uklj. upuštanje žljebnih kuka.</t>
    </r>
  </si>
  <si>
    <r>
      <rPr>
        <b/>
        <sz val="9"/>
        <rFont val="Calibri"/>
        <family val="2"/>
      </rPr>
      <t>ALUMINIJSKA STOLARIJA</t>
    </r>
    <r>
      <rPr>
        <sz val="9"/>
        <rFont val="Calibri"/>
        <family val="2"/>
      </rPr>
      <t xml:space="preserve">
Dobava i ugradnja prozora i vrata od AL višekomornih profila sa metalnim ojačanjem i minimalno dvije brtve. Profili sa prekinutim toplinskim mostom, ostakljeni trostrukim IZO-staklom + low-E. Obrada profila s oštrim rubovima, u prirodnoj boji aluminija.
U rad je uključena dobava i postava unutarnjeg skrina.
Izvođač AL stolarije će provjeriti poziciju i kvalitetu ugradnje kutije za rolete prije izrade pročelja, budući da nakon izvedbe pročelja neće biti mogući nikakvi ispravci kutija.
Radioničke nacrte AL stolarije izraditi prema shemama i detaljima ugradnje iz projekta , te riješiti sve detalje ugradnje mehanizma za rolete u kutiju, ugradnje poklopaca kutija roleta, kao i detalje spajanja na vanjsku i unutarnju klupčicu.
Radioničke nacrte će u okviru jedinične cijene izraditi dobavljač ALU stolarije, a potpisom ovjeriti projektant i nadzorni inženjer. Nacrte izvesti u jednom tiskanom primjerku i u PDF formatu, na prijenosnom mediju.
Finalno proizvedeni elementi trebaju prije ugradnje biti ispitani (po tri uzorka iz serije) i zadovoljiti slijedeće bitne tehničke uvjete kvalitete.
* po kriterijima standarda D.E8.193 i D.E8.235 ili jednakovrijedno
* vodotijesnost na pritisak od 300 Pa</t>
    </r>
  </si>
  <si>
    <r>
      <rPr>
        <b/>
        <sz val="9"/>
        <rFont val="Calibri"/>
        <family val="2"/>
        <charset val="238"/>
      </rPr>
      <t>OSTAKLJENI KROV</t>
    </r>
    <r>
      <rPr>
        <sz val="9"/>
        <rFont val="Calibri"/>
        <family val="2"/>
        <charset val="238"/>
      </rPr>
      <t xml:space="preserve">
Izrada, dobava i montaža višedijelne kontinuirane fasade do pune gotovosti u sustavu aluminijskih profila F 50, u prirodnoj boji aluminija, odabranom od projektanta građevine. 
Raster kontinuirane fasade vidljiv u pripadajućoj shemi.</t>
    </r>
  </si>
  <si>
    <r>
      <rPr>
        <b/>
        <sz val="9"/>
        <rFont val="Calibri"/>
        <family val="2"/>
        <charset val="238"/>
        <scheme val="minor"/>
      </rPr>
      <t>VRATA</t>
    </r>
    <r>
      <rPr>
        <sz val="9"/>
        <rFont val="Calibri"/>
        <family val="2"/>
        <charset val="238"/>
        <scheme val="minor"/>
      </rPr>
      <t xml:space="preserve">
Izrada dostava i montaža Al. zaokretnih vrata,  u sustavu profia sa prekinutim toplinskim mostom, u prirodnoj boji aluminija. Sve prema pripadnoj shemi. Profil dovratnika i krila obostrano u istoj ravnini. Brtvljenje i spajanje Al. vrata izvodi se prema sistemskim riješenjima propisanom od proizvođača sistema. 
</t>
    </r>
  </si>
  <si>
    <r>
      <rPr>
        <b/>
        <sz val="9"/>
        <rFont val="Calibri"/>
        <family val="2"/>
        <charset val="238"/>
        <scheme val="minor"/>
      </rPr>
      <t>PROZORI</t>
    </r>
    <r>
      <rPr>
        <sz val="9"/>
        <rFont val="Calibri"/>
        <family val="2"/>
        <charset val="238"/>
        <scheme val="minor"/>
      </rPr>
      <t xml:space="preserve">
Izrada, dobava i montaža do potpune gotovosti prozora u aluminijskom sustavu,  profili sa prekinutim toplinskim mostom, u prirodnoj boji aluminija, odabranom od projektanta građevine. Sve prema pripadnoj shemi. Brtvljenje i spajanje Al. prozora izvodi se prema sistemskim riješenjima propisanom od proizvođača sistema.  </t>
    </r>
  </si>
  <si>
    <r>
      <t xml:space="preserve">Izrada, doprema i montaža Alu višedijelne stijene na ulazu u potkrovlje vanjskim stubištem. U srednjem dijelu stijene su jednokrilna zaokretna vrata minimalne svijetle širine 100 cm. Okov prema odabiru projektanta. Izvesti u prirodnoj boji aluminija. 
</t>
    </r>
    <r>
      <rPr>
        <b/>
        <sz val="9"/>
        <rFont val="Calibri"/>
        <family val="2"/>
      </rPr>
      <t>Izvedba u dimonepropusnoj izvedbi.</t>
    </r>
    <r>
      <rPr>
        <sz val="9"/>
        <rFont val="Calibri"/>
        <family val="2"/>
      </rPr>
      <t xml:space="preserve">
Stavka obuhvaća izmjeru na licu mjesta, izradu radioničkih nacrta, izvezenih jednom tiskanom primjerku i u PDF formatu na prijenosnom mediju, nabavu materijala, izradu vrata u radionici do pune gotovosti, dovoz na gradilište i montažu.
* četverodijelna stijena u zidarskom otvoru 280x407 cm.</t>
    </r>
  </si>
  <si>
    <r>
      <t xml:space="preserve">Izrada, dobava i montaža jednodijelne Alu fiksne stijene vatrootpornosti 30 min. Ostakljenje troslojno izo staklo sa Low-e premazom i ispunom inertnim plinom. </t>
    </r>
    <r>
      <rPr>
        <sz val="9"/>
        <rFont val="Calibri"/>
        <family val="2"/>
        <charset val="238"/>
      </rPr>
      <t>Izvedeno u boji prirodnog aluminija.</t>
    </r>
    <r>
      <rPr>
        <sz val="9"/>
        <rFont val="Calibri"/>
        <family val="2"/>
      </rPr>
      <t xml:space="preserve">
Stavka obuhvaća izmjeru na licu mjesta, izradu radioničkih nacrta, izvezenih u jednom tiskanom primjerku i u PDF formatu na prijenosnom mediju, nabavu materijala, izradu vrata u radionici do pune gotovosti, dovoz na gradilište i montažu.
* jednodijelna fiksna stijena vatrootpornosti 30 min u zidarskom otvoru 200x218 cm.</t>
    </r>
  </si>
  <si>
    <r>
      <t xml:space="preserve">Dobava i montaža lake pregrade za WC kabne u muškom sanitarnom čvoru podruma. Pregrada se sastoji od prednjeg fiksnog dijela i zaokretnih vrata širine 90 cm. Bočno se postavlja fiksna pregrada koja dijeli kabine. Sve izvedeno od kompakt ploča d=13 mm montirane na plastificiranim metalnim nogicama visine 15 cm, uključivo okov: brave, brtve, te sav spojni i montažni materijal do pune gotovosti. Svi rubovi kompakt ploča završno obrađeni. Boja prema odabiru projektanta unutarnjeg uređenja.
</t>
    </r>
    <r>
      <rPr>
        <b/>
        <sz val="9"/>
        <rFont val="Calibri"/>
        <family val="2"/>
      </rPr>
      <t>U nacrtima označeno kao stavka 8.</t>
    </r>
  </si>
  <si>
    <r>
      <t xml:space="preserve">Dobava i montaža lake pregrade za WC kabne u ženskom sanitarnom čvoru podruma. Pregrada se sastoji od prednjeg fiksnog dijela i zaokretnih vrata širine 90 cm. Bočno se postavlja fiksna pregrada koja dijeli kabine. Sve izvedeno od kompakt ploča d=13 mm montirane na plastificiranim metalnim nogicama visine 15 cm, uključivo okov: brave, brtve, te sav spojni i montažni materijal do pune gotovosti. Svi rubovi kompakt ploča završno obrađeni. Boja prema odabiru projektanta unutarnjeg uređenja.
</t>
    </r>
    <r>
      <rPr>
        <b/>
        <sz val="9"/>
        <rFont val="Calibri"/>
        <family val="2"/>
      </rPr>
      <t>U nacrtima označeno kao stavka 9.</t>
    </r>
  </si>
  <si>
    <r>
      <t xml:space="preserve">Dobava i montaža lake pregrade za WC kabnu u sanitarijama na katu. Pregrada se sastoji od dvoja zaokretna vrata i fiksnih dijelova. Bočno se postavlja fiksna pregrada koja dijeli wc i tuš kabinu. Sve izvedeno od kompakt ploča d=13 mm montirane na plastificiranim metalnim nogicama visine 15 cm, uključivo okov: brave, brtve, te sav spojni i montažni materijal do pune gotovosti. Svi rubovi kompakt ploča završno obrađeni. Boja prema odabiru projektanta unutarnjeg uređenja.
</t>
    </r>
    <r>
      <rPr>
        <b/>
        <sz val="9"/>
        <rFont val="Calibri"/>
        <family val="2"/>
      </rPr>
      <t>U nacrtima označeno kao stavka 10 i 11.</t>
    </r>
  </si>
  <si>
    <r>
      <t xml:space="preserve">Dobava i montaža lake pregrade uz pisoar u sanitarijama na katu. Pregrada je fiksna Sve izvedeno od kompakt ploča d=13 mm montirane na plastificiranim metalnim nogicama visine 15 cm, uključivo okov: brave, brtve, te sav spojni i montažni materijal do pune gotovosti. Svi rubovi kompakt ploča završno obrađeni. Boja prema odabiru projektanta unutarnjeg uređenja.
</t>
    </r>
    <r>
      <rPr>
        <b/>
        <sz val="9"/>
        <rFont val="Calibri"/>
        <family val="2"/>
      </rPr>
      <t>U nacrtima označeno kao stavka 12.</t>
    </r>
  </si>
  <si>
    <r>
      <t xml:space="preserve">Dobava i izvedba zidne obloge od </t>
    </r>
    <r>
      <rPr>
        <sz val="9"/>
        <rFont val="Calibri"/>
        <family val="2"/>
        <charset val="238"/>
      </rPr>
      <t>drvenih smrekovih ili jednakovrijednih dasaka debljine 2,0 cm na pero i utor na drvenu potkonstrukciju (vertikalna postava)</t>
    </r>
    <r>
      <rPr>
        <sz val="9"/>
        <rFont val="Calibri"/>
        <family val="2"/>
      </rPr>
      <t>, obrada mat prozirnim lakom, sukladno uređenju interijera. Postava do pune visine prostorije. 
Stavku provjeriti s troškovnikom opreme.</t>
    </r>
  </si>
  <si>
    <r>
      <t xml:space="preserve">Dobava i izvedba obloga zidnih ploha u spavaonicama na katu </t>
    </r>
    <r>
      <rPr>
        <sz val="9"/>
        <rFont val="Calibri"/>
        <family val="2"/>
        <charset val="238"/>
      </rPr>
      <t>od drvenih smrekovih ili jednakovrijednih dasaka debljine 2,0 cm na pero i utor na drvenu potkonstrukciju (vertikalna postava).</t>
    </r>
    <r>
      <rPr>
        <sz val="9"/>
        <rFont val="Calibri"/>
        <family val="2"/>
      </rPr>
      <t xml:space="preserve"> Obrada mat prozirnim lakom, sve usklađeno s uređenjem interijera.</t>
    </r>
  </si>
  <si>
    <r>
      <t xml:space="preserve">Dobava i izvedba obloga stropova skošenih stropnih površina u spavaonicma na katu </t>
    </r>
    <r>
      <rPr>
        <sz val="9"/>
        <rFont val="Calibri"/>
        <family val="2"/>
        <charset val="238"/>
      </rPr>
      <t xml:space="preserve">od drvenih smrekovih ili jednakovrijednih dasaka debljine 2,0 cm na pero i utor na drvenu potkonstrukciju </t>
    </r>
    <r>
      <rPr>
        <sz val="9"/>
        <rFont val="Calibri"/>
        <family val="2"/>
      </rPr>
      <t>- ovjes na lamelirane nosače i rogove. Obrada mat prozinim lakom, sve usklađeno s uređenjem interijera.</t>
    </r>
  </si>
  <si>
    <r>
      <t>Izrada, dobava i montaža vruće cinčanog čeličnog transparentnog jednokrakog stubišta sa podestom. Spajanje elemenata konstrukcije vrši se principijelno vijčanim vezama. Konstrukcija se izrađuje pre</t>
    </r>
    <r>
      <rPr>
        <sz val="9"/>
        <rFont val="Calibri"/>
        <family val="2"/>
        <charset val="238"/>
      </rPr>
      <t>ma važećim propisima za čelične konstrukcije. Elementi čelične konstrukcije izrađuju se od čelika u skladu sa specifikacijom materijala priloženom uz izvedbene nacrte. Limovi i puni profili od WNR 1.4404. ili jednakovrijedno, obračun po specifikaciji u radioničkoj dokumentaciji (obračunska knjiga). U cijenu treba uključiti svu potrebnu pripremu za izradu i montažu (troškove gradilišta, skele, alate, pomoćni materijal). Izvoditelj je dužan provoditi kontrolu izrade i montaže prema tehničkim propisima i normama</t>
    </r>
    <r>
      <rPr>
        <sz val="9"/>
        <rFont val="Calibri"/>
        <family val="2"/>
      </rPr>
      <t xml:space="preserve"> i voditi propisanu evidenciju toka radova prema važećim zakonima. Prije početka radova izvoditelj mora izraditi tehnološki projekt izrade i montaže čelične konstrukcije prema pravilniku za montažu čeličnih nosivih konstrukcija i program kontrole kvalitete prema programu kontrole i dokazu kvalitete u glavnom projektu.</t>
    </r>
  </si>
  <si>
    <r>
      <t xml:space="preserve">Izvode se jedno stubište sa gazištima širine 28 cm i visine gazišta 19 cm. Visina penjanja je 3,20 m. Visina ograde je 1,10 m.
Sve izvesti prema shemama, detaljima i u dogovoru s projektantom do potpune gotovosti.
</t>
    </r>
    <r>
      <rPr>
        <b/>
        <sz val="9"/>
        <rFont val="Calibri"/>
        <family val="2"/>
      </rPr>
      <t>vidi : shemu 2 bravarskih stavki</t>
    </r>
  </si>
  <si>
    <r>
      <rPr>
        <b/>
        <sz val="9"/>
        <rFont val="Calibri"/>
        <family val="2"/>
      </rPr>
      <t>vidi : shemu 4 bravarskih stavki</t>
    </r>
    <r>
      <rPr>
        <sz val="9"/>
        <rFont val="Calibri"/>
        <family val="2"/>
      </rPr>
      <t xml:space="preserve">
L=16,65+2,85 m</t>
    </r>
  </si>
  <si>
    <r>
      <rPr>
        <b/>
        <sz val="9"/>
        <rFont val="Calibri"/>
        <family val="2"/>
      </rPr>
      <t>vidi : shemu 5  bravarskih stavki</t>
    </r>
    <r>
      <rPr>
        <sz val="9"/>
        <rFont val="Calibri"/>
        <family val="2"/>
      </rPr>
      <t xml:space="preserve">
L= 2,82 + 4,60+ 4,40 + 2,82 m</t>
    </r>
  </si>
  <si>
    <r>
      <rPr>
        <b/>
        <sz val="9"/>
        <rFont val="Calibri"/>
        <family val="2"/>
      </rPr>
      <t>vidi : shemu 6  bravarskih stavki</t>
    </r>
    <r>
      <rPr>
        <sz val="9"/>
        <rFont val="Calibri"/>
        <family val="2"/>
      </rPr>
      <t xml:space="preserve">
L=4,60+4,60+2,78 m</t>
    </r>
  </si>
  <si>
    <r>
      <t>Dobava i postava aluminijskog sokla</t>
    </r>
    <r>
      <rPr>
        <sz val="9"/>
        <rFont val="Calibri"/>
        <family val="2"/>
        <charset val="238"/>
      </rPr>
      <t xml:space="preserve"> L oblika</t>
    </r>
    <r>
      <rPr>
        <sz val="9"/>
        <rFont val="Calibri"/>
        <family val="2"/>
      </rPr>
      <t xml:space="preserve"> visine 80 mm u boji po izboru projektanta prema ton karti RAL-a, paralelno uz zid. Spajanje u kutevima izvesti </t>
    </r>
    <r>
      <rPr>
        <sz val="9"/>
        <rFont val="Calibri"/>
        <family val="2"/>
        <charset val="238"/>
      </rPr>
      <t>s gerungom</t>
    </r>
    <r>
      <rPr>
        <sz val="9"/>
        <rFont val="Calibri"/>
        <family val="2"/>
      </rPr>
      <t>. U cijeni sve komplet po m'.</t>
    </r>
  </si>
  <si>
    <r>
      <t>Dobava i postava daščanog poda na pero i utor na katu u spavaonicama i potkrovlju, od smrekovih</t>
    </r>
    <r>
      <rPr>
        <sz val="9"/>
        <rFont val="Calibri"/>
        <family val="2"/>
        <charset val="238"/>
      </rPr>
      <t xml:space="preserve"> ili jednakovrijednih</t>
    </r>
    <r>
      <rPr>
        <sz val="9"/>
        <rFont val="Calibri"/>
        <family val="2"/>
      </rPr>
      <t xml:space="preserve"> dasaka Sve usklađeno s uređenjem interijera. Obrada dasaka s mat prozirnim lakom, Postva čavljanjem na potkonstrukciju.</t>
    </r>
  </si>
  <si>
    <r>
      <t xml:space="preserve">Dobava i postava podnih keramičkih klinker pločica </t>
    </r>
    <r>
      <rPr>
        <sz val="9"/>
        <rFont val="Calibri"/>
        <family val="2"/>
        <charset val="238"/>
      </rPr>
      <t xml:space="preserve">11,5x24 cm ili slično </t>
    </r>
    <r>
      <rPr>
        <sz val="9"/>
        <rFont val="Calibri"/>
        <family val="2"/>
      </rPr>
      <t>u prizemlju. Otpornost protiv klizanja minimalno R10. Pločice se postavljaju na pripremljenu podlogu cementnim fleksibilnim ljepilom, te se fugiraju fugir masom u boji prema odabiru projektanta. Na sve završne rubove potrebno je postaviti profiliranu završnu aluminijsku lajsnu debljine 12 mm u boji prema izboru projektanta. Prijelaze između zidova i poda potrebno je obraditi trajnoelastičnim kitom u boji fug mase (što je uključeno u cijenu).
U jedinične cijene uključen je vezni i brtveni materijal, završne lajsne te čiščenje keramike nakon opločenja i fugiranja od ostataka ljepila i fugir mase.</t>
    </r>
  </si>
  <si>
    <r>
      <t xml:space="preserve">Dobava i izvedba unutrašnjeg suhomontažnog pregradnog zida debljine 15 cm - zid sanitarija </t>
    </r>
    <r>
      <rPr>
        <sz val="9"/>
        <rFont val="Calibri"/>
        <family val="2"/>
        <charset val="238"/>
      </rPr>
      <t>/ podrum i kat.</t>
    </r>
    <r>
      <rPr>
        <sz val="9"/>
        <rFont val="Calibri"/>
        <family val="2"/>
      </rPr>
      <t xml:space="preserve">
Jedinična cijena obuhvaća izradu nosive konstrukcije zida od samostojećih metalnih profila, dobavu i ugradnju ploča, kamene vune, te izradu obloge od velikoformatnih gipskartonskih ploča s bandažiranjem i gletanjem spojeva kao pripremom za soboslikarsko-ličilačke radove.
- gipskartonske vodoodbojne ploče 1,25 cm GKBI
- gipskartonske standardne ploče 1,25 cm GKB
- samostojeći metalni profili CW 100 mm
- kamena vuna (50 kg/m3), d=10 cm
- gipskartonske standardne ploče 1,25 cm GKB
- gipskartonske vodoodbojne ploče 1,25 cm GKBI</t>
    </r>
  </si>
  <si>
    <r>
      <t xml:space="preserve">Dobava i izvedba unutrašnjeg suhomontažnog pregradnog zida debljine 15 cm - zid </t>
    </r>
    <r>
      <rPr>
        <sz val="9"/>
        <rFont val="Calibri"/>
        <family val="2"/>
        <charset val="238"/>
      </rPr>
      <t>sanitarije / spavaonice - kat.</t>
    </r>
    <r>
      <rPr>
        <sz val="9"/>
        <rFont val="Calibri"/>
        <family val="2"/>
      </rPr>
      <t xml:space="preserve">
Jedinična cijena obuhvaća izradu nosive konstrukcije zida od samostojećih metalnih profila, dobavu i ugradnju ploča, kamene vune, te izradu obloge od velikoformatnih gipskartonskih ploča s bandažiranjem i gletanjem spojeva kao pripremom za soboslikarsko-ličilačke radove.
- gipskartonske vodoodbojne ploče 1,25 cm GKBI
- gipskartonske standardne ploče 1,25 cm GKB
- samostojeći metalni profili CW 100 mm
- kamena vuna (50 kg/m3), d=10 cm
</t>
    </r>
    <r>
      <rPr>
        <sz val="9"/>
        <rFont val="Calibri"/>
        <family val="2"/>
        <charset val="238"/>
      </rPr>
      <t>- zaštitna folija
- drvena obloga - opisana u stolarskim radovima</t>
    </r>
  </si>
  <si>
    <r>
      <t>Minimalni korisni volumen vodospreme (minimalni do maksimalni nivo vode) mora iznositi 108m3. Na dubini oko 30 cm (stvarnu dubinu utvrditi na licu mjesta) ispod kote uređenog terena, izvesti gornju kotu armirano betonske ploče C 25/30, debljine 20 cm, s 2 šahta na visini terena s otvorom vel. 60x60 cm za silazak. Iznad otvora montirati lijevano-željezni poklopac nosivosti B125 (uključiti u cijenu stavke). Sve ostalo vidi projekt Vodovoda i kanalitzacije (</t>
    </r>
    <r>
      <rPr>
        <b/>
        <sz val="9"/>
        <rFont val="Calibri"/>
        <family val="2"/>
      </rPr>
      <t>stavka 4.A.3.2</t>
    </r>
    <r>
      <rPr>
        <sz val="9"/>
        <rFont val="Calibri"/>
        <family val="2"/>
      </rPr>
      <t xml:space="preserve">) . </t>
    </r>
  </si>
  <si>
    <r>
      <t xml:space="preserve">Dobava i pokrivanje krova falcanim aluminijskim limom, širina trake do 75 cm razvijene širine. Boja istovjetna boji krova planinarskog doma. Debljina lima 0.70 mm.
</t>
    </r>
    <r>
      <rPr>
        <strike/>
        <sz val="9"/>
        <rFont val="Calibri"/>
        <family val="2"/>
        <charset val="238"/>
      </rPr>
      <t xml:space="preserve">Boja standardna prema važećoj karti boja
</t>
    </r>
    <r>
      <rPr>
        <sz val="9"/>
        <rFont val="Calibri"/>
        <family val="2"/>
      </rPr>
      <t>Stražnja strana: zaštitni lak
Moguća površina: glatka
Klasa reakcije na požar: A1 prema EN 13501-1 ili jednakovrijedno
Ponašanje u slučaju izloženosti vatri izvana: bez ispitivanja u skladu s EN 13501-5 ili odlukom 2000/553/EZ ili jednakovrijedno
UV otpornost prema ÖNORM EN 13523-10:2017-04-01 ili jednakovrijedno
Deklaracija proizvoda za okoliš prema ISO 14025 i EN 15804: EPD-GDA-20130260-IBG1-DE ili jednakovrijedno
Referentni vijek trajanja prema ekološkoj deklaraciji proizvoda: = 70 godina.
Ako se hladno oblikovani aluminijski lim koristi za namjeravanu svrhu, nepoznati su odnosi učinaka na okoliš i zdravlje.</t>
    </r>
  </si>
  <si>
    <r>
      <t xml:space="preserve">Vodosprema hidrantske mreže - 108 m3 korisnog volumena - vidi projekt arhitekture </t>
    </r>
    <r>
      <rPr>
        <b/>
        <sz val="9"/>
        <rFont val="Calibri"/>
        <family val="2"/>
      </rPr>
      <t>(stavka A.B.3.6.)</t>
    </r>
    <r>
      <rPr>
        <sz val="9"/>
        <rFont val="Calibri"/>
        <family val="2"/>
      </rPr>
      <t xml:space="preserve">  Stavka uključuje kompletnu armaturu za nadopunu vodospreme, uključujući kutni ventil sa plovkom DN40mm, usisnu košaru DN100 te pripadajuči cjevovod. Sve komplet za potpunu funkcionalnost protupožarne vodospreme.
</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</si>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</sst>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21" x14ac:knownFonts="1">
    <font>
      <sz val="11"/>
      <color rgb="FF000000"/>
      <name val="Calibri"/>
      <family val="2"/>
    </font>
    <font>
      <sz val="9"/>
      <color rgb="FF000000"/>
      <name val="Calibri"/>
      <family val="2"/>
    </font>
    <font>
      <b/>
      <sz val="14"/>
      <color rgb="FF000000"/>
      <name val="Calibri"/>
      <family val="2"/>
    </font>
    <font>
      <b/>
      <sz val="11"/>
      <color rgb="FF000000"/>
      <name val="Calibri"/>
      <family val="2"/>
    </font>
    <font>
      <b/>
      <sz val="9"/>
      <color rgb="FF000000"/>
      <name val="Calibri"/>
      <family val="2"/>
    </font>
    <font>
      <b/>
      <sz val="12"/>
      <color rgb="FF000000"/>
      <name val="Calibri"/>
      <family val="2"/>
    </font>
    <font>
      <sz val="9"/>
      <color rgb="FFFF0000"/>
      <name val="Calibri"/>
      <family val="2"/>
    </font>
    <font>
      <sz val="9"/>
      <name val="Calibri"/>
      <family val="2"/>
    </font>
    <font>
      <b/>
      <sz val="9"/>
      <name val="Calibri"/>
      <family val="2"/>
    </font>
    <font>
      <sz val="10"/>
      <name val="Arial"/>
      <family val="2"/>
    </font>
    <font>
      <sz val="9"/>
      <name val="Calibri"/>
      <family val="2"/>
      <scheme val="minor"/>
    </font>
    <font>
      <sz val="14"/>
      <color rgb="FF000000"/>
      <name val="Calibri"/>
      <family val="2"/>
    </font>
    <font>
      <sz val="9"/>
      <color rgb="FFFF0000"/>
      <name val="Calibri"/>
      <family val="2"/>
      <charset val="238"/>
    </font>
    <font>
      <b/>
      <sz val="9"/>
      <color rgb="FFFF0000"/>
      <name val="Calibri"/>
      <family val="2"/>
      <charset val="238"/>
    </font>
    <font>
      <b/>
      <sz val="14"/>
      <name val="Calibri"/>
      <family val="2"/>
    </font>
    <font>
      <sz val="9"/>
      <name val="Calibri"/>
      <family val="2"/>
      <charset val="238"/>
    </font>
    <font>
      <strike/>
      <sz val="9"/>
      <name val="Calibri"/>
      <family val="2"/>
      <charset val="238"/>
    </font>
    <font>
      <sz val="9"/>
      <name val="Aptos Narrow"/>
      <family val="2"/>
    </font>
    <font>
      <b/>
      <sz val="9"/>
      <name val="Calibri"/>
      <family val="2"/>
      <charset val="238"/>
    </font>
    <font>
      <sz val="9"/>
      <name val="Calibri"/>
      <family val="2"/>
      <charset val="238"/>
      <scheme val="minor"/>
    </font>
    <font>
      <b/>
      <sz val="9"/>
      <name val="Calibri"/>
      <family val="2"/>
      <charset val="238"/>
      <scheme val="minor"/>
    </font>
  </fonts>
  <fills count="8">
    <fill>
      <patternFill patternType="none"/>
    </fill>
    <fill>
      <patternFill patternType="gray125"/>
    </fill>
    <fill>
      <patternFill patternType="solid">
        <fgColor rgb="FFD3D3D3"/>
      </patternFill>
    </fill>
    <fill>
      <patternFill patternType="solid">
        <fgColor rgb="FFC4C4C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3" tint="0.59999389629810485"/>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pplyBorder="0"/>
    <xf numFmtId="0" fontId="9" fillId="0" borderId="0" applyNumberFormat="0" applyFont="0" applyFill="0" applyBorder="0" applyAlignment="0" applyProtection="0">
      <alignment vertical="top"/>
    </xf>
  </cellStyleXfs>
  <cellXfs count="149">
    <xf numFmtId="0" fontId="0" fillId="0" borderId="0" xfId="0"/>
    <xf numFmtId="0" fontId="4" fillId="3" borderId="0" xfId="0" applyFont="1" applyFill="1"/>
    <xf numFmtId="0" fontId="4" fillId="3" borderId="0" xfId="0" applyFont="1" applyFill="1" applyAlignment="1">
      <alignment wrapText="1"/>
    </xf>
    <xf numFmtId="0" fontId="1" fillId="0" borderId="0" xfId="0" applyFont="1"/>
    <xf numFmtId="0" fontId="2" fillId="0" borderId="0" xfId="0" applyFont="1"/>
    <xf numFmtId="0" fontId="3" fillId="0" borderId="0" xfId="0" applyFont="1"/>
    <xf numFmtId="0" fontId="1" fillId="0" borderId="0" xfId="0" applyFont="1" applyAlignment="1">
      <alignment wrapText="1"/>
    </xf>
    <xf numFmtId="0" fontId="1" fillId="0" borderId="0" xfId="0" applyFont="1" applyAlignment="1">
      <alignment horizontal="center"/>
    </xf>
    <xf numFmtId="0" fontId="1" fillId="0" borderId="0" xfId="0" applyFont="1" applyAlignment="1">
      <alignment horizontal="justify" vertical="top" wrapText="1"/>
    </xf>
    <xf numFmtId="0" fontId="1" fillId="0" borderId="0" xfId="0" applyFont="1" applyAlignment="1">
      <alignment vertical="top"/>
    </xf>
    <xf numFmtId="0" fontId="4" fillId="0" borderId="0" xfId="0" applyFont="1" applyAlignment="1">
      <alignment wrapText="1"/>
    </xf>
    <xf numFmtId="0" fontId="1" fillId="0" borderId="0" xfId="0" applyFont="1" applyAlignment="1">
      <alignment horizontal="justify" wrapText="1"/>
    </xf>
    <xf numFmtId="4" fontId="1" fillId="0" borderId="0" xfId="0" applyNumberFormat="1" applyFont="1"/>
    <xf numFmtId="164" fontId="1" fillId="0" borderId="0" xfId="0" applyNumberFormat="1" applyFont="1" applyProtection="1">
      <protection locked="0"/>
    </xf>
    <xf numFmtId="164" fontId="1" fillId="0" borderId="0" xfId="0" applyNumberFormat="1" applyFont="1"/>
    <xf numFmtId="0" fontId="1" fillId="0" borderId="0" xfId="0" applyFont="1" applyAlignment="1">
      <alignment horizontal="right"/>
    </xf>
    <xf numFmtId="0" fontId="4" fillId="0" borderId="0" xfId="0" applyFont="1" applyAlignment="1">
      <alignment horizontal="justify" wrapText="1"/>
    </xf>
    <xf numFmtId="0" fontId="5" fillId="0" borderId="0" xfId="0" applyFont="1"/>
    <xf numFmtId="0" fontId="4" fillId="0" borderId="0" xfId="0" applyFont="1" applyAlignment="1">
      <alignment horizontal="right"/>
    </xf>
    <xf numFmtId="0" fontId="4" fillId="0" borderId="0" xfId="0" applyFont="1"/>
    <xf numFmtId="164" fontId="4" fillId="0" borderId="0" xfId="0" applyNumberFormat="1" applyFont="1"/>
    <xf numFmtId="0" fontId="6" fillId="0" borderId="0" xfId="0" applyFont="1"/>
    <xf numFmtId="0" fontId="4" fillId="4" borderId="0" xfId="0" applyFont="1" applyFill="1" applyAlignment="1">
      <alignment wrapText="1"/>
    </xf>
    <xf numFmtId="0" fontId="1" fillId="4" borderId="0" xfId="0" applyFont="1" applyFill="1"/>
    <xf numFmtId="0" fontId="4" fillId="4" borderId="0" xfId="0" applyFont="1" applyFill="1"/>
    <xf numFmtId="0" fontId="4" fillId="0" borderId="0" xfId="0" applyFont="1" applyAlignment="1">
      <alignment horizontal="center"/>
    </xf>
    <xf numFmtId="0" fontId="4" fillId="4" borderId="0" xfId="0" applyFont="1" applyFill="1" applyAlignment="1">
      <alignment horizontal="center"/>
    </xf>
    <xf numFmtId="49" fontId="1" fillId="0" borderId="0" xfId="0" applyNumberFormat="1" applyFont="1" applyAlignment="1">
      <alignment horizontal="justify" vertical="top" wrapText="1"/>
    </xf>
    <xf numFmtId="164" fontId="4" fillId="4" borderId="0" xfId="0" applyNumberFormat="1" applyFont="1" applyFill="1"/>
    <xf numFmtId="0" fontId="4" fillId="0" borderId="0" xfId="0" applyFont="1" applyAlignment="1">
      <alignment horizontal="justify" vertical="top" wrapText="1"/>
    </xf>
    <xf numFmtId="0" fontId="4" fillId="5" borderId="0" xfId="0" applyFont="1" applyFill="1" applyAlignment="1">
      <alignment horizontal="center" vertical="center" wrapText="1"/>
    </xf>
    <xf numFmtId="0" fontId="4" fillId="6" borderId="0" xfId="0" applyFont="1" applyFill="1"/>
    <xf numFmtId="0" fontId="4" fillId="7" borderId="0" xfId="0" applyFont="1" applyFill="1"/>
    <xf numFmtId="164" fontId="4" fillId="7" borderId="0" xfId="0" applyNumberFormat="1" applyFont="1" applyFill="1"/>
    <xf numFmtId="164" fontId="1" fillId="4" borderId="0" xfId="0" applyNumberFormat="1" applyFont="1" applyFill="1"/>
    <xf numFmtId="0" fontId="1" fillId="0" borderId="0" xfId="0" applyFont="1" applyAlignment="1">
      <alignment vertical="top" wrapText="1"/>
    </xf>
    <xf numFmtId="0" fontId="4" fillId="4" borderId="0" xfId="0" applyFont="1" applyFill="1" applyAlignment="1">
      <alignment horizontal="right"/>
    </xf>
    <xf numFmtId="0" fontId="7" fillId="0" borderId="0" xfId="0" applyFont="1" applyAlignment="1">
      <alignment horizontal="justify" vertical="top" wrapText="1"/>
    </xf>
    <xf numFmtId="0" fontId="7" fillId="0" borderId="0" xfId="0" applyFont="1"/>
    <xf numFmtId="0" fontId="7" fillId="0" borderId="0" xfId="0" applyFont="1" applyAlignment="1">
      <alignment vertical="top"/>
    </xf>
    <xf numFmtId="4" fontId="7" fillId="0" borderId="0" xfId="0" applyNumberFormat="1" applyFont="1"/>
    <xf numFmtId="0" fontId="4" fillId="5" borderId="0" xfId="0" applyFont="1" applyFill="1" applyAlignment="1">
      <alignment horizontal="left" vertical="center" wrapText="1"/>
    </xf>
    <xf numFmtId="0" fontId="1" fillId="4" borderId="0" xfId="0" applyFont="1" applyFill="1" applyAlignment="1">
      <alignment horizontal="right"/>
    </xf>
    <xf numFmtId="0" fontId="1" fillId="0" borderId="0" xfId="0" applyFont="1" applyAlignment="1">
      <alignment horizontal="center" vertical="top"/>
    </xf>
    <xf numFmtId="4" fontId="1" fillId="0" borderId="0" xfId="0" applyNumberFormat="1" applyFont="1" applyAlignment="1">
      <alignment vertical="top"/>
    </xf>
    <xf numFmtId="164" fontId="1" fillId="0" borderId="0" xfId="0" applyNumberFormat="1" applyFont="1" applyAlignment="1" applyProtection="1">
      <alignment vertical="top"/>
      <protection locked="0"/>
    </xf>
    <xf numFmtId="164" fontId="1" fillId="0" borderId="0" xfId="0" applyNumberFormat="1" applyFont="1" applyAlignment="1">
      <alignment vertical="top"/>
    </xf>
    <xf numFmtId="0" fontId="6" fillId="0" borderId="0" xfId="0" applyFont="1" applyAlignment="1">
      <alignment horizontal="justify" vertical="top" wrapText="1"/>
    </xf>
    <xf numFmtId="0" fontId="8" fillId="0" borderId="0" xfId="0" applyFont="1" applyAlignment="1">
      <alignment horizontal="justify" vertical="top" wrapText="1"/>
    </xf>
    <xf numFmtId="0" fontId="2" fillId="0" borderId="0" xfId="0" applyFont="1" applyAlignment="1">
      <alignment horizontal="justify" vertical="top" wrapText="1"/>
    </xf>
    <xf numFmtId="0" fontId="2" fillId="7" borderId="0" xfId="0" applyFont="1" applyFill="1" applyAlignment="1">
      <alignment horizontal="right"/>
    </xf>
    <xf numFmtId="0" fontId="2" fillId="7" borderId="0" xfId="0" applyFont="1" applyFill="1"/>
    <xf numFmtId="0" fontId="10" fillId="0" borderId="0" xfId="1" applyFont="1" applyBorder="1" applyAlignment="1">
      <alignment horizontal="justify" vertical="top" wrapText="1"/>
    </xf>
    <xf numFmtId="0" fontId="11" fillId="0" borderId="0" xfId="0" applyFont="1"/>
    <xf numFmtId="0" fontId="2" fillId="0" borderId="0" xfId="0" applyFont="1" applyAlignment="1">
      <alignment horizontal="right"/>
    </xf>
    <xf numFmtId="0" fontId="2" fillId="4" borderId="0" xfId="0" applyFont="1" applyFill="1" applyAlignment="1">
      <alignment horizontal="right"/>
    </xf>
    <xf numFmtId="0" fontId="2" fillId="4" borderId="0" xfId="0" applyFont="1" applyFill="1"/>
    <xf numFmtId="164" fontId="11" fillId="4" borderId="0" xfId="0" applyNumberFormat="1" applyFont="1" applyFill="1"/>
    <xf numFmtId="49" fontId="2" fillId="7" borderId="0" xfId="0" applyNumberFormat="1" applyFont="1" applyFill="1" applyAlignment="1">
      <alignment horizontal="right"/>
    </xf>
    <xf numFmtId="49" fontId="1" fillId="0" borderId="0" xfId="0" applyNumberFormat="1" applyFont="1"/>
    <xf numFmtId="49" fontId="11" fillId="7" borderId="0" xfId="0" applyNumberFormat="1" applyFont="1" applyFill="1"/>
    <xf numFmtId="0" fontId="1" fillId="7" borderId="0" xfId="0" applyFont="1" applyFill="1"/>
    <xf numFmtId="164" fontId="2" fillId="7" borderId="0" xfId="0" applyNumberFormat="1" applyFont="1" applyFill="1"/>
    <xf numFmtId="49" fontId="2" fillId="4" borderId="0" xfId="0" applyNumberFormat="1" applyFont="1" applyFill="1" applyAlignment="1">
      <alignment horizontal="right"/>
    </xf>
    <xf numFmtId="0" fontId="11" fillId="4" borderId="0" xfId="0" applyFont="1" applyFill="1" applyAlignment="1">
      <alignment horizontal="right"/>
    </xf>
    <xf numFmtId="164" fontId="2" fillId="4" borderId="0" xfId="0" applyNumberFormat="1" applyFont="1" applyFill="1"/>
    <xf numFmtId="49" fontId="11" fillId="7" borderId="1" xfId="0" applyNumberFormat="1" applyFont="1" applyFill="1" applyBorder="1"/>
    <xf numFmtId="0" fontId="2" fillId="7" borderId="2" xfId="0" applyFont="1" applyFill="1" applyBorder="1"/>
    <xf numFmtId="164" fontId="2" fillId="7" borderId="3" xfId="0" applyNumberFormat="1" applyFont="1" applyFill="1" applyBorder="1"/>
    <xf numFmtId="0" fontId="1" fillId="7" borderId="1" xfId="0" applyFont="1" applyFill="1" applyBorder="1"/>
    <xf numFmtId="0" fontId="12" fillId="0" borderId="0" xfId="0" applyFont="1" applyAlignment="1">
      <alignment horizontal="justify" vertical="top" wrapText="1"/>
    </xf>
    <xf numFmtId="0" fontId="4" fillId="7" borderId="0" xfId="0" applyFont="1" applyFill="1" applyAlignment="1">
      <alignment wrapText="1"/>
    </xf>
    <xf numFmtId="0" fontId="2" fillId="7" borderId="0" xfId="0" applyFont="1" applyFill="1" applyAlignment="1">
      <alignment wrapText="1"/>
    </xf>
    <xf numFmtId="0" fontId="4" fillId="6" borderId="0" xfId="0" applyFont="1" applyFill="1" applyAlignment="1">
      <alignment wrapText="1"/>
    </xf>
    <xf numFmtId="0" fontId="7" fillId="0" borderId="0" xfId="0" applyFont="1" applyAlignment="1">
      <alignment wrapText="1"/>
    </xf>
    <xf numFmtId="0" fontId="7" fillId="0" borderId="0" xfId="0" applyFont="1" applyAlignment="1">
      <alignment horizontal="justify" wrapText="1"/>
    </xf>
    <xf numFmtId="0" fontId="7" fillId="0" borderId="0" xfId="0" applyFont="1" applyAlignment="1">
      <alignment horizontal="center"/>
    </xf>
    <xf numFmtId="164" fontId="7" fillId="0" borderId="0" xfId="0" applyNumberFormat="1" applyFont="1" applyProtection="1">
      <protection locked="0"/>
    </xf>
    <xf numFmtId="164" fontId="7" fillId="0" borderId="0" xfId="0" applyNumberFormat="1" applyFont="1"/>
    <xf numFmtId="0" fontId="6" fillId="0" borderId="0" xfId="0" applyFont="1" applyAlignment="1">
      <alignment vertical="top"/>
    </xf>
    <xf numFmtId="0" fontId="13" fillId="0" borderId="0" xfId="0" applyFont="1" applyAlignment="1">
      <alignment wrapText="1"/>
    </xf>
    <xf numFmtId="0" fontId="8" fillId="0" borderId="0" xfId="0" applyFont="1" applyAlignment="1">
      <alignment wrapText="1"/>
    </xf>
    <xf numFmtId="0" fontId="7" fillId="0" borderId="0" xfId="0" applyFont="1" applyAlignment="1">
      <alignment vertical="top" wrapText="1"/>
    </xf>
    <xf numFmtId="0" fontId="8" fillId="0" borderId="0" xfId="0" applyFont="1" applyAlignment="1">
      <alignment vertical="top" wrapText="1"/>
    </xf>
    <xf numFmtId="0" fontId="14" fillId="7" borderId="0" xfId="0" applyFont="1" applyFill="1"/>
    <xf numFmtId="0" fontId="8" fillId="5" borderId="0" xfId="0" applyFont="1" applyFill="1" applyAlignment="1">
      <alignment horizontal="left" vertical="center" wrapText="1"/>
    </xf>
    <xf numFmtId="0" fontId="8" fillId="5" borderId="0" xfId="0" applyFont="1" applyFill="1" applyAlignment="1">
      <alignment horizontal="center" vertical="center" wrapText="1"/>
    </xf>
    <xf numFmtId="0" fontId="14" fillId="6" borderId="0" xfId="0" applyFont="1" applyFill="1" applyAlignment="1">
      <alignment horizontal="left"/>
    </xf>
    <xf numFmtId="0" fontId="14" fillId="6" borderId="0" xfId="0" applyFont="1" applyFill="1" applyAlignment="1">
      <alignment wrapText="1"/>
    </xf>
    <xf numFmtId="0" fontId="7" fillId="6" borderId="0" xfId="0" applyFont="1" applyFill="1" applyAlignment="1">
      <alignment horizontal="center"/>
    </xf>
    <xf numFmtId="0" fontId="7" fillId="6" borderId="0" xfId="0" applyFont="1" applyFill="1"/>
    <xf numFmtId="0" fontId="8" fillId="4" borderId="0" xfId="0" applyFont="1" applyFill="1"/>
    <xf numFmtId="0" fontId="8" fillId="4" borderId="0" xfId="0" applyFont="1" applyFill="1" applyAlignment="1">
      <alignment wrapText="1"/>
    </xf>
    <xf numFmtId="0" fontId="7" fillId="4" borderId="0" xfId="0" applyFont="1" applyFill="1" applyAlignment="1">
      <alignment horizontal="center"/>
    </xf>
    <xf numFmtId="0" fontId="7" fillId="4" borderId="0" xfId="0" applyFont="1" applyFill="1"/>
    <xf numFmtId="0" fontId="8" fillId="0" borderId="0" xfId="0" applyFont="1"/>
    <xf numFmtId="164" fontId="8" fillId="4" borderId="0" xfId="0" applyNumberFormat="1" applyFont="1" applyFill="1"/>
    <xf numFmtId="0" fontId="8" fillId="4" borderId="0" xfId="0" applyFont="1" applyFill="1" applyAlignment="1">
      <alignment horizontal="center"/>
    </xf>
    <xf numFmtId="4" fontId="15" fillId="0" borderId="0" xfId="0" applyNumberFormat="1" applyFont="1"/>
    <xf numFmtId="49" fontId="7" fillId="0" borderId="0" xfId="0" applyNumberFormat="1" applyFont="1" applyAlignment="1">
      <alignment horizontal="justify" vertical="top" wrapText="1"/>
    </xf>
    <xf numFmtId="0" fontId="8" fillId="0" borderId="0" xfId="0" applyFont="1" applyAlignment="1">
      <alignment horizontal="justify" wrapText="1"/>
    </xf>
    <xf numFmtId="0" fontId="15" fillId="0" borderId="0" xfId="0" applyFont="1" applyAlignment="1">
      <alignment horizontal="justify" vertical="top" wrapText="1"/>
    </xf>
    <xf numFmtId="49" fontId="19" fillId="0" borderId="0" xfId="0" applyNumberFormat="1" applyFont="1" applyAlignment="1">
      <alignment horizontal="justify" vertical="top" wrapText="1"/>
    </xf>
    <xf numFmtId="2" fontId="19" fillId="0" borderId="0" xfId="0" applyNumberFormat="1" applyFont="1" applyAlignment="1">
      <alignment horizontal="justify" vertical="top" wrapText="1"/>
    </xf>
    <xf numFmtId="49" fontId="19" fillId="0" borderId="0" xfId="0" applyNumberFormat="1" applyFont="1" applyAlignment="1">
      <alignment horizontal="justify" vertical="top"/>
    </xf>
    <xf numFmtId="2" fontId="10" fillId="0" borderId="0" xfId="0" applyNumberFormat="1" applyFont="1" applyAlignment="1">
      <alignment horizontal="justify" vertical="top" wrapText="1"/>
    </xf>
    <xf numFmtId="0" fontId="15" fillId="0" borderId="0" xfId="0" applyFont="1" applyAlignment="1">
      <alignment vertical="top"/>
    </xf>
    <xf numFmtId="0" fontId="8" fillId="0" borderId="0" xfId="0" applyFont="1" applyAlignment="1">
      <alignment horizontal="center"/>
    </xf>
    <xf numFmtId="164" fontId="8" fillId="0" borderId="0" xfId="0" applyNumberFormat="1" applyFont="1"/>
    <xf numFmtId="0" fontId="14" fillId="6" borderId="0" xfId="0" applyFont="1" applyFill="1"/>
    <xf numFmtId="0" fontId="8" fillId="3" borderId="0" xfId="0" applyFont="1" applyFill="1"/>
    <xf numFmtId="0" fontId="8" fillId="3" borderId="0" xfId="0" applyFont="1" applyFill="1" applyAlignment="1">
      <alignment wrapText="1"/>
    </xf>
    <xf numFmtId="0" fontId="8" fillId="3" borderId="0" xfId="0" applyFont="1" applyFill="1" applyAlignment="1">
      <alignment horizontal="center"/>
    </xf>
    <xf numFmtId="0" fontId="8" fillId="7" borderId="0" xfId="0" applyFont="1" applyFill="1"/>
    <xf numFmtId="164" fontId="8" fillId="7" borderId="0" xfId="0" applyNumberFormat="1" applyFont="1" applyFill="1"/>
    <xf numFmtId="0" fontId="14" fillId="7" borderId="0" xfId="0" applyFont="1" applyFill="1" applyAlignment="1">
      <alignment wrapText="1"/>
    </xf>
    <xf numFmtId="0" fontId="8" fillId="7" borderId="0" xfId="0" applyFont="1" applyFill="1" applyAlignment="1">
      <alignment wrapText="1"/>
    </xf>
    <xf numFmtId="0" fontId="14" fillId="7" borderId="0" xfId="0" applyFont="1" applyFill="1" applyProtection="1">
      <protection locked="0"/>
    </xf>
    <xf numFmtId="0" fontId="8" fillId="5" borderId="0" xfId="0" applyFont="1" applyFill="1" applyAlignment="1" applyProtection="1">
      <alignment horizontal="center" vertical="center" wrapText="1"/>
      <protection locked="0"/>
    </xf>
    <xf numFmtId="0" fontId="7" fillId="6" borderId="0" xfId="0" applyFont="1" applyFill="1" applyProtection="1">
      <protection locked="0"/>
    </xf>
    <xf numFmtId="0" fontId="7" fillId="0" borderId="0" xfId="0" applyFont="1" applyProtection="1">
      <protection locked="0"/>
    </xf>
    <xf numFmtId="0" fontId="7" fillId="4" borderId="0" xfId="0" applyFont="1" applyFill="1" applyProtection="1">
      <protection locked="0"/>
    </xf>
    <xf numFmtId="0" fontId="8" fillId="4" borderId="0" xfId="0" applyFont="1" applyFill="1" applyProtection="1">
      <protection locked="0"/>
    </xf>
    <xf numFmtId="0" fontId="8" fillId="4" borderId="0" xfId="0" applyFont="1" applyFill="1" applyAlignment="1" applyProtection="1">
      <alignment wrapText="1"/>
      <protection locked="0"/>
    </xf>
    <xf numFmtId="0" fontId="7" fillId="0" borderId="0" xfId="0" applyFont="1" applyAlignment="1" applyProtection="1">
      <alignment horizontal="right"/>
      <protection locked="0"/>
    </xf>
    <xf numFmtId="0" fontId="8" fillId="0" borderId="0" xfId="0" applyFont="1" applyProtection="1">
      <protection locked="0"/>
    </xf>
    <xf numFmtId="0" fontId="14" fillId="6" borderId="0" xfId="0" applyFont="1" applyFill="1" applyProtection="1">
      <protection locked="0"/>
    </xf>
    <xf numFmtId="0" fontId="8" fillId="3" borderId="0" xfId="0" applyFont="1" applyFill="1" applyProtection="1">
      <protection locked="0"/>
    </xf>
    <xf numFmtId="0" fontId="8" fillId="7" borderId="0" xfId="0" applyFont="1" applyFill="1" applyProtection="1">
      <protection locked="0"/>
    </xf>
    <xf numFmtId="0" fontId="2" fillId="7" borderId="0" xfId="0" applyFont="1" applyFill="1" applyProtection="1">
      <protection locked="0"/>
    </xf>
    <xf numFmtId="0" fontId="4" fillId="5" borderId="0" xfId="0" applyFont="1" applyFill="1" applyAlignment="1" applyProtection="1">
      <alignment horizontal="center" vertical="center" wrapText="1"/>
      <protection locked="0"/>
    </xf>
    <xf numFmtId="0" fontId="4" fillId="6" borderId="0" xfId="0" applyFont="1" applyFill="1" applyProtection="1">
      <protection locked="0"/>
    </xf>
    <xf numFmtId="0" fontId="4" fillId="3" borderId="0" xfId="0" applyFont="1" applyFill="1" applyProtection="1">
      <protection locked="0"/>
    </xf>
    <xf numFmtId="0" fontId="1" fillId="0" borderId="0" xfId="0" applyFont="1" applyProtection="1">
      <protection locked="0"/>
    </xf>
    <xf numFmtId="0" fontId="4" fillId="4" borderId="0" xfId="0" applyFont="1" applyFill="1" applyProtection="1">
      <protection locked="0"/>
    </xf>
    <xf numFmtId="0" fontId="1" fillId="0" borderId="0" xfId="0" applyFont="1" applyAlignment="1" applyProtection="1">
      <alignment horizontal="right"/>
      <protection locked="0"/>
    </xf>
    <xf numFmtId="0" fontId="4" fillId="0" borderId="0" xfId="0" applyFont="1" applyProtection="1">
      <protection locked="0"/>
    </xf>
    <xf numFmtId="0" fontId="4" fillId="7" borderId="0" xfId="0" applyFont="1" applyFill="1" applyProtection="1">
      <protection locked="0"/>
    </xf>
    <xf numFmtId="0" fontId="8" fillId="2" borderId="0" xfId="0" applyFont="1" applyFill="1" applyAlignment="1">
      <alignment horizontal="left" vertical="center" wrapText="1"/>
    </xf>
    <xf numFmtId="0" fontId="8" fillId="2" borderId="0" xfId="0" applyFont="1" applyFill="1" applyAlignment="1">
      <alignment horizontal="center" vertical="center" wrapText="1"/>
    </xf>
    <xf numFmtId="0" fontId="8" fillId="2" borderId="0" xfId="0" applyFont="1" applyFill="1" applyAlignment="1" applyProtection="1">
      <alignment horizontal="center" vertical="center" wrapText="1"/>
      <protection locked="0"/>
    </xf>
    <xf numFmtId="0" fontId="8" fillId="6" borderId="0" xfId="0" applyFont="1" applyFill="1"/>
    <xf numFmtId="0" fontId="8" fillId="6" borderId="0" xfId="0" applyFont="1" applyFill="1" applyAlignment="1">
      <alignment wrapText="1"/>
    </xf>
    <xf numFmtId="0" fontId="8" fillId="6" borderId="0" xfId="0" applyFont="1" applyFill="1" applyProtection="1">
      <protection locked="0"/>
    </xf>
    <xf numFmtId="0" fontId="8" fillId="4" borderId="0" xfId="0" applyFont="1" applyFill="1" applyAlignment="1">
      <alignment horizontal="right"/>
    </xf>
    <xf numFmtId="49" fontId="8" fillId="7" borderId="0" xfId="0" applyNumberFormat="1" applyFont="1" applyFill="1" applyAlignment="1">
      <alignment horizontal="right"/>
    </xf>
    <xf numFmtId="0" fontId="8" fillId="4" borderId="0" xfId="0" applyFont="1" applyFill="1" applyAlignment="1">
      <alignment horizontal="left"/>
    </xf>
    <xf numFmtId="0" fontId="2" fillId="0" borderId="0" xfId="0" applyFont="1"/>
    <xf numFmtId="0" fontId="1" fillId="0" borderId="0" xfId="0" applyFont="1"/>
  </cellXfs>
  <cellStyles count="2">
    <cellStyle name="Normal_Troškovnik Bugojno" xfId="1" xr:uid="{A17F1186-D9DF-4C8E-A8E9-4FB0C469FD43}"/>
    <cellStyle name="Normal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4"/>
  <sheetViews>
    <sheetView workbookViewId="0">
      <selection activeCell="B20" sqref="B20"/>
    </sheetView>
  </sheetViews>
  <sheetFormatPr defaultColWidth="9.109375" defaultRowHeight="12" x14ac:dyDescent="0.25"/>
  <cols>
    <col min="1" max="1" width="35.6640625" style="3" customWidth="1"/>
    <col min="2" max="2" width="60.6640625" style="3" customWidth="1"/>
    <col min="3" max="3" width="9.109375" style="3" customWidth="1"/>
    <col min="4" max="16384" width="9.109375" style="3"/>
  </cols>
  <sheetData>
    <row r="2" spans="1:2" ht="18" x14ac:dyDescent="0.35">
      <c r="A2" s="147" t="s">
        <v>2133</v>
      </c>
      <c r="B2" s="148"/>
    </row>
    <row r="3" spans="1:2" ht="14.4" x14ac:dyDescent="0.3">
      <c r="B3" s="5"/>
    </row>
    <row r="4" spans="1:2" ht="18" x14ac:dyDescent="0.35">
      <c r="A4" s="53" t="s">
        <v>2146</v>
      </c>
      <c r="B4" s="5"/>
    </row>
  </sheetData>
  <sheetProtection algorithmName="SHA-512" hashValue="gVtmgR/qzFiXBSX496E8QCgmVFyzgM3SHARXo7J5qpDyCa1B/gnPx2b5lsvKDBYHe6lJhwzz2EY0vgcJaicREg==" saltValue="JGpOf1jwOtpQ3tNYNvhSDw==" spinCount="100000" sheet="1" objects="1" scenarios="1"/>
  <mergeCells count="1">
    <mergeCell ref="A2:B2"/>
  </mergeCells>
  <pageMargins left="0.6" right="0.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197"/>
  <sheetViews>
    <sheetView tabSelected="1" topLeftCell="A169" workbookViewId="0">
      <selection activeCell="C15" sqref="C15"/>
    </sheetView>
  </sheetViews>
  <sheetFormatPr defaultColWidth="9.109375" defaultRowHeight="12" x14ac:dyDescent="0.25"/>
  <cols>
    <col min="1" max="1" width="10.6640625" style="3" customWidth="1"/>
    <col min="2" max="2" width="80.6640625" style="3" customWidth="1"/>
    <col min="3" max="3" width="25.6640625" style="3" customWidth="1"/>
    <col min="4" max="4" width="10.6640625" style="3" customWidth="1"/>
    <col min="5" max="5" width="9.109375" style="3" customWidth="1"/>
    <col min="6" max="16384" width="9.109375" style="3"/>
  </cols>
  <sheetData>
    <row r="2" spans="1:3" ht="36" x14ac:dyDescent="0.3">
      <c r="A2" s="17"/>
      <c r="B2" s="49" t="s">
        <v>2133</v>
      </c>
      <c r="C2" s="17"/>
    </row>
    <row r="4" spans="1:3" ht="18" x14ac:dyDescent="0.35">
      <c r="A4" s="17"/>
      <c r="B4" s="4" t="s">
        <v>1528</v>
      </c>
      <c r="C4" s="17"/>
    </row>
    <row r="6" spans="1:3" ht="18" x14ac:dyDescent="0.35">
      <c r="A6" s="50" t="s">
        <v>1</v>
      </c>
      <c r="B6" s="51" t="s">
        <v>2</v>
      </c>
      <c r="C6" s="33"/>
    </row>
    <row r="7" spans="1:3" x14ac:dyDescent="0.25">
      <c r="A7" s="18"/>
      <c r="B7" s="19"/>
      <c r="C7" s="20"/>
    </row>
    <row r="8" spans="1:3" ht="18" x14ac:dyDescent="0.35">
      <c r="A8" s="54" t="s">
        <v>1573</v>
      </c>
      <c r="B8" s="4" t="s">
        <v>1718</v>
      </c>
      <c r="C8" s="20"/>
    </row>
    <row r="9" spans="1:3" x14ac:dyDescent="0.25">
      <c r="A9" s="15" t="s">
        <v>1565</v>
      </c>
      <c r="B9" s="3" t="s">
        <v>10</v>
      </c>
      <c r="C9" s="20"/>
    </row>
    <row r="10" spans="1:3" x14ac:dyDescent="0.25">
      <c r="A10" s="15" t="s">
        <v>1531</v>
      </c>
      <c r="B10" s="3" t="s">
        <v>31</v>
      </c>
      <c r="C10" s="14">
        <f>SUM('1. ARHITEKTURA'!F35)</f>
        <v>5850</v>
      </c>
    </row>
    <row r="11" spans="1:3" x14ac:dyDescent="0.25">
      <c r="A11" s="15" t="s">
        <v>1553</v>
      </c>
      <c r="B11" s="3" t="s">
        <v>9</v>
      </c>
      <c r="C11" s="14">
        <f>SUM('1. ARHITEKTURA'!F50)</f>
        <v>26000</v>
      </c>
    </row>
    <row r="12" spans="1:3" x14ac:dyDescent="0.25">
      <c r="A12" s="15" t="s">
        <v>1556</v>
      </c>
      <c r="B12" s="3" t="s">
        <v>37</v>
      </c>
      <c r="C12" s="14">
        <f>SUM('1. ARHITEKTURA'!F94)</f>
        <v>41487</v>
      </c>
    </row>
    <row r="13" spans="1:3" x14ac:dyDescent="0.25">
      <c r="A13" s="15" t="s">
        <v>1563</v>
      </c>
      <c r="B13" s="3" t="s">
        <v>51</v>
      </c>
      <c r="C13" s="14">
        <f>SUM('1. ARHITEKTURA'!F276)</f>
        <v>325057.40000000002</v>
      </c>
    </row>
    <row r="14" spans="1:3" x14ac:dyDescent="0.25">
      <c r="A14" s="15" t="s">
        <v>1619</v>
      </c>
      <c r="B14" s="3" t="s">
        <v>62</v>
      </c>
      <c r="C14" s="14">
        <f>SUM('1. ARHITEKTURA'!F346)</f>
        <v>44484</v>
      </c>
    </row>
    <row r="15" spans="1:3" x14ac:dyDescent="0.25">
      <c r="A15" s="15" t="s">
        <v>1641</v>
      </c>
      <c r="B15" s="3" t="s">
        <v>76</v>
      </c>
      <c r="C15" s="14">
        <f>SUM('1. ARHITEKTURA'!F411)</f>
        <v>148775</v>
      </c>
    </row>
    <row r="16" spans="1:3" x14ac:dyDescent="0.25">
      <c r="A16" s="15" t="s">
        <v>1566</v>
      </c>
      <c r="B16" s="3" t="s">
        <v>92</v>
      </c>
      <c r="C16" s="14"/>
    </row>
    <row r="17" spans="1:3" x14ac:dyDescent="0.25">
      <c r="A17" s="15" t="s">
        <v>1567</v>
      </c>
      <c r="B17" s="3" t="s">
        <v>93</v>
      </c>
      <c r="C17" s="14">
        <f>SUM('1. ARHITEKTURA'!F456)</f>
        <v>61510.7</v>
      </c>
    </row>
    <row r="18" spans="1:3" x14ac:dyDescent="0.25">
      <c r="A18" s="15" t="s">
        <v>1667</v>
      </c>
      <c r="B18" s="3" t="s">
        <v>98</v>
      </c>
      <c r="C18" s="14">
        <f>SUM('1. ARHITEKTURA'!F514)</f>
        <v>40305.5</v>
      </c>
    </row>
    <row r="19" spans="1:3" x14ac:dyDescent="0.25">
      <c r="A19" s="15" t="s">
        <v>1684</v>
      </c>
      <c r="B19" s="3" t="s">
        <v>109</v>
      </c>
      <c r="C19" s="14">
        <f>SUM('1. ARHITEKTURA'!F532)</f>
        <v>23735</v>
      </c>
    </row>
    <row r="20" spans="1:3" x14ac:dyDescent="0.25">
      <c r="A20" s="15" t="s">
        <v>1689</v>
      </c>
      <c r="B20" s="3" t="s">
        <v>113</v>
      </c>
      <c r="C20" s="14">
        <f>SUM('1. ARHITEKTURA'!F724)</f>
        <v>128162.12</v>
      </c>
    </row>
    <row r="21" spans="1:3" x14ac:dyDescent="0.25">
      <c r="A21" s="15" t="s">
        <v>1698</v>
      </c>
      <c r="B21" s="3" t="s">
        <v>124</v>
      </c>
      <c r="C21" s="14">
        <f>SUM('1. ARHITEKTURA'!F755)</f>
        <v>34750</v>
      </c>
    </row>
    <row r="22" spans="1:3" x14ac:dyDescent="0.25">
      <c r="A22" s="15" t="s">
        <v>1704</v>
      </c>
      <c r="B22" s="3" t="s">
        <v>126</v>
      </c>
      <c r="C22" s="14">
        <f>SUM('1. ARHITEKTURA'!F766)</f>
        <v>4450</v>
      </c>
    </row>
    <row r="23" spans="1:3" x14ac:dyDescent="0.25">
      <c r="A23" s="15" t="s">
        <v>1705</v>
      </c>
      <c r="B23" s="3" t="s">
        <v>130</v>
      </c>
      <c r="C23" s="14">
        <f>SUM('1. ARHITEKTURA'!F838)</f>
        <v>65719</v>
      </c>
    </row>
    <row r="24" spans="1:3" x14ac:dyDescent="0.25">
      <c r="A24" s="15" t="s">
        <v>1706</v>
      </c>
      <c r="B24" s="3" t="s">
        <v>1568</v>
      </c>
      <c r="C24" s="14">
        <f>SUM('1. ARHITEKTURA'!F864)</f>
        <v>9563</v>
      </c>
    </row>
    <row r="25" spans="1:3" x14ac:dyDescent="0.25">
      <c r="A25" s="15" t="s">
        <v>1707</v>
      </c>
      <c r="B25" s="3" t="s">
        <v>149</v>
      </c>
      <c r="C25" s="14">
        <f>SUM('1. ARHITEKTURA'!F924)</f>
        <v>50159</v>
      </c>
    </row>
    <row r="26" spans="1:3" x14ac:dyDescent="0.25">
      <c r="A26" s="15" t="s">
        <v>1708</v>
      </c>
      <c r="B26" s="3" t="s">
        <v>156</v>
      </c>
      <c r="C26" s="14">
        <f>SUM('1. ARHITEKTURA'!F932)</f>
        <v>2380</v>
      </c>
    </row>
    <row r="27" spans="1:3" x14ac:dyDescent="0.25">
      <c r="A27" s="15" t="s">
        <v>1709</v>
      </c>
      <c r="B27" s="3" t="s">
        <v>159</v>
      </c>
      <c r="C27" s="14">
        <f>SUM('1. ARHITEKTURA'!F953)</f>
        <v>35959.5</v>
      </c>
    </row>
    <row r="28" spans="1:3" x14ac:dyDescent="0.25">
      <c r="A28" s="15" t="s">
        <v>1710</v>
      </c>
      <c r="B28" s="3" t="s">
        <v>162</v>
      </c>
      <c r="C28" s="14">
        <f>SUM('1. ARHITEKTURA'!F987)</f>
        <v>50415</v>
      </c>
    </row>
    <row r="29" spans="1:3" x14ac:dyDescent="0.25">
      <c r="A29" s="15" t="s">
        <v>1711</v>
      </c>
      <c r="B29" s="3" t="s">
        <v>165</v>
      </c>
      <c r="C29" s="14">
        <f>SUM('1. ARHITEKTURA'!F1006)</f>
        <v>14500</v>
      </c>
    </row>
    <row r="30" spans="1:3" x14ac:dyDescent="0.25">
      <c r="A30" s="15" t="s">
        <v>1712</v>
      </c>
      <c r="B30" s="3" t="s">
        <v>168</v>
      </c>
      <c r="C30" s="14">
        <f>SUM('1. ARHITEKTURA'!F1065)</f>
        <v>15385</v>
      </c>
    </row>
    <row r="31" spans="1:3" x14ac:dyDescent="0.25">
      <c r="A31" s="15" t="s">
        <v>1713</v>
      </c>
      <c r="B31" s="3" t="s">
        <v>175</v>
      </c>
      <c r="C31" s="14">
        <f>SUM('1. ARHITEKTURA'!F1113)</f>
        <v>30289</v>
      </c>
    </row>
    <row r="32" spans="1:3" x14ac:dyDescent="0.25">
      <c r="A32" s="15" t="s">
        <v>1714</v>
      </c>
      <c r="B32" s="3" t="s">
        <v>180</v>
      </c>
      <c r="C32" s="14">
        <f>SUM('1. ARHITEKTURA'!F1138)</f>
        <v>21827.5</v>
      </c>
    </row>
    <row r="33" spans="1:3" x14ac:dyDescent="0.25">
      <c r="A33" s="15" t="s">
        <v>1715</v>
      </c>
      <c r="B33" s="3" t="s">
        <v>191</v>
      </c>
      <c r="C33" s="14">
        <f>SUM('1. ARHITEKTURA'!F1162)</f>
        <v>4500</v>
      </c>
    </row>
    <row r="34" spans="1:3" x14ac:dyDescent="0.25">
      <c r="A34" s="15" t="s">
        <v>1716</v>
      </c>
      <c r="B34" s="3" t="s">
        <v>200</v>
      </c>
      <c r="C34" s="14">
        <f>SUM('1. ARHITEKTURA'!F1208)</f>
        <v>32610</v>
      </c>
    </row>
    <row r="35" spans="1:3" x14ac:dyDescent="0.25">
      <c r="A35" s="15" t="s">
        <v>1717</v>
      </c>
      <c r="B35" s="3" t="s">
        <v>220</v>
      </c>
      <c r="C35" s="14">
        <f>SUM('1. ARHITEKTURA'!F1369)</f>
        <v>113787</v>
      </c>
    </row>
    <row r="36" spans="1:3" x14ac:dyDescent="0.25">
      <c r="A36" s="36" t="s">
        <v>1573</v>
      </c>
      <c r="B36" s="24" t="s">
        <v>2017</v>
      </c>
      <c r="C36" s="34">
        <f>SUM(C10:C35)</f>
        <v>1331660.72</v>
      </c>
    </row>
    <row r="37" spans="1:3" x14ac:dyDescent="0.25">
      <c r="A37" s="15"/>
      <c r="C37" s="14"/>
    </row>
    <row r="38" spans="1:3" ht="18" x14ac:dyDescent="0.35">
      <c r="A38" s="54" t="s">
        <v>1574</v>
      </c>
      <c r="B38" s="4" t="s">
        <v>1972</v>
      </c>
      <c r="C38" s="14"/>
    </row>
    <row r="39" spans="1:3" x14ac:dyDescent="0.25">
      <c r="A39" s="15" t="s">
        <v>1879</v>
      </c>
      <c r="B39" s="3" t="s">
        <v>10</v>
      </c>
      <c r="C39" s="14"/>
    </row>
    <row r="40" spans="1:3" x14ac:dyDescent="0.25">
      <c r="A40" s="15" t="s">
        <v>1880</v>
      </c>
      <c r="B40" s="3" t="s">
        <v>37</v>
      </c>
      <c r="C40" s="14">
        <f>SUM('1. ARHITEKTURA'!F1453)</f>
        <v>21035.200000000001</v>
      </c>
    </row>
    <row r="41" spans="1:3" x14ac:dyDescent="0.25">
      <c r="A41" s="15" t="s">
        <v>1896</v>
      </c>
      <c r="B41" s="3" t="s">
        <v>253</v>
      </c>
      <c r="C41" s="14">
        <f>SUM('1. ARHITEKTURA'!F1548)</f>
        <v>87242</v>
      </c>
    </row>
    <row r="42" spans="1:3" x14ac:dyDescent="0.25">
      <c r="A42" s="15" t="s">
        <v>1910</v>
      </c>
      <c r="B42" s="3" t="s">
        <v>62</v>
      </c>
      <c r="C42" s="14">
        <f>SUM('1. ARHITEKTURA'!F1579)</f>
        <v>5324</v>
      </c>
    </row>
    <row r="43" spans="1:3" x14ac:dyDescent="0.25">
      <c r="A43" s="15" t="s">
        <v>1917</v>
      </c>
      <c r="B43" s="3" t="s">
        <v>76</v>
      </c>
      <c r="C43" s="14">
        <f>SUM('1. ARHITEKTURA'!F1632)</f>
        <v>61260</v>
      </c>
    </row>
    <row r="44" spans="1:3" x14ac:dyDescent="0.25">
      <c r="A44" s="15" t="s">
        <v>1924</v>
      </c>
      <c r="B44" s="3" t="s">
        <v>92</v>
      </c>
      <c r="C44" s="14"/>
    </row>
    <row r="45" spans="1:3" x14ac:dyDescent="0.25">
      <c r="A45" s="15" t="s">
        <v>1933</v>
      </c>
      <c r="B45" s="3" t="s">
        <v>93</v>
      </c>
      <c r="C45" s="14">
        <f>SUM('1. ARHITEKTURA'!F1664)</f>
        <v>19101.400000000001</v>
      </c>
    </row>
    <row r="46" spans="1:3" x14ac:dyDescent="0.25">
      <c r="A46" s="15" t="s">
        <v>1934</v>
      </c>
      <c r="B46" s="3" t="s">
        <v>98</v>
      </c>
      <c r="C46" s="14">
        <f>SUM('1. ARHITEKTURA'!F1693)</f>
        <v>7774.7</v>
      </c>
    </row>
    <row r="47" spans="1:3" x14ac:dyDescent="0.25">
      <c r="A47" s="15" t="s">
        <v>1942</v>
      </c>
      <c r="B47" s="3" t="s">
        <v>281</v>
      </c>
      <c r="C47" s="14">
        <f>SUM('1. ARHITEKTURA'!F1705)</f>
        <v>3899</v>
      </c>
    </row>
    <row r="48" spans="1:3" x14ac:dyDescent="0.25">
      <c r="A48" s="15" t="s">
        <v>1944</v>
      </c>
      <c r="B48" s="3" t="s">
        <v>149</v>
      </c>
      <c r="C48" s="14">
        <f>SUM('1. ARHITEKTURA'!F1733)</f>
        <v>95810</v>
      </c>
    </row>
    <row r="49" spans="1:3" x14ac:dyDescent="0.25">
      <c r="A49" s="15" t="s">
        <v>1949</v>
      </c>
      <c r="B49" s="3" t="s">
        <v>287</v>
      </c>
      <c r="C49" s="14">
        <f>SUM('1. ARHITEKTURA'!F1749)</f>
        <v>18561</v>
      </c>
    </row>
    <row r="50" spans="1:3" x14ac:dyDescent="0.25">
      <c r="A50" s="15" t="s">
        <v>1952</v>
      </c>
      <c r="B50" s="3" t="s">
        <v>191</v>
      </c>
      <c r="C50" s="14">
        <f>SUM('1. ARHITEKTURA'!F1768)</f>
        <v>45600</v>
      </c>
    </row>
    <row r="51" spans="1:3" x14ac:dyDescent="0.25">
      <c r="A51" s="36" t="s">
        <v>1574</v>
      </c>
      <c r="B51" s="24" t="s">
        <v>2018</v>
      </c>
      <c r="C51" s="34">
        <f>SUM(C40:C50)</f>
        <v>365607.30000000005</v>
      </c>
    </row>
    <row r="52" spans="1:3" x14ac:dyDescent="0.25">
      <c r="A52" s="15"/>
      <c r="C52" s="14"/>
    </row>
    <row r="53" spans="1:3" ht="18" x14ac:dyDescent="0.35">
      <c r="A53" s="54" t="s">
        <v>1575</v>
      </c>
      <c r="B53" s="4" t="s">
        <v>2020</v>
      </c>
      <c r="C53" s="14"/>
    </row>
    <row r="54" spans="1:3" x14ac:dyDescent="0.25">
      <c r="A54" s="15" t="s">
        <v>1957</v>
      </c>
      <c r="B54" s="3" t="s">
        <v>10</v>
      </c>
      <c r="C54" s="14"/>
    </row>
    <row r="55" spans="1:3" x14ac:dyDescent="0.25">
      <c r="A55" s="15" t="s">
        <v>1958</v>
      </c>
      <c r="B55" s="3" t="s">
        <v>31</v>
      </c>
      <c r="C55" s="14">
        <f>SUM('1. ARHITEKTURA'!F1801)</f>
        <v>2840</v>
      </c>
    </row>
    <row r="56" spans="1:3" x14ac:dyDescent="0.25">
      <c r="A56" s="15" t="s">
        <v>1964</v>
      </c>
      <c r="B56" s="3" t="s">
        <v>37</v>
      </c>
      <c r="C56" s="14">
        <f>SUM('1. ARHITEKTURA'!F1829)</f>
        <v>14137.5</v>
      </c>
    </row>
    <row r="57" spans="1:3" x14ac:dyDescent="0.25">
      <c r="A57" s="15" t="s">
        <v>1980</v>
      </c>
      <c r="B57" s="3" t="s">
        <v>253</v>
      </c>
      <c r="C57" s="14">
        <f>SUM('1. ARHITEKTURA'!F1858)</f>
        <v>12320</v>
      </c>
    </row>
    <row r="58" spans="1:3" x14ac:dyDescent="0.25">
      <c r="A58" s="15" t="s">
        <v>1985</v>
      </c>
      <c r="B58" s="3" t="s">
        <v>92</v>
      </c>
      <c r="C58" s="14"/>
    </row>
    <row r="59" spans="1:3" x14ac:dyDescent="0.25">
      <c r="A59" s="15" t="s">
        <v>1986</v>
      </c>
      <c r="B59" s="3" t="s">
        <v>149</v>
      </c>
      <c r="C59" s="14">
        <f>SUM('1. ARHITEKTURA'!F1874)</f>
        <v>10000</v>
      </c>
    </row>
    <row r="60" spans="1:3" x14ac:dyDescent="0.25">
      <c r="A60" s="36" t="s">
        <v>1575</v>
      </c>
      <c r="B60" s="24" t="s">
        <v>2019</v>
      </c>
      <c r="C60" s="34">
        <f>SUM(C55:C59)</f>
        <v>39297.5</v>
      </c>
    </row>
    <row r="61" spans="1:3" x14ac:dyDescent="0.25">
      <c r="A61" s="15"/>
      <c r="C61" s="14"/>
    </row>
    <row r="62" spans="1:3" s="53" customFormat="1" ht="18" x14ac:dyDescent="0.35">
      <c r="A62" s="63" t="s">
        <v>1</v>
      </c>
      <c r="B62" s="56" t="s">
        <v>1973</v>
      </c>
      <c r="C62" s="57">
        <f>SUM(C60,C51,C36)</f>
        <v>1736565.52</v>
      </c>
    </row>
    <row r="63" spans="1:3" x14ac:dyDescent="0.25">
      <c r="A63" s="15"/>
      <c r="C63" s="14"/>
    </row>
    <row r="64" spans="1:3" x14ac:dyDescent="0.25">
      <c r="A64" s="15"/>
      <c r="C64" s="14"/>
    </row>
    <row r="65" spans="1:3" ht="18" x14ac:dyDescent="0.35">
      <c r="A65" s="50" t="s">
        <v>305</v>
      </c>
      <c r="B65" s="51" t="s">
        <v>306</v>
      </c>
      <c r="C65" s="33"/>
    </row>
    <row r="66" spans="1:3" x14ac:dyDescent="0.25">
      <c r="A66" s="18"/>
      <c r="B66" s="19"/>
      <c r="C66" s="20"/>
    </row>
    <row r="67" spans="1:3" x14ac:dyDescent="0.25">
      <c r="A67" s="15" t="s">
        <v>2035</v>
      </c>
      <c r="B67" s="19" t="s">
        <v>307</v>
      </c>
      <c r="C67" s="20"/>
    </row>
    <row r="68" spans="1:3" x14ac:dyDescent="0.25">
      <c r="A68" s="15" t="s">
        <v>2057</v>
      </c>
      <c r="B68" s="3" t="s">
        <v>308</v>
      </c>
      <c r="C68" s="14">
        <f>SUM('2. ELEKTRO'!F121)</f>
        <v>6699.39</v>
      </c>
    </row>
    <row r="69" spans="1:3" x14ac:dyDescent="0.25">
      <c r="A69" s="15" t="s">
        <v>2058</v>
      </c>
      <c r="B69" s="3" t="s">
        <v>364</v>
      </c>
      <c r="C69" s="14">
        <f>SUM('2. ELEKTRO'!F138)</f>
        <v>8742</v>
      </c>
    </row>
    <row r="70" spans="1:3" x14ac:dyDescent="0.25">
      <c r="A70" s="15" t="s">
        <v>2060</v>
      </c>
      <c r="B70" s="3" t="s">
        <v>369</v>
      </c>
      <c r="C70" s="14">
        <f>SUM('2. ELEKTRO'!F145)</f>
        <v>330</v>
      </c>
    </row>
    <row r="71" spans="1:3" x14ac:dyDescent="0.25">
      <c r="A71" s="15"/>
      <c r="C71" s="14"/>
    </row>
    <row r="72" spans="1:3" s="53" customFormat="1" ht="18" x14ac:dyDescent="0.35">
      <c r="A72" s="64" t="s">
        <v>2428</v>
      </c>
      <c r="B72" s="56" t="s">
        <v>2070</v>
      </c>
      <c r="C72" s="57">
        <f>SUM(C68:C71)</f>
        <v>15771.39</v>
      </c>
    </row>
    <row r="73" spans="1:3" x14ac:dyDescent="0.25">
      <c r="A73" s="15"/>
      <c r="C73" s="14"/>
    </row>
    <row r="74" spans="1:3" x14ac:dyDescent="0.25">
      <c r="A74" s="15" t="s">
        <v>2062</v>
      </c>
      <c r="B74" s="19" t="s">
        <v>373</v>
      </c>
      <c r="C74" s="14"/>
    </row>
    <row r="75" spans="1:3" x14ac:dyDescent="0.25">
      <c r="A75" s="15" t="s">
        <v>2063</v>
      </c>
      <c r="B75" s="3" t="s">
        <v>374</v>
      </c>
      <c r="C75" s="14">
        <f>SUM('2. ELEKTRO'!F591)</f>
        <v>95770.950000000012</v>
      </c>
    </row>
    <row r="76" spans="1:3" x14ac:dyDescent="0.25">
      <c r="A76" s="15" t="s">
        <v>2227</v>
      </c>
      <c r="B76" s="3" t="s">
        <v>567</v>
      </c>
      <c r="C76" s="14">
        <f>SUM('2. ELEKTRO'!F624)</f>
        <v>5433.55</v>
      </c>
    </row>
    <row r="77" spans="1:3" x14ac:dyDescent="0.25">
      <c r="A77" s="15" t="s">
        <v>2241</v>
      </c>
      <c r="B77" s="3" t="s">
        <v>585</v>
      </c>
      <c r="C77" s="14">
        <f>SUM('2. ELEKTRO'!F660)</f>
        <v>5906.21</v>
      </c>
    </row>
    <row r="78" spans="1:3" x14ac:dyDescent="0.25">
      <c r="A78" s="15" t="s">
        <v>2243</v>
      </c>
      <c r="B78" s="3" t="s">
        <v>603</v>
      </c>
      <c r="C78" s="14">
        <f>SUM('2. ELEKTRO'!F786)</f>
        <v>40868.120000000003</v>
      </c>
    </row>
    <row r="79" spans="1:3" x14ac:dyDescent="0.25">
      <c r="A79" s="15" t="s">
        <v>2296</v>
      </c>
      <c r="B79" s="3" t="s">
        <v>621</v>
      </c>
      <c r="C79" s="14">
        <f>SUM('2. ELEKTRO'!F836)</f>
        <v>6862</v>
      </c>
    </row>
    <row r="80" spans="1:3" x14ac:dyDescent="0.25">
      <c r="A80" s="15" t="s">
        <v>2320</v>
      </c>
      <c r="B80" s="3" t="s">
        <v>646</v>
      </c>
      <c r="C80" s="14">
        <f>SUM('2. ELEKTRO'!F865)</f>
        <v>9510.6</v>
      </c>
    </row>
    <row r="81" spans="1:3" x14ac:dyDescent="0.25">
      <c r="A81" s="15" t="s">
        <v>2331</v>
      </c>
      <c r="B81" s="3" t="s">
        <v>656</v>
      </c>
      <c r="C81" s="14">
        <f>SUM('2. ELEKTRO'!F881)</f>
        <v>2700</v>
      </c>
    </row>
    <row r="82" spans="1:3" x14ac:dyDescent="0.25">
      <c r="A82" s="15" t="s">
        <v>2333</v>
      </c>
      <c r="B82" s="3" t="s">
        <v>669</v>
      </c>
      <c r="C82" s="14">
        <f>SUM('2. ELEKTRO'!F887)</f>
        <v>500</v>
      </c>
    </row>
    <row r="83" spans="1:3" x14ac:dyDescent="0.25">
      <c r="A83" s="15" t="s">
        <v>2337</v>
      </c>
      <c r="B83" s="3" t="s">
        <v>671</v>
      </c>
      <c r="C83" s="14">
        <f>SUM('2. ELEKTRO'!F954)</f>
        <v>18033</v>
      </c>
    </row>
    <row r="84" spans="1:3" x14ac:dyDescent="0.25">
      <c r="A84" s="15" t="s">
        <v>2338</v>
      </c>
      <c r="B84" s="3" t="s">
        <v>715</v>
      </c>
      <c r="C84" s="14">
        <f>SUM('2. ELEKTRO'!F1008)</f>
        <v>4145</v>
      </c>
    </row>
    <row r="85" spans="1:3" x14ac:dyDescent="0.25">
      <c r="A85" s="15"/>
      <c r="C85" s="14"/>
    </row>
    <row r="86" spans="1:3" x14ac:dyDescent="0.25">
      <c r="A86" s="42"/>
      <c r="B86" s="24" t="s">
        <v>2072</v>
      </c>
      <c r="C86" s="34">
        <f>SUM(C75:C85)</f>
        <v>189729.43000000002</v>
      </c>
    </row>
    <row r="87" spans="1:3" x14ac:dyDescent="0.25">
      <c r="A87" s="15"/>
      <c r="C87" s="14"/>
    </row>
    <row r="88" spans="1:3" x14ac:dyDescent="0.25">
      <c r="A88" s="15" t="s">
        <v>2069</v>
      </c>
      <c r="B88" s="19" t="s">
        <v>748</v>
      </c>
      <c r="C88" s="14"/>
    </row>
    <row r="89" spans="1:3" x14ac:dyDescent="0.25">
      <c r="A89" s="15" t="s">
        <v>2413</v>
      </c>
      <c r="B89" s="3" t="s">
        <v>749</v>
      </c>
      <c r="C89" s="14">
        <f>SUM('2. ELEKTRO'!F1088)</f>
        <v>15052.25</v>
      </c>
    </row>
    <row r="90" spans="1:3" x14ac:dyDescent="0.25">
      <c r="A90" s="15"/>
      <c r="C90" s="14"/>
    </row>
    <row r="91" spans="1:3" x14ac:dyDescent="0.25">
      <c r="A91" s="42"/>
      <c r="B91" s="24" t="s">
        <v>2073</v>
      </c>
      <c r="C91" s="34">
        <f>SUM(C89:C90)</f>
        <v>15052.25</v>
      </c>
    </row>
    <row r="92" spans="1:3" x14ac:dyDescent="0.25">
      <c r="A92" s="15"/>
      <c r="B92" s="19"/>
      <c r="C92" s="14"/>
    </row>
    <row r="93" spans="1:3" ht="18" x14ac:dyDescent="0.35">
      <c r="A93" s="55" t="s">
        <v>305</v>
      </c>
      <c r="B93" s="56" t="s">
        <v>2429</v>
      </c>
      <c r="C93" s="65">
        <f>SUM(C91,C86)</f>
        <v>204781.68000000002</v>
      </c>
    </row>
    <row r="94" spans="1:3" x14ac:dyDescent="0.25">
      <c r="A94" s="15"/>
      <c r="C94" s="14"/>
    </row>
    <row r="95" spans="1:3" x14ac:dyDescent="0.25">
      <c r="A95" s="15"/>
      <c r="C95" s="14"/>
    </row>
    <row r="96" spans="1:3" ht="18" x14ac:dyDescent="0.35">
      <c r="A96" s="50" t="s">
        <v>781</v>
      </c>
      <c r="B96" s="51" t="s">
        <v>2412</v>
      </c>
      <c r="C96" s="33"/>
    </row>
    <row r="97" spans="1:3" x14ac:dyDescent="0.25">
      <c r="A97" s="18"/>
      <c r="B97" s="19"/>
      <c r="C97" s="20"/>
    </row>
    <row r="98" spans="1:3" x14ac:dyDescent="0.25">
      <c r="A98" s="15" t="s">
        <v>782</v>
      </c>
      <c r="B98" s="3" t="s">
        <v>783</v>
      </c>
      <c r="C98" s="14">
        <f>SUM('3. STROJARSKI'!F51)</f>
        <v>48870</v>
      </c>
    </row>
    <row r="99" spans="1:3" x14ac:dyDescent="0.25">
      <c r="A99" s="15" t="s">
        <v>818</v>
      </c>
      <c r="B99" s="3" t="s">
        <v>819</v>
      </c>
      <c r="C99" s="14">
        <f>SUM('3. STROJARSKI'!F122)</f>
        <v>17915</v>
      </c>
    </row>
    <row r="100" spans="1:3" x14ac:dyDescent="0.25">
      <c r="A100" s="15" t="s">
        <v>874</v>
      </c>
      <c r="B100" s="3" t="s">
        <v>875</v>
      </c>
      <c r="C100" s="14">
        <f>SUM('3. STROJARSKI'!F128)</f>
        <v>5600</v>
      </c>
    </row>
    <row r="101" spans="1:3" x14ac:dyDescent="0.25">
      <c r="A101" s="15" t="s">
        <v>878</v>
      </c>
      <c r="B101" s="3" t="s">
        <v>879</v>
      </c>
      <c r="C101" s="14">
        <f>SUM('3. STROJARSKI'!F186)</f>
        <v>8672</v>
      </c>
    </row>
    <row r="102" spans="1:3" x14ac:dyDescent="0.25">
      <c r="A102" s="15" t="s">
        <v>920</v>
      </c>
      <c r="B102" s="3" t="s">
        <v>921</v>
      </c>
      <c r="C102" s="14">
        <f>SUM('3. STROJARSKI'!F257)</f>
        <v>40400</v>
      </c>
    </row>
    <row r="103" spans="1:3" x14ac:dyDescent="0.25">
      <c r="A103" s="15" t="s">
        <v>967</v>
      </c>
      <c r="B103" s="3" t="s">
        <v>968</v>
      </c>
      <c r="C103" s="14">
        <f>SUM('3. STROJARSKI'!F301)</f>
        <v>15130</v>
      </c>
    </row>
    <row r="104" spans="1:3" x14ac:dyDescent="0.25">
      <c r="A104" s="15" t="s">
        <v>999</v>
      </c>
      <c r="B104" s="3" t="s">
        <v>1000</v>
      </c>
      <c r="C104" s="14">
        <f>SUM('3. STROJARSKI'!F377)</f>
        <v>38315</v>
      </c>
    </row>
    <row r="105" spans="1:3" x14ac:dyDescent="0.25">
      <c r="A105" s="15" t="s">
        <v>1045</v>
      </c>
      <c r="B105" s="3" t="s">
        <v>1046</v>
      </c>
      <c r="C105" s="14">
        <f>SUM('3. STROJARSKI'!F436)</f>
        <v>21290</v>
      </c>
    </row>
    <row r="106" spans="1:3" x14ac:dyDescent="0.25">
      <c r="A106" s="15" t="s">
        <v>1086</v>
      </c>
      <c r="B106" s="3" t="s">
        <v>1087</v>
      </c>
      <c r="C106" s="14">
        <f>SUM('3. STROJARSKI'!F469)</f>
        <v>2470</v>
      </c>
    </row>
    <row r="107" spans="1:3" x14ac:dyDescent="0.25">
      <c r="A107" s="15" t="s">
        <v>1107</v>
      </c>
      <c r="B107" s="3" t="s">
        <v>1108</v>
      </c>
      <c r="C107" s="14">
        <f>SUM('3. STROJARSKI'!F496)</f>
        <v>9167</v>
      </c>
    </row>
    <row r="108" spans="1:3" x14ac:dyDescent="0.25">
      <c r="A108" s="15" t="s">
        <v>1125</v>
      </c>
      <c r="B108" s="3" t="s">
        <v>1126</v>
      </c>
      <c r="C108" s="14">
        <f>SUM('3. STROJARSKI'!F529)</f>
        <v>15950</v>
      </c>
    </row>
    <row r="109" spans="1:3" x14ac:dyDescent="0.25">
      <c r="A109" s="15" t="s">
        <v>1154</v>
      </c>
      <c r="B109" s="3" t="s">
        <v>1155</v>
      </c>
      <c r="C109" s="14">
        <f>SUM('3. STROJARSKI'!F549)</f>
        <v>1800</v>
      </c>
    </row>
    <row r="110" spans="1:3" x14ac:dyDescent="0.25">
      <c r="A110" s="15"/>
      <c r="C110" s="14"/>
    </row>
    <row r="111" spans="1:3" s="53" customFormat="1" ht="18" x14ac:dyDescent="0.35">
      <c r="A111" s="63" t="s">
        <v>781</v>
      </c>
      <c r="B111" s="56" t="s">
        <v>2415</v>
      </c>
      <c r="C111" s="65">
        <f>SUM(C98:C110)</f>
        <v>225579</v>
      </c>
    </row>
    <row r="112" spans="1:3" x14ac:dyDescent="0.25">
      <c r="A112" s="15"/>
      <c r="C112" s="14"/>
    </row>
    <row r="113" spans="1:3" x14ac:dyDescent="0.25">
      <c r="A113" s="15"/>
      <c r="C113" s="14"/>
    </row>
    <row r="114" spans="1:3" ht="18" x14ac:dyDescent="0.35">
      <c r="A114" s="50" t="s">
        <v>1163</v>
      </c>
      <c r="B114" s="51" t="s">
        <v>1164</v>
      </c>
      <c r="C114" s="33"/>
    </row>
    <row r="115" spans="1:3" x14ac:dyDescent="0.25">
      <c r="A115" s="18"/>
      <c r="B115" s="19"/>
      <c r="C115" s="20"/>
    </row>
    <row r="116" spans="1:3" x14ac:dyDescent="0.25">
      <c r="A116" s="15" t="s">
        <v>2438</v>
      </c>
      <c r="B116" s="3" t="s">
        <v>1165</v>
      </c>
      <c r="C116" s="14"/>
    </row>
    <row r="117" spans="1:3" x14ac:dyDescent="0.25">
      <c r="A117" s="15" t="s">
        <v>2439</v>
      </c>
      <c r="B117" s="3" t="s">
        <v>1166</v>
      </c>
      <c r="C117" s="14">
        <f>SUM('4. VODOVOD I KANALIZACIJA'!F30)</f>
        <v>12026</v>
      </c>
    </row>
    <row r="118" spans="1:3" x14ac:dyDescent="0.25">
      <c r="A118" s="15" t="s">
        <v>2481</v>
      </c>
      <c r="B118" s="3" t="s">
        <v>1176</v>
      </c>
      <c r="C118" s="14">
        <f>SUM('4. VODOVOD I KANALIZACIJA'!F54)</f>
        <v>6775</v>
      </c>
    </row>
    <row r="119" spans="1:3" x14ac:dyDescent="0.25">
      <c r="A119" s="15" t="s">
        <v>2491</v>
      </c>
      <c r="B119" s="3" t="s">
        <v>1185</v>
      </c>
      <c r="C119" s="14">
        <f>SUM('4. VODOVOD I KANALIZACIJA'!F71)</f>
        <v>4400</v>
      </c>
    </row>
    <row r="120" spans="1:3" x14ac:dyDescent="0.25">
      <c r="A120" s="15" t="s">
        <v>2498</v>
      </c>
      <c r="B120" s="3" t="s">
        <v>1191</v>
      </c>
      <c r="C120" s="14">
        <f>SUM('4. VODOVOD I KANALIZACIJA'!F82)</f>
        <v>10100</v>
      </c>
    </row>
    <row r="121" spans="1:3" x14ac:dyDescent="0.25">
      <c r="A121" s="15" t="s">
        <v>2501</v>
      </c>
      <c r="B121" s="3" t="s">
        <v>1198</v>
      </c>
      <c r="C121" s="14">
        <f>SUM('4. VODOVOD I KANALIZACIJA'!F112)</f>
        <v>12550</v>
      </c>
    </row>
    <row r="122" spans="1:3" x14ac:dyDescent="0.25">
      <c r="A122" s="15" t="s">
        <v>2512</v>
      </c>
      <c r="B122" s="3" t="s">
        <v>1210</v>
      </c>
      <c r="C122" s="14">
        <f>SUM('4. VODOVOD I KANALIZACIJA'!F138)</f>
        <v>20845</v>
      </c>
    </row>
    <row r="123" spans="1:3" x14ac:dyDescent="0.25">
      <c r="A123" s="15" t="s">
        <v>2518</v>
      </c>
      <c r="B123" s="3" t="s">
        <v>1219</v>
      </c>
      <c r="C123" s="14">
        <f>SUM('4. VODOVOD I KANALIZACIJA'!F144)</f>
        <v>500</v>
      </c>
    </row>
    <row r="124" spans="1:3" x14ac:dyDescent="0.25">
      <c r="A124" s="15" t="s">
        <v>2474</v>
      </c>
      <c r="B124" s="3" t="s">
        <v>1223</v>
      </c>
      <c r="C124" s="14"/>
    </row>
    <row r="125" spans="1:3" x14ac:dyDescent="0.25">
      <c r="A125" s="15" t="s">
        <v>2520</v>
      </c>
      <c r="B125" s="3" t="s">
        <v>1224</v>
      </c>
      <c r="C125" s="14">
        <f>SUM('4. VODOVOD I KANALIZACIJA'!F157)</f>
        <v>750</v>
      </c>
    </row>
    <row r="126" spans="1:3" x14ac:dyDescent="0.25">
      <c r="A126" s="15" t="s">
        <v>2522</v>
      </c>
      <c r="B126" s="3" t="s">
        <v>1228</v>
      </c>
      <c r="C126" s="14">
        <f>SUM('4. VODOVOD I KANALIZACIJA'!F212)</f>
        <v>14465</v>
      </c>
    </row>
    <row r="127" spans="1:3" x14ac:dyDescent="0.25">
      <c r="A127" s="15" t="s">
        <v>2540</v>
      </c>
      <c r="B127" s="3" t="s">
        <v>1219</v>
      </c>
      <c r="C127" s="14">
        <f>SUM('4. VODOVOD I KANALIZACIJA'!F218)</f>
        <v>500</v>
      </c>
    </row>
    <row r="128" spans="1:3" x14ac:dyDescent="0.25">
      <c r="A128" s="15" t="s">
        <v>2542</v>
      </c>
      <c r="B128" s="3" t="s">
        <v>1255</v>
      </c>
      <c r="C128" s="14"/>
    </row>
    <row r="129" spans="1:3" x14ac:dyDescent="0.25">
      <c r="A129" s="15" t="s">
        <v>2543</v>
      </c>
      <c r="B129" s="3" t="s">
        <v>1256</v>
      </c>
      <c r="C129" s="14">
        <f>SUM('4. VODOVOD I KANALIZACIJA'!F231)</f>
        <v>700</v>
      </c>
    </row>
    <row r="130" spans="1:3" x14ac:dyDescent="0.25">
      <c r="A130" s="15" t="s">
        <v>2545</v>
      </c>
      <c r="B130" s="3" t="s">
        <v>1198</v>
      </c>
      <c r="C130" s="14">
        <f>SUM('4. VODOVOD I KANALIZACIJA'!F285)</f>
        <v>10517</v>
      </c>
    </row>
    <row r="131" spans="1:3" x14ac:dyDescent="0.25">
      <c r="A131" s="15" t="s">
        <v>2562</v>
      </c>
      <c r="B131" s="3" t="s">
        <v>1219</v>
      </c>
      <c r="C131" s="14">
        <f>SUM('4. VODOVOD I KANALIZACIJA'!F291)</f>
        <v>500</v>
      </c>
    </row>
    <row r="132" spans="1:3" x14ac:dyDescent="0.25">
      <c r="A132" s="15" t="s">
        <v>2564</v>
      </c>
      <c r="B132" s="3" t="s">
        <v>1285</v>
      </c>
      <c r="C132" s="14">
        <f>SUM('4. VODOVOD I KANALIZACIJA'!F322)</f>
        <v>25210</v>
      </c>
    </row>
    <row r="133" spans="1:3" x14ac:dyDescent="0.25">
      <c r="A133" s="15" t="s">
        <v>2572</v>
      </c>
      <c r="B133" s="3" t="s">
        <v>669</v>
      </c>
      <c r="C133" s="14">
        <f>SUM('4. VODOVOD I KANALIZACIJA'!F335)</f>
        <v>1500</v>
      </c>
    </row>
    <row r="134" spans="1:3" x14ac:dyDescent="0.25">
      <c r="A134" s="15"/>
      <c r="C134" s="14"/>
    </row>
    <row r="135" spans="1:3" ht="18" x14ac:dyDescent="0.35">
      <c r="A135" s="55" t="s">
        <v>1163</v>
      </c>
      <c r="B135" s="56" t="s">
        <v>2435</v>
      </c>
      <c r="C135" s="65">
        <f>SUM(C117:C133)</f>
        <v>121338</v>
      </c>
    </row>
    <row r="136" spans="1:3" x14ac:dyDescent="0.25">
      <c r="A136" s="15"/>
      <c r="C136" s="14"/>
    </row>
    <row r="137" spans="1:3" x14ac:dyDescent="0.25">
      <c r="A137" s="15"/>
      <c r="C137" s="14"/>
    </row>
    <row r="138" spans="1:3" ht="18" x14ac:dyDescent="0.35">
      <c r="A138" s="50" t="s">
        <v>1297</v>
      </c>
      <c r="B138" s="51" t="s">
        <v>1298</v>
      </c>
      <c r="C138" s="33"/>
    </row>
    <row r="139" spans="1:3" x14ac:dyDescent="0.25">
      <c r="A139" s="18"/>
      <c r="B139" s="19"/>
      <c r="C139" s="20"/>
    </row>
    <row r="140" spans="1:3" x14ac:dyDescent="0.25">
      <c r="A140" s="15" t="s">
        <v>1299</v>
      </c>
      <c r="B140" s="3" t="s">
        <v>1300</v>
      </c>
      <c r="C140" s="14">
        <f>SUM('5. SPRINKLER'!F110)</f>
        <v>31092.740000000009</v>
      </c>
    </row>
    <row r="141" spans="1:3" x14ac:dyDescent="0.25">
      <c r="A141" s="15" t="s">
        <v>1350</v>
      </c>
      <c r="B141" s="3" t="s">
        <v>1351</v>
      </c>
      <c r="C141" s="14">
        <f>SUM('5. SPRINKLER'!F150)</f>
        <v>7710.95</v>
      </c>
    </row>
    <row r="142" spans="1:3" x14ac:dyDescent="0.25">
      <c r="A142" s="15" t="s">
        <v>1369</v>
      </c>
      <c r="B142" s="3" t="s">
        <v>1370</v>
      </c>
      <c r="C142" s="14">
        <f>SUM('5. SPRINKLER'!F228)</f>
        <v>23529.09</v>
      </c>
    </row>
    <row r="143" spans="1:3" x14ac:dyDescent="0.25">
      <c r="A143" s="15" t="s">
        <v>1414</v>
      </c>
      <c r="B143" s="3" t="s">
        <v>1415</v>
      </c>
      <c r="C143" s="14">
        <f>SUM('5. SPRINKLER'!F282)</f>
        <v>14171.53</v>
      </c>
    </row>
    <row r="144" spans="1:3" x14ac:dyDescent="0.25">
      <c r="A144" s="15"/>
      <c r="C144" s="14"/>
    </row>
    <row r="145" spans="1:3" ht="18" x14ac:dyDescent="0.35">
      <c r="A145" s="55" t="s">
        <v>1297</v>
      </c>
      <c r="B145" s="56" t="s">
        <v>2436</v>
      </c>
      <c r="C145" s="65">
        <f>SUM(C140:C144)</f>
        <v>76504.310000000012</v>
      </c>
    </row>
    <row r="146" spans="1:3" x14ac:dyDescent="0.25">
      <c r="A146" s="15"/>
      <c r="C146" s="14"/>
    </row>
    <row r="147" spans="1:3" x14ac:dyDescent="0.25">
      <c r="A147" s="15"/>
      <c r="C147" s="14"/>
    </row>
    <row r="148" spans="1:3" ht="18" x14ac:dyDescent="0.35">
      <c r="A148" s="50" t="s">
        <v>1440</v>
      </c>
      <c r="B148" s="51" t="s">
        <v>1441</v>
      </c>
      <c r="C148" s="33"/>
    </row>
    <row r="149" spans="1:3" x14ac:dyDescent="0.25">
      <c r="A149" s="18"/>
      <c r="B149" s="19"/>
      <c r="C149" s="20"/>
    </row>
    <row r="150" spans="1:3" x14ac:dyDescent="0.25">
      <c r="A150" s="15" t="s">
        <v>2577</v>
      </c>
      <c r="B150" s="3" t="s">
        <v>2110</v>
      </c>
      <c r="C150" s="14">
        <f>SUM('6. DIZALA'!F56)</f>
        <v>29000</v>
      </c>
    </row>
    <row r="151" spans="1:3" x14ac:dyDescent="0.25">
      <c r="A151" s="15" t="s">
        <v>2578</v>
      </c>
      <c r="B151" s="3" t="s">
        <v>2118</v>
      </c>
      <c r="C151" s="14">
        <f>SUM('6. DIZALA'!F70)</f>
        <v>16000</v>
      </c>
    </row>
    <row r="152" spans="1:3" x14ac:dyDescent="0.25">
      <c r="A152" s="15"/>
      <c r="C152" s="20"/>
    </row>
    <row r="153" spans="1:3" ht="18" x14ac:dyDescent="0.35">
      <c r="A153" s="55" t="s">
        <v>1440</v>
      </c>
      <c r="B153" s="56" t="s">
        <v>2580</v>
      </c>
      <c r="C153" s="65">
        <f>SUM(C150:C152)</f>
        <v>45000</v>
      </c>
    </row>
    <row r="154" spans="1:3" x14ac:dyDescent="0.25">
      <c r="A154" s="18"/>
      <c r="B154" s="19"/>
      <c r="C154" s="20"/>
    </row>
    <row r="155" spans="1:3" x14ac:dyDescent="0.25">
      <c r="A155" s="18"/>
      <c r="B155" s="19"/>
      <c r="C155" s="20"/>
    </row>
    <row r="156" spans="1:3" ht="18" x14ac:dyDescent="0.35">
      <c r="A156" s="50" t="s">
        <v>1443</v>
      </c>
      <c r="B156" s="51" t="s">
        <v>1444</v>
      </c>
      <c r="C156" s="33"/>
    </row>
    <row r="157" spans="1:3" x14ac:dyDescent="0.25">
      <c r="A157" s="18"/>
      <c r="B157" s="19"/>
      <c r="C157" s="20"/>
    </row>
    <row r="158" spans="1:3" x14ac:dyDescent="0.25">
      <c r="A158" s="15" t="s">
        <v>1445</v>
      </c>
      <c r="B158" s="3" t="s">
        <v>31</v>
      </c>
      <c r="C158" s="14">
        <f>SUM('7. PRISTUPNI PUT'!F22)</f>
        <v>3270</v>
      </c>
    </row>
    <row r="159" spans="1:3" x14ac:dyDescent="0.25">
      <c r="A159" s="15" t="s">
        <v>1458</v>
      </c>
      <c r="B159" s="3" t="s">
        <v>37</v>
      </c>
      <c r="C159" s="14">
        <f>SUM('7. PRISTUPNI PUT'!F46)</f>
        <v>8945</v>
      </c>
    </row>
    <row r="160" spans="1:3" x14ac:dyDescent="0.25">
      <c r="A160" s="15" t="s">
        <v>1478</v>
      </c>
      <c r="B160" s="3" t="s">
        <v>1479</v>
      </c>
      <c r="C160" s="14">
        <f>SUM('7. PRISTUPNI PUT'!F68)</f>
        <v>22050</v>
      </c>
    </row>
    <row r="161" spans="1:3" x14ac:dyDescent="0.25">
      <c r="A161" s="15" t="s">
        <v>1496</v>
      </c>
      <c r="B161" s="3" t="s">
        <v>669</v>
      </c>
      <c r="C161" s="14">
        <f>SUM('7. PRISTUPNI PUT'!F102)</f>
        <v>9589.52</v>
      </c>
    </row>
    <row r="162" spans="1:3" x14ac:dyDescent="0.25">
      <c r="A162" s="15"/>
      <c r="C162" s="14"/>
    </row>
    <row r="163" spans="1:3" ht="18" x14ac:dyDescent="0.35">
      <c r="A163" s="55" t="s">
        <v>1443</v>
      </c>
      <c r="B163" s="56" t="s">
        <v>2437</v>
      </c>
      <c r="C163" s="65">
        <f>SUM(C158:C162)</f>
        <v>43854.520000000004</v>
      </c>
    </row>
    <row r="164" spans="1:3" x14ac:dyDescent="0.25">
      <c r="A164" s="15"/>
      <c r="C164" s="14"/>
    </row>
    <row r="165" spans="1:3" x14ac:dyDescent="0.25">
      <c r="A165" s="15"/>
      <c r="C165" s="14"/>
    </row>
    <row r="166" spans="1:3" ht="18" x14ac:dyDescent="0.35">
      <c r="A166" s="50" t="s">
        <v>1525</v>
      </c>
      <c r="B166" s="51" t="s">
        <v>1526</v>
      </c>
      <c r="C166" s="33"/>
    </row>
    <row r="167" spans="1:3" x14ac:dyDescent="0.25">
      <c r="A167" s="18"/>
      <c r="B167" s="19"/>
      <c r="C167" s="20"/>
    </row>
    <row r="168" spans="1:3" x14ac:dyDescent="0.25">
      <c r="A168" s="15" t="s">
        <v>2596</v>
      </c>
      <c r="B168" s="3" t="s">
        <v>2134</v>
      </c>
      <c r="C168" s="14">
        <f>SUM('8. GEOMEHANIKA'!F11)</f>
        <v>300</v>
      </c>
    </row>
    <row r="169" spans="1:3" x14ac:dyDescent="0.25">
      <c r="A169" s="15" t="s">
        <v>2597</v>
      </c>
      <c r="B169" s="3" t="s">
        <v>2137</v>
      </c>
      <c r="C169" s="14">
        <f>SUM('8. GEOMEHANIKA'!F21)</f>
        <v>2500</v>
      </c>
    </row>
    <row r="170" spans="1:3" x14ac:dyDescent="0.25">
      <c r="A170" s="15" t="s">
        <v>2598</v>
      </c>
      <c r="B170" s="3" t="s">
        <v>2142</v>
      </c>
      <c r="C170" s="14">
        <f>SUM('8. GEOMEHANIKA'!F28)</f>
        <v>1250</v>
      </c>
    </row>
    <row r="171" spans="1:3" x14ac:dyDescent="0.25">
      <c r="A171" s="15" t="s">
        <v>2587</v>
      </c>
      <c r="B171" s="3" t="s">
        <v>2145</v>
      </c>
      <c r="C171" s="14">
        <f>SUM('8. GEOMEHANIKA'!F34)</f>
        <v>1000</v>
      </c>
    </row>
    <row r="173" spans="1:3" ht="18" x14ac:dyDescent="0.35">
      <c r="A173" s="55" t="s">
        <v>1525</v>
      </c>
      <c r="B173" s="56" t="s">
        <v>2599</v>
      </c>
      <c r="C173" s="65">
        <f>SUM(C168:C172)</f>
        <v>5050</v>
      </c>
    </row>
    <row r="176" spans="1:3" ht="18" x14ac:dyDescent="0.35">
      <c r="A176" s="58" t="s">
        <v>1</v>
      </c>
      <c r="B176" s="51" t="s">
        <v>2419</v>
      </c>
      <c r="C176" s="62">
        <f>SUM(C62)</f>
        <v>1736565.52</v>
      </c>
    </row>
    <row r="177" spans="1:3" s="53" customFormat="1" ht="18" x14ac:dyDescent="0.35">
      <c r="A177" s="58" t="s">
        <v>305</v>
      </c>
      <c r="B177" s="51" t="s">
        <v>2420</v>
      </c>
      <c r="C177" s="62">
        <f>SUM(C86,C91)</f>
        <v>204781.68000000002</v>
      </c>
    </row>
    <row r="178" spans="1:3" s="53" customFormat="1" ht="18" x14ac:dyDescent="0.35">
      <c r="A178" s="58" t="s">
        <v>781</v>
      </c>
      <c r="B178" s="51" t="s">
        <v>2421</v>
      </c>
      <c r="C178" s="62">
        <f>SUM(C111)</f>
        <v>225579</v>
      </c>
    </row>
    <row r="179" spans="1:3" s="53" customFormat="1" ht="18" x14ac:dyDescent="0.35">
      <c r="A179" s="58" t="s">
        <v>1163</v>
      </c>
      <c r="B179" s="51" t="s">
        <v>2422</v>
      </c>
      <c r="C179" s="62">
        <f>SUM(C135)</f>
        <v>121338</v>
      </c>
    </row>
    <row r="180" spans="1:3" s="53" customFormat="1" ht="18" x14ac:dyDescent="0.35">
      <c r="A180" s="58" t="s">
        <v>1297</v>
      </c>
      <c r="B180" s="51" t="s">
        <v>2423</v>
      </c>
      <c r="C180" s="62">
        <f>SUM(C145)</f>
        <v>76504.310000000012</v>
      </c>
    </row>
    <row r="181" spans="1:3" s="53" customFormat="1" ht="18" x14ac:dyDescent="0.35">
      <c r="A181" s="58" t="s">
        <v>1440</v>
      </c>
      <c r="B181" s="51" t="s">
        <v>2424</v>
      </c>
      <c r="C181" s="62">
        <f>SUM(C153)</f>
        <v>45000</v>
      </c>
    </row>
    <row r="182" spans="1:3" s="53" customFormat="1" ht="18" x14ac:dyDescent="0.35">
      <c r="A182" s="58" t="s">
        <v>1443</v>
      </c>
      <c r="B182" s="51" t="s">
        <v>2425</v>
      </c>
      <c r="C182" s="62">
        <f>SUM(C163)</f>
        <v>43854.520000000004</v>
      </c>
    </row>
    <row r="183" spans="1:3" s="53" customFormat="1" ht="18" x14ac:dyDescent="0.35">
      <c r="A183" s="58" t="s">
        <v>1525</v>
      </c>
      <c r="B183" s="51" t="s">
        <v>2426</v>
      </c>
      <c r="C183" s="62">
        <f>SUM(C173)</f>
        <v>5050</v>
      </c>
    </row>
    <row r="184" spans="1:3" x14ac:dyDescent="0.25">
      <c r="A184" s="59"/>
    </row>
    <row r="185" spans="1:3" s="53" customFormat="1" ht="18" x14ac:dyDescent="0.35">
      <c r="A185" s="60"/>
      <c r="B185" s="51" t="s">
        <v>2417</v>
      </c>
      <c r="C185" s="62">
        <f>SUM(C176:C183)</f>
        <v>2458673.0300000003</v>
      </c>
    </row>
    <row r="186" spans="1:3" s="53" customFormat="1" ht="18" x14ac:dyDescent="0.35">
      <c r="A186" s="60"/>
      <c r="B186" s="51" t="s">
        <v>2016</v>
      </c>
      <c r="C186" s="62">
        <f>C185/4</f>
        <v>614668.25750000007</v>
      </c>
    </row>
    <row r="187" spans="1:3" s="53" customFormat="1" ht="18" x14ac:dyDescent="0.35">
      <c r="A187" s="66"/>
      <c r="B187" s="67" t="s">
        <v>2418</v>
      </c>
      <c r="C187" s="68">
        <f>SUM(C185:C186)</f>
        <v>3073341.2875000006</v>
      </c>
    </row>
    <row r="188" spans="1:3" x14ac:dyDescent="0.25">
      <c r="A188" s="59"/>
      <c r="C188" s="19"/>
    </row>
    <row r="189" spans="1:3" x14ac:dyDescent="0.25">
      <c r="A189" s="59"/>
      <c r="C189" s="19"/>
    </row>
    <row r="190" spans="1:3" s="53" customFormat="1" ht="18" x14ac:dyDescent="0.35">
      <c r="A190" s="58" t="s">
        <v>2416</v>
      </c>
      <c r="B190" s="51" t="s">
        <v>2427</v>
      </c>
      <c r="C190" s="62">
        <f>SUM(C72)</f>
        <v>15771.39</v>
      </c>
    </row>
    <row r="191" spans="1:3" x14ac:dyDescent="0.25">
      <c r="A191" s="59"/>
      <c r="C191" s="19"/>
    </row>
    <row r="192" spans="1:3" ht="18" x14ac:dyDescent="0.35">
      <c r="A192" s="61"/>
      <c r="B192" s="51" t="s">
        <v>2417</v>
      </c>
      <c r="C192" s="62">
        <f>C190</f>
        <v>15771.39</v>
      </c>
    </row>
    <row r="193" spans="1:3" ht="18" x14ac:dyDescent="0.35">
      <c r="A193" s="61"/>
      <c r="B193" s="51" t="s">
        <v>2071</v>
      </c>
      <c r="C193" s="62">
        <f>C192*0</f>
        <v>0</v>
      </c>
    </row>
    <row r="194" spans="1:3" ht="18" x14ac:dyDescent="0.35">
      <c r="A194" s="69"/>
      <c r="B194" s="67" t="s">
        <v>2418</v>
      </c>
      <c r="C194" s="68">
        <f>SUM(C192:C193)</f>
        <v>15771.39</v>
      </c>
    </row>
    <row r="197" spans="1:3" ht="18" x14ac:dyDescent="0.35">
      <c r="A197" s="69"/>
      <c r="B197" s="67" t="s">
        <v>1529</v>
      </c>
      <c r="C197" s="68">
        <f>SUM(C187,C194)</f>
        <v>3089112.6775000007</v>
      </c>
    </row>
  </sheetData>
  <sheetProtection algorithmName="SHA-512" hashValue="FeiPETY6HCEHWhFGlYSOE6wrmKyiIaQ/CUq2B+YgAhUzQS1b3Y8TG5X7eZCNm1AJkxEQON3mByiYdAIG3rXZrA==" saltValue="Pa6Uqmkp0+8k9OjcS2XA1w==" spinCount="100000" sheet="1" objects="1" scenarios="1"/>
  <pageMargins left="0.75" right="0.75" top="0.75" bottom="0.5" header="0.5" footer="0.75"/>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zoomScale="130" zoomScaleNormal="130" workbookViewId="0">
      <selection activeCell="B45" sqref="B45"/>
    </sheetView>
  </sheetViews>
  <sheetFormatPr defaultColWidth="9.109375" defaultRowHeight="12" x14ac:dyDescent="0.25"/>
  <cols>
    <col min="1" max="1" width="3.6640625" style="3" customWidth="1"/>
    <col min="2" max="2" width="70.6640625" style="3" customWidth="1"/>
    <col min="3" max="3" width="3.6640625" style="3" customWidth="1"/>
    <col min="4" max="4" width="9.109375" style="3" customWidth="1"/>
    <col min="5" max="16384" width="9.109375" style="3"/>
  </cols>
  <sheetData>
    <row r="1" spans="1:3" ht="39.75" customHeight="1" x14ac:dyDescent="0.35">
      <c r="A1" s="4"/>
      <c r="B1" s="49" t="s">
        <v>2133</v>
      </c>
      <c r="C1" s="4"/>
    </row>
    <row r="2" spans="1:3" ht="15" customHeight="1" x14ac:dyDescent="0.25"/>
    <row r="3" spans="1:3" ht="18" customHeight="1" x14ac:dyDescent="0.35">
      <c r="A3" s="4"/>
      <c r="B3" s="4" t="s">
        <v>0</v>
      </c>
      <c r="C3" s="4"/>
    </row>
    <row r="4" spans="1:3" ht="15" customHeight="1" x14ac:dyDescent="0.25"/>
    <row r="5" spans="1:3" ht="33" customHeight="1" x14ac:dyDescent="0.25">
      <c r="B5" s="48" t="s">
        <v>2126</v>
      </c>
    </row>
    <row r="6" spans="1:3" ht="66.75" customHeight="1" x14ac:dyDescent="0.25">
      <c r="B6" s="48" t="s">
        <v>2127</v>
      </c>
    </row>
    <row r="7" spans="1:3" ht="40.5" customHeight="1" x14ac:dyDescent="0.25">
      <c r="B7" s="29" t="s">
        <v>2128</v>
      </c>
    </row>
    <row r="9" spans="1:3" ht="24" x14ac:dyDescent="0.25">
      <c r="B9" s="29" t="s">
        <v>2147</v>
      </c>
    </row>
    <row r="10" spans="1:3" ht="24" x14ac:dyDescent="0.25">
      <c r="B10" s="29" t="s">
        <v>2148</v>
      </c>
    </row>
    <row r="12" spans="1:3" x14ac:dyDescent="0.25">
      <c r="A12" s="47"/>
      <c r="B12" s="37" t="s">
        <v>1532</v>
      </c>
    </row>
    <row r="13" spans="1:3" ht="24" x14ac:dyDescent="0.25">
      <c r="A13" s="47"/>
      <c r="B13" s="37" t="s">
        <v>1533</v>
      </c>
    </row>
    <row r="14" spans="1:3" ht="24" x14ac:dyDescent="0.25">
      <c r="A14" s="47"/>
      <c r="B14" s="37" t="s">
        <v>1534</v>
      </c>
    </row>
    <row r="15" spans="1:3" x14ac:dyDescent="0.25">
      <c r="A15" s="47"/>
      <c r="B15" s="37" t="s">
        <v>2129</v>
      </c>
    </row>
    <row r="16" spans="1:3" ht="24" x14ac:dyDescent="0.25">
      <c r="A16" s="47"/>
      <c r="B16" s="37" t="s">
        <v>1535</v>
      </c>
    </row>
    <row r="17" spans="1:2" ht="24" x14ac:dyDescent="0.25">
      <c r="A17" s="47"/>
      <c r="B17" s="37" t="s">
        <v>1536</v>
      </c>
    </row>
    <row r="18" spans="1:2" x14ac:dyDescent="0.25">
      <c r="A18" s="47"/>
      <c r="B18" s="37" t="s">
        <v>2130</v>
      </c>
    </row>
    <row r="19" spans="1:2" ht="24" x14ac:dyDescent="0.25">
      <c r="A19" s="47"/>
      <c r="B19" s="37" t="s">
        <v>1537</v>
      </c>
    </row>
    <row r="20" spans="1:2" ht="24" x14ac:dyDescent="0.25">
      <c r="A20" s="47"/>
      <c r="B20" s="37" t="s">
        <v>1538</v>
      </c>
    </row>
    <row r="21" spans="1:2" ht="24" x14ac:dyDescent="0.25">
      <c r="A21" s="47"/>
      <c r="B21" s="37" t="s">
        <v>1539</v>
      </c>
    </row>
    <row r="22" spans="1:2" ht="24" x14ac:dyDescent="0.25">
      <c r="A22" s="47"/>
      <c r="B22" s="37" t="s">
        <v>1540</v>
      </c>
    </row>
    <row r="23" spans="1:2" ht="27" customHeight="1" x14ac:dyDescent="0.25">
      <c r="A23" s="47"/>
      <c r="B23" s="37" t="s">
        <v>1541</v>
      </c>
    </row>
    <row r="24" spans="1:2" x14ac:dyDescent="0.25">
      <c r="A24" s="47"/>
      <c r="B24" s="37" t="s">
        <v>1542</v>
      </c>
    </row>
    <row r="25" spans="1:2" ht="15" customHeight="1" x14ac:dyDescent="0.25">
      <c r="A25" s="47"/>
      <c r="B25" s="37" t="s">
        <v>1543</v>
      </c>
    </row>
    <row r="26" spans="1:2" ht="54.75" customHeight="1" x14ac:dyDescent="0.25">
      <c r="A26" s="47"/>
      <c r="B26" s="37" t="s">
        <v>1544</v>
      </c>
    </row>
    <row r="27" spans="1:2" ht="32.25" customHeight="1" x14ac:dyDescent="0.25">
      <c r="A27" s="47"/>
      <c r="B27" s="37" t="s">
        <v>2131</v>
      </c>
    </row>
    <row r="28" spans="1:2" ht="21.75" customHeight="1" x14ac:dyDescent="0.25">
      <c r="A28" s="47"/>
      <c r="B28" s="37" t="s">
        <v>2132</v>
      </c>
    </row>
    <row r="29" spans="1:2" ht="15" customHeight="1" x14ac:dyDescent="0.25">
      <c r="A29" s="47"/>
      <c r="B29" s="37" t="s">
        <v>2149</v>
      </c>
    </row>
    <row r="30" spans="1:2" ht="30.75" customHeight="1" x14ac:dyDescent="0.25">
      <c r="A30" s="47"/>
      <c r="B30" s="37" t="s">
        <v>1545</v>
      </c>
    </row>
    <row r="31" spans="1:2" ht="33.75" customHeight="1" x14ac:dyDescent="0.25">
      <c r="A31" s="47"/>
      <c r="B31" s="37" t="s">
        <v>1546</v>
      </c>
    </row>
    <row r="33" spans="2:2" ht="54" customHeight="1" x14ac:dyDescent="0.25">
      <c r="B33" s="8" t="s">
        <v>1530</v>
      </c>
    </row>
    <row r="35" spans="2:2" ht="54.75" customHeight="1" x14ac:dyDescent="0.25">
      <c r="B35" s="29" t="s">
        <v>2150</v>
      </c>
    </row>
    <row r="41" spans="2:2" x14ac:dyDescent="0.25">
      <c r="B41" s="47"/>
    </row>
  </sheetData>
  <sheetProtection algorithmName="SHA-512" hashValue="r9f8KEVLHqJuV8x4SLnvgqGERmPXZxNB3bhYmbNnhKXLYBXnoHzGUbjTzDzWewpsFinAJGFi97ushOSCMAXkSg==" saltValue="CfhiBL4D7VNoeQlrjIOXBw==" spinCount="100000" sheet="1" objects="1" scenarios="1"/>
  <pageMargins left="0.6" right="0.6"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87"/>
  <sheetViews>
    <sheetView topLeftCell="A423" zoomScaleNormal="100" workbookViewId="0">
      <selection activeCell="E345" sqref="E345"/>
    </sheetView>
  </sheetViews>
  <sheetFormatPr defaultColWidth="9.109375" defaultRowHeight="12" x14ac:dyDescent="0.25"/>
  <cols>
    <col min="1" max="1" width="11.77734375" style="38" customWidth="1"/>
    <col min="2" max="2" width="60.6640625" style="74" customWidth="1"/>
    <col min="3" max="3" width="10.6640625" style="76" customWidth="1"/>
    <col min="4" max="4" width="10.6640625" style="38" customWidth="1"/>
    <col min="5" max="5" width="15.6640625" style="120" customWidth="1"/>
    <col min="6" max="6" width="20.6640625" style="38" customWidth="1"/>
    <col min="7" max="7" width="9.109375" style="38" customWidth="1"/>
    <col min="8" max="16384" width="9.109375" style="38"/>
  </cols>
  <sheetData>
    <row r="1" spans="1:6" ht="18" x14ac:dyDescent="0.35">
      <c r="A1" s="84" t="s">
        <v>1</v>
      </c>
      <c r="B1" s="115" t="s">
        <v>2</v>
      </c>
      <c r="C1" s="84"/>
      <c r="D1" s="84"/>
      <c r="E1" s="117"/>
      <c r="F1" s="84"/>
    </row>
    <row r="3" spans="1:6" ht="24" x14ac:dyDescent="0.25">
      <c r="A3" s="85" t="s">
        <v>3</v>
      </c>
      <c r="B3" s="86" t="s">
        <v>4</v>
      </c>
      <c r="C3" s="86" t="s">
        <v>5</v>
      </c>
      <c r="D3" s="86" t="s">
        <v>6</v>
      </c>
      <c r="E3" s="118" t="s">
        <v>7</v>
      </c>
      <c r="F3" s="86" t="s">
        <v>8</v>
      </c>
    </row>
    <row r="5" spans="1:6" ht="18" x14ac:dyDescent="0.35">
      <c r="A5" s="87" t="s">
        <v>1573</v>
      </c>
      <c r="B5" s="88" t="s">
        <v>29</v>
      </c>
      <c r="C5" s="89"/>
      <c r="D5" s="90"/>
      <c r="E5" s="119"/>
      <c r="F5" s="90"/>
    </row>
    <row r="7" spans="1:6" x14ac:dyDescent="0.25">
      <c r="A7" s="91"/>
      <c r="B7" s="92" t="s">
        <v>28</v>
      </c>
      <c r="C7" s="93"/>
      <c r="D7" s="94"/>
      <c r="E7" s="121"/>
      <c r="F7" s="94"/>
    </row>
    <row r="8" spans="1:6" x14ac:dyDescent="0.25">
      <c r="A8" s="95"/>
      <c r="B8" s="81"/>
    </row>
    <row r="9" spans="1:6" x14ac:dyDescent="0.25">
      <c r="A9" s="91" t="s">
        <v>1547</v>
      </c>
      <c r="B9" s="92" t="s">
        <v>10</v>
      </c>
      <c r="C9" s="93"/>
      <c r="D9" s="94"/>
      <c r="E9" s="121"/>
      <c r="F9" s="94"/>
    </row>
    <row r="11" spans="1:6" x14ac:dyDescent="0.25">
      <c r="A11" s="94"/>
      <c r="B11" s="92" t="s">
        <v>1551</v>
      </c>
      <c r="C11" s="93"/>
      <c r="D11" s="94"/>
      <c r="E11" s="121"/>
      <c r="F11" s="94"/>
    </row>
    <row r="13" spans="1:6" ht="254.25" customHeight="1" x14ac:dyDescent="0.25">
      <c r="B13" s="37" t="s">
        <v>1552</v>
      </c>
    </row>
    <row r="14" spans="1:6" ht="73.5" customHeight="1" x14ac:dyDescent="0.25">
      <c r="B14" s="37" t="s">
        <v>1530</v>
      </c>
    </row>
    <row r="15" spans="1:6" ht="13.5" customHeight="1" x14ac:dyDescent="0.25">
      <c r="B15" s="37"/>
    </row>
    <row r="16" spans="1:6" ht="13.5" customHeight="1" x14ac:dyDescent="0.25">
      <c r="B16" s="37"/>
    </row>
    <row r="17" spans="1:6" ht="13.5" customHeight="1" x14ac:dyDescent="0.25">
      <c r="A17" s="91" t="s">
        <v>1531</v>
      </c>
      <c r="B17" s="92" t="s">
        <v>31</v>
      </c>
      <c r="C17" s="91"/>
      <c r="D17" s="91"/>
      <c r="E17" s="122"/>
      <c r="F17" s="91"/>
    </row>
    <row r="18" spans="1:6" ht="13.5" customHeight="1" x14ac:dyDescent="0.25"/>
    <row r="19" spans="1:6" ht="15.75" customHeight="1" x14ac:dyDescent="0.25">
      <c r="A19" s="39" t="s">
        <v>1548</v>
      </c>
      <c r="B19" s="83" t="s">
        <v>11</v>
      </c>
    </row>
    <row r="20" spans="1:6" ht="13.5" customHeight="1" x14ac:dyDescent="0.25">
      <c r="B20" s="37" t="s">
        <v>12</v>
      </c>
      <c r="C20" s="76" t="s">
        <v>13</v>
      </c>
      <c r="D20" s="40">
        <v>350</v>
      </c>
      <c r="E20" s="77">
        <v>5</v>
      </c>
      <c r="F20" s="78">
        <f>ROUND(D20*E20,2)</f>
        <v>1750</v>
      </c>
    </row>
    <row r="21" spans="1:6" ht="15" customHeight="1" x14ac:dyDescent="0.25">
      <c r="B21" s="75"/>
    </row>
    <row r="22" spans="1:6" ht="13.5" customHeight="1" x14ac:dyDescent="0.25">
      <c r="A22" s="39" t="s">
        <v>1549</v>
      </c>
      <c r="B22" s="81" t="s">
        <v>2646</v>
      </c>
    </row>
    <row r="23" spans="1:6" ht="13.5" customHeight="1" x14ac:dyDescent="0.25">
      <c r="B23" s="37" t="s">
        <v>14</v>
      </c>
      <c r="C23" s="76" t="s">
        <v>15</v>
      </c>
      <c r="D23" s="40">
        <v>1</v>
      </c>
      <c r="E23" s="77">
        <v>500</v>
      </c>
      <c r="F23" s="78">
        <f>ROUND(D23*E23,2)</f>
        <v>500</v>
      </c>
    </row>
    <row r="24" spans="1:6" ht="13.5" customHeight="1" x14ac:dyDescent="0.25">
      <c r="B24" s="75"/>
    </row>
    <row r="25" spans="1:6" ht="13.5" customHeight="1" x14ac:dyDescent="0.25">
      <c r="A25" s="39" t="s">
        <v>1550</v>
      </c>
      <c r="B25" s="81" t="s">
        <v>16</v>
      </c>
    </row>
    <row r="26" spans="1:6" ht="13.5" customHeight="1" x14ac:dyDescent="0.25">
      <c r="B26" s="37" t="s">
        <v>17</v>
      </c>
      <c r="C26" s="76" t="s">
        <v>15</v>
      </c>
      <c r="D26" s="40">
        <v>1</v>
      </c>
      <c r="E26" s="77">
        <v>500</v>
      </c>
      <c r="F26" s="78">
        <f>ROUND(D26*E26,2)</f>
        <v>500</v>
      </c>
    </row>
    <row r="27" spans="1:6" ht="13.5" customHeight="1" x14ac:dyDescent="0.25">
      <c r="B27" s="75"/>
      <c r="C27" s="38"/>
    </row>
    <row r="28" spans="1:6" ht="121.5" customHeight="1" x14ac:dyDescent="0.25">
      <c r="A28" s="39" t="s">
        <v>1576</v>
      </c>
      <c r="B28" s="37" t="s">
        <v>34</v>
      </c>
      <c r="C28" s="76" t="s">
        <v>25</v>
      </c>
      <c r="D28" s="40">
        <v>1</v>
      </c>
      <c r="E28" s="77">
        <v>2000</v>
      </c>
      <c r="F28" s="78">
        <f>ROUND(D28*E28,2)</f>
        <v>2000</v>
      </c>
    </row>
    <row r="29" spans="1:6" ht="14.25" customHeight="1" x14ac:dyDescent="0.25">
      <c r="B29" s="75"/>
      <c r="C29" s="38"/>
    </row>
    <row r="30" spans="1:6" ht="14.25" customHeight="1" x14ac:dyDescent="0.25">
      <c r="A30" s="39" t="s">
        <v>1577</v>
      </c>
      <c r="B30" s="81" t="s">
        <v>24</v>
      </c>
      <c r="C30" s="38"/>
    </row>
    <row r="31" spans="1:6" ht="108.75" customHeight="1" x14ac:dyDescent="0.25">
      <c r="B31" s="37" t="s">
        <v>2856</v>
      </c>
      <c r="C31" s="76" t="s">
        <v>25</v>
      </c>
      <c r="D31" s="40">
        <v>1</v>
      </c>
      <c r="E31" s="77">
        <v>500</v>
      </c>
      <c r="F31" s="78">
        <f>ROUND(D31*E31,2)</f>
        <v>500</v>
      </c>
    </row>
    <row r="32" spans="1:6" ht="13.5" customHeight="1" x14ac:dyDescent="0.25"/>
    <row r="33" spans="1:6" ht="13.5" customHeight="1" x14ac:dyDescent="0.25">
      <c r="A33" s="39" t="s">
        <v>1578</v>
      </c>
      <c r="B33" s="37" t="s">
        <v>35</v>
      </c>
      <c r="C33" s="76" t="s">
        <v>13</v>
      </c>
      <c r="D33" s="40">
        <v>200</v>
      </c>
      <c r="E33" s="77">
        <v>3</v>
      </c>
      <c r="F33" s="78">
        <f>ROUND(D33*E33,2)</f>
        <v>600</v>
      </c>
    </row>
    <row r="34" spans="1:6" ht="13.5" customHeight="1" x14ac:dyDescent="0.25">
      <c r="B34" s="75"/>
      <c r="C34" s="38"/>
    </row>
    <row r="35" spans="1:6" ht="13.5" customHeight="1" x14ac:dyDescent="0.25">
      <c r="A35" s="91" t="s">
        <v>1531</v>
      </c>
      <c r="B35" s="92" t="s">
        <v>36</v>
      </c>
      <c r="C35" s="91"/>
      <c r="D35" s="91"/>
      <c r="E35" s="122"/>
      <c r="F35" s="96">
        <f>SUM(F20:F33)</f>
        <v>5850</v>
      </c>
    </row>
    <row r="36" spans="1:6" ht="13.5" customHeight="1" x14ac:dyDescent="0.25">
      <c r="B36" s="37"/>
    </row>
    <row r="37" spans="1:6" ht="13.5" customHeight="1" x14ac:dyDescent="0.25">
      <c r="B37" s="37"/>
    </row>
    <row r="38" spans="1:6" x14ac:dyDescent="0.25">
      <c r="A38" s="91" t="s">
        <v>1553</v>
      </c>
      <c r="B38" s="92" t="s">
        <v>9</v>
      </c>
      <c r="C38" s="92"/>
      <c r="D38" s="92"/>
      <c r="E38" s="123"/>
      <c r="F38" s="92"/>
    </row>
    <row r="40" spans="1:6" x14ac:dyDescent="0.25">
      <c r="A40" s="39" t="s">
        <v>1554</v>
      </c>
      <c r="B40" s="81" t="s">
        <v>18</v>
      </c>
    </row>
    <row r="41" spans="1:6" ht="312" customHeight="1" x14ac:dyDescent="0.25">
      <c r="B41" s="37" t="s">
        <v>2868</v>
      </c>
      <c r="C41" s="76" t="s">
        <v>19</v>
      </c>
      <c r="D41" s="40">
        <v>1</v>
      </c>
      <c r="E41" s="77">
        <v>20000</v>
      </c>
      <c r="F41" s="78">
        <f>ROUND(D41*E41,2)</f>
        <v>20000</v>
      </c>
    </row>
    <row r="42" spans="1:6" x14ac:dyDescent="0.25">
      <c r="B42" s="75"/>
      <c r="C42" s="38"/>
    </row>
    <row r="43" spans="1:6" x14ac:dyDescent="0.25">
      <c r="A43" s="39" t="s">
        <v>1555</v>
      </c>
      <c r="B43" s="81" t="s">
        <v>20</v>
      </c>
    </row>
    <row r="44" spans="1:6" ht="180" customHeight="1" x14ac:dyDescent="0.25">
      <c r="B44" s="37" t="s">
        <v>2869</v>
      </c>
      <c r="C44" s="76" t="s">
        <v>19</v>
      </c>
      <c r="D44" s="40">
        <v>1</v>
      </c>
      <c r="E44" s="77">
        <v>3000</v>
      </c>
      <c r="F44" s="78">
        <f>ROUND(D44*E44,2)</f>
        <v>3000</v>
      </c>
    </row>
    <row r="46" spans="1:6" x14ac:dyDescent="0.25">
      <c r="A46" s="39" t="s">
        <v>1579</v>
      </c>
      <c r="B46" s="81" t="s">
        <v>21</v>
      </c>
    </row>
    <row r="47" spans="1:6" ht="30.75" customHeight="1" x14ac:dyDescent="0.25">
      <c r="B47" s="37" t="s">
        <v>22</v>
      </c>
    </row>
    <row r="48" spans="1:6" x14ac:dyDescent="0.25">
      <c r="B48" s="75" t="s">
        <v>23</v>
      </c>
      <c r="C48" s="76" t="s">
        <v>15</v>
      </c>
      <c r="D48" s="40">
        <v>1</v>
      </c>
      <c r="E48" s="77">
        <v>3000</v>
      </c>
      <c r="F48" s="78">
        <f>ROUND(D48*E48,2)</f>
        <v>3000</v>
      </c>
    </row>
    <row r="50" spans="1:6" x14ac:dyDescent="0.25">
      <c r="A50" s="91" t="s">
        <v>1553</v>
      </c>
      <c r="B50" s="92" t="s">
        <v>27</v>
      </c>
      <c r="C50" s="91"/>
      <c r="D50" s="91"/>
      <c r="E50" s="122"/>
      <c r="F50" s="96">
        <f>SUM(F41:F48)</f>
        <v>26000</v>
      </c>
    </row>
    <row r="53" spans="1:6" x14ac:dyDescent="0.25">
      <c r="A53" s="91" t="s">
        <v>1556</v>
      </c>
      <c r="B53" s="92" t="s">
        <v>37</v>
      </c>
      <c r="C53" s="91"/>
      <c r="D53" s="91"/>
      <c r="E53" s="122"/>
      <c r="F53" s="91"/>
    </row>
    <row r="55" spans="1:6" x14ac:dyDescent="0.25">
      <c r="A55" s="91"/>
      <c r="B55" s="92" t="s">
        <v>0</v>
      </c>
      <c r="C55" s="97"/>
      <c r="D55" s="91"/>
      <c r="E55" s="122"/>
      <c r="F55" s="91"/>
    </row>
    <row r="57" spans="1:6" ht="295.5" customHeight="1" x14ac:dyDescent="0.25">
      <c r="B57" s="37" t="s">
        <v>2870</v>
      </c>
    </row>
    <row r="60" spans="1:6" ht="45" customHeight="1" x14ac:dyDescent="0.25">
      <c r="A60" s="39" t="s">
        <v>1557</v>
      </c>
      <c r="B60" s="37" t="s">
        <v>2861</v>
      </c>
      <c r="C60" s="76" t="s">
        <v>38</v>
      </c>
      <c r="D60" s="40">
        <v>200</v>
      </c>
      <c r="E60" s="77">
        <v>5</v>
      </c>
      <c r="F60" s="78">
        <f>ROUND(D60*E60,2)</f>
        <v>1000</v>
      </c>
    </row>
    <row r="61" spans="1:6" x14ac:dyDescent="0.25">
      <c r="B61" s="75"/>
      <c r="C61" s="38"/>
    </row>
    <row r="62" spans="1:6" ht="47.25" customHeight="1" x14ac:dyDescent="0.25">
      <c r="A62" s="39" t="s">
        <v>1558</v>
      </c>
      <c r="B62" s="37" t="s">
        <v>2864</v>
      </c>
      <c r="C62" s="76" t="s">
        <v>39</v>
      </c>
      <c r="D62" s="40">
        <v>60</v>
      </c>
      <c r="E62" s="77">
        <v>20</v>
      </c>
      <c r="F62" s="78">
        <f>ROUND(D62*E62,2)</f>
        <v>1200</v>
      </c>
    </row>
    <row r="63" spans="1:6" x14ac:dyDescent="0.25">
      <c r="B63" s="75"/>
      <c r="C63" s="38"/>
    </row>
    <row r="64" spans="1:6" ht="55.5" customHeight="1" x14ac:dyDescent="0.25">
      <c r="A64" s="39" t="s">
        <v>1559</v>
      </c>
      <c r="B64" s="37" t="s">
        <v>3349</v>
      </c>
      <c r="C64" s="76" t="s">
        <v>39</v>
      </c>
      <c r="D64" s="98">
        <v>1150</v>
      </c>
      <c r="E64" s="77">
        <v>18</v>
      </c>
      <c r="F64" s="78">
        <f>ROUND(D64*E64,2)</f>
        <v>20700</v>
      </c>
    </row>
    <row r="65" spans="1:6" x14ac:dyDescent="0.25">
      <c r="B65" s="75"/>
      <c r="C65" s="38"/>
    </row>
    <row r="66" spans="1:6" ht="52.5" customHeight="1" x14ac:dyDescent="0.25">
      <c r="A66" s="39" t="s">
        <v>1560</v>
      </c>
      <c r="B66" s="37" t="s">
        <v>40</v>
      </c>
      <c r="C66" s="76" t="s">
        <v>39</v>
      </c>
      <c r="D66" s="40">
        <v>16.149999999999999</v>
      </c>
      <c r="E66" s="77">
        <v>50</v>
      </c>
      <c r="F66" s="78">
        <f>ROUND(D66*E66,2)</f>
        <v>807.5</v>
      </c>
    </row>
    <row r="67" spans="1:6" x14ac:dyDescent="0.25">
      <c r="B67" s="75"/>
      <c r="C67" s="38"/>
    </row>
    <row r="68" spans="1:6" ht="51.75" customHeight="1" x14ac:dyDescent="0.25">
      <c r="A68" s="39" t="s">
        <v>1561</v>
      </c>
      <c r="B68" s="37" t="s">
        <v>3350</v>
      </c>
      <c r="C68" s="76" t="s">
        <v>39</v>
      </c>
      <c r="D68" s="40">
        <v>36</v>
      </c>
      <c r="E68" s="77">
        <v>30</v>
      </c>
      <c r="F68" s="78">
        <f>ROUND(D68*E68,2)</f>
        <v>1080</v>
      </c>
    </row>
    <row r="69" spans="1:6" x14ac:dyDescent="0.25">
      <c r="B69" s="75"/>
      <c r="C69" s="38"/>
    </row>
    <row r="70" spans="1:6" ht="15" customHeight="1" x14ac:dyDescent="0.25">
      <c r="A70" s="39" t="s">
        <v>1562</v>
      </c>
      <c r="B70" s="37" t="s">
        <v>41</v>
      </c>
      <c r="C70" s="76" t="s">
        <v>38</v>
      </c>
      <c r="D70" s="40">
        <v>350</v>
      </c>
      <c r="E70" s="77">
        <v>2</v>
      </c>
      <c r="F70" s="78">
        <f>ROUND(D70*E70,2)</f>
        <v>700</v>
      </c>
    </row>
    <row r="71" spans="1:6" x14ac:dyDescent="0.25">
      <c r="B71" s="75"/>
      <c r="C71" s="38"/>
    </row>
    <row r="72" spans="1:6" ht="56.25" customHeight="1" x14ac:dyDescent="0.25">
      <c r="A72" s="39" t="s">
        <v>1580</v>
      </c>
      <c r="B72" s="37" t="s">
        <v>42</v>
      </c>
      <c r="C72" s="76" t="s">
        <v>39</v>
      </c>
      <c r="D72" s="40">
        <v>65</v>
      </c>
      <c r="E72" s="77">
        <v>45</v>
      </c>
      <c r="F72" s="78">
        <f>ROUND(D72*E72,2)</f>
        <v>2925</v>
      </c>
    </row>
    <row r="73" spans="1:6" x14ac:dyDescent="0.25">
      <c r="B73" s="75"/>
      <c r="C73" s="38"/>
    </row>
    <row r="74" spans="1:6" ht="67.5" customHeight="1" x14ac:dyDescent="0.25">
      <c r="A74" s="39" t="s">
        <v>1581</v>
      </c>
      <c r="B74" s="37" t="s">
        <v>43</v>
      </c>
      <c r="C74" s="76" t="s">
        <v>39</v>
      </c>
      <c r="D74" s="40">
        <v>5.7</v>
      </c>
      <c r="E74" s="77">
        <v>45</v>
      </c>
      <c r="F74" s="78">
        <f>ROUND(D74*E74,2)</f>
        <v>256.5</v>
      </c>
    </row>
    <row r="75" spans="1:6" x14ac:dyDescent="0.25">
      <c r="B75" s="75"/>
      <c r="C75" s="38"/>
    </row>
    <row r="76" spans="1:6" ht="42" customHeight="1" x14ac:dyDescent="0.25">
      <c r="A76" s="39" t="s">
        <v>1582</v>
      </c>
      <c r="B76" s="37" t="s">
        <v>44</v>
      </c>
      <c r="C76" s="76" t="s">
        <v>39</v>
      </c>
      <c r="D76" s="40">
        <v>60.9</v>
      </c>
      <c r="E76" s="77">
        <v>45</v>
      </c>
      <c r="F76" s="78">
        <f>ROUND(D76*E76,2)</f>
        <v>2740.5</v>
      </c>
    </row>
    <row r="77" spans="1:6" x14ac:dyDescent="0.25">
      <c r="B77" s="75"/>
      <c r="C77" s="38"/>
    </row>
    <row r="78" spans="1:6" x14ac:dyDescent="0.25">
      <c r="A78" s="39" t="s">
        <v>1583</v>
      </c>
      <c r="B78" s="37" t="s">
        <v>2849</v>
      </c>
      <c r="C78" s="76" t="s">
        <v>38</v>
      </c>
      <c r="D78" s="40">
        <v>115.5</v>
      </c>
      <c r="E78" s="77">
        <v>5</v>
      </c>
      <c r="F78" s="78">
        <f>ROUND(D78*E78,2)</f>
        <v>577.5</v>
      </c>
    </row>
    <row r="79" spans="1:6" x14ac:dyDescent="0.25">
      <c r="B79" s="75"/>
      <c r="C79" s="38"/>
    </row>
    <row r="80" spans="1:6" ht="32.25" customHeight="1" x14ac:dyDescent="0.25">
      <c r="A80" s="39" t="s">
        <v>1584</v>
      </c>
      <c r="B80" s="37" t="s">
        <v>2850</v>
      </c>
      <c r="C80" s="76" t="s">
        <v>38</v>
      </c>
      <c r="D80" s="40">
        <v>220</v>
      </c>
      <c r="E80" s="77">
        <v>5</v>
      </c>
      <c r="F80" s="78">
        <f>ROUND(D80*E80,2)</f>
        <v>1100</v>
      </c>
    </row>
    <row r="81" spans="1:6" x14ac:dyDescent="0.25">
      <c r="B81" s="75"/>
      <c r="C81" s="38"/>
    </row>
    <row r="82" spans="1:6" ht="30" customHeight="1" x14ac:dyDescent="0.25">
      <c r="A82" s="39" t="s">
        <v>1585</v>
      </c>
      <c r="B82" s="37" t="s">
        <v>2865</v>
      </c>
      <c r="C82" s="76" t="s">
        <v>39</v>
      </c>
      <c r="D82" s="40">
        <v>20</v>
      </c>
      <c r="E82" s="77">
        <v>50</v>
      </c>
      <c r="F82" s="78">
        <f>ROUND(D82*E82,2)</f>
        <v>1000</v>
      </c>
    </row>
    <row r="83" spans="1:6" x14ac:dyDescent="0.25">
      <c r="B83" s="75"/>
      <c r="C83" s="38"/>
    </row>
    <row r="84" spans="1:6" ht="69" customHeight="1" x14ac:dyDescent="0.25">
      <c r="A84" s="39" t="s">
        <v>1586</v>
      </c>
      <c r="B84" s="37" t="s">
        <v>45</v>
      </c>
      <c r="C84" s="76" t="s">
        <v>38</v>
      </c>
      <c r="D84" s="40">
        <v>200</v>
      </c>
      <c r="E84" s="77">
        <v>5</v>
      </c>
      <c r="F84" s="78">
        <f>ROUND(D84*E84,2)</f>
        <v>1000</v>
      </c>
    </row>
    <row r="85" spans="1:6" x14ac:dyDescent="0.25">
      <c r="B85" s="75"/>
      <c r="C85" s="38"/>
    </row>
    <row r="86" spans="1:6" ht="53.25" customHeight="1" x14ac:dyDescent="0.25">
      <c r="A86" s="39" t="s">
        <v>1587</v>
      </c>
      <c r="B86" s="37" t="s">
        <v>46</v>
      </c>
      <c r="C86" s="76" t="s">
        <v>39</v>
      </c>
      <c r="D86" s="40">
        <v>30</v>
      </c>
      <c r="E86" s="77">
        <v>45</v>
      </c>
      <c r="F86" s="78">
        <f>ROUND(D86*E86,2)</f>
        <v>1350</v>
      </c>
    </row>
    <row r="87" spans="1:6" x14ac:dyDescent="0.25">
      <c r="B87" s="75"/>
      <c r="C87" s="38"/>
    </row>
    <row r="88" spans="1:6" ht="65.25" customHeight="1" x14ac:dyDescent="0.25">
      <c r="A88" s="39" t="s">
        <v>1588</v>
      </c>
      <c r="B88" s="37" t="s">
        <v>47</v>
      </c>
      <c r="C88" s="76" t="s">
        <v>39</v>
      </c>
      <c r="D88" s="40">
        <v>55</v>
      </c>
      <c r="E88" s="77">
        <v>45</v>
      </c>
      <c r="F88" s="78">
        <f>ROUND(D88*E88,2)</f>
        <v>2475</v>
      </c>
    </row>
    <row r="89" spans="1:6" x14ac:dyDescent="0.25">
      <c r="B89" s="75"/>
      <c r="C89" s="38"/>
    </row>
    <row r="90" spans="1:6" ht="32.25" customHeight="1" x14ac:dyDescent="0.25">
      <c r="A90" s="39" t="s">
        <v>1589</v>
      </c>
      <c r="B90" s="37" t="s">
        <v>48</v>
      </c>
      <c r="C90" s="76" t="s">
        <v>39</v>
      </c>
      <c r="D90" s="40">
        <v>20</v>
      </c>
      <c r="E90" s="77">
        <v>50</v>
      </c>
      <c r="F90" s="78">
        <f>ROUND(D90*E90,2)</f>
        <v>1000</v>
      </c>
    </row>
    <row r="91" spans="1:6" x14ac:dyDescent="0.25">
      <c r="B91" s="75"/>
      <c r="C91" s="38"/>
    </row>
    <row r="92" spans="1:6" ht="24" x14ac:dyDescent="0.25">
      <c r="A92" s="39" t="s">
        <v>1590</v>
      </c>
      <c r="B92" s="37" t="s">
        <v>49</v>
      </c>
      <c r="C92" s="76" t="s">
        <v>39</v>
      </c>
      <c r="D92" s="40">
        <v>35</v>
      </c>
      <c r="E92" s="77">
        <v>45</v>
      </c>
      <c r="F92" s="78">
        <f>ROUND(D92*E92,2)</f>
        <v>1575</v>
      </c>
    </row>
    <row r="93" spans="1:6" x14ac:dyDescent="0.25">
      <c r="B93" s="75"/>
      <c r="C93" s="38"/>
    </row>
    <row r="94" spans="1:6" x14ac:dyDescent="0.25">
      <c r="A94" s="91" t="s">
        <v>1556</v>
      </c>
      <c r="B94" s="92" t="s">
        <v>50</v>
      </c>
      <c r="C94" s="91"/>
      <c r="D94" s="91"/>
      <c r="E94" s="122"/>
      <c r="F94" s="96">
        <f>SUM(F57:F92)</f>
        <v>41487</v>
      </c>
    </row>
    <row r="97" spans="1:6" x14ac:dyDescent="0.25">
      <c r="A97" s="91" t="s">
        <v>1563</v>
      </c>
      <c r="B97" s="92" t="s">
        <v>51</v>
      </c>
      <c r="C97" s="91"/>
      <c r="D97" s="91"/>
      <c r="E97" s="122"/>
      <c r="F97" s="91"/>
    </row>
    <row r="99" spans="1:6" x14ac:dyDescent="0.25">
      <c r="A99" s="91"/>
      <c r="B99" s="92" t="s">
        <v>0</v>
      </c>
      <c r="C99" s="97"/>
      <c r="D99" s="91"/>
      <c r="E99" s="122"/>
      <c r="F99" s="91"/>
    </row>
    <row r="101" spans="1:6" ht="395.25" customHeight="1" x14ac:dyDescent="0.25">
      <c r="B101" s="37" t="s">
        <v>2874</v>
      </c>
    </row>
    <row r="102" spans="1:6" ht="37.5" customHeight="1" x14ac:dyDescent="0.25">
      <c r="B102" s="48" t="s">
        <v>1969</v>
      </c>
    </row>
    <row r="103" spans="1:6" ht="27.75" customHeight="1" x14ac:dyDescent="0.25">
      <c r="B103" s="48" t="s">
        <v>1970</v>
      </c>
    </row>
    <row r="106" spans="1:6" x14ac:dyDescent="0.25">
      <c r="A106" s="39" t="s">
        <v>1591</v>
      </c>
      <c r="B106" s="81" t="s">
        <v>2647</v>
      </c>
    </row>
    <row r="107" spans="1:6" ht="24" x14ac:dyDescent="0.25">
      <c r="B107" s="37" t="s">
        <v>2648</v>
      </c>
    </row>
    <row r="108" spans="1:6" x14ac:dyDescent="0.25">
      <c r="B108" s="75" t="s">
        <v>53</v>
      </c>
      <c r="C108" s="76" t="s">
        <v>39</v>
      </c>
      <c r="D108" s="40">
        <v>30</v>
      </c>
      <c r="E108" s="77">
        <v>150</v>
      </c>
      <c r="F108" s="78">
        <f>ROUND(D108*E108,2)</f>
        <v>4500</v>
      </c>
    </row>
    <row r="110" spans="1:6" x14ac:dyDescent="0.25">
      <c r="A110" s="39" t="s">
        <v>1592</v>
      </c>
      <c r="B110" s="81" t="s">
        <v>2649</v>
      </c>
    </row>
    <row r="111" spans="1:6" ht="14.25" customHeight="1" x14ac:dyDescent="0.25">
      <c r="B111" s="37" t="s">
        <v>2650</v>
      </c>
    </row>
    <row r="112" spans="1:6" x14ac:dyDescent="0.25">
      <c r="B112" s="75" t="s">
        <v>53</v>
      </c>
      <c r="C112" s="76" t="s">
        <v>38</v>
      </c>
      <c r="D112" s="40">
        <v>290</v>
      </c>
      <c r="E112" s="77">
        <v>10</v>
      </c>
      <c r="F112" s="78">
        <f>ROUND(D112*E112,2)</f>
        <v>2900</v>
      </c>
    </row>
    <row r="114" spans="1:6" x14ac:dyDescent="0.25">
      <c r="A114" s="39" t="s">
        <v>1593</v>
      </c>
      <c r="B114" s="81" t="s">
        <v>2647</v>
      </c>
    </row>
    <row r="115" spans="1:6" ht="96" customHeight="1" x14ac:dyDescent="0.25">
      <c r="B115" s="37" t="s">
        <v>2651</v>
      </c>
      <c r="D115" s="38" t="s">
        <v>1564</v>
      </c>
    </row>
    <row r="116" spans="1:6" x14ac:dyDescent="0.25">
      <c r="B116" s="75" t="s">
        <v>53</v>
      </c>
      <c r="C116" s="76" t="s">
        <v>39</v>
      </c>
      <c r="D116" s="40">
        <v>2</v>
      </c>
      <c r="E116" s="77">
        <v>180</v>
      </c>
      <c r="F116" s="78">
        <f>ROUND(D116*E116,2)</f>
        <v>360</v>
      </c>
    </row>
    <row r="117" spans="1:6" x14ac:dyDescent="0.25">
      <c r="B117" s="75" t="s">
        <v>54</v>
      </c>
      <c r="C117" s="76" t="s">
        <v>38</v>
      </c>
      <c r="D117" s="40">
        <v>5</v>
      </c>
      <c r="E117" s="77">
        <v>40</v>
      </c>
      <c r="F117" s="78">
        <f>ROUND(D117*E117,2)</f>
        <v>200</v>
      </c>
    </row>
    <row r="118" spans="1:6" x14ac:dyDescent="0.25">
      <c r="B118" s="75" t="s">
        <v>55</v>
      </c>
      <c r="C118" s="76" t="s">
        <v>56</v>
      </c>
      <c r="D118" s="40">
        <v>260</v>
      </c>
      <c r="E118" s="77">
        <v>1.6</v>
      </c>
      <c r="F118" s="78">
        <f>ROUND(D118*E118,2)</f>
        <v>416</v>
      </c>
    </row>
    <row r="119" spans="1:6" x14ac:dyDescent="0.25">
      <c r="E119" s="124"/>
      <c r="F119" s="78"/>
    </row>
    <row r="120" spans="1:6" x14ac:dyDescent="0.25">
      <c r="A120" s="39" t="s">
        <v>1594</v>
      </c>
      <c r="B120" s="81" t="s">
        <v>2647</v>
      </c>
      <c r="E120" s="124"/>
      <c r="F120" s="78"/>
    </row>
    <row r="121" spans="1:6" ht="67.5" customHeight="1" x14ac:dyDescent="0.25">
      <c r="B121" s="37" t="s">
        <v>2652</v>
      </c>
    </row>
    <row r="122" spans="1:6" x14ac:dyDescent="0.25">
      <c r="B122" s="75" t="s">
        <v>53</v>
      </c>
      <c r="C122" s="76" t="s">
        <v>39</v>
      </c>
      <c r="D122" s="40">
        <v>1.8</v>
      </c>
      <c r="E122" s="77">
        <v>180</v>
      </c>
      <c r="F122" s="78">
        <f>ROUND(D122*E122,2)</f>
        <v>324</v>
      </c>
    </row>
    <row r="123" spans="1:6" x14ac:dyDescent="0.25">
      <c r="B123" s="75" t="s">
        <v>54</v>
      </c>
      <c r="C123" s="76" t="s">
        <v>38</v>
      </c>
      <c r="D123" s="40">
        <v>15</v>
      </c>
      <c r="E123" s="77">
        <v>40</v>
      </c>
      <c r="F123" s="78">
        <f>ROUND(D123*E123,2)</f>
        <v>600</v>
      </c>
    </row>
    <row r="124" spans="1:6" x14ac:dyDescent="0.25">
      <c r="B124" s="75" t="s">
        <v>55</v>
      </c>
      <c r="C124" s="76" t="s">
        <v>56</v>
      </c>
      <c r="D124" s="40">
        <v>234</v>
      </c>
      <c r="E124" s="77">
        <v>1.6</v>
      </c>
      <c r="F124" s="78">
        <f>ROUND(D124*E124,2)</f>
        <v>374.4</v>
      </c>
    </row>
    <row r="126" spans="1:6" x14ac:dyDescent="0.25">
      <c r="A126" s="39" t="s">
        <v>1595</v>
      </c>
      <c r="B126" s="81" t="s">
        <v>2647</v>
      </c>
    </row>
    <row r="127" spans="1:6" ht="93" customHeight="1" x14ac:dyDescent="0.25">
      <c r="B127" s="37" t="s">
        <v>2653</v>
      </c>
    </row>
    <row r="128" spans="1:6" x14ac:dyDescent="0.25">
      <c r="B128" s="75" t="s">
        <v>53</v>
      </c>
      <c r="C128" s="76" t="s">
        <v>39</v>
      </c>
      <c r="D128" s="40">
        <v>85</v>
      </c>
      <c r="E128" s="77">
        <v>360</v>
      </c>
      <c r="F128" s="78">
        <f>ROUND(D128*E128,2)</f>
        <v>30600</v>
      </c>
    </row>
    <row r="129" spans="1:6" x14ac:dyDescent="0.25">
      <c r="B129" s="75" t="s">
        <v>54</v>
      </c>
      <c r="C129" s="76" t="s">
        <v>38</v>
      </c>
      <c r="D129" s="40">
        <v>32</v>
      </c>
      <c r="E129" s="77">
        <v>40</v>
      </c>
      <c r="F129" s="78">
        <f>ROUND(D129*E129,2)</f>
        <v>1280</v>
      </c>
    </row>
    <row r="130" spans="1:6" x14ac:dyDescent="0.25">
      <c r="B130" s="75" t="s">
        <v>55</v>
      </c>
      <c r="C130" s="76" t="s">
        <v>56</v>
      </c>
      <c r="D130" s="40">
        <v>11050</v>
      </c>
      <c r="E130" s="77">
        <v>0.1</v>
      </c>
      <c r="F130" s="78">
        <f>ROUND(D130*E130,2)</f>
        <v>1105</v>
      </c>
    </row>
    <row r="132" spans="1:6" x14ac:dyDescent="0.25">
      <c r="A132" s="39" t="s">
        <v>1596</v>
      </c>
      <c r="B132" s="81" t="s">
        <v>2647</v>
      </c>
    </row>
    <row r="133" spans="1:6" ht="78" customHeight="1" x14ac:dyDescent="0.25">
      <c r="B133" s="37" t="s">
        <v>2654</v>
      </c>
    </row>
    <row r="134" spans="1:6" x14ac:dyDescent="0.25">
      <c r="B134" s="75" t="s">
        <v>53</v>
      </c>
      <c r="C134" s="76" t="s">
        <v>39</v>
      </c>
      <c r="D134" s="40">
        <v>79</v>
      </c>
      <c r="E134" s="77">
        <v>360</v>
      </c>
      <c r="F134" s="78">
        <f>ROUND(D134*E134,2)</f>
        <v>28440</v>
      </c>
    </row>
    <row r="135" spans="1:6" x14ac:dyDescent="0.25">
      <c r="B135" s="75" t="s">
        <v>54</v>
      </c>
      <c r="C135" s="76" t="s">
        <v>38</v>
      </c>
      <c r="D135" s="40">
        <v>760</v>
      </c>
      <c r="E135" s="77">
        <v>50</v>
      </c>
      <c r="F135" s="78">
        <f>ROUND(D135*E135,2)</f>
        <v>38000</v>
      </c>
    </row>
    <row r="136" spans="1:6" x14ac:dyDescent="0.25">
      <c r="B136" s="75" t="s">
        <v>55</v>
      </c>
      <c r="C136" s="76" t="s">
        <v>56</v>
      </c>
      <c r="D136" s="40">
        <v>11850</v>
      </c>
      <c r="E136" s="77">
        <v>0.1</v>
      </c>
      <c r="F136" s="78">
        <f>ROUND(D136*E136,2)</f>
        <v>1185</v>
      </c>
    </row>
    <row r="137" spans="1:6" x14ac:dyDescent="0.25">
      <c r="E137" s="124"/>
      <c r="F137" s="78"/>
    </row>
    <row r="138" spans="1:6" x14ac:dyDescent="0.25">
      <c r="A138" s="39" t="s">
        <v>1597</v>
      </c>
      <c r="B138" s="81" t="s">
        <v>2647</v>
      </c>
      <c r="E138" s="124"/>
      <c r="F138" s="78"/>
    </row>
    <row r="139" spans="1:6" ht="69" customHeight="1" x14ac:dyDescent="0.25">
      <c r="B139" s="37" t="s">
        <v>2655</v>
      </c>
    </row>
    <row r="140" spans="1:6" x14ac:dyDescent="0.25">
      <c r="B140" s="75" t="s">
        <v>53</v>
      </c>
      <c r="C140" s="76" t="s">
        <v>39</v>
      </c>
      <c r="D140" s="40">
        <v>0.5</v>
      </c>
      <c r="E140" s="77">
        <v>500</v>
      </c>
      <c r="F140" s="78">
        <f>ROUND(D140*E140,2)</f>
        <v>250</v>
      </c>
    </row>
    <row r="141" spans="1:6" x14ac:dyDescent="0.25">
      <c r="B141" s="75" t="s">
        <v>54</v>
      </c>
      <c r="C141" s="76" t="s">
        <v>38</v>
      </c>
      <c r="D141" s="40">
        <v>6.5</v>
      </c>
      <c r="E141" s="77">
        <v>100</v>
      </c>
      <c r="F141" s="78">
        <f>ROUND(D141*E141,2)</f>
        <v>650</v>
      </c>
    </row>
    <row r="142" spans="1:6" x14ac:dyDescent="0.25">
      <c r="B142" s="75" t="s">
        <v>55</v>
      </c>
      <c r="C142" s="76" t="s">
        <v>56</v>
      </c>
      <c r="D142" s="40">
        <v>75</v>
      </c>
      <c r="E142" s="77">
        <v>1.6</v>
      </c>
      <c r="F142" s="78">
        <f>ROUND(D142*E142,2)</f>
        <v>120</v>
      </c>
    </row>
    <row r="144" spans="1:6" x14ac:dyDescent="0.25">
      <c r="A144" s="39" t="s">
        <v>1598</v>
      </c>
      <c r="B144" s="81" t="s">
        <v>2647</v>
      </c>
    </row>
    <row r="145" spans="1:6" ht="66" customHeight="1" x14ac:dyDescent="0.25">
      <c r="B145" s="37" t="s">
        <v>2656</v>
      </c>
    </row>
    <row r="146" spans="1:6" x14ac:dyDescent="0.25">
      <c r="B146" s="75" t="s">
        <v>53</v>
      </c>
      <c r="C146" s="76" t="s">
        <v>39</v>
      </c>
      <c r="D146" s="40">
        <v>55</v>
      </c>
      <c r="E146" s="77">
        <v>180</v>
      </c>
      <c r="F146" s="78">
        <f>ROUND(D146*E146,2)</f>
        <v>9900</v>
      </c>
    </row>
    <row r="147" spans="1:6" x14ac:dyDescent="0.25">
      <c r="B147" s="75" t="s">
        <v>54</v>
      </c>
      <c r="C147" s="76" t="s">
        <v>38</v>
      </c>
      <c r="D147" s="40">
        <v>280</v>
      </c>
      <c r="E147" s="77">
        <v>60</v>
      </c>
      <c r="F147" s="78">
        <f>ROUND(D147*E147,2)</f>
        <v>16800</v>
      </c>
    </row>
    <row r="148" spans="1:6" x14ac:dyDescent="0.25">
      <c r="B148" s="75" t="s">
        <v>55</v>
      </c>
      <c r="C148" s="76" t="s">
        <v>56</v>
      </c>
      <c r="D148" s="40">
        <v>4800</v>
      </c>
      <c r="E148" s="77">
        <v>1.6</v>
      </c>
      <c r="F148" s="78">
        <f>ROUND(D148*E148,2)</f>
        <v>7680</v>
      </c>
    </row>
    <row r="150" spans="1:6" x14ac:dyDescent="0.25">
      <c r="A150" s="39" t="s">
        <v>1599</v>
      </c>
      <c r="B150" s="81" t="s">
        <v>2647</v>
      </c>
    </row>
    <row r="151" spans="1:6" ht="80.25" customHeight="1" x14ac:dyDescent="0.25">
      <c r="B151" s="37" t="s">
        <v>2657</v>
      </c>
    </row>
    <row r="152" spans="1:6" x14ac:dyDescent="0.25">
      <c r="B152" s="75" t="s">
        <v>53</v>
      </c>
      <c r="C152" s="76" t="s">
        <v>39</v>
      </c>
      <c r="D152" s="40">
        <v>8</v>
      </c>
      <c r="E152" s="77">
        <v>200</v>
      </c>
      <c r="F152" s="78">
        <f>ROUND(D152*E152,2)</f>
        <v>1600</v>
      </c>
    </row>
    <row r="153" spans="1:6" x14ac:dyDescent="0.25">
      <c r="B153" s="75" t="s">
        <v>54</v>
      </c>
      <c r="C153" s="76" t="s">
        <v>38</v>
      </c>
      <c r="D153" s="40">
        <v>50</v>
      </c>
      <c r="E153" s="77">
        <v>60</v>
      </c>
      <c r="F153" s="78">
        <f>ROUND(D153*E153,2)</f>
        <v>3000</v>
      </c>
    </row>
    <row r="154" spans="1:6" x14ac:dyDescent="0.25">
      <c r="B154" s="75" t="s">
        <v>55</v>
      </c>
      <c r="C154" s="76" t="s">
        <v>56</v>
      </c>
      <c r="D154" s="40">
        <v>750</v>
      </c>
      <c r="E154" s="77">
        <v>1.6</v>
      </c>
      <c r="F154" s="78">
        <f>ROUND(D154*E154,2)</f>
        <v>1200</v>
      </c>
    </row>
    <row r="156" spans="1:6" x14ac:dyDescent="0.25">
      <c r="A156" s="39" t="s">
        <v>1600</v>
      </c>
      <c r="B156" s="81" t="s">
        <v>2647</v>
      </c>
    </row>
    <row r="157" spans="1:6" ht="68.25" customHeight="1" x14ac:dyDescent="0.25">
      <c r="B157" s="37" t="s">
        <v>2658</v>
      </c>
    </row>
    <row r="158" spans="1:6" x14ac:dyDescent="0.25">
      <c r="B158" s="75" t="s">
        <v>53</v>
      </c>
      <c r="C158" s="76" t="s">
        <v>39</v>
      </c>
      <c r="D158" s="40">
        <v>1</v>
      </c>
      <c r="E158" s="77">
        <v>300</v>
      </c>
      <c r="F158" s="78">
        <f>ROUND(D158*E158,2)</f>
        <v>300</v>
      </c>
    </row>
    <row r="159" spans="1:6" x14ac:dyDescent="0.25">
      <c r="B159" s="75" t="s">
        <v>54</v>
      </c>
      <c r="C159" s="76" t="s">
        <v>38</v>
      </c>
      <c r="D159" s="40">
        <v>5</v>
      </c>
      <c r="E159" s="77">
        <v>80</v>
      </c>
      <c r="F159" s="78">
        <f>ROUND(D159*E159,2)</f>
        <v>400</v>
      </c>
    </row>
    <row r="160" spans="1:6" x14ac:dyDescent="0.25">
      <c r="B160" s="75" t="s">
        <v>55</v>
      </c>
      <c r="C160" s="76" t="s">
        <v>56</v>
      </c>
      <c r="D160" s="40">
        <v>75</v>
      </c>
      <c r="E160" s="77">
        <v>1.6</v>
      </c>
      <c r="F160" s="78">
        <f>ROUND(D160*E160,2)</f>
        <v>120</v>
      </c>
    </row>
    <row r="162" spans="1:6" x14ac:dyDescent="0.25">
      <c r="A162" s="39" t="s">
        <v>1601</v>
      </c>
      <c r="B162" s="81" t="s">
        <v>2647</v>
      </c>
    </row>
    <row r="163" spans="1:6" ht="68.25" customHeight="1" x14ac:dyDescent="0.25">
      <c r="B163" s="37" t="s">
        <v>2663</v>
      </c>
    </row>
    <row r="164" spans="1:6" x14ac:dyDescent="0.25">
      <c r="B164" s="75" t="s">
        <v>53</v>
      </c>
      <c r="C164" s="76" t="s">
        <v>39</v>
      </c>
      <c r="D164" s="40">
        <v>2</v>
      </c>
      <c r="E164" s="77">
        <v>300</v>
      </c>
      <c r="F164" s="78">
        <f>ROUND(D164*E164,2)</f>
        <v>600</v>
      </c>
    </row>
    <row r="165" spans="1:6" x14ac:dyDescent="0.25">
      <c r="B165" s="75" t="s">
        <v>54</v>
      </c>
      <c r="C165" s="76" t="s">
        <v>38</v>
      </c>
      <c r="D165" s="40">
        <v>15</v>
      </c>
      <c r="E165" s="77">
        <v>80</v>
      </c>
      <c r="F165" s="78">
        <f>ROUND(D165*E165,2)</f>
        <v>1200</v>
      </c>
    </row>
    <row r="166" spans="1:6" x14ac:dyDescent="0.25">
      <c r="B166" s="75" t="s">
        <v>55</v>
      </c>
      <c r="C166" s="76" t="s">
        <v>56</v>
      </c>
      <c r="D166" s="40">
        <v>220</v>
      </c>
      <c r="E166" s="77">
        <v>1.6</v>
      </c>
      <c r="F166" s="78">
        <f>ROUND(D166*E166,2)</f>
        <v>352</v>
      </c>
    </row>
    <row r="168" spans="1:6" x14ac:dyDescent="0.25">
      <c r="A168" s="39" t="s">
        <v>1602</v>
      </c>
      <c r="B168" s="81" t="s">
        <v>2647</v>
      </c>
    </row>
    <row r="169" spans="1:6" ht="69.75" customHeight="1" x14ac:dyDescent="0.25">
      <c r="B169" s="37" t="s">
        <v>2659</v>
      </c>
    </row>
    <row r="170" spans="1:6" x14ac:dyDescent="0.25">
      <c r="B170" s="75" t="s">
        <v>53</v>
      </c>
      <c r="C170" s="76" t="s">
        <v>39</v>
      </c>
      <c r="D170" s="40">
        <v>15</v>
      </c>
      <c r="E170" s="77">
        <v>360</v>
      </c>
      <c r="F170" s="78">
        <f>ROUND(D170*E170,2)</f>
        <v>5400</v>
      </c>
    </row>
    <row r="171" spans="1:6" x14ac:dyDescent="0.25">
      <c r="B171" s="75" t="s">
        <v>54</v>
      </c>
      <c r="C171" s="76" t="s">
        <v>38</v>
      </c>
      <c r="D171" s="40">
        <v>150</v>
      </c>
      <c r="E171" s="77">
        <v>50</v>
      </c>
      <c r="F171" s="78">
        <f>ROUND(D171*E171,2)</f>
        <v>7500</v>
      </c>
    </row>
    <row r="172" spans="1:6" x14ac:dyDescent="0.25">
      <c r="B172" s="75" t="s">
        <v>55</v>
      </c>
      <c r="C172" s="76" t="s">
        <v>56</v>
      </c>
      <c r="D172" s="40">
        <v>2250</v>
      </c>
      <c r="E172" s="77">
        <v>0.1</v>
      </c>
      <c r="F172" s="78">
        <f>ROUND(D172*E172,2)</f>
        <v>225</v>
      </c>
    </row>
    <row r="174" spans="1:6" x14ac:dyDescent="0.25">
      <c r="A174" s="39" t="s">
        <v>1603</v>
      </c>
      <c r="B174" s="81" t="s">
        <v>2647</v>
      </c>
    </row>
    <row r="175" spans="1:6" ht="66.75" customHeight="1" x14ac:dyDescent="0.25">
      <c r="B175" s="37" t="s">
        <v>2660</v>
      </c>
    </row>
    <row r="176" spans="1:6" x14ac:dyDescent="0.25">
      <c r="B176" s="75" t="s">
        <v>53</v>
      </c>
      <c r="C176" s="76" t="s">
        <v>39</v>
      </c>
      <c r="D176" s="40">
        <v>4</v>
      </c>
      <c r="E176" s="77">
        <v>300</v>
      </c>
      <c r="F176" s="78">
        <f>ROUND(D176*E176,2)</f>
        <v>1200</v>
      </c>
    </row>
    <row r="177" spans="1:6" x14ac:dyDescent="0.25">
      <c r="B177" s="75" t="s">
        <v>54</v>
      </c>
      <c r="C177" s="76" t="s">
        <v>38</v>
      </c>
      <c r="D177" s="40">
        <v>62</v>
      </c>
      <c r="E177" s="77">
        <v>60</v>
      </c>
      <c r="F177" s="78">
        <f>ROUND(D177*E177,2)</f>
        <v>3720</v>
      </c>
    </row>
    <row r="178" spans="1:6" x14ac:dyDescent="0.25">
      <c r="B178" s="75" t="s">
        <v>55</v>
      </c>
      <c r="C178" s="76" t="s">
        <v>56</v>
      </c>
      <c r="D178" s="40">
        <v>600</v>
      </c>
      <c r="E178" s="77">
        <v>1.6</v>
      </c>
      <c r="F178" s="78">
        <f>ROUND(D178*E178,2)</f>
        <v>960</v>
      </c>
    </row>
    <row r="180" spans="1:6" x14ac:dyDescent="0.25">
      <c r="A180" s="39" t="s">
        <v>1604</v>
      </c>
      <c r="B180" s="81" t="s">
        <v>2647</v>
      </c>
    </row>
    <row r="181" spans="1:6" ht="69" customHeight="1" x14ac:dyDescent="0.25">
      <c r="B181" s="37" t="s">
        <v>2661</v>
      </c>
    </row>
    <row r="182" spans="1:6" x14ac:dyDescent="0.25">
      <c r="B182" s="75" t="s">
        <v>53</v>
      </c>
      <c r="C182" s="76" t="s">
        <v>39</v>
      </c>
      <c r="D182" s="40">
        <v>9</v>
      </c>
      <c r="E182" s="77">
        <v>300</v>
      </c>
      <c r="F182" s="78">
        <f>ROUND(D182*E182,2)</f>
        <v>2700</v>
      </c>
    </row>
    <row r="183" spans="1:6" x14ac:dyDescent="0.25">
      <c r="B183" s="75" t="s">
        <v>54</v>
      </c>
      <c r="C183" s="76" t="s">
        <v>38</v>
      </c>
      <c r="D183" s="40">
        <v>80</v>
      </c>
      <c r="E183" s="77">
        <v>60</v>
      </c>
      <c r="F183" s="78">
        <f>ROUND(D183*E183,2)</f>
        <v>4800</v>
      </c>
    </row>
    <row r="184" spans="1:6" x14ac:dyDescent="0.25">
      <c r="B184" s="75" t="s">
        <v>55</v>
      </c>
      <c r="C184" s="76" t="s">
        <v>56</v>
      </c>
      <c r="D184" s="40">
        <v>1180</v>
      </c>
      <c r="E184" s="77">
        <v>1.6</v>
      </c>
      <c r="F184" s="78">
        <f>ROUND(D184*E184,2)</f>
        <v>1888</v>
      </c>
    </row>
    <row r="186" spans="1:6" x14ac:dyDescent="0.25">
      <c r="A186" s="39" t="s">
        <v>1605</v>
      </c>
      <c r="B186" s="81" t="s">
        <v>2647</v>
      </c>
    </row>
    <row r="187" spans="1:6" ht="82.8" customHeight="1" x14ac:dyDescent="0.25">
      <c r="B187" s="37" t="s">
        <v>2662</v>
      </c>
    </row>
    <row r="188" spans="1:6" x14ac:dyDescent="0.25">
      <c r="B188" s="75" t="s">
        <v>53</v>
      </c>
      <c r="C188" s="76" t="s">
        <v>39</v>
      </c>
      <c r="D188" s="40">
        <v>2.5</v>
      </c>
      <c r="E188" s="77">
        <v>300</v>
      </c>
      <c r="F188" s="78">
        <f>ROUND(D188*E188,2)</f>
        <v>750</v>
      </c>
    </row>
    <row r="189" spans="1:6" x14ac:dyDescent="0.25">
      <c r="B189" s="75" t="s">
        <v>54</v>
      </c>
      <c r="C189" s="76" t="s">
        <v>38</v>
      </c>
      <c r="D189" s="40">
        <v>20</v>
      </c>
      <c r="E189" s="77">
        <v>80</v>
      </c>
      <c r="F189" s="78">
        <f>ROUND(D189*E189,2)</f>
        <v>1600</v>
      </c>
    </row>
    <row r="190" spans="1:6" x14ac:dyDescent="0.25">
      <c r="B190" s="75" t="s">
        <v>55</v>
      </c>
      <c r="C190" s="76" t="s">
        <v>56</v>
      </c>
      <c r="D190" s="40">
        <v>180</v>
      </c>
      <c r="E190" s="77">
        <v>1.6</v>
      </c>
      <c r="F190" s="78">
        <f>ROUND(D190*E190,2)</f>
        <v>288</v>
      </c>
    </row>
    <row r="192" spans="1:6" x14ac:dyDescent="0.25">
      <c r="A192" s="39" t="s">
        <v>1606</v>
      </c>
      <c r="B192" s="81" t="s">
        <v>2647</v>
      </c>
    </row>
    <row r="193" spans="1:6" ht="66.75" customHeight="1" x14ac:dyDescent="0.25">
      <c r="B193" s="37" t="s">
        <v>2664</v>
      </c>
    </row>
    <row r="194" spans="1:6" x14ac:dyDescent="0.25">
      <c r="B194" s="75" t="s">
        <v>53</v>
      </c>
      <c r="C194" s="76" t="s">
        <v>39</v>
      </c>
      <c r="D194" s="40">
        <v>16</v>
      </c>
      <c r="E194" s="77">
        <v>360</v>
      </c>
      <c r="F194" s="78">
        <f>ROUND(D194*E194,2)</f>
        <v>5760</v>
      </c>
    </row>
    <row r="195" spans="1:6" x14ac:dyDescent="0.25">
      <c r="B195" s="75" t="s">
        <v>54</v>
      </c>
      <c r="C195" s="76" t="s">
        <v>38</v>
      </c>
      <c r="D195" s="40">
        <v>157</v>
      </c>
      <c r="E195" s="77">
        <v>50</v>
      </c>
      <c r="F195" s="78">
        <f>ROUND(D195*E195,2)</f>
        <v>7850</v>
      </c>
    </row>
    <row r="196" spans="1:6" x14ac:dyDescent="0.25">
      <c r="B196" s="75" t="s">
        <v>55</v>
      </c>
      <c r="C196" s="76" t="s">
        <v>56</v>
      </c>
      <c r="D196" s="40">
        <v>2400</v>
      </c>
      <c r="E196" s="77">
        <v>0.1</v>
      </c>
      <c r="F196" s="78">
        <f>ROUND(D196*E196,2)</f>
        <v>240</v>
      </c>
    </row>
    <row r="198" spans="1:6" x14ac:dyDescent="0.25">
      <c r="A198" s="39" t="s">
        <v>1607</v>
      </c>
      <c r="B198" s="81" t="s">
        <v>2647</v>
      </c>
    </row>
    <row r="199" spans="1:6" ht="79.5" customHeight="1" x14ac:dyDescent="0.25">
      <c r="B199" s="37" t="s">
        <v>2665</v>
      </c>
    </row>
    <row r="200" spans="1:6" x14ac:dyDescent="0.25">
      <c r="B200" s="75" t="s">
        <v>53</v>
      </c>
      <c r="C200" s="76" t="s">
        <v>39</v>
      </c>
      <c r="D200" s="40">
        <v>4.2</v>
      </c>
      <c r="E200" s="77">
        <v>300</v>
      </c>
      <c r="F200" s="78">
        <f>ROUND(D200*E200,2)</f>
        <v>1260</v>
      </c>
    </row>
    <row r="201" spans="1:6" x14ac:dyDescent="0.25">
      <c r="B201" s="75" t="s">
        <v>54</v>
      </c>
      <c r="C201" s="76" t="s">
        <v>38</v>
      </c>
      <c r="D201" s="40">
        <v>20</v>
      </c>
      <c r="E201" s="77">
        <v>80</v>
      </c>
      <c r="F201" s="78">
        <f>ROUND(D201*E201,2)</f>
        <v>1600</v>
      </c>
    </row>
    <row r="202" spans="1:6" x14ac:dyDescent="0.25">
      <c r="B202" s="75" t="s">
        <v>55</v>
      </c>
      <c r="C202" s="76" t="s">
        <v>56</v>
      </c>
      <c r="D202" s="40">
        <v>300</v>
      </c>
      <c r="E202" s="77">
        <v>1.6</v>
      </c>
      <c r="F202" s="78">
        <f>ROUND(D202*E202,2)</f>
        <v>480</v>
      </c>
    </row>
    <row r="204" spans="1:6" x14ac:dyDescent="0.25">
      <c r="A204" s="39" t="s">
        <v>1608</v>
      </c>
      <c r="B204" s="81" t="s">
        <v>2647</v>
      </c>
    </row>
    <row r="205" spans="1:6" ht="68.25" customHeight="1" x14ac:dyDescent="0.25">
      <c r="B205" s="37" t="s">
        <v>2666</v>
      </c>
    </row>
    <row r="206" spans="1:6" x14ac:dyDescent="0.25">
      <c r="B206" s="75" t="s">
        <v>53</v>
      </c>
      <c r="C206" s="76" t="s">
        <v>39</v>
      </c>
      <c r="D206" s="40">
        <v>17.2</v>
      </c>
      <c r="E206" s="77">
        <v>360</v>
      </c>
      <c r="F206" s="78">
        <f>ROUND(D206*E206,2)</f>
        <v>6192</v>
      </c>
    </row>
    <row r="207" spans="1:6" x14ac:dyDescent="0.25">
      <c r="B207" s="75" t="s">
        <v>54</v>
      </c>
      <c r="C207" s="76" t="s">
        <v>38</v>
      </c>
      <c r="D207" s="40">
        <v>175</v>
      </c>
      <c r="E207" s="77">
        <v>50</v>
      </c>
      <c r="F207" s="78">
        <f>ROUND(D207*E207,2)</f>
        <v>8750</v>
      </c>
    </row>
    <row r="208" spans="1:6" x14ac:dyDescent="0.25">
      <c r="B208" s="75" t="s">
        <v>55</v>
      </c>
      <c r="C208" s="76" t="s">
        <v>56</v>
      </c>
      <c r="D208" s="40">
        <v>2900</v>
      </c>
      <c r="E208" s="77">
        <v>0.1</v>
      </c>
      <c r="F208" s="78">
        <f>ROUND(D208*E208,2)</f>
        <v>290</v>
      </c>
    </row>
    <row r="210" spans="1:6" x14ac:dyDescent="0.25">
      <c r="A210" s="39" t="s">
        <v>1609</v>
      </c>
      <c r="B210" s="81" t="s">
        <v>2647</v>
      </c>
    </row>
    <row r="211" spans="1:6" ht="67.5" customHeight="1" x14ac:dyDescent="0.25">
      <c r="B211" s="37" t="s">
        <v>2667</v>
      </c>
    </row>
    <row r="212" spans="1:6" x14ac:dyDescent="0.25">
      <c r="B212" s="75" t="s">
        <v>53</v>
      </c>
      <c r="C212" s="76" t="s">
        <v>39</v>
      </c>
      <c r="D212" s="40">
        <v>2.2000000000000002</v>
      </c>
      <c r="E212" s="77">
        <v>300</v>
      </c>
      <c r="F212" s="78">
        <f>ROUND(D212*E212,2)</f>
        <v>660</v>
      </c>
    </row>
    <row r="213" spans="1:6" x14ac:dyDescent="0.25">
      <c r="B213" s="75" t="s">
        <v>54</v>
      </c>
      <c r="C213" s="76" t="s">
        <v>38</v>
      </c>
      <c r="D213" s="40">
        <v>15</v>
      </c>
      <c r="E213" s="77">
        <v>80</v>
      </c>
      <c r="F213" s="78">
        <f>ROUND(D213*E213,2)</f>
        <v>1200</v>
      </c>
    </row>
    <row r="214" spans="1:6" x14ac:dyDescent="0.25">
      <c r="B214" s="75" t="s">
        <v>55</v>
      </c>
      <c r="C214" s="76" t="s">
        <v>56</v>
      </c>
      <c r="D214" s="40">
        <v>270</v>
      </c>
      <c r="E214" s="77">
        <v>1.6</v>
      </c>
      <c r="F214" s="78">
        <f>ROUND(D214*E214,2)</f>
        <v>432</v>
      </c>
    </row>
    <row r="216" spans="1:6" x14ac:dyDescent="0.25">
      <c r="A216" s="39" t="s">
        <v>1610</v>
      </c>
      <c r="B216" s="81" t="s">
        <v>2647</v>
      </c>
    </row>
    <row r="217" spans="1:6" ht="67.5" customHeight="1" x14ac:dyDescent="0.25">
      <c r="B217" s="37" t="s">
        <v>2668</v>
      </c>
    </row>
    <row r="218" spans="1:6" x14ac:dyDescent="0.25">
      <c r="B218" s="75" t="s">
        <v>53</v>
      </c>
      <c r="C218" s="76" t="s">
        <v>39</v>
      </c>
      <c r="D218" s="40">
        <v>0.4</v>
      </c>
      <c r="E218" s="77">
        <v>1000</v>
      </c>
      <c r="F218" s="78">
        <f>ROUND(D218*E218,2)</f>
        <v>400</v>
      </c>
    </row>
    <row r="219" spans="1:6" x14ac:dyDescent="0.25">
      <c r="B219" s="75" t="s">
        <v>54</v>
      </c>
      <c r="C219" s="76" t="s">
        <v>38</v>
      </c>
      <c r="D219" s="40">
        <v>5</v>
      </c>
      <c r="E219" s="77">
        <v>100</v>
      </c>
      <c r="F219" s="78">
        <f>ROUND(D219*E219,2)</f>
        <v>500</v>
      </c>
    </row>
    <row r="220" spans="1:6" x14ac:dyDescent="0.25">
      <c r="B220" s="75" t="s">
        <v>55</v>
      </c>
      <c r="C220" s="76" t="s">
        <v>56</v>
      </c>
      <c r="D220" s="40">
        <v>55</v>
      </c>
      <c r="E220" s="77">
        <v>1.6</v>
      </c>
      <c r="F220" s="78">
        <f>ROUND(D220*E220,2)</f>
        <v>88</v>
      </c>
    </row>
    <row r="222" spans="1:6" x14ac:dyDescent="0.25">
      <c r="A222" s="39" t="s">
        <v>1611</v>
      </c>
      <c r="B222" s="81" t="s">
        <v>2647</v>
      </c>
    </row>
    <row r="223" spans="1:6" ht="67.5" customHeight="1" x14ac:dyDescent="0.25">
      <c r="B223" s="37" t="s">
        <v>2669</v>
      </c>
    </row>
    <row r="224" spans="1:6" x14ac:dyDescent="0.25">
      <c r="B224" s="75" t="s">
        <v>53</v>
      </c>
      <c r="C224" s="76" t="s">
        <v>39</v>
      </c>
      <c r="D224" s="40">
        <v>12.5</v>
      </c>
      <c r="E224" s="77">
        <v>300</v>
      </c>
      <c r="F224" s="78">
        <f>ROUND(D224*E224,2)</f>
        <v>3750</v>
      </c>
    </row>
    <row r="225" spans="1:6" x14ac:dyDescent="0.25">
      <c r="B225" s="75" t="s">
        <v>54</v>
      </c>
      <c r="C225" s="76" t="s">
        <v>38</v>
      </c>
      <c r="D225" s="40">
        <v>27</v>
      </c>
      <c r="E225" s="77">
        <v>80</v>
      </c>
      <c r="F225" s="78">
        <f>ROUND(D225*E225,2)</f>
        <v>2160</v>
      </c>
    </row>
    <row r="226" spans="1:6" x14ac:dyDescent="0.25">
      <c r="B226" s="75" t="s">
        <v>55</v>
      </c>
      <c r="C226" s="76" t="s">
        <v>56</v>
      </c>
      <c r="D226" s="40">
        <v>1500</v>
      </c>
      <c r="E226" s="77">
        <v>1.6</v>
      </c>
      <c r="F226" s="78">
        <f>ROUND(D226*E226,2)</f>
        <v>2400</v>
      </c>
    </row>
    <row r="228" spans="1:6" x14ac:dyDescent="0.25">
      <c r="A228" s="39" t="s">
        <v>1612</v>
      </c>
      <c r="B228" s="81" t="s">
        <v>2647</v>
      </c>
    </row>
    <row r="229" spans="1:6" ht="56.25" customHeight="1" x14ac:dyDescent="0.25">
      <c r="B229" s="37" t="s">
        <v>2671</v>
      </c>
    </row>
    <row r="230" spans="1:6" x14ac:dyDescent="0.25">
      <c r="B230" s="75" t="s">
        <v>53</v>
      </c>
      <c r="C230" s="76" t="s">
        <v>39</v>
      </c>
      <c r="D230" s="40">
        <v>17</v>
      </c>
      <c r="E230" s="77">
        <v>200</v>
      </c>
      <c r="F230" s="78">
        <f>ROUND(D230*E230,2)</f>
        <v>3400</v>
      </c>
    </row>
    <row r="231" spans="1:6" x14ac:dyDescent="0.25">
      <c r="B231" s="75" t="s">
        <v>55</v>
      </c>
      <c r="C231" s="76" t="s">
        <v>56</v>
      </c>
      <c r="D231" s="40">
        <v>2210</v>
      </c>
      <c r="E231" s="77">
        <v>1.6</v>
      </c>
      <c r="F231" s="78">
        <f>ROUND(D231*E231,2)</f>
        <v>3536</v>
      </c>
    </row>
    <row r="233" spans="1:6" x14ac:dyDescent="0.25">
      <c r="A233" s="39" t="s">
        <v>1613</v>
      </c>
      <c r="B233" s="81" t="s">
        <v>2647</v>
      </c>
    </row>
    <row r="234" spans="1:6" ht="69" customHeight="1" x14ac:dyDescent="0.25">
      <c r="B234" s="37" t="s">
        <v>2670</v>
      </c>
    </row>
    <row r="235" spans="1:6" x14ac:dyDescent="0.25">
      <c r="B235" s="75" t="s">
        <v>53</v>
      </c>
      <c r="C235" s="76" t="s">
        <v>39</v>
      </c>
      <c r="D235" s="40">
        <v>15</v>
      </c>
      <c r="E235" s="77">
        <v>200</v>
      </c>
      <c r="F235" s="78">
        <f>ROUND(D235*E235,2)</f>
        <v>3000</v>
      </c>
    </row>
    <row r="236" spans="1:6" x14ac:dyDescent="0.25">
      <c r="B236" s="75" t="s">
        <v>54</v>
      </c>
      <c r="C236" s="76" t="s">
        <v>38</v>
      </c>
      <c r="D236" s="40">
        <v>95</v>
      </c>
      <c r="E236" s="77">
        <v>60</v>
      </c>
      <c r="F236" s="78">
        <f>ROUND(D236*E236,2)</f>
        <v>5700</v>
      </c>
    </row>
    <row r="237" spans="1:6" x14ac:dyDescent="0.25">
      <c r="B237" s="75" t="s">
        <v>55</v>
      </c>
      <c r="C237" s="76" t="s">
        <v>56</v>
      </c>
      <c r="D237" s="40">
        <v>2250</v>
      </c>
      <c r="E237" s="77">
        <v>1.6</v>
      </c>
      <c r="F237" s="78">
        <f>ROUND(D237*E237,2)</f>
        <v>3600</v>
      </c>
    </row>
    <row r="239" spans="1:6" x14ac:dyDescent="0.25">
      <c r="A239" s="39" t="s">
        <v>1614</v>
      </c>
      <c r="B239" s="81" t="s">
        <v>2647</v>
      </c>
    </row>
    <row r="240" spans="1:6" ht="60" x14ac:dyDescent="0.25">
      <c r="B240" s="37" t="s">
        <v>3271</v>
      </c>
    </row>
    <row r="241" spans="1:6" x14ac:dyDescent="0.25">
      <c r="B241" s="75" t="s">
        <v>53</v>
      </c>
      <c r="C241" s="76" t="s">
        <v>39</v>
      </c>
      <c r="D241" s="40">
        <v>16</v>
      </c>
      <c r="E241" s="120">
        <v>300</v>
      </c>
      <c r="F241" s="78">
        <f t="shared" ref="F241:F243" si="0">ROUND(D241*E241,2)</f>
        <v>4800</v>
      </c>
    </row>
    <row r="242" spans="1:6" x14ac:dyDescent="0.25">
      <c r="B242" s="75" t="s">
        <v>54</v>
      </c>
      <c r="C242" s="76" t="s">
        <v>38</v>
      </c>
      <c r="D242" s="40">
        <v>38</v>
      </c>
      <c r="E242" s="120">
        <v>60</v>
      </c>
      <c r="F242" s="78">
        <f t="shared" si="0"/>
        <v>2280</v>
      </c>
    </row>
    <row r="243" spans="1:6" x14ac:dyDescent="0.25">
      <c r="B243" s="75" t="s">
        <v>55</v>
      </c>
      <c r="C243" s="76" t="s">
        <v>56</v>
      </c>
      <c r="D243" s="40">
        <v>1120</v>
      </c>
      <c r="E243" s="120">
        <v>1.6</v>
      </c>
      <c r="F243" s="78">
        <f t="shared" si="0"/>
        <v>1792</v>
      </c>
    </row>
    <row r="244" spans="1:6" x14ac:dyDescent="0.25">
      <c r="B244" s="75"/>
      <c r="D244" s="40"/>
    </row>
    <row r="245" spans="1:6" x14ac:dyDescent="0.25">
      <c r="A245" s="39" t="s">
        <v>1615</v>
      </c>
      <c r="B245" s="81" t="s">
        <v>2647</v>
      </c>
    </row>
    <row r="246" spans="1:6" ht="90" customHeight="1" x14ac:dyDescent="0.25">
      <c r="B246" s="37" t="s">
        <v>3351</v>
      </c>
    </row>
    <row r="247" spans="1:6" x14ac:dyDescent="0.25">
      <c r="B247" s="75" t="s">
        <v>53</v>
      </c>
      <c r="C247" s="76" t="s">
        <v>39</v>
      </c>
      <c r="D247" s="40">
        <v>10</v>
      </c>
      <c r="E247" s="77">
        <v>1000</v>
      </c>
      <c r="F247" s="78">
        <f>ROUND(D247*E247,2)</f>
        <v>10000</v>
      </c>
    </row>
    <row r="248" spans="1:6" x14ac:dyDescent="0.25">
      <c r="B248" s="75" t="s">
        <v>55</v>
      </c>
      <c r="C248" s="76" t="s">
        <v>56</v>
      </c>
      <c r="D248" s="40">
        <v>700</v>
      </c>
      <c r="E248" s="77">
        <v>1.6</v>
      </c>
      <c r="F248" s="78">
        <f>ROUND(D248*E248,2)</f>
        <v>1120</v>
      </c>
    </row>
    <row r="250" spans="1:6" x14ac:dyDescent="0.25">
      <c r="A250" s="39" t="s">
        <v>1616</v>
      </c>
      <c r="B250" s="81" t="s">
        <v>2672</v>
      </c>
    </row>
    <row r="251" spans="1:6" ht="65.25" customHeight="1" x14ac:dyDescent="0.25">
      <c r="B251" s="37" t="s">
        <v>3299</v>
      </c>
    </row>
    <row r="252" spans="1:6" ht="27" customHeight="1" x14ac:dyDescent="0.25">
      <c r="B252" s="37" t="s">
        <v>2820</v>
      </c>
    </row>
    <row r="253" spans="1:6" ht="19.8" customHeight="1" x14ac:dyDescent="0.25">
      <c r="B253" s="37" t="s">
        <v>3061</v>
      </c>
    </row>
    <row r="254" spans="1:6" x14ac:dyDescent="0.25">
      <c r="B254" s="75" t="s">
        <v>53</v>
      </c>
      <c r="C254" s="76" t="s">
        <v>38</v>
      </c>
      <c r="D254" s="40">
        <v>110</v>
      </c>
      <c r="E254" s="77">
        <v>200</v>
      </c>
      <c r="F254" s="78">
        <f>ROUND(D254*E254,2)</f>
        <v>22000</v>
      </c>
    </row>
    <row r="255" spans="1:6" x14ac:dyDescent="0.25">
      <c r="B255" s="75" t="s">
        <v>58</v>
      </c>
      <c r="C255" s="76" t="s">
        <v>38</v>
      </c>
      <c r="D255" s="40">
        <v>10</v>
      </c>
      <c r="E255" s="77">
        <v>50</v>
      </c>
      <c r="F255" s="78">
        <f>ROUND(D255*E255,2)</f>
        <v>500</v>
      </c>
    </row>
    <row r="257" spans="1:6" x14ac:dyDescent="0.25">
      <c r="A257" s="39" t="s">
        <v>1617</v>
      </c>
      <c r="B257" s="81" t="s">
        <v>2672</v>
      </c>
    </row>
    <row r="258" spans="1:6" ht="66.75" customHeight="1" x14ac:dyDescent="0.25">
      <c r="B258" s="37" t="s">
        <v>3300</v>
      </c>
    </row>
    <row r="259" spans="1:6" x14ac:dyDescent="0.25">
      <c r="B259" s="75" t="s">
        <v>53</v>
      </c>
      <c r="C259" s="76" t="s">
        <v>38</v>
      </c>
      <c r="D259" s="40">
        <v>115</v>
      </c>
      <c r="E259" s="77">
        <v>200</v>
      </c>
      <c r="F259" s="78">
        <f>ROUND(D259*E259,2)</f>
        <v>23000</v>
      </c>
    </row>
    <row r="260" spans="1:6" x14ac:dyDescent="0.25">
      <c r="B260" s="75" t="s">
        <v>58</v>
      </c>
      <c r="C260" s="76" t="s">
        <v>38</v>
      </c>
      <c r="D260" s="40">
        <v>34</v>
      </c>
      <c r="E260" s="77">
        <v>30</v>
      </c>
      <c r="F260" s="78">
        <f>ROUND(D260*E260,2)</f>
        <v>1020</v>
      </c>
    </row>
    <row r="262" spans="1:6" ht="51" customHeight="1" x14ac:dyDescent="0.25">
      <c r="A262" s="39" t="s">
        <v>1618</v>
      </c>
      <c r="B262" s="37" t="s">
        <v>2162</v>
      </c>
    </row>
    <row r="263" spans="1:6" x14ac:dyDescent="0.25">
      <c r="B263" s="75" t="s">
        <v>59</v>
      </c>
      <c r="C263" s="76" t="s">
        <v>13</v>
      </c>
      <c r="D263" s="40">
        <v>9.4</v>
      </c>
      <c r="E263" s="77">
        <v>200</v>
      </c>
      <c r="F263" s="78">
        <f>ROUND(D263*E263,2)</f>
        <v>1880</v>
      </c>
    </row>
    <row r="264" spans="1:6" x14ac:dyDescent="0.25">
      <c r="B264" s="75" t="s">
        <v>60</v>
      </c>
      <c r="C264" s="76" t="s">
        <v>13</v>
      </c>
      <c r="D264" s="40">
        <v>5.4</v>
      </c>
      <c r="E264" s="77">
        <v>200</v>
      </c>
      <c r="F264" s="78">
        <f>ROUND(D264*E264,2)</f>
        <v>1080</v>
      </c>
    </row>
    <row r="266" spans="1:6" ht="38.4" customHeight="1" x14ac:dyDescent="0.25">
      <c r="A266" s="39" t="s">
        <v>2794</v>
      </c>
      <c r="B266" s="37" t="s">
        <v>3352</v>
      </c>
    </row>
    <row r="267" spans="1:6" ht="64.5" customHeight="1" x14ac:dyDescent="0.25">
      <c r="A267" s="39"/>
      <c r="B267" s="37" t="s">
        <v>2816</v>
      </c>
    </row>
    <row r="268" spans="1:6" x14ac:dyDescent="0.25">
      <c r="A268" s="39"/>
      <c r="B268" s="37" t="s">
        <v>3249</v>
      </c>
      <c r="C268" s="76" t="s">
        <v>15</v>
      </c>
      <c r="D268" s="40">
        <v>1</v>
      </c>
      <c r="E268" s="77">
        <v>1000</v>
      </c>
      <c r="F268" s="78">
        <f t="shared" ref="F268:F269" si="1">ROUND(D268*E268,2)</f>
        <v>1000</v>
      </c>
    </row>
    <row r="269" spans="1:6" x14ac:dyDescent="0.25">
      <c r="A269" s="39"/>
      <c r="B269" s="37" t="s">
        <v>2793</v>
      </c>
      <c r="C269" s="76" t="s">
        <v>15</v>
      </c>
      <c r="D269" s="40">
        <v>1</v>
      </c>
      <c r="E269" s="77">
        <v>1100</v>
      </c>
      <c r="F269" s="78">
        <f t="shared" si="1"/>
        <v>1100</v>
      </c>
    </row>
    <row r="270" spans="1:6" x14ac:dyDescent="0.25">
      <c r="B270" s="38"/>
    </row>
    <row r="271" spans="1:6" ht="60" x14ac:dyDescent="0.25">
      <c r="A271" s="39" t="s">
        <v>2796</v>
      </c>
      <c r="B271" s="74" t="s">
        <v>3301</v>
      </c>
      <c r="C271" s="76" t="s">
        <v>2795</v>
      </c>
      <c r="D271" s="40">
        <v>3.5</v>
      </c>
      <c r="E271" s="77">
        <v>500</v>
      </c>
      <c r="F271" s="78">
        <f>ROUND(D271*E271,2)</f>
        <v>1750</v>
      </c>
    </row>
    <row r="273" spans="1:6" ht="14.25" customHeight="1" x14ac:dyDescent="0.25">
      <c r="A273" s="39" t="s">
        <v>3272</v>
      </c>
      <c r="B273" s="37" t="s">
        <v>2675</v>
      </c>
    </row>
    <row r="274" spans="1:6" ht="44.4" customHeight="1" x14ac:dyDescent="0.25">
      <c r="B274" s="37" t="s">
        <v>3302</v>
      </c>
      <c r="C274" s="76" t="s">
        <v>15</v>
      </c>
      <c r="D274" s="40">
        <v>1</v>
      </c>
      <c r="E274" s="77">
        <v>3000</v>
      </c>
      <c r="F274" s="78">
        <f>ROUND(D274*E274,2)</f>
        <v>3000</v>
      </c>
    </row>
    <row r="276" spans="1:6" x14ac:dyDescent="0.25">
      <c r="A276" s="91" t="s">
        <v>1563</v>
      </c>
      <c r="B276" s="92" t="s">
        <v>61</v>
      </c>
      <c r="C276" s="91"/>
      <c r="D276" s="91"/>
      <c r="E276" s="122"/>
      <c r="F276" s="96">
        <f>SUM(F101:F274)</f>
        <v>325057.40000000002</v>
      </c>
    </row>
    <row r="279" spans="1:6" x14ac:dyDescent="0.25">
      <c r="A279" s="91" t="s">
        <v>1619</v>
      </c>
      <c r="B279" s="92" t="s">
        <v>62</v>
      </c>
      <c r="C279" s="91"/>
      <c r="D279" s="91"/>
      <c r="E279" s="122"/>
      <c r="F279" s="91"/>
    </row>
    <row r="281" spans="1:6" x14ac:dyDescent="0.25">
      <c r="A281" s="91"/>
      <c r="B281" s="92" t="s">
        <v>0</v>
      </c>
      <c r="C281" s="97"/>
      <c r="D281" s="91"/>
      <c r="E281" s="122"/>
      <c r="F281" s="91"/>
    </row>
    <row r="283" spans="1:6" ht="262.5" customHeight="1" x14ac:dyDescent="0.25">
      <c r="B283" s="37" t="s">
        <v>2163</v>
      </c>
    </row>
    <row r="284" spans="1:6" ht="190.5" customHeight="1" x14ac:dyDescent="0.25">
      <c r="B284" s="37" t="s">
        <v>63</v>
      </c>
    </row>
    <row r="285" spans="1:6" ht="42.6" customHeight="1" x14ac:dyDescent="0.25">
      <c r="B285" s="99" t="s">
        <v>2690</v>
      </c>
    </row>
    <row r="288" spans="1:6" x14ac:dyDescent="0.25">
      <c r="A288" s="39" t="s">
        <v>1620</v>
      </c>
      <c r="B288" s="81" t="s">
        <v>2673</v>
      </c>
    </row>
    <row r="289" spans="1:6" ht="51.75" customHeight="1" x14ac:dyDescent="0.25">
      <c r="B289" s="37" t="s">
        <v>64</v>
      </c>
      <c r="C289" s="76" t="s">
        <v>39</v>
      </c>
      <c r="D289" s="40">
        <v>20</v>
      </c>
      <c r="E289" s="77">
        <v>300</v>
      </c>
      <c r="F289" s="78">
        <f>ROUND(D289*E289,2)</f>
        <v>6000</v>
      </c>
    </row>
    <row r="290" spans="1:6" x14ac:dyDescent="0.25">
      <c r="B290" s="75"/>
      <c r="C290" s="38"/>
    </row>
    <row r="291" spans="1:6" x14ac:dyDescent="0.25">
      <c r="A291" s="39" t="s">
        <v>1621</v>
      </c>
      <c r="B291" s="81" t="s">
        <v>2673</v>
      </c>
      <c r="C291" s="38"/>
    </row>
    <row r="292" spans="1:6" ht="51" customHeight="1" x14ac:dyDescent="0.25">
      <c r="B292" s="37" t="s">
        <v>65</v>
      </c>
      <c r="C292" s="76" t="s">
        <v>39</v>
      </c>
      <c r="D292" s="40">
        <v>0.8</v>
      </c>
      <c r="E292" s="77">
        <v>500</v>
      </c>
      <c r="F292" s="78">
        <f>ROUND(D292*E292,2)</f>
        <v>400</v>
      </c>
    </row>
    <row r="293" spans="1:6" x14ac:dyDescent="0.25">
      <c r="B293" s="75"/>
      <c r="C293" s="38"/>
    </row>
    <row r="294" spans="1:6" x14ac:dyDescent="0.25">
      <c r="A294" s="39" t="s">
        <v>1622</v>
      </c>
      <c r="B294" s="81" t="s">
        <v>2674</v>
      </c>
      <c r="C294" s="38"/>
    </row>
    <row r="295" spans="1:6" ht="134.25" customHeight="1" x14ac:dyDescent="0.25">
      <c r="B295" s="37" t="s">
        <v>1990</v>
      </c>
      <c r="C295" s="38"/>
    </row>
    <row r="296" spans="1:6" x14ac:dyDescent="0.25">
      <c r="B296" s="75" t="s">
        <v>66</v>
      </c>
      <c r="C296" s="76" t="s">
        <v>15</v>
      </c>
      <c r="D296" s="40">
        <v>1</v>
      </c>
      <c r="E296" s="77">
        <v>3000</v>
      </c>
      <c r="F296" s="78">
        <f>ROUND(D296*E296,2)</f>
        <v>3000</v>
      </c>
    </row>
    <row r="298" spans="1:6" x14ac:dyDescent="0.25">
      <c r="A298" s="39" t="s">
        <v>1623</v>
      </c>
      <c r="B298" s="81" t="s">
        <v>2676</v>
      </c>
    </row>
    <row r="299" spans="1:6" ht="62.25" customHeight="1" x14ac:dyDescent="0.25">
      <c r="B299" s="37" t="s">
        <v>67</v>
      </c>
      <c r="C299" s="76" t="s">
        <v>38</v>
      </c>
      <c r="D299" s="40">
        <v>200</v>
      </c>
      <c r="E299" s="77">
        <v>20</v>
      </c>
      <c r="F299" s="78">
        <f>ROUND(D299*E299,2)</f>
        <v>4000</v>
      </c>
    </row>
    <row r="300" spans="1:6" x14ac:dyDescent="0.25">
      <c r="B300" s="75"/>
      <c r="C300" s="38"/>
    </row>
    <row r="301" spans="1:6" x14ac:dyDescent="0.25">
      <c r="A301" s="39" t="s">
        <v>1624</v>
      </c>
      <c r="B301" s="100" t="s">
        <v>2689</v>
      </c>
      <c r="C301" s="38"/>
    </row>
    <row r="302" spans="1:6" ht="36" x14ac:dyDescent="0.25">
      <c r="B302" s="37" t="s">
        <v>68</v>
      </c>
      <c r="C302" s="76" t="s">
        <v>38</v>
      </c>
      <c r="D302" s="40">
        <v>850</v>
      </c>
      <c r="E302" s="77">
        <v>6</v>
      </c>
      <c r="F302" s="78">
        <f>ROUND(D302*E302,2)</f>
        <v>5100</v>
      </c>
    </row>
    <row r="303" spans="1:6" x14ac:dyDescent="0.25">
      <c r="B303" s="75"/>
      <c r="C303" s="38"/>
    </row>
    <row r="304" spans="1:6" ht="39" customHeight="1" x14ac:dyDescent="0.25">
      <c r="A304" s="39" t="s">
        <v>1625</v>
      </c>
      <c r="B304" s="37" t="s">
        <v>2687</v>
      </c>
      <c r="C304" s="76" t="s">
        <v>38</v>
      </c>
      <c r="D304" s="40">
        <v>29.7</v>
      </c>
      <c r="E304" s="77">
        <v>30</v>
      </c>
      <c r="F304" s="78">
        <f>ROUND(D304*E304,2)</f>
        <v>891</v>
      </c>
    </row>
    <row r="305" spans="1:7" x14ac:dyDescent="0.25">
      <c r="B305" s="75"/>
      <c r="C305" s="38"/>
    </row>
    <row r="306" spans="1:7" ht="61.5" customHeight="1" x14ac:dyDescent="0.25">
      <c r="A306" s="39" t="s">
        <v>1626</v>
      </c>
      <c r="B306" s="37" t="s">
        <v>2686</v>
      </c>
      <c r="C306" s="76" t="s">
        <v>13</v>
      </c>
      <c r="D306" s="40">
        <v>28</v>
      </c>
      <c r="E306" s="77">
        <v>30</v>
      </c>
      <c r="F306" s="78">
        <f>ROUND(D306*E306,2)</f>
        <v>840</v>
      </c>
    </row>
    <row r="307" spans="1:7" x14ac:dyDescent="0.25">
      <c r="B307" s="75"/>
      <c r="C307" s="38"/>
    </row>
    <row r="308" spans="1:7" x14ac:dyDescent="0.25">
      <c r="A308" s="39" t="s">
        <v>1627</v>
      </c>
      <c r="B308" s="100" t="s">
        <v>2689</v>
      </c>
      <c r="C308" s="38"/>
    </row>
    <row r="309" spans="1:7" ht="36" x14ac:dyDescent="0.25">
      <c r="B309" s="37" t="s">
        <v>69</v>
      </c>
      <c r="C309" s="76" t="s">
        <v>38</v>
      </c>
      <c r="D309" s="40">
        <v>50</v>
      </c>
      <c r="E309" s="77">
        <v>10</v>
      </c>
      <c r="F309" s="78">
        <f>ROUND(D309*E309,2)</f>
        <v>500</v>
      </c>
    </row>
    <row r="310" spans="1:7" x14ac:dyDescent="0.25">
      <c r="B310" s="75"/>
      <c r="C310" s="38"/>
    </row>
    <row r="311" spans="1:7" x14ac:dyDescent="0.25">
      <c r="A311" s="39" t="s">
        <v>1628</v>
      </c>
      <c r="B311" s="100" t="s">
        <v>2677</v>
      </c>
      <c r="C311" s="38"/>
    </row>
    <row r="312" spans="1:7" ht="36" x14ac:dyDescent="0.25">
      <c r="B312" s="37" t="s">
        <v>2875</v>
      </c>
      <c r="C312" s="76" t="s">
        <v>38</v>
      </c>
      <c r="D312" s="40">
        <v>50</v>
      </c>
      <c r="E312" s="77">
        <v>25</v>
      </c>
      <c r="F312" s="78">
        <f>ROUND(D312*E312,2)</f>
        <v>1250</v>
      </c>
    </row>
    <row r="313" spans="1:7" x14ac:dyDescent="0.25">
      <c r="B313" s="75"/>
      <c r="C313" s="38"/>
    </row>
    <row r="314" spans="1:7" x14ac:dyDescent="0.25">
      <c r="A314" s="39" t="s">
        <v>1629</v>
      </c>
      <c r="B314" s="100" t="s">
        <v>2677</v>
      </c>
      <c r="C314" s="38"/>
    </row>
    <row r="315" spans="1:7" ht="36" x14ac:dyDescent="0.25">
      <c r="B315" s="37" t="s">
        <v>3353</v>
      </c>
      <c r="C315" s="76" t="s">
        <v>38</v>
      </c>
      <c r="D315" s="40">
        <v>143</v>
      </c>
      <c r="E315" s="77">
        <v>15</v>
      </c>
      <c r="F315" s="78">
        <f>ROUND(D315*E315,2)</f>
        <v>2145</v>
      </c>
      <c r="G315" s="95"/>
    </row>
    <row r="316" spans="1:7" x14ac:dyDescent="0.25">
      <c r="B316" s="75"/>
      <c r="C316" s="38"/>
    </row>
    <row r="317" spans="1:7" x14ac:dyDescent="0.25">
      <c r="A317" s="39" t="s">
        <v>1630</v>
      </c>
      <c r="B317" s="100" t="s">
        <v>2678</v>
      </c>
      <c r="C317" s="38"/>
    </row>
    <row r="318" spans="1:7" ht="36" x14ac:dyDescent="0.25">
      <c r="B318" s="37" t="s">
        <v>2034</v>
      </c>
      <c r="C318" s="76" t="s">
        <v>38</v>
      </c>
      <c r="D318" s="40">
        <v>70.599999999999994</v>
      </c>
      <c r="E318" s="77">
        <v>30</v>
      </c>
      <c r="F318" s="78">
        <f>ROUND(D318*E318,2)</f>
        <v>2118</v>
      </c>
      <c r="G318" s="95"/>
    </row>
    <row r="319" spans="1:7" x14ac:dyDescent="0.25">
      <c r="B319" s="75"/>
      <c r="C319" s="38"/>
    </row>
    <row r="320" spans="1:7" x14ac:dyDescent="0.25">
      <c r="A320" s="39" t="s">
        <v>1631</v>
      </c>
      <c r="B320" s="100" t="s">
        <v>2678</v>
      </c>
      <c r="C320" s="38"/>
    </row>
    <row r="321" spans="1:7" ht="36" x14ac:dyDescent="0.25">
      <c r="B321" s="37" t="s">
        <v>3354</v>
      </c>
      <c r="C321" s="76" t="s">
        <v>38</v>
      </c>
      <c r="D321" s="40">
        <v>420</v>
      </c>
      <c r="E321" s="77">
        <v>20</v>
      </c>
      <c r="F321" s="78">
        <f>ROUND(D321*E321,2)</f>
        <v>8400</v>
      </c>
      <c r="G321" s="95"/>
    </row>
    <row r="322" spans="1:7" x14ac:dyDescent="0.25">
      <c r="B322" s="75"/>
      <c r="C322" s="38"/>
    </row>
    <row r="323" spans="1:7" ht="24" x14ac:dyDescent="0.25">
      <c r="A323" s="39" t="s">
        <v>1632</v>
      </c>
      <c r="B323" s="37" t="s">
        <v>2685</v>
      </c>
      <c r="C323" s="76" t="s">
        <v>13</v>
      </c>
      <c r="D323" s="40">
        <v>78</v>
      </c>
      <c r="E323" s="77">
        <v>10</v>
      </c>
      <c r="F323" s="78">
        <f>ROUND(D323*E323,2)</f>
        <v>780</v>
      </c>
    </row>
    <row r="324" spans="1:7" x14ac:dyDescent="0.25">
      <c r="B324" s="75"/>
      <c r="C324" s="38"/>
    </row>
    <row r="325" spans="1:7" ht="27" customHeight="1" x14ac:dyDescent="0.25">
      <c r="A325" s="39" t="s">
        <v>1633</v>
      </c>
      <c r="B325" s="37" t="s">
        <v>2684</v>
      </c>
      <c r="C325" s="76" t="s">
        <v>13</v>
      </c>
      <c r="D325" s="40">
        <v>200</v>
      </c>
      <c r="E325" s="77">
        <v>5</v>
      </c>
      <c r="F325" s="78">
        <f>ROUND(D325*E325,2)</f>
        <v>1000</v>
      </c>
    </row>
    <row r="326" spans="1:7" x14ac:dyDescent="0.25">
      <c r="B326" s="75"/>
      <c r="C326" s="38"/>
    </row>
    <row r="327" spans="1:7" ht="28.5" customHeight="1" x14ac:dyDescent="0.25">
      <c r="A327" s="39" t="s">
        <v>1634</v>
      </c>
      <c r="B327" s="37" t="s">
        <v>2679</v>
      </c>
      <c r="C327" s="76" t="s">
        <v>13</v>
      </c>
      <c r="D327" s="40">
        <v>10</v>
      </c>
      <c r="E327" s="77">
        <v>20</v>
      </c>
      <c r="F327" s="78">
        <f>ROUND(D327*E327,2)</f>
        <v>200</v>
      </c>
    </row>
    <row r="328" spans="1:7" x14ac:dyDescent="0.25">
      <c r="B328" s="75"/>
      <c r="C328" s="38"/>
    </row>
    <row r="329" spans="1:7" ht="38.25" customHeight="1" x14ac:dyDescent="0.25">
      <c r="A329" s="39" t="s">
        <v>1635</v>
      </c>
      <c r="B329" s="37" t="s">
        <v>2680</v>
      </c>
      <c r="C329" s="76" t="s">
        <v>15</v>
      </c>
      <c r="D329" s="40">
        <v>2</v>
      </c>
      <c r="E329" s="77">
        <v>300</v>
      </c>
      <c r="F329" s="78">
        <f>ROUND(D329*E329,2)</f>
        <v>600</v>
      </c>
    </row>
    <row r="330" spans="1:7" x14ac:dyDescent="0.25">
      <c r="B330" s="75"/>
      <c r="C330" s="38"/>
    </row>
    <row r="331" spans="1:7" ht="29.25" customHeight="1" x14ac:dyDescent="0.25">
      <c r="A331" s="39" t="s">
        <v>1636</v>
      </c>
      <c r="B331" s="37" t="s">
        <v>70</v>
      </c>
      <c r="C331" s="76" t="s">
        <v>15</v>
      </c>
      <c r="D331" s="40">
        <v>10</v>
      </c>
      <c r="E331" s="77">
        <v>50</v>
      </c>
      <c r="F331" s="78">
        <f>ROUND(D331*E331,2)</f>
        <v>500</v>
      </c>
    </row>
    <row r="332" spans="1:7" x14ac:dyDescent="0.25">
      <c r="B332" s="75"/>
      <c r="C332" s="38"/>
    </row>
    <row r="333" spans="1:7" ht="42" customHeight="1" x14ac:dyDescent="0.25">
      <c r="A333" s="39" t="s">
        <v>1637</v>
      </c>
      <c r="B333" s="37" t="s">
        <v>2681</v>
      </c>
      <c r="C333" s="76" t="s">
        <v>15</v>
      </c>
      <c r="D333" s="40">
        <v>8</v>
      </c>
      <c r="E333" s="77">
        <v>50</v>
      </c>
      <c r="F333" s="78">
        <f>ROUND(D333*E333,2)</f>
        <v>400</v>
      </c>
    </row>
    <row r="334" spans="1:7" x14ac:dyDescent="0.25">
      <c r="B334" s="75"/>
      <c r="C334" s="38"/>
    </row>
    <row r="335" spans="1:7" x14ac:dyDescent="0.25">
      <c r="A335" s="39" t="s">
        <v>1638</v>
      </c>
      <c r="B335" s="100" t="s">
        <v>2688</v>
      </c>
      <c r="C335" s="38"/>
    </row>
    <row r="336" spans="1:7" ht="54.75" customHeight="1" x14ac:dyDescent="0.25">
      <c r="B336" s="37" t="s">
        <v>71</v>
      </c>
    </row>
    <row r="337" spans="1:6" x14ac:dyDescent="0.25">
      <c r="B337" s="75" t="s">
        <v>72</v>
      </c>
      <c r="C337" s="76" t="s">
        <v>13</v>
      </c>
      <c r="D337" s="40">
        <v>80</v>
      </c>
      <c r="E337" s="77">
        <v>7</v>
      </c>
      <c r="F337" s="78">
        <f>ROUND(D337*E337,2)</f>
        <v>560</v>
      </c>
    </row>
    <row r="338" spans="1:6" x14ac:dyDescent="0.25">
      <c r="B338" s="75" t="s">
        <v>73</v>
      </c>
      <c r="C338" s="76" t="s">
        <v>13</v>
      </c>
      <c r="D338" s="40">
        <v>100</v>
      </c>
      <c r="E338" s="77">
        <v>10</v>
      </c>
      <c r="F338" s="78">
        <f>ROUND(D338*E338,2)</f>
        <v>1000</v>
      </c>
    </row>
    <row r="340" spans="1:6" x14ac:dyDescent="0.25">
      <c r="A340" s="39" t="s">
        <v>1639</v>
      </c>
      <c r="B340" s="100" t="s">
        <v>2683</v>
      </c>
    </row>
    <row r="341" spans="1:6" ht="60" x14ac:dyDescent="0.25">
      <c r="B341" s="37" t="s">
        <v>2862</v>
      </c>
      <c r="C341" s="76" t="s">
        <v>38</v>
      </c>
      <c r="D341" s="40">
        <v>600</v>
      </c>
      <c r="E341" s="77">
        <v>4</v>
      </c>
      <c r="F341" s="78">
        <f>ROUND(D341*E341,2)</f>
        <v>2400</v>
      </c>
    </row>
    <row r="342" spans="1:6" x14ac:dyDescent="0.25">
      <c r="B342" s="75"/>
      <c r="C342" s="38"/>
    </row>
    <row r="343" spans="1:6" x14ac:dyDescent="0.25">
      <c r="A343" s="39" t="s">
        <v>1640</v>
      </c>
      <c r="B343" s="100" t="s">
        <v>2682</v>
      </c>
      <c r="C343" s="38"/>
    </row>
    <row r="344" spans="1:6" ht="38.25" customHeight="1" x14ac:dyDescent="0.25">
      <c r="B344" s="37" t="s">
        <v>74</v>
      </c>
      <c r="C344" s="76" t="s">
        <v>38</v>
      </c>
      <c r="D344" s="40">
        <v>600</v>
      </c>
      <c r="E344" s="77">
        <v>4</v>
      </c>
      <c r="F344" s="78">
        <f>ROUND(D344*E344,2)</f>
        <v>2400</v>
      </c>
    </row>
    <row r="345" spans="1:6" x14ac:dyDescent="0.25">
      <c r="B345" s="75"/>
      <c r="C345" s="38"/>
    </row>
    <row r="346" spans="1:6" x14ac:dyDescent="0.25">
      <c r="A346" s="91" t="s">
        <v>1619</v>
      </c>
      <c r="B346" s="92" t="s">
        <v>75</v>
      </c>
      <c r="C346" s="91"/>
      <c r="D346" s="91"/>
      <c r="E346" s="122"/>
      <c r="F346" s="96">
        <f>SUM(F283:F344)</f>
        <v>44484</v>
      </c>
    </row>
    <row r="349" spans="1:6" x14ac:dyDescent="0.25">
      <c r="A349" s="91" t="s">
        <v>1641</v>
      </c>
      <c r="B349" s="92" t="s">
        <v>76</v>
      </c>
      <c r="C349" s="91"/>
      <c r="D349" s="91"/>
      <c r="E349" s="122"/>
      <c r="F349" s="91"/>
    </row>
    <row r="351" spans="1:6" x14ac:dyDescent="0.25">
      <c r="A351" s="91"/>
      <c r="B351" s="92" t="s">
        <v>0</v>
      </c>
      <c r="C351" s="97"/>
      <c r="D351" s="91"/>
      <c r="E351" s="122"/>
      <c r="F351" s="91"/>
    </row>
    <row r="353" spans="1:6" ht="87.75" customHeight="1" x14ac:dyDescent="0.25">
      <c r="B353" s="37" t="s">
        <v>77</v>
      </c>
    </row>
    <row r="354" spans="1:6" ht="36" x14ac:dyDescent="0.25">
      <c r="B354" s="48" t="s">
        <v>3034</v>
      </c>
    </row>
    <row r="357" spans="1:6" ht="123" customHeight="1" x14ac:dyDescent="0.25">
      <c r="A357" s="39" t="s">
        <v>1642</v>
      </c>
      <c r="B357" s="37" t="s">
        <v>1995</v>
      </c>
    </row>
    <row r="358" spans="1:6" ht="62.4" customHeight="1" x14ac:dyDescent="0.25">
      <c r="A358" s="39"/>
      <c r="B358" s="37" t="s">
        <v>3072</v>
      </c>
    </row>
    <row r="359" spans="1:6" ht="148.19999999999999" customHeight="1" x14ac:dyDescent="0.25">
      <c r="A359" s="39"/>
      <c r="B359" s="37" t="s">
        <v>3073</v>
      </c>
    </row>
    <row r="360" spans="1:6" x14ac:dyDescent="0.25">
      <c r="B360" s="75" t="s">
        <v>78</v>
      </c>
      <c r="C360" s="76" t="s">
        <v>15</v>
      </c>
      <c r="D360" s="40">
        <v>4</v>
      </c>
      <c r="E360" s="77">
        <v>3000</v>
      </c>
      <c r="F360" s="78">
        <f>ROUND(D360*E360,2)</f>
        <v>12000</v>
      </c>
    </row>
    <row r="361" spans="1:6" x14ac:dyDescent="0.25">
      <c r="B361" s="75" t="s">
        <v>1991</v>
      </c>
      <c r="C361" s="76" t="s">
        <v>15</v>
      </c>
      <c r="D361" s="40">
        <v>2</v>
      </c>
      <c r="E361" s="77">
        <v>1600</v>
      </c>
      <c r="F361" s="78">
        <f t="shared" ref="F361:F362" si="2">ROUND(D361*E361,2)</f>
        <v>3200</v>
      </c>
    </row>
    <row r="362" spans="1:6" x14ac:dyDescent="0.25">
      <c r="B362" s="75" t="s">
        <v>1992</v>
      </c>
      <c r="C362" s="76" t="s">
        <v>15</v>
      </c>
      <c r="D362" s="40">
        <v>2</v>
      </c>
      <c r="E362" s="77">
        <v>700</v>
      </c>
      <c r="F362" s="78">
        <f t="shared" si="2"/>
        <v>1400</v>
      </c>
    </row>
    <row r="363" spans="1:6" x14ac:dyDescent="0.25">
      <c r="B363" s="75" t="s">
        <v>79</v>
      </c>
      <c r="C363" s="76" t="s">
        <v>15</v>
      </c>
      <c r="D363" s="40">
        <v>100</v>
      </c>
      <c r="E363" s="77">
        <v>60</v>
      </c>
      <c r="F363" s="78">
        <f>ROUND(D363*E363,2)</f>
        <v>6000</v>
      </c>
    </row>
    <row r="364" spans="1:6" x14ac:dyDescent="0.25">
      <c r="B364" s="74" t="s">
        <v>3074</v>
      </c>
      <c r="C364" s="76" t="s">
        <v>15</v>
      </c>
      <c r="D364" s="40">
        <v>9</v>
      </c>
      <c r="E364" s="120">
        <v>170</v>
      </c>
      <c r="F364" s="78">
        <f t="shared" ref="F364:F366" si="3">ROUND(D364*E364,2)</f>
        <v>1530</v>
      </c>
    </row>
    <row r="365" spans="1:6" x14ac:dyDescent="0.25">
      <c r="B365" s="74" t="s">
        <v>3075</v>
      </c>
      <c r="C365" s="76" t="s">
        <v>15</v>
      </c>
      <c r="D365" s="40">
        <v>9</v>
      </c>
      <c r="E365" s="120">
        <v>30</v>
      </c>
      <c r="F365" s="78">
        <f t="shared" si="3"/>
        <v>270</v>
      </c>
    </row>
    <row r="366" spans="1:6" x14ac:dyDescent="0.25">
      <c r="B366" s="74" t="s">
        <v>3076</v>
      </c>
      <c r="C366" s="76" t="s">
        <v>2007</v>
      </c>
      <c r="D366" s="40">
        <v>330</v>
      </c>
      <c r="E366" s="120">
        <v>1</v>
      </c>
      <c r="F366" s="78">
        <f t="shared" si="3"/>
        <v>330</v>
      </c>
    </row>
    <row r="368" spans="1:6" ht="62.25" customHeight="1" x14ac:dyDescent="0.25">
      <c r="A368" s="39" t="s">
        <v>1643</v>
      </c>
      <c r="B368" s="37" t="s">
        <v>3303</v>
      </c>
      <c r="C368" s="76" t="s">
        <v>38</v>
      </c>
      <c r="D368" s="40">
        <v>209.7</v>
      </c>
      <c r="E368" s="77">
        <v>90</v>
      </c>
      <c r="F368" s="78">
        <f>ROUND(D368*E368,2)</f>
        <v>18873</v>
      </c>
    </row>
    <row r="369" spans="1:6" x14ac:dyDescent="0.25">
      <c r="B369" s="75"/>
      <c r="C369" s="38"/>
    </row>
    <row r="370" spans="1:6" ht="120" x14ac:dyDescent="0.25">
      <c r="A370" s="39" t="s">
        <v>1644</v>
      </c>
      <c r="B370" s="37" t="s">
        <v>1994</v>
      </c>
    </row>
    <row r="371" spans="1:6" ht="154.19999999999999" customHeight="1" x14ac:dyDescent="0.25">
      <c r="A371" s="39"/>
      <c r="B371" s="37" t="s">
        <v>3073</v>
      </c>
    </row>
    <row r="372" spans="1:6" x14ac:dyDescent="0.25">
      <c r="B372" s="75" t="s">
        <v>80</v>
      </c>
      <c r="C372" s="76" t="s">
        <v>15</v>
      </c>
      <c r="D372" s="40">
        <v>14</v>
      </c>
      <c r="E372" s="77">
        <v>160</v>
      </c>
      <c r="F372" s="78">
        <f>ROUND(D372*E372,2)</f>
        <v>2240</v>
      </c>
    </row>
    <row r="373" spans="1:6" x14ac:dyDescent="0.25">
      <c r="B373" s="75" t="s">
        <v>3077</v>
      </c>
      <c r="C373" s="76" t="s">
        <v>15</v>
      </c>
      <c r="D373" s="40">
        <v>1</v>
      </c>
      <c r="E373" s="77">
        <v>1200</v>
      </c>
      <c r="F373" s="78">
        <f t="shared" ref="F373:F381" si="4">ROUND(D373*E373,2)</f>
        <v>1200</v>
      </c>
    </row>
    <row r="374" spans="1:6" x14ac:dyDescent="0.25">
      <c r="B374" s="75" t="s">
        <v>3078</v>
      </c>
      <c r="C374" s="76" t="s">
        <v>15</v>
      </c>
      <c r="D374" s="40">
        <v>2</v>
      </c>
      <c r="E374" s="77">
        <v>700</v>
      </c>
      <c r="F374" s="78">
        <f t="shared" si="4"/>
        <v>1400</v>
      </c>
    </row>
    <row r="375" spans="1:6" x14ac:dyDescent="0.25">
      <c r="B375" s="75" t="s">
        <v>3079</v>
      </c>
      <c r="C375" s="76" t="s">
        <v>15</v>
      </c>
      <c r="D375" s="40">
        <v>1</v>
      </c>
      <c r="E375" s="77">
        <v>260</v>
      </c>
      <c r="F375" s="78">
        <f t="shared" si="4"/>
        <v>260</v>
      </c>
    </row>
    <row r="376" spans="1:6" x14ac:dyDescent="0.25">
      <c r="B376" s="75" t="s">
        <v>81</v>
      </c>
      <c r="C376" s="76" t="s">
        <v>15</v>
      </c>
      <c r="D376" s="40">
        <v>6</v>
      </c>
      <c r="E376" s="77">
        <v>1000</v>
      </c>
      <c r="F376" s="78">
        <f>ROUND(D376*E376,2)</f>
        <v>6000</v>
      </c>
    </row>
    <row r="377" spans="1:6" x14ac:dyDescent="0.25">
      <c r="B377" s="75" t="s">
        <v>3080</v>
      </c>
      <c r="C377" s="76" t="s">
        <v>15</v>
      </c>
      <c r="D377" s="40">
        <v>2</v>
      </c>
      <c r="E377" s="77">
        <v>650</v>
      </c>
      <c r="F377" s="78">
        <f t="shared" si="4"/>
        <v>1300</v>
      </c>
    </row>
    <row r="378" spans="1:6" x14ac:dyDescent="0.25">
      <c r="B378" s="75" t="s">
        <v>79</v>
      </c>
      <c r="C378" s="76" t="s">
        <v>15</v>
      </c>
      <c r="D378" s="40">
        <v>65</v>
      </c>
      <c r="E378" s="77">
        <v>60</v>
      </c>
      <c r="F378" s="78">
        <f>ROUND(D378*E378,2)</f>
        <v>3900</v>
      </c>
    </row>
    <row r="379" spans="1:6" x14ac:dyDescent="0.25">
      <c r="B379" s="38" t="s">
        <v>3081</v>
      </c>
      <c r="C379" s="76" t="s">
        <v>15</v>
      </c>
      <c r="D379" s="40">
        <v>2</v>
      </c>
      <c r="E379" s="77">
        <v>600</v>
      </c>
      <c r="F379" s="78">
        <f t="shared" si="4"/>
        <v>1200</v>
      </c>
    </row>
    <row r="380" spans="1:6" x14ac:dyDescent="0.25">
      <c r="B380" s="38" t="s">
        <v>3082</v>
      </c>
      <c r="C380" s="76" t="s">
        <v>15</v>
      </c>
      <c r="D380" s="40">
        <v>6</v>
      </c>
      <c r="E380" s="120">
        <v>120</v>
      </c>
      <c r="F380" s="78">
        <f t="shared" si="4"/>
        <v>720</v>
      </c>
    </row>
    <row r="381" spans="1:6" x14ac:dyDescent="0.25">
      <c r="B381" s="74" t="s">
        <v>3076</v>
      </c>
      <c r="C381" s="76" t="s">
        <v>2007</v>
      </c>
      <c r="D381" s="40">
        <v>290</v>
      </c>
      <c r="E381" s="120">
        <v>1</v>
      </c>
      <c r="F381" s="78">
        <f t="shared" si="4"/>
        <v>290</v>
      </c>
    </row>
    <row r="383" spans="1:6" ht="64.5" customHeight="1" x14ac:dyDescent="0.25">
      <c r="A383" s="39" t="s">
        <v>1645</v>
      </c>
      <c r="B383" s="37" t="s">
        <v>82</v>
      </c>
      <c r="C383" s="76" t="s">
        <v>38</v>
      </c>
      <c r="D383" s="40">
        <v>130</v>
      </c>
      <c r="E383" s="77">
        <v>90</v>
      </c>
      <c r="F383" s="78">
        <f>ROUND(D383*E383,2)</f>
        <v>11700</v>
      </c>
    </row>
    <row r="384" spans="1:6" x14ac:dyDescent="0.25">
      <c r="B384" s="75"/>
      <c r="C384" s="38"/>
    </row>
    <row r="385" spans="1:6" ht="120" x14ac:dyDescent="0.25">
      <c r="A385" s="39" t="s">
        <v>1646</v>
      </c>
      <c r="B385" s="37" t="s">
        <v>1993</v>
      </c>
    </row>
    <row r="386" spans="1:6" ht="150" customHeight="1" x14ac:dyDescent="0.25">
      <c r="A386" s="39"/>
      <c r="B386" s="37" t="s">
        <v>3073</v>
      </c>
    </row>
    <row r="387" spans="1:6" x14ac:dyDescent="0.25">
      <c r="B387" s="75" t="s">
        <v>83</v>
      </c>
      <c r="C387" s="76" t="s">
        <v>15</v>
      </c>
      <c r="D387" s="40">
        <v>3</v>
      </c>
      <c r="E387" s="77">
        <v>220</v>
      </c>
      <c r="F387" s="78">
        <f>ROUND(D387*E387,2)</f>
        <v>660</v>
      </c>
    </row>
    <row r="388" spans="1:6" x14ac:dyDescent="0.25">
      <c r="B388" s="75" t="s">
        <v>84</v>
      </c>
      <c r="C388" s="76" t="s">
        <v>15</v>
      </c>
      <c r="D388" s="40">
        <v>44</v>
      </c>
      <c r="E388" s="77">
        <v>300</v>
      </c>
      <c r="F388" s="78">
        <f>ROUND(D388*E388,2)</f>
        <v>13200</v>
      </c>
    </row>
    <row r="389" spans="1:6" x14ac:dyDescent="0.25">
      <c r="B389" s="75" t="s">
        <v>3083</v>
      </c>
      <c r="C389" s="76" t="s">
        <v>15</v>
      </c>
      <c r="D389" s="40">
        <v>1</v>
      </c>
      <c r="E389" s="77">
        <v>2150</v>
      </c>
      <c r="F389" s="78">
        <f t="shared" ref="F389:F392" si="5">ROUND(D389*E389,2)</f>
        <v>2150</v>
      </c>
    </row>
    <row r="390" spans="1:6" x14ac:dyDescent="0.25">
      <c r="B390" s="75" t="s">
        <v>3084</v>
      </c>
      <c r="C390" s="76" t="s">
        <v>15</v>
      </c>
      <c r="D390" s="40">
        <v>1</v>
      </c>
      <c r="E390" s="77">
        <v>300</v>
      </c>
      <c r="F390" s="78">
        <f t="shared" si="5"/>
        <v>300</v>
      </c>
    </row>
    <row r="391" spans="1:6" x14ac:dyDescent="0.25">
      <c r="B391" s="74" t="s">
        <v>3085</v>
      </c>
      <c r="C391" s="76" t="s">
        <v>15</v>
      </c>
      <c r="D391" s="40">
        <v>2</v>
      </c>
      <c r="E391" s="77">
        <v>500</v>
      </c>
      <c r="F391" s="78">
        <f t="shared" si="5"/>
        <v>1000</v>
      </c>
    </row>
    <row r="392" spans="1:6" x14ac:dyDescent="0.25">
      <c r="B392" s="74" t="s">
        <v>3076</v>
      </c>
      <c r="C392" s="76" t="s">
        <v>2007</v>
      </c>
      <c r="D392" s="40">
        <v>400</v>
      </c>
      <c r="E392" s="120">
        <v>1</v>
      </c>
      <c r="F392" s="78">
        <f t="shared" si="5"/>
        <v>400</v>
      </c>
    </row>
    <row r="394" spans="1:6" ht="39.6" customHeight="1" x14ac:dyDescent="0.25">
      <c r="A394" s="39" t="s">
        <v>1647</v>
      </c>
      <c r="B394" s="37" t="s">
        <v>85</v>
      </c>
      <c r="C394" s="76" t="s">
        <v>38</v>
      </c>
      <c r="D394" s="40">
        <v>200</v>
      </c>
      <c r="E394" s="77">
        <v>25</v>
      </c>
      <c r="F394" s="78">
        <f>ROUND(D394*E394,2)</f>
        <v>5000</v>
      </c>
    </row>
    <row r="395" spans="1:6" x14ac:dyDescent="0.25">
      <c r="B395" s="75"/>
      <c r="C395" s="38"/>
    </row>
    <row r="396" spans="1:6" ht="89.4" customHeight="1" x14ac:dyDescent="0.25">
      <c r="A396" s="39" t="s">
        <v>1648</v>
      </c>
      <c r="B396" s="37" t="s">
        <v>3304</v>
      </c>
      <c r="C396" s="76" t="s">
        <v>13</v>
      </c>
      <c r="D396" s="40">
        <v>308</v>
      </c>
      <c r="E396" s="77">
        <v>10</v>
      </c>
      <c r="F396" s="78">
        <f>ROUND(D396*E396,2)</f>
        <v>3080</v>
      </c>
    </row>
    <row r="397" spans="1:6" x14ac:dyDescent="0.25">
      <c r="B397" s="75"/>
      <c r="C397" s="38"/>
    </row>
    <row r="398" spans="1:6" ht="40.5" customHeight="1" x14ac:dyDescent="0.25">
      <c r="A398" s="39" t="s">
        <v>1649</v>
      </c>
      <c r="B398" s="37" t="s">
        <v>86</v>
      </c>
      <c r="C398" s="76" t="s">
        <v>38</v>
      </c>
      <c r="D398" s="40">
        <v>200</v>
      </c>
      <c r="E398" s="77">
        <v>44</v>
      </c>
      <c r="F398" s="78">
        <f>ROUND(D398*E398,2)</f>
        <v>8800</v>
      </c>
    </row>
    <row r="399" spans="1:6" x14ac:dyDescent="0.25">
      <c r="B399" s="75"/>
      <c r="C399" s="38"/>
    </row>
    <row r="400" spans="1:6" ht="144" customHeight="1" x14ac:dyDescent="0.25">
      <c r="A400" s="39" t="s">
        <v>1650</v>
      </c>
      <c r="B400" s="37" t="s">
        <v>3355</v>
      </c>
      <c r="C400" s="76" t="s">
        <v>38</v>
      </c>
      <c r="D400" s="40">
        <v>52.7</v>
      </c>
      <c r="E400" s="77">
        <v>300</v>
      </c>
      <c r="F400" s="78">
        <f>ROUND(D400*E400,2)</f>
        <v>15810</v>
      </c>
    </row>
    <row r="401" spans="1:6" x14ac:dyDescent="0.25">
      <c r="B401" s="75"/>
      <c r="C401" s="38"/>
    </row>
    <row r="402" spans="1:6" ht="63" customHeight="1" x14ac:dyDescent="0.25">
      <c r="A402" s="39" t="s">
        <v>1651</v>
      </c>
      <c r="B402" s="37" t="s">
        <v>3305</v>
      </c>
      <c r="C402" s="76" t="s">
        <v>38</v>
      </c>
      <c r="D402" s="40">
        <v>208</v>
      </c>
      <c r="E402" s="77">
        <v>44</v>
      </c>
      <c r="F402" s="78">
        <f>ROUND(D402*E402,2)</f>
        <v>9152</v>
      </c>
    </row>
    <row r="403" spans="1:6" x14ac:dyDescent="0.25">
      <c r="B403" s="75"/>
      <c r="C403" s="38"/>
    </row>
    <row r="404" spans="1:6" ht="97.5" customHeight="1" x14ac:dyDescent="0.25">
      <c r="A404" s="39" t="s">
        <v>1652</v>
      </c>
      <c r="B404" s="37" t="s">
        <v>2691</v>
      </c>
    </row>
    <row r="405" spans="1:6" x14ac:dyDescent="0.25">
      <c r="B405" s="75" t="s">
        <v>87</v>
      </c>
      <c r="C405" s="76" t="s">
        <v>38</v>
      </c>
      <c r="D405" s="40">
        <v>698</v>
      </c>
      <c r="E405" s="77">
        <v>20</v>
      </c>
      <c r="F405" s="78">
        <f>ROUND(D405*E405,2)</f>
        <v>13960</v>
      </c>
    </row>
    <row r="407" spans="1:6" x14ac:dyDescent="0.25">
      <c r="A407" s="39" t="s">
        <v>1653</v>
      </c>
      <c r="B407" s="37" t="s">
        <v>88</v>
      </c>
    </row>
    <row r="408" spans="1:6" x14ac:dyDescent="0.25">
      <c r="B408" s="75" t="s">
        <v>89</v>
      </c>
      <c r="C408" s="76" t="s">
        <v>15</v>
      </c>
      <c r="D408" s="40">
        <v>15</v>
      </c>
      <c r="E408" s="77">
        <v>30</v>
      </c>
      <c r="F408" s="78">
        <f>ROUND(D408*E408,2)</f>
        <v>450</v>
      </c>
    </row>
    <row r="409" spans="1:6" x14ac:dyDescent="0.25">
      <c r="B409" s="75" t="s">
        <v>90</v>
      </c>
      <c r="C409" s="76" t="s">
        <v>15</v>
      </c>
      <c r="D409" s="40">
        <v>20</v>
      </c>
      <c r="E409" s="77">
        <v>50</v>
      </c>
      <c r="F409" s="78">
        <f>ROUND(D409*E409,2)</f>
        <v>1000</v>
      </c>
    </row>
    <row r="411" spans="1:6" x14ac:dyDescent="0.25">
      <c r="A411" s="91" t="s">
        <v>1641</v>
      </c>
      <c r="B411" s="92" t="s">
        <v>91</v>
      </c>
      <c r="C411" s="91"/>
      <c r="D411" s="91"/>
      <c r="E411" s="122"/>
      <c r="F411" s="96">
        <f>SUM(F358:F409)</f>
        <v>148775</v>
      </c>
    </row>
    <row r="414" spans="1:6" x14ac:dyDescent="0.25">
      <c r="A414" s="91" t="s">
        <v>1565</v>
      </c>
      <c r="B414" s="92" t="s">
        <v>26</v>
      </c>
      <c r="C414" s="91"/>
      <c r="D414" s="91"/>
      <c r="E414" s="122"/>
      <c r="F414" s="96">
        <f>SUM(F411,F346,F276,F94,F50,F35)</f>
        <v>591653.4</v>
      </c>
    </row>
    <row r="417" spans="1:6" x14ac:dyDescent="0.25">
      <c r="A417" s="91" t="s">
        <v>1566</v>
      </c>
      <c r="B417" s="92" t="s">
        <v>92</v>
      </c>
      <c r="C417" s="91"/>
      <c r="D417" s="91"/>
      <c r="E417" s="122"/>
      <c r="F417" s="91"/>
    </row>
    <row r="419" spans="1:6" x14ac:dyDescent="0.25">
      <c r="A419" s="91" t="s">
        <v>1567</v>
      </c>
      <c r="B419" s="92" t="s">
        <v>93</v>
      </c>
      <c r="C419" s="91"/>
      <c r="D419" s="91"/>
      <c r="E419" s="122"/>
      <c r="F419" s="91"/>
    </row>
    <row r="421" spans="1:6" x14ac:dyDescent="0.25">
      <c r="A421" s="91"/>
      <c r="B421" s="92" t="s">
        <v>0</v>
      </c>
      <c r="C421" s="97"/>
      <c r="D421" s="91"/>
      <c r="E421" s="122"/>
      <c r="F421" s="91"/>
    </row>
    <row r="423" spans="1:6" ht="198" customHeight="1" x14ac:dyDescent="0.25">
      <c r="B423" s="37" t="s">
        <v>2151</v>
      </c>
    </row>
    <row r="426" spans="1:6" ht="97.5" customHeight="1" x14ac:dyDescent="0.25">
      <c r="A426" s="39" t="s">
        <v>1654</v>
      </c>
      <c r="B426" s="37" t="s">
        <v>1996</v>
      </c>
      <c r="C426" s="76" t="s">
        <v>38</v>
      </c>
      <c r="D426" s="40">
        <v>295</v>
      </c>
      <c r="E426" s="77">
        <v>28</v>
      </c>
      <c r="F426" s="78">
        <f>ROUND(D426*E426,2)</f>
        <v>8260</v>
      </c>
    </row>
    <row r="428" spans="1:6" ht="97.5" customHeight="1" x14ac:dyDescent="0.25">
      <c r="A428" s="39" t="s">
        <v>1655</v>
      </c>
      <c r="B428" s="37" t="s">
        <v>1997</v>
      </c>
      <c r="C428" s="76" t="s">
        <v>38</v>
      </c>
      <c r="D428" s="40">
        <v>231.2</v>
      </c>
      <c r="E428" s="77">
        <v>30</v>
      </c>
      <c r="F428" s="78">
        <f>ROUND(D428*E428,2)</f>
        <v>6936</v>
      </c>
    </row>
    <row r="429" spans="1:6" x14ac:dyDescent="0.25">
      <c r="B429" s="75"/>
      <c r="C429" s="38"/>
    </row>
    <row r="430" spans="1:6" ht="24" x14ac:dyDescent="0.25">
      <c r="A430" s="39" t="s">
        <v>1656</v>
      </c>
      <c r="B430" s="75" t="s">
        <v>3356</v>
      </c>
      <c r="C430" s="76" t="s">
        <v>38</v>
      </c>
      <c r="D430" s="40">
        <v>250</v>
      </c>
      <c r="E430" s="77">
        <v>18</v>
      </c>
      <c r="F430" s="78">
        <f>ROUND(D430*E430,2)</f>
        <v>4500</v>
      </c>
    </row>
    <row r="431" spans="1:6" x14ac:dyDescent="0.25">
      <c r="B431" s="75"/>
      <c r="C431" s="38"/>
    </row>
    <row r="432" spans="1:6" ht="72" x14ac:dyDescent="0.25">
      <c r="A432" s="39" t="s">
        <v>1657</v>
      </c>
      <c r="B432" s="37" t="s">
        <v>94</v>
      </c>
      <c r="C432" s="76" t="s">
        <v>38</v>
      </c>
      <c r="D432" s="40">
        <v>231.2</v>
      </c>
      <c r="E432" s="77">
        <v>23</v>
      </c>
      <c r="F432" s="78">
        <f>ROUND(D432*E432,2)</f>
        <v>5317.6</v>
      </c>
    </row>
    <row r="433" spans="1:6" x14ac:dyDescent="0.25">
      <c r="B433" s="75"/>
      <c r="C433" s="38"/>
    </row>
    <row r="434" spans="1:6" ht="120" x14ac:dyDescent="0.25">
      <c r="A434" s="39" t="s">
        <v>1658</v>
      </c>
      <c r="B434" s="37" t="s">
        <v>2854</v>
      </c>
      <c r="C434" s="76" t="s">
        <v>38</v>
      </c>
      <c r="D434" s="40">
        <v>58</v>
      </c>
      <c r="E434" s="77">
        <v>65</v>
      </c>
      <c r="F434" s="78">
        <f>ROUND(D434*E434,2)</f>
        <v>3770</v>
      </c>
    </row>
    <row r="435" spans="1:6" x14ac:dyDescent="0.25">
      <c r="B435" s="75"/>
      <c r="C435" s="38"/>
    </row>
    <row r="436" spans="1:6" ht="96" x14ac:dyDescent="0.25">
      <c r="A436" s="39" t="s">
        <v>1659</v>
      </c>
      <c r="B436" s="37" t="s">
        <v>2855</v>
      </c>
      <c r="C436" s="76" t="s">
        <v>38</v>
      </c>
      <c r="D436" s="40">
        <v>77.599999999999994</v>
      </c>
      <c r="E436" s="77">
        <v>45</v>
      </c>
      <c r="F436" s="78">
        <f>ROUND(D436*E436,2)</f>
        <v>3492</v>
      </c>
    </row>
    <row r="437" spans="1:6" x14ac:dyDescent="0.25">
      <c r="B437" s="75"/>
      <c r="C437" s="38"/>
    </row>
    <row r="438" spans="1:6" ht="192.75" customHeight="1" x14ac:dyDescent="0.25">
      <c r="A438" s="39" t="s">
        <v>1660</v>
      </c>
      <c r="B438" s="37" t="s">
        <v>1998</v>
      </c>
      <c r="C438" s="76" t="s">
        <v>38</v>
      </c>
      <c r="D438" s="40">
        <v>75</v>
      </c>
      <c r="E438" s="77">
        <v>25</v>
      </c>
      <c r="F438" s="78">
        <f>ROUND(D438*E438,2)</f>
        <v>1875</v>
      </c>
    </row>
    <row r="439" spans="1:6" x14ac:dyDescent="0.25">
      <c r="B439" s="75"/>
      <c r="C439" s="38"/>
    </row>
    <row r="440" spans="1:6" ht="40.200000000000003" customHeight="1" x14ac:dyDescent="0.25">
      <c r="A440" s="39" t="s">
        <v>1661</v>
      </c>
      <c r="B440" s="37" t="s">
        <v>95</v>
      </c>
      <c r="C440" s="76" t="s">
        <v>38</v>
      </c>
      <c r="D440" s="40">
        <v>340</v>
      </c>
      <c r="E440" s="77">
        <v>15</v>
      </c>
      <c r="F440" s="78">
        <f>ROUND(D440*E440,2)</f>
        <v>5100</v>
      </c>
    </row>
    <row r="441" spans="1:6" x14ac:dyDescent="0.25">
      <c r="B441" s="75"/>
      <c r="C441" s="38"/>
    </row>
    <row r="442" spans="1:6" ht="40.5" customHeight="1" x14ac:dyDescent="0.25">
      <c r="A442" s="39" t="s">
        <v>1662</v>
      </c>
      <c r="B442" s="37" t="s">
        <v>2773</v>
      </c>
      <c r="C442" s="76" t="s">
        <v>38</v>
      </c>
      <c r="D442" s="40">
        <v>280</v>
      </c>
      <c r="E442" s="77">
        <v>25</v>
      </c>
      <c r="F442" s="78">
        <f>ROUND(D442*E442,2)</f>
        <v>7000</v>
      </c>
    </row>
    <row r="443" spans="1:6" x14ac:dyDescent="0.25">
      <c r="B443" s="75"/>
      <c r="C443" s="38"/>
    </row>
    <row r="444" spans="1:6" ht="48" x14ac:dyDescent="0.25">
      <c r="A444" s="39" t="s">
        <v>1663</v>
      </c>
      <c r="B444" s="75" t="s">
        <v>3357</v>
      </c>
      <c r="C444" s="76" t="s">
        <v>38</v>
      </c>
      <c r="D444" s="40">
        <v>110</v>
      </c>
      <c r="E444" s="77">
        <v>30</v>
      </c>
      <c r="F444" s="78">
        <f>ROUND(D444*E444,2)</f>
        <v>3300</v>
      </c>
    </row>
    <row r="445" spans="1:6" x14ac:dyDescent="0.25">
      <c r="B445" s="75"/>
      <c r="C445" s="38"/>
    </row>
    <row r="446" spans="1:6" ht="48" x14ac:dyDescent="0.25">
      <c r="A446" s="39" t="s">
        <v>1664</v>
      </c>
      <c r="B446" s="37" t="s">
        <v>2164</v>
      </c>
      <c r="C446" s="76" t="s">
        <v>38</v>
      </c>
      <c r="D446" s="40">
        <v>127.3</v>
      </c>
      <c r="E446" s="77">
        <v>15</v>
      </c>
      <c r="F446" s="78">
        <f>ROUND(D446*E446,2)</f>
        <v>1909.5</v>
      </c>
    </row>
    <row r="447" spans="1:6" x14ac:dyDescent="0.25">
      <c r="B447" s="75"/>
      <c r="C447" s="38"/>
    </row>
    <row r="448" spans="1:6" ht="48" x14ac:dyDescent="0.25">
      <c r="A448" s="39" t="s">
        <v>1665</v>
      </c>
      <c r="B448" s="37" t="s">
        <v>2165</v>
      </c>
      <c r="C448" s="76" t="s">
        <v>38</v>
      </c>
      <c r="D448" s="40">
        <v>215.7</v>
      </c>
      <c r="E448" s="77">
        <v>13</v>
      </c>
      <c r="F448" s="78">
        <f>ROUND(D448*E448,2)</f>
        <v>2804.1</v>
      </c>
    </row>
    <row r="449" spans="1:6" x14ac:dyDescent="0.25">
      <c r="B449" s="75"/>
      <c r="C449" s="38"/>
    </row>
    <row r="450" spans="1:6" ht="28.5" customHeight="1" x14ac:dyDescent="0.25">
      <c r="A450" s="39" t="s">
        <v>1666</v>
      </c>
      <c r="B450" s="37" t="s">
        <v>2166</v>
      </c>
      <c r="C450" s="76" t="s">
        <v>38</v>
      </c>
      <c r="D450" s="40">
        <v>339.3</v>
      </c>
      <c r="E450" s="77">
        <v>5</v>
      </c>
      <c r="F450" s="78">
        <f>ROUND(D450*E450,2)</f>
        <v>1696.5</v>
      </c>
    </row>
    <row r="451" spans="1:6" x14ac:dyDescent="0.25">
      <c r="B451" s="75"/>
      <c r="C451" s="38"/>
    </row>
    <row r="452" spans="1:6" ht="51" customHeight="1" x14ac:dyDescent="0.25">
      <c r="A452" s="39" t="s">
        <v>2774</v>
      </c>
      <c r="B452" s="37" t="s">
        <v>3306</v>
      </c>
      <c r="C452" s="76" t="s">
        <v>38</v>
      </c>
      <c r="D452" s="40">
        <v>350</v>
      </c>
      <c r="E452" s="77">
        <v>15</v>
      </c>
      <c r="F452" s="78">
        <f>ROUND(D452*E452,2)</f>
        <v>5250</v>
      </c>
    </row>
    <row r="453" spans="1:6" x14ac:dyDescent="0.25">
      <c r="B453" s="75"/>
      <c r="C453" s="38"/>
    </row>
    <row r="454" spans="1:6" ht="27.75" customHeight="1" x14ac:dyDescent="0.25">
      <c r="A454" s="39" t="s">
        <v>2792</v>
      </c>
      <c r="B454" s="37" t="s">
        <v>96</v>
      </c>
      <c r="C454" s="76" t="s">
        <v>25</v>
      </c>
      <c r="D454" s="40">
        <v>1</v>
      </c>
      <c r="E454" s="77">
        <v>300</v>
      </c>
      <c r="F454" s="78">
        <f>ROUND(D454*E454,2)</f>
        <v>300</v>
      </c>
    </row>
    <row r="456" spans="1:6" x14ac:dyDescent="0.25">
      <c r="A456" s="91" t="s">
        <v>1567</v>
      </c>
      <c r="B456" s="92" t="s">
        <v>97</v>
      </c>
      <c r="C456" s="91"/>
      <c r="D456" s="91"/>
      <c r="E456" s="122"/>
      <c r="F456" s="96">
        <f>SUM(F423:F454)</f>
        <v>61510.7</v>
      </c>
    </row>
    <row r="459" spans="1:6" x14ac:dyDescent="0.25">
      <c r="A459" s="91" t="s">
        <v>1667</v>
      </c>
      <c r="B459" s="92" t="s">
        <v>98</v>
      </c>
      <c r="C459" s="91"/>
      <c r="D459" s="91"/>
      <c r="E459" s="122"/>
      <c r="F459" s="91"/>
    </row>
    <row r="461" spans="1:6" x14ac:dyDescent="0.25">
      <c r="A461" s="91"/>
      <c r="B461" s="92" t="s">
        <v>0</v>
      </c>
      <c r="C461" s="97"/>
      <c r="D461" s="91"/>
      <c r="E461" s="122"/>
      <c r="F461" s="91"/>
    </row>
    <row r="463" spans="1:6" ht="373.5" customHeight="1" x14ac:dyDescent="0.25">
      <c r="B463" s="37" t="s">
        <v>2167</v>
      </c>
    </row>
    <row r="464" spans="1:6" x14ac:dyDescent="0.25">
      <c r="B464" s="81" t="s">
        <v>2168</v>
      </c>
    </row>
    <row r="467" spans="1:6" ht="40.200000000000003" customHeight="1" x14ac:dyDescent="0.25">
      <c r="A467" s="39" t="s">
        <v>1668</v>
      </c>
      <c r="B467" s="37" t="s">
        <v>3242</v>
      </c>
    </row>
    <row r="468" spans="1:6" ht="65.400000000000006" customHeight="1" x14ac:dyDescent="0.25">
      <c r="A468" s="39"/>
      <c r="B468" s="37" t="s">
        <v>3243</v>
      </c>
    </row>
    <row r="469" spans="1:6" ht="128.4" customHeight="1" x14ac:dyDescent="0.25">
      <c r="B469" s="37" t="s">
        <v>3343</v>
      </c>
    </row>
    <row r="470" spans="1:6" ht="15.6" customHeight="1" x14ac:dyDescent="0.25">
      <c r="B470" s="37" t="s">
        <v>3244</v>
      </c>
    </row>
    <row r="471" spans="1:6" x14ac:dyDescent="0.25">
      <c r="B471" s="75" t="s">
        <v>99</v>
      </c>
      <c r="C471" s="76" t="s">
        <v>38</v>
      </c>
      <c r="D471" s="40">
        <v>310</v>
      </c>
      <c r="E471" s="77">
        <v>65</v>
      </c>
      <c r="F471" s="78">
        <f>ROUND(D471*E471,2)</f>
        <v>20150</v>
      </c>
    </row>
    <row r="473" spans="1:6" ht="51" customHeight="1" x14ac:dyDescent="0.25">
      <c r="A473" s="39" t="s">
        <v>1669</v>
      </c>
      <c r="B473" s="37" t="s">
        <v>1999</v>
      </c>
      <c r="C473" s="76" t="s">
        <v>13</v>
      </c>
      <c r="D473" s="40">
        <v>68</v>
      </c>
      <c r="E473" s="77">
        <v>32</v>
      </c>
      <c r="F473" s="78">
        <f>ROUND(D473*E473,2)</f>
        <v>2176</v>
      </c>
    </row>
    <row r="474" spans="1:6" x14ac:dyDescent="0.25">
      <c r="B474" s="75"/>
      <c r="C474" s="38"/>
    </row>
    <row r="475" spans="1:6" ht="85.5" customHeight="1" x14ac:dyDescent="0.25">
      <c r="A475" s="39" t="s">
        <v>1670</v>
      </c>
      <c r="B475" s="37" t="s">
        <v>3358</v>
      </c>
      <c r="C475" s="76" t="s">
        <v>13</v>
      </c>
      <c r="D475" s="40">
        <v>17</v>
      </c>
      <c r="E475" s="77">
        <v>60</v>
      </c>
      <c r="F475" s="78">
        <f>ROUND(D475*E475,2)</f>
        <v>1020</v>
      </c>
    </row>
    <row r="476" spans="1:6" x14ac:dyDescent="0.25">
      <c r="B476" s="75"/>
      <c r="C476" s="38"/>
    </row>
    <row r="477" spans="1:6" ht="39.75" customHeight="1" x14ac:dyDescent="0.25">
      <c r="A477" s="39" t="s">
        <v>1671</v>
      </c>
      <c r="B477" s="37" t="s">
        <v>2000</v>
      </c>
    </row>
    <row r="478" spans="1:6" x14ac:dyDescent="0.25">
      <c r="B478" s="75" t="s">
        <v>100</v>
      </c>
      <c r="C478" s="76" t="s">
        <v>13</v>
      </c>
      <c r="D478" s="40">
        <v>34</v>
      </c>
      <c r="E478" s="77">
        <v>27</v>
      </c>
      <c r="F478" s="78">
        <f>ROUND(D478*E478,2)</f>
        <v>918</v>
      </c>
    </row>
    <row r="480" spans="1:6" ht="24" x14ac:dyDescent="0.25">
      <c r="A480" s="39" t="s">
        <v>1672</v>
      </c>
      <c r="B480" s="37" t="s">
        <v>2001</v>
      </c>
      <c r="C480" s="76" t="s">
        <v>13</v>
      </c>
      <c r="D480" s="40">
        <v>72</v>
      </c>
      <c r="E480" s="77">
        <v>15</v>
      </c>
      <c r="F480" s="78">
        <f>ROUND(D480*E480,2)</f>
        <v>1080</v>
      </c>
    </row>
    <row r="481" spans="1:6" x14ac:dyDescent="0.25">
      <c r="B481" s="75"/>
      <c r="C481" s="38"/>
    </row>
    <row r="482" spans="1:6" ht="64.5" customHeight="1" x14ac:dyDescent="0.25">
      <c r="A482" s="39" t="s">
        <v>1673</v>
      </c>
      <c r="B482" s="37" t="s">
        <v>2002</v>
      </c>
    </row>
    <row r="483" spans="1:6" x14ac:dyDescent="0.25">
      <c r="B483" s="75" t="s">
        <v>101</v>
      </c>
      <c r="C483" s="76" t="s">
        <v>13</v>
      </c>
      <c r="D483" s="40">
        <v>59.4</v>
      </c>
      <c r="E483" s="77">
        <v>45</v>
      </c>
      <c r="F483" s="78">
        <f>ROUND(D483*E483,2)</f>
        <v>2673</v>
      </c>
    </row>
    <row r="485" spans="1:6" ht="48" x14ac:dyDescent="0.25">
      <c r="A485" s="39" t="s">
        <v>1674</v>
      </c>
      <c r="B485" s="37" t="s">
        <v>102</v>
      </c>
      <c r="C485" s="76" t="s">
        <v>15</v>
      </c>
      <c r="D485" s="40">
        <v>1</v>
      </c>
      <c r="E485" s="77">
        <v>150</v>
      </c>
      <c r="F485" s="78">
        <f>ROUND(D485*E485,2)</f>
        <v>150</v>
      </c>
    </row>
    <row r="486" spans="1:6" x14ac:dyDescent="0.25">
      <c r="B486" s="75"/>
      <c r="C486" s="38"/>
    </row>
    <row r="487" spans="1:6" ht="39" customHeight="1" x14ac:dyDescent="0.25">
      <c r="A487" s="39" t="s">
        <v>1675</v>
      </c>
      <c r="B487" s="37" t="s">
        <v>2003</v>
      </c>
      <c r="C487" s="76" t="s">
        <v>13</v>
      </c>
      <c r="D487" s="40">
        <v>17</v>
      </c>
      <c r="E487" s="77">
        <v>40</v>
      </c>
      <c r="F487" s="78">
        <f>ROUND(D487*E487,2)</f>
        <v>680</v>
      </c>
    </row>
    <row r="488" spans="1:6" x14ac:dyDescent="0.25">
      <c r="B488" s="75"/>
      <c r="C488" s="38"/>
    </row>
    <row r="489" spans="1:6" ht="48.75" customHeight="1" x14ac:dyDescent="0.25">
      <c r="A489" s="39" t="s">
        <v>1676</v>
      </c>
      <c r="B489" s="37" t="s">
        <v>103</v>
      </c>
      <c r="C489" s="76" t="s">
        <v>15</v>
      </c>
      <c r="D489" s="40">
        <v>2</v>
      </c>
      <c r="E489" s="77">
        <v>190</v>
      </c>
      <c r="F489" s="78">
        <f>ROUND(D489*E489,2)</f>
        <v>380</v>
      </c>
    </row>
    <row r="490" spans="1:6" x14ac:dyDescent="0.25">
      <c r="B490" s="75"/>
      <c r="C490" s="38"/>
    </row>
    <row r="491" spans="1:6" ht="122.25" customHeight="1" x14ac:dyDescent="0.25">
      <c r="A491" s="39" t="s">
        <v>1677</v>
      </c>
      <c r="B491" s="37" t="s">
        <v>2004</v>
      </c>
      <c r="C491" s="76" t="s">
        <v>13</v>
      </c>
      <c r="D491" s="40">
        <v>34</v>
      </c>
      <c r="E491" s="77">
        <v>120</v>
      </c>
      <c r="F491" s="78">
        <f>ROUND(D491*E491,2)</f>
        <v>4080</v>
      </c>
    </row>
    <row r="492" spans="1:6" x14ac:dyDescent="0.25">
      <c r="B492" s="75"/>
      <c r="C492" s="38"/>
    </row>
    <row r="493" spans="1:6" ht="61.5" customHeight="1" x14ac:dyDescent="0.25">
      <c r="A493" s="39" t="s">
        <v>1678</v>
      </c>
      <c r="B493" s="37" t="s">
        <v>2692</v>
      </c>
      <c r="C493" s="76" t="s">
        <v>15</v>
      </c>
      <c r="D493" s="40">
        <v>496.4</v>
      </c>
      <c r="E493" s="77">
        <v>5</v>
      </c>
      <c r="F493" s="78">
        <f>ROUND(D493*E493,2)</f>
        <v>2482</v>
      </c>
    </row>
    <row r="494" spans="1:6" x14ac:dyDescent="0.25">
      <c r="B494" s="75"/>
      <c r="C494" s="38"/>
    </row>
    <row r="495" spans="1:6" ht="86.25" customHeight="1" x14ac:dyDescent="0.25">
      <c r="A495" s="39" t="s">
        <v>1679</v>
      </c>
      <c r="B495" s="37" t="s">
        <v>3359</v>
      </c>
      <c r="C495" s="76" t="s">
        <v>13</v>
      </c>
      <c r="D495" s="40">
        <v>34</v>
      </c>
      <c r="E495" s="77">
        <v>41</v>
      </c>
      <c r="F495" s="78">
        <f>ROUND(D495*E495,2)</f>
        <v>1394</v>
      </c>
    </row>
    <row r="496" spans="1:6" x14ac:dyDescent="0.25">
      <c r="B496" s="75"/>
      <c r="C496" s="38"/>
    </row>
    <row r="497" spans="1:6" ht="36" x14ac:dyDescent="0.25">
      <c r="A497" s="39" t="s">
        <v>1680</v>
      </c>
      <c r="B497" s="37" t="s">
        <v>104</v>
      </c>
      <c r="C497" s="76" t="s">
        <v>15</v>
      </c>
      <c r="D497" s="40">
        <v>2</v>
      </c>
      <c r="E497" s="77">
        <v>18</v>
      </c>
      <c r="F497" s="78">
        <f>ROUND(D497*E497,2)</f>
        <v>36</v>
      </c>
    </row>
    <row r="498" spans="1:6" x14ac:dyDescent="0.25">
      <c r="B498" s="75"/>
      <c r="C498" s="38"/>
    </row>
    <row r="499" spans="1:6" ht="38.25" customHeight="1" x14ac:dyDescent="0.25">
      <c r="A499" s="39" t="s">
        <v>1681</v>
      </c>
      <c r="B499" s="37" t="s">
        <v>105</v>
      </c>
      <c r="C499" s="76" t="s">
        <v>15</v>
      </c>
      <c r="D499" s="40">
        <v>2</v>
      </c>
      <c r="E499" s="77">
        <v>32</v>
      </c>
      <c r="F499" s="78">
        <f>ROUND(D499*E499,2)</f>
        <v>64</v>
      </c>
    </row>
    <row r="500" spans="1:6" x14ac:dyDescent="0.25">
      <c r="B500" s="75"/>
      <c r="C500" s="38"/>
    </row>
    <row r="501" spans="1:6" ht="40.5" customHeight="1" x14ac:dyDescent="0.25">
      <c r="A501" s="39" t="s">
        <v>1682</v>
      </c>
      <c r="B501" s="37" t="s">
        <v>106</v>
      </c>
      <c r="C501" s="76" t="s">
        <v>15</v>
      </c>
      <c r="D501" s="40">
        <v>2</v>
      </c>
      <c r="E501" s="77">
        <v>45</v>
      </c>
      <c r="F501" s="78">
        <f>ROUND(D501*E501,2)</f>
        <v>90</v>
      </c>
    </row>
    <row r="502" spans="1:6" x14ac:dyDescent="0.25">
      <c r="B502" s="75"/>
      <c r="C502" s="38"/>
    </row>
    <row r="503" spans="1:6" ht="39.75" customHeight="1" x14ac:dyDescent="0.25">
      <c r="A503" s="39" t="s">
        <v>1683</v>
      </c>
      <c r="B503" s="37" t="s">
        <v>2005</v>
      </c>
    </row>
    <row r="504" spans="1:6" x14ac:dyDescent="0.25">
      <c r="B504" s="75" t="s">
        <v>107</v>
      </c>
      <c r="C504" s="76" t="s">
        <v>13</v>
      </c>
      <c r="D504" s="40">
        <v>14</v>
      </c>
      <c r="E504" s="77">
        <v>39</v>
      </c>
      <c r="F504" s="78">
        <f>ROUND(D504*E504,2)</f>
        <v>546</v>
      </c>
    </row>
    <row r="505" spans="1:6" x14ac:dyDescent="0.25">
      <c r="B505" s="75"/>
      <c r="D505" s="40"/>
      <c r="E505" s="77"/>
      <c r="F505" s="78"/>
    </row>
    <row r="506" spans="1:6" ht="48.75" customHeight="1" x14ac:dyDescent="0.25">
      <c r="A506" s="39" t="s">
        <v>2006</v>
      </c>
      <c r="B506" s="37" t="s">
        <v>2631</v>
      </c>
      <c r="D506" s="40"/>
      <c r="E506" s="77"/>
      <c r="F506" s="78"/>
    </row>
    <row r="507" spans="1:6" x14ac:dyDescent="0.25">
      <c r="A507" s="39"/>
      <c r="B507" s="75" t="s">
        <v>107</v>
      </c>
      <c r="C507" s="76" t="s">
        <v>13</v>
      </c>
      <c r="D507" s="40">
        <v>11</v>
      </c>
      <c r="E507" s="77">
        <v>32</v>
      </c>
      <c r="F507" s="78">
        <f>ROUND(D507*E507,2)</f>
        <v>352</v>
      </c>
    </row>
    <row r="508" spans="1:6" x14ac:dyDescent="0.25">
      <c r="A508" s="39"/>
      <c r="B508" s="75" t="s">
        <v>2009</v>
      </c>
      <c r="C508" s="76" t="s">
        <v>2010</v>
      </c>
      <c r="D508" s="40">
        <v>2</v>
      </c>
      <c r="E508" s="77">
        <v>21</v>
      </c>
      <c r="F508" s="78">
        <f>ROUND(D508*E508,2)</f>
        <v>42</v>
      </c>
    </row>
    <row r="509" spans="1:6" x14ac:dyDescent="0.25">
      <c r="B509" s="75"/>
      <c r="D509" s="40"/>
      <c r="E509" s="77"/>
      <c r="F509" s="78"/>
    </row>
    <row r="510" spans="1:6" ht="37.5" customHeight="1" x14ac:dyDescent="0.25">
      <c r="A510" s="39" t="s">
        <v>2008</v>
      </c>
      <c r="B510" s="37" t="s">
        <v>2632</v>
      </c>
      <c r="C510" s="76" t="s">
        <v>2007</v>
      </c>
      <c r="D510" s="40">
        <v>7.5</v>
      </c>
      <c r="E510" s="77">
        <v>75</v>
      </c>
      <c r="F510" s="78">
        <f>ROUND(D510*E510,2)</f>
        <v>562.5</v>
      </c>
    </row>
    <row r="512" spans="1:6" ht="25.5" customHeight="1" x14ac:dyDescent="0.25">
      <c r="A512" s="39" t="s">
        <v>2012</v>
      </c>
      <c r="B512" s="82" t="s">
        <v>2011</v>
      </c>
      <c r="C512" s="76" t="s">
        <v>13</v>
      </c>
      <c r="D512" s="40">
        <v>26</v>
      </c>
      <c r="E512" s="77">
        <v>55</v>
      </c>
      <c r="F512" s="78">
        <f>ROUND(D512*E512,2)</f>
        <v>1430</v>
      </c>
    </row>
    <row r="514" spans="1:6" x14ac:dyDescent="0.25">
      <c r="A514" s="91" t="s">
        <v>1667</v>
      </c>
      <c r="B514" s="92" t="s">
        <v>108</v>
      </c>
      <c r="C514" s="91"/>
      <c r="D514" s="91"/>
      <c r="E514" s="122"/>
      <c r="F514" s="96">
        <f>SUM(F470:F512)</f>
        <v>40305.5</v>
      </c>
    </row>
    <row r="517" spans="1:6" x14ac:dyDescent="0.25">
      <c r="A517" s="91" t="s">
        <v>1684</v>
      </c>
      <c r="B517" s="92" t="s">
        <v>109</v>
      </c>
      <c r="C517" s="91"/>
      <c r="D517" s="91"/>
      <c r="E517" s="122"/>
      <c r="F517" s="91"/>
    </row>
    <row r="519" spans="1:6" x14ac:dyDescent="0.25">
      <c r="A519" s="91"/>
      <c r="B519" s="92" t="s">
        <v>0</v>
      </c>
      <c r="C519" s="97"/>
      <c r="D519" s="91"/>
      <c r="E519" s="122"/>
      <c r="F519" s="91"/>
    </row>
    <row r="521" spans="1:6" ht="181.5" customHeight="1" x14ac:dyDescent="0.25">
      <c r="B521" s="37" t="s">
        <v>110</v>
      </c>
    </row>
    <row r="524" spans="1:6" ht="75" customHeight="1" x14ac:dyDescent="0.25">
      <c r="A524" s="39" t="s">
        <v>1685</v>
      </c>
      <c r="B524" s="37" t="s">
        <v>2169</v>
      </c>
      <c r="C524" s="76" t="s">
        <v>38</v>
      </c>
      <c r="D524" s="40">
        <v>202</v>
      </c>
      <c r="E524" s="77">
        <v>70</v>
      </c>
      <c r="F524" s="78">
        <f>ROUND(D524*E524,2)</f>
        <v>14140</v>
      </c>
    </row>
    <row r="525" spans="1:6" x14ac:dyDescent="0.25">
      <c r="B525" s="75"/>
      <c r="C525" s="38"/>
    </row>
    <row r="526" spans="1:6" ht="120" x14ac:dyDescent="0.25">
      <c r="A526" s="39" t="s">
        <v>1686</v>
      </c>
      <c r="B526" s="37" t="s">
        <v>2170</v>
      </c>
      <c r="C526" s="76" t="s">
        <v>38</v>
      </c>
      <c r="D526" s="40">
        <v>67.2</v>
      </c>
      <c r="E526" s="77">
        <v>70</v>
      </c>
      <c r="F526" s="78">
        <f>ROUND(D526*E526,2)</f>
        <v>4704</v>
      </c>
    </row>
    <row r="527" spans="1:6" x14ac:dyDescent="0.25">
      <c r="B527" s="75"/>
      <c r="C527" s="38"/>
    </row>
    <row r="528" spans="1:6" ht="111" customHeight="1" x14ac:dyDescent="0.25">
      <c r="A528" s="39" t="s">
        <v>1687</v>
      </c>
      <c r="B528" s="37" t="s">
        <v>2171</v>
      </c>
      <c r="C528" s="76" t="s">
        <v>38</v>
      </c>
      <c r="D528" s="40">
        <v>38.299999999999997</v>
      </c>
      <c r="E528" s="77">
        <v>80</v>
      </c>
      <c r="F528" s="78">
        <f>ROUND(D528*E528,2)</f>
        <v>3064</v>
      </c>
    </row>
    <row r="529" spans="1:7" x14ac:dyDescent="0.25">
      <c r="B529" s="75"/>
      <c r="C529" s="38"/>
    </row>
    <row r="530" spans="1:7" ht="111" customHeight="1" x14ac:dyDescent="0.25">
      <c r="A530" s="39" t="s">
        <v>1688</v>
      </c>
      <c r="B530" s="37" t="s">
        <v>111</v>
      </c>
      <c r="C530" s="76" t="s">
        <v>38</v>
      </c>
      <c r="D530" s="40">
        <v>26.1</v>
      </c>
      <c r="E530" s="77">
        <v>70</v>
      </c>
      <c r="F530" s="78">
        <f>ROUND(D530*E530,2)</f>
        <v>1827</v>
      </c>
      <c r="G530" s="95"/>
    </row>
    <row r="532" spans="1:7" x14ac:dyDescent="0.25">
      <c r="A532" s="91" t="s">
        <v>1684</v>
      </c>
      <c r="B532" s="92" t="s">
        <v>112</v>
      </c>
      <c r="C532" s="91"/>
      <c r="D532" s="91"/>
      <c r="E532" s="122"/>
      <c r="F532" s="96">
        <f>SUM(F521:F530)</f>
        <v>23735</v>
      </c>
    </row>
    <row r="535" spans="1:7" x14ac:dyDescent="0.25">
      <c r="A535" s="91" t="s">
        <v>1689</v>
      </c>
      <c r="B535" s="92" t="s">
        <v>113</v>
      </c>
      <c r="C535" s="91"/>
      <c r="D535" s="91"/>
      <c r="E535" s="122"/>
      <c r="F535" s="91"/>
    </row>
    <row r="537" spans="1:7" x14ac:dyDescent="0.25">
      <c r="A537" s="91"/>
      <c r="B537" s="92" t="s">
        <v>0</v>
      </c>
      <c r="C537" s="97"/>
      <c r="D537" s="91"/>
      <c r="E537" s="122"/>
      <c r="F537" s="91"/>
    </row>
    <row r="539" spans="1:7" ht="218.4" customHeight="1" x14ac:dyDescent="0.25">
      <c r="B539" s="37" t="s">
        <v>3360</v>
      </c>
    </row>
    <row r="540" spans="1:7" ht="152.4" customHeight="1" x14ac:dyDescent="0.25">
      <c r="B540" s="101" t="s">
        <v>3307</v>
      </c>
    </row>
    <row r="541" spans="1:7" ht="168.6" customHeight="1" x14ac:dyDescent="0.25">
      <c r="B541" s="101" t="s">
        <v>3308</v>
      </c>
    </row>
    <row r="542" spans="1:7" ht="63" customHeight="1" x14ac:dyDescent="0.25">
      <c r="B542" s="101" t="s">
        <v>3361</v>
      </c>
    </row>
    <row r="543" spans="1:7" ht="69" customHeight="1" x14ac:dyDescent="0.25">
      <c r="B543" s="101" t="s">
        <v>3164</v>
      </c>
    </row>
    <row r="544" spans="1:7" ht="51.6" customHeight="1" x14ac:dyDescent="0.25">
      <c r="B544" s="101" t="s">
        <v>3165</v>
      </c>
    </row>
    <row r="545" spans="2:2" ht="63.6" customHeight="1" x14ac:dyDescent="0.25">
      <c r="B545" s="101" t="s">
        <v>3205</v>
      </c>
    </row>
    <row r="546" spans="2:2" ht="84" customHeight="1" x14ac:dyDescent="0.25">
      <c r="B546" s="101" t="s">
        <v>3166</v>
      </c>
    </row>
    <row r="547" spans="2:2" ht="56.4" customHeight="1" x14ac:dyDescent="0.25">
      <c r="B547" s="101" t="s">
        <v>3167</v>
      </c>
    </row>
    <row r="548" spans="2:2" ht="16.8" customHeight="1" x14ac:dyDescent="0.25">
      <c r="B548" s="101" t="s">
        <v>3168</v>
      </c>
    </row>
    <row r="549" spans="2:2" ht="42.6" customHeight="1" x14ac:dyDescent="0.25">
      <c r="B549" s="102" t="s">
        <v>3220</v>
      </c>
    </row>
    <row r="550" spans="2:2" ht="16.8" customHeight="1" x14ac:dyDescent="0.25">
      <c r="B550" s="103" t="s">
        <v>3169</v>
      </c>
    </row>
    <row r="551" spans="2:2" ht="16.8" customHeight="1" x14ac:dyDescent="0.25">
      <c r="B551" s="102" t="s">
        <v>3177</v>
      </c>
    </row>
    <row r="552" spans="2:2" ht="16.8" customHeight="1" x14ac:dyDescent="0.25">
      <c r="B552" s="103" t="s">
        <v>3170</v>
      </c>
    </row>
    <row r="553" spans="2:2" ht="16.8" customHeight="1" x14ac:dyDescent="0.25">
      <c r="B553" s="102" t="s">
        <v>3223</v>
      </c>
    </row>
    <row r="554" spans="2:2" ht="16.8" customHeight="1" x14ac:dyDescent="0.25">
      <c r="B554" s="103" t="s">
        <v>3171</v>
      </c>
    </row>
    <row r="555" spans="2:2" ht="16.8" customHeight="1" x14ac:dyDescent="0.25">
      <c r="B555" s="102" t="s">
        <v>3179</v>
      </c>
    </row>
    <row r="556" spans="2:2" ht="16.8" customHeight="1" x14ac:dyDescent="0.25">
      <c r="B556" s="103" t="s">
        <v>3170</v>
      </c>
    </row>
    <row r="557" spans="2:2" ht="16.8" customHeight="1" x14ac:dyDescent="0.25">
      <c r="B557" s="102" t="s">
        <v>3223</v>
      </c>
    </row>
    <row r="558" spans="2:2" ht="16.8" customHeight="1" x14ac:dyDescent="0.25">
      <c r="B558" s="103" t="s">
        <v>3172</v>
      </c>
    </row>
    <row r="559" spans="2:2" ht="16.8" customHeight="1" x14ac:dyDescent="0.25">
      <c r="B559" s="102" t="s">
        <v>3180</v>
      </c>
    </row>
    <row r="560" spans="2:2" ht="28.2" customHeight="1" x14ac:dyDescent="0.25">
      <c r="B560" s="102" t="s">
        <v>3173</v>
      </c>
    </row>
    <row r="561" spans="2:2" ht="53.4" customHeight="1" x14ac:dyDescent="0.25">
      <c r="B561" s="102" t="s">
        <v>3181</v>
      </c>
    </row>
    <row r="562" spans="2:2" ht="100.8" customHeight="1" x14ac:dyDescent="0.25">
      <c r="B562" s="102" t="s">
        <v>3182</v>
      </c>
    </row>
    <row r="563" spans="2:2" ht="29.4" customHeight="1" x14ac:dyDescent="0.25">
      <c r="B563" s="102" t="s">
        <v>3174</v>
      </c>
    </row>
    <row r="564" spans="2:2" ht="54" customHeight="1" x14ac:dyDescent="0.25">
      <c r="B564" s="102" t="s">
        <v>3183</v>
      </c>
    </row>
    <row r="565" spans="2:2" ht="36.6" customHeight="1" x14ac:dyDescent="0.25">
      <c r="B565" s="102" t="s">
        <v>3175</v>
      </c>
    </row>
    <row r="566" spans="2:2" ht="15" customHeight="1" x14ac:dyDescent="0.25">
      <c r="B566" s="102"/>
    </row>
    <row r="567" spans="2:2" ht="66" customHeight="1" x14ac:dyDescent="0.25">
      <c r="B567" s="102" t="s">
        <v>3362</v>
      </c>
    </row>
    <row r="568" spans="2:2" ht="31.2" customHeight="1" x14ac:dyDescent="0.25">
      <c r="B568" s="102" t="s">
        <v>3206</v>
      </c>
    </row>
    <row r="569" spans="2:2" ht="78" customHeight="1" x14ac:dyDescent="0.25">
      <c r="B569" s="102" t="s">
        <v>3207</v>
      </c>
    </row>
    <row r="570" spans="2:2" ht="51.6" customHeight="1" x14ac:dyDescent="0.25">
      <c r="B570" s="102" t="s">
        <v>3208</v>
      </c>
    </row>
    <row r="571" spans="2:2" ht="88.2" customHeight="1" x14ac:dyDescent="0.25">
      <c r="B571" s="102" t="s">
        <v>3209</v>
      </c>
    </row>
    <row r="572" spans="2:2" ht="15" customHeight="1" x14ac:dyDescent="0.25">
      <c r="B572" s="102" t="s">
        <v>3210</v>
      </c>
    </row>
    <row r="573" spans="2:2" ht="55.8" customHeight="1" x14ac:dyDescent="0.25">
      <c r="B573" s="102" t="s">
        <v>3167</v>
      </c>
    </row>
    <row r="574" spans="2:2" ht="15" customHeight="1" x14ac:dyDescent="0.25">
      <c r="B574" s="102" t="s">
        <v>3211</v>
      </c>
    </row>
    <row r="575" spans="2:2" ht="15" customHeight="1" x14ac:dyDescent="0.25">
      <c r="B575" s="102" t="s">
        <v>3212</v>
      </c>
    </row>
    <row r="576" spans="2:2" ht="42.6" customHeight="1" x14ac:dyDescent="0.25">
      <c r="B576" s="102" t="s">
        <v>3221</v>
      </c>
    </row>
    <row r="577" spans="2:2" ht="15" customHeight="1" x14ac:dyDescent="0.25">
      <c r="B577" s="102" t="s">
        <v>3214</v>
      </c>
    </row>
    <row r="578" spans="2:2" ht="15" customHeight="1" x14ac:dyDescent="0.25">
      <c r="B578" s="102" t="s">
        <v>3222</v>
      </c>
    </row>
    <row r="579" spans="2:2" ht="15" customHeight="1" x14ac:dyDescent="0.25">
      <c r="B579" s="102" t="s">
        <v>3170</v>
      </c>
    </row>
    <row r="580" spans="2:2" ht="15" customHeight="1" x14ac:dyDescent="0.25">
      <c r="B580" s="102" t="s">
        <v>3223</v>
      </c>
    </row>
    <row r="581" spans="2:2" ht="15" customHeight="1" x14ac:dyDescent="0.25">
      <c r="B581" s="102" t="s">
        <v>3215</v>
      </c>
    </row>
    <row r="582" spans="2:2" ht="15" customHeight="1" x14ac:dyDescent="0.25">
      <c r="B582" s="102" t="s">
        <v>3224</v>
      </c>
    </row>
    <row r="583" spans="2:2" ht="15" customHeight="1" x14ac:dyDescent="0.25">
      <c r="B583" s="102" t="s">
        <v>3170</v>
      </c>
    </row>
    <row r="584" spans="2:2" ht="15" customHeight="1" x14ac:dyDescent="0.25">
      <c r="B584" s="102" t="s">
        <v>3223</v>
      </c>
    </row>
    <row r="585" spans="2:2" ht="15" customHeight="1" x14ac:dyDescent="0.25">
      <c r="B585" s="102" t="s">
        <v>3172</v>
      </c>
    </row>
    <row r="586" spans="2:2" ht="15" customHeight="1" x14ac:dyDescent="0.25">
      <c r="B586" s="102" t="s">
        <v>3222</v>
      </c>
    </row>
    <row r="587" spans="2:2" ht="15" customHeight="1" x14ac:dyDescent="0.25">
      <c r="B587" s="102"/>
    </row>
    <row r="588" spans="2:2" ht="15" customHeight="1" x14ac:dyDescent="0.25">
      <c r="B588" s="102" t="s">
        <v>3216</v>
      </c>
    </row>
    <row r="589" spans="2:2" ht="15" customHeight="1" x14ac:dyDescent="0.25">
      <c r="B589" s="102" t="s">
        <v>3193</v>
      </c>
    </row>
    <row r="590" spans="2:2" ht="15" customHeight="1" x14ac:dyDescent="0.25">
      <c r="B590" s="102" t="s">
        <v>3195</v>
      </c>
    </row>
    <row r="591" spans="2:2" ht="15" customHeight="1" x14ac:dyDescent="0.25">
      <c r="B591" s="102" t="s">
        <v>3217</v>
      </c>
    </row>
    <row r="592" spans="2:2" ht="15" customHeight="1" x14ac:dyDescent="0.25">
      <c r="B592" s="102" t="s">
        <v>3196</v>
      </c>
    </row>
    <row r="593" spans="2:2" ht="15" customHeight="1" x14ac:dyDescent="0.25">
      <c r="B593" s="102" t="s">
        <v>3197</v>
      </c>
    </row>
    <row r="594" spans="2:2" ht="15" customHeight="1" x14ac:dyDescent="0.25">
      <c r="B594" s="102" t="s">
        <v>3218</v>
      </c>
    </row>
    <row r="595" spans="2:2" ht="15" customHeight="1" x14ac:dyDescent="0.25">
      <c r="B595" s="102" t="s">
        <v>3201</v>
      </c>
    </row>
    <row r="596" spans="2:2" ht="15" customHeight="1" x14ac:dyDescent="0.25">
      <c r="B596" s="102" t="s">
        <v>3199</v>
      </c>
    </row>
    <row r="597" spans="2:2" ht="15" customHeight="1" x14ac:dyDescent="0.25">
      <c r="B597" s="102" t="s">
        <v>3219</v>
      </c>
    </row>
    <row r="598" spans="2:2" ht="15" customHeight="1" x14ac:dyDescent="0.25">
      <c r="B598" s="102"/>
    </row>
    <row r="599" spans="2:2" ht="64.8" customHeight="1" x14ac:dyDescent="0.25">
      <c r="B599" s="102" t="s">
        <v>3203</v>
      </c>
    </row>
    <row r="600" spans="2:2" ht="30" customHeight="1" x14ac:dyDescent="0.25">
      <c r="B600" s="104" t="s">
        <v>3228</v>
      </c>
    </row>
    <row r="601" spans="2:2" ht="53.4" customHeight="1" x14ac:dyDescent="0.25">
      <c r="B601" s="102" t="s">
        <v>3213</v>
      </c>
    </row>
    <row r="602" spans="2:2" ht="66.599999999999994" customHeight="1" x14ac:dyDescent="0.25">
      <c r="B602" s="102" t="s">
        <v>3363</v>
      </c>
    </row>
    <row r="603" spans="2:2" ht="28.8" customHeight="1" x14ac:dyDescent="0.25">
      <c r="B603" s="102" t="s">
        <v>3184</v>
      </c>
    </row>
    <row r="604" spans="2:2" ht="16.2" customHeight="1" x14ac:dyDescent="0.25">
      <c r="B604" s="102" t="s">
        <v>3185</v>
      </c>
    </row>
    <row r="605" spans="2:2" ht="42.6" customHeight="1" x14ac:dyDescent="0.25">
      <c r="B605" s="101" t="s">
        <v>3186</v>
      </c>
    </row>
    <row r="606" spans="2:2" ht="115.8" customHeight="1" x14ac:dyDescent="0.25">
      <c r="B606" s="101" t="s">
        <v>3187</v>
      </c>
    </row>
    <row r="607" spans="2:2" ht="76.2" customHeight="1" x14ac:dyDescent="0.25">
      <c r="B607" s="101" t="s">
        <v>3225</v>
      </c>
    </row>
    <row r="608" spans="2:2" ht="41.4" customHeight="1" x14ac:dyDescent="0.25">
      <c r="B608" s="101" t="s">
        <v>3226</v>
      </c>
    </row>
    <row r="609" spans="2:2" ht="30" customHeight="1" x14ac:dyDescent="0.25">
      <c r="B609" s="101" t="s">
        <v>3188</v>
      </c>
    </row>
    <row r="610" spans="2:2" ht="52.8" customHeight="1" x14ac:dyDescent="0.25">
      <c r="B610" s="101" t="s">
        <v>3189</v>
      </c>
    </row>
    <row r="611" spans="2:2" ht="30" customHeight="1" x14ac:dyDescent="0.25">
      <c r="B611" s="101" t="s">
        <v>3190</v>
      </c>
    </row>
    <row r="612" spans="2:2" ht="66.599999999999994" customHeight="1" x14ac:dyDescent="0.25">
      <c r="B612" s="101" t="s">
        <v>3191</v>
      </c>
    </row>
    <row r="613" spans="2:2" ht="16.8" customHeight="1" x14ac:dyDescent="0.25">
      <c r="B613" s="101" t="s">
        <v>3168</v>
      </c>
    </row>
    <row r="614" spans="2:2" ht="42" customHeight="1" x14ac:dyDescent="0.25">
      <c r="B614" s="102" t="s">
        <v>3176</v>
      </c>
    </row>
    <row r="615" spans="2:2" ht="16.8" customHeight="1" x14ac:dyDescent="0.25">
      <c r="B615" s="103" t="s">
        <v>3169</v>
      </c>
    </row>
    <row r="616" spans="2:2" ht="16.8" customHeight="1" x14ac:dyDescent="0.25">
      <c r="B616" s="102" t="s">
        <v>3177</v>
      </c>
    </row>
    <row r="617" spans="2:2" ht="16.8" customHeight="1" x14ac:dyDescent="0.25">
      <c r="B617" s="103" t="s">
        <v>3170</v>
      </c>
    </row>
    <row r="618" spans="2:2" ht="16.8" customHeight="1" x14ac:dyDescent="0.25">
      <c r="B618" s="102" t="s">
        <v>3178</v>
      </c>
    </row>
    <row r="619" spans="2:2" ht="16.8" customHeight="1" x14ac:dyDescent="0.25">
      <c r="B619" s="103" t="s">
        <v>3171</v>
      </c>
    </row>
    <row r="620" spans="2:2" ht="16.8" customHeight="1" x14ac:dyDescent="0.25">
      <c r="B620" s="102" t="s">
        <v>3179</v>
      </c>
    </row>
    <row r="621" spans="2:2" ht="16.8" customHeight="1" x14ac:dyDescent="0.25">
      <c r="B621" s="103" t="s">
        <v>3170</v>
      </c>
    </row>
    <row r="622" spans="2:2" ht="16.8" customHeight="1" x14ac:dyDescent="0.25">
      <c r="B622" s="102" t="s">
        <v>3178</v>
      </c>
    </row>
    <row r="623" spans="2:2" ht="16.8" customHeight="1" x14ac:dyDescent="0.25">
      <c r="B623" s="103" t="s">
        <v>3172</v>
      </c>
    </row>
    <row r="624" spans="2:2" ht="15.6" customHeight="1" x14ac:dyDescent="0.25">
      <c r="B624" s="102" t="s">
        <v>3180</v>
      </c>
    </row>
    <row r="625" spans="2:2" ht="15.6" customHeight="1" x14ac:dyDescent="0.25">
      <c r="B625" s="102" t="s">
        <v>3192</v>
      </c>
    </row>
    <row r="626" spans="2:2" ht="15.6" customHeight="1" x14ac:dyDescent="0.25">
      <c r="B626" s="103" t="s">
        <v>3193</v>
      </c>
    </row>
    <row r="627" spans="2:2" ht="15.6" customHeight="1" x14ac:dyDescent="0.25">
      <c r="B627" s="102" t="s">
        <v>3195</v>
      </c>
    </row>
    <row r="628" spans="2:2" ht="15.6" customHeight="1" x14ac:dyDescent="0.25">
      <c r="B628" s="103" t="s">
        <v>3194</v>
      </c>
    </row>
    <row r="629" spans="2:2" ht="15.6" customHeight="1" x14ac:dyDescent="0.25">
      <c r="B629" s="103" t="s">
        <v>3196</v>
      </c>
    </row>
    <row r="630" spans="2:2" ht="15.6" customHeight="1" x14ac:dyDescent="0.25">
      <c r="B630" s="102" t="s">
        <v>3197</v>
      </c>
    </row>
    <row r="631" spans="2:2" ht="15.6" customHeight="1" x14ac:dyDescent="0.25">
      <c r="B631" s="103" t="s">
        <v>3198</v>
      </c>
    </row>
    <row r="632" spans="2:2" ht="15.6" customHeight="1" x14ac:dyDescent="0.25">
      <c r="B632" s="103" t="s">
        <v>3201</v>
      </c>
    </row>
    <row r="633" spans="2:2" ht="15.6" customHeight="1" x14ac:dyDescent="0.25">
      <c r="B633" s="102" t="s">
        <v>3199</v>
      </c>
    </row>
    <row r="634" spans="2:2" ht="15.6" customHeight="1" x14ac:dyDescent="0.25">
      <c r="B634" s="103" t="s">
        <v>3200</v>
      </c>
    </row>
    <row r="635" spans="2:2" ht="39" customHeight="1" x14ac:dyDescent="0.25">
      <c r="B635" s="103" t="s">
        <v>3202</v>
      </c>
    </row>
    <row r="636" spans="2:2" ht="63" customHeight="1" x14ac:dyDescent="0.25">
      <c r="B636" s="103" t="s">
        <v>3203</v>
      </c>
    </row>
    <row r="637" spans="2:2" ht="51.6" customHeight="1" x14ac:dyDescent="0.25">
      <c r="B637" s="105" t="s">
        <v>3227</v>
      </c>
    </row>
    <row r="638" spans="2:2" ht="54.6" customHeight="1" x14ac:dyDescent="0.25">
      <c r="B638" s="105" t="s">
        <v>3204</v>
      </c>
    </row>
    <row r="639" spans="2:2" ht="327.75" customHeight="1" x14ac:dyDescent="0.25">
      <c r="B639" s="37" t="s">
        <v>2776</v>
      </c>
    </row>
    <row r="640" spans="2:2" ht="282.75" customHeight="1" x14ac:dyDescent="0.25">
      <c r="B640" s="37" t="s">
        <v>2775</v>
      </c>
    </row>
    <row r="641" spans="1:6" ht="340.5" customHeight="1" x14ac:dyDescent="0.25">
      <c r="B641" s="37" t="s">
        <v>2777</v>
      </c>
    </row>
    <row r="642" spans="1:6" ht="324" customHeight="1" x14ac:dyDescent="0.25">
      <c r="B642" s="37" t="s">
        <v>2778</v>
      </c>
    </row>
    <row r="643" spans="1:6" ht="302.25" customHeight="1" x14ac:dyDescent="0.25">
      <c r="B643" s="37" t="s">
        <v>2779</v>
      </c>
    </row>
    <row r="644" spans="1:6" ht="305.25" customHeight="1" x14ac:dyDescent="0.25">
      <c r="B644" s="37" t="s">
        <v>2780</v>
      </c>
    </row>
    <row r="645" spans="1:6" ht="28.5" customHeight="1" x14ac:dyDescent="0.25">
      <c r="B645" s="37" t="s">
        <v>2172</v>
      </c>
    </row>
    <row r="648" spans="1:6" ht="46.2" customHeight="1" x14ac:dyDescent="0.25">
      <c r="A648" s="39" t="s">
        <v>1690</v>
      </c>
      <c r="B648" s="37" t="s">
        <v>3309</v>
      </c>
    </row>
    <row r="649" spans="1:6" ht="57.6" customHeight="1" x14ac:dyDescent="0.25">
      <c r="B649" s="37" t="s">
        <v>3310</v>
      </c>
    </row>
    <row r="650" spans="1:6" ht="13.5" customHeight="1" x14ac:dyDescent="0.25">
      <c r="B650" s="37" t="s">
        <v>2781</v>
      </c>
    </row>
    <row r="651" spans="1:6" x14ac:dyDescent="0.25">
      <c r="B651" s="100" t="s">
        <v>114</v>
      </c>
      <c r="C651" s="76" t="s">
        <v>15</v>
      </c>
      <c r="D651" s="40">
        <v>1</v>
      </c>
      <c r="E651" s="77">
        <v>30000</v>
      </c>
      <c r="F651" s="78">
        <f>ROUND(D651*E651,2)</f>
        <v>30000</v>
      </c>
    </row>
    <row r="653" spans="1:6" x14ac:dyDescent="0.25">
      <c r="A653" s="39" t="s">
        <v>1691</v>
      </c>
      <c r="B653" s="74" t="s">
        <v>2782</v>
      </c>
    </row>
    <row r="654" spans="1:6" x14ac:dyDescent="0.25">
      <c r="B654" s="100" t="s">
        <v>115</v>
      </c>
      <c r="C654" s="76" t="s">
        <v>15</v>
      </c>
      <c r="D654" s="40">
        <v>1</v>
      </c>
      <c r="E654" s="77">
        <v>15000</v>
      </c>
      <c r="F654" s="78">
        <f>ROUND(D654*E654,2)</f>
        <v>15000</v>
      </c>
    </row>
    <row r="656" spans="1:6" ht="122.25" customHeight="1" x14ac:dyDescent="0.25">
      <c r="A656" s="39" t="s">
        <v>1692</v>
      </c>
      <c r="B656" s="37" t="s">
        <v>2837</v>
      </c>
    </row>
    <row r="657" spans="1:6" x14ac:dyDescent="0.25">
      <c r="B657" s="75" t="s">
        <v>3229</v>
      </c>
      <c r="C657" s="76" t="s">
        <v>15</v>
      </c>
      <c r="D657" s="40">
        <v>32</v>
      </c>
      <c r="E657" s="77">
        <v>360</v>
      </c>
      <c r="F657" s="78">
        <f>ROUND(D657*E657,2)</f>
        <v>11520</v>
      </c>
    </row>
    <row r="659" spans="1:6" ht="171" customHeight="1" x14ac:dyDescent="0.25">
      <c r="A659" s="39" t="s">
        <v>1693</v>
      </c>
      <c r="B659" s="37" t="s">
        <v>2786</v>
      </c>
    </row>
    <row r="660" spans="1:6" ht="171" customHeight="1" x14ac:dyDescent="0.25">
      <c r="B660" s="37" t="s">
        <v>2152</v>
      </c>
    </row>
    <row r="661" spans="1:6" ht="112.5" customHeight="1" x14ac:dyDescent="0.25">
      <c r="B661" s="37" t="s">
        <v>2153</v>
      </c>
    </row>
    <row r="662" spans="1:6" x14ac:dyDescent="0.25">
      <c r="B662" s="38" t="s">
        <v>2784</v>
      </c>
      <c r="C662" s="38"/>
    </row>
    <row r="663" spans="1:6" x14ac:dyDescent="0.25">
      <c r="B663" s="38" t="s">
        <v>2785</v>
      </c>
      <c r="C663" s="38"/>
    </row>
    <row r="664" spans="1:6" x14ac:dyDescent="0.25">
      <c r="B664" s="38" t="s">
        <v>3230</v>
      </c>
      <c r="C664" s="38"/>
    </row>
    <row r="665" spans="1:6" x14ac:dyDescent="0.25">
      <c r="B665" s="100" t="s">
        <v>116</v>
      </c>
      <c r="C665" s="76" t="s">
        <v>15</v>
      </c>
      <c r="D665" s="40">
        <v>1</v>
      </c>
      <c r="E665" s="77">
        <v>6450</v>
      </c>
      <c r="F665" s="78">
        <f>ROUND(D665*E665,2)</f>
        <v>6450</v>
      </c>
    </row>
    <row r="667" spans="1:6" ht="147" customHeight="1" x14ac:dyDescent="0.25">
      <c r="A667" s="39" t="s">
        <v>1693</v>
      </c>
      <c r="B667" s="37" t="s">
        <v>3060</v>
      </c>
    </row>
    <row r="668" spans="1:6" ht="24" x14ac:dyDescent="0.25">
      <c r="B668" s="37" t="s">
        <v>3311</v>
      </c>
    </row>
    <row r="669" spans="1:6" x14ac:dyDescent="0.25">
      <c r="B669" s="100" t="s">
        <v>117</v>
      </c>
      <c r="C669" s="76" t="s">
        <v>15</v>
      </c>
      <c r="D669" s="40">
        <v>1</v>
      </c>
      <c r="E669" s="77">
        <v>1507.5</v>
      </c>
      <c r="F669" s="78">
        <f>ROUND(D669*E669,2)</f>
        <v>1507.5</v>
      </c>
    </row>
    <row r="671" spans="1:6" ht="160.5" customHeight="1" x14ac:dyDescent="0.25">
      <c r="A671" s="39" t="s">
        <v>1694</v>
      </c>
      <c r="B671" s="37" t="s">
        <v>3035</v>
      </c>
    </row>
    <row r="672" spans="1:6" ht="164.25" customHeight="1" x14ac:dyDescent="0.25">
      <c r="B672" s="37" t="s">
        <v>2173</v>
      </c>
    </row>
    <row r="673" spans="1:6" ht="150" customHeight="1" x14ac:dyDescent="0.25">
      <c r="B673" s="37" t="s">
        <v>2154</v>
      </c>
    </row>
    <row r="674" spans="1:6" ht="164.25" customHeight="1" x14ac:dyDescent="0.25">
      <c r="B674" s="37" t="s">
        <v>3290</v>
      </c>
    </row>
    <row r="675" spans="1:6" ht="84" x14ac:dyDescent="0.25">
      <c r="B675" s="99" t="s">
        <v>3291</v>
      </c>
    </row>
    <row r="676" spans="1:6" x14ac:dyDescent="0.25">
      <c r="B676" s="38" t="s">
        <v>3230</v>
      </c>
    </row>
    <row r="677" spans="1:6" x14ac:dyDescent="0.25">
      <c r="B677" s="75" t="s">
        <v>3059</v>
      </c>
      <c r="D677" s="40"/>
      <c r="E677" s="77"/>
      <c r="F677" s="78"/>
    </row>
    <row r="678" spans="1:6" x14ac:dyDescent="0.25">
      <c r="B678" s="100" t="s">
        <v>2783</v>
      </c>
      <c r="C678" s="76" t="s">
        <v>15</v>
      </c>
      <c r="D678" s="40">
        <v>1</v>
      </c>
      <c r="E678" s="77">
        <v>5000</v>
      </c>
      <c r="F678" s="78">
        <f>ROUND(D678*E678,2)</f>
        <v>5000</v>
      </c>
    </row>
    <row r="679" spans="1:6" x14ac:dyDescent="0.25">
      <c r="B679" s="38"/>
    </row>
    <row r="680" spans="1:6" ht="84" x14ac:dyDescent="0.25">
      <c r="A680" s="39" t="s">
        <v>1695</v>
      </c>
      <c r="B680" s="37" t="s">
        <v>3234</v>
      </c>
    </row>
    <row r="681" spans="1:6" x14ac:dyDescent="0.25">
      <c r="B681" s="100" t="s">
        <v>2787</v>
      </c>
      <c r="C681" s="76" t="s">
        <v>15</v>
      </c>
      <c r="D681" s="40">
        <v>1</v>
      </c>
      <c r="E681" s="120">
        <v>1280</v>
      </c>
      <c r="F681" s="78">
        <f>ROUND(D681*E681,2)</f>
        <v>1280</v>
      </c>
    </row>
    <row r="682" spans="1:6" x14ac:dyDescent="0.25">
      <c r="B682" s="38"/>
    </row>
    <row r="683" spans="1:6" ht="74.400000000000006" customHeight="1" x14ac:dyDescent="0.25">
      <c r="A683" s="39" t="s">
        <v>1696</v>
      </c>
      <c r="B683" s="37" t="s">
        <v>3233</v>
      </c>
    </row>
    <row r="684" spans="1:6" x14ac:dyDescent="0.25">
      <c r="B684" s="100" t="s">
        <v>3145</v>
      </c>
      <c r="C684" s="76" t="s">
        <v>15</v>
      </c>
      <c r="D684" s="40">
        <v>1</v>
      </c>
      <c r="E684" s="120">
        <v>1280</v>
      </c>
      <c r="F684" s="78">
        <f>ROUND(D684*E684,2)</f>
        <v>1280</v>
      </c>
    </row>
    <row r="685" spans="1:6" x14ac:dyDescent="0.25">
      <c r="B685" s="38"/>
    </row>
    <row r="686" spans="1:6" ht="84" x14ac:dyDescent="0.25">
      <c r="A686" s="39" t="s">
        <v>1697</v>
      </c>
      <c r="B686" s="37" t="s">
        <v>3232</v>
      </c>
    </row>
    <row r="687" spans="1:6" x14ac:dyDescent="0.25">
      <c r="B687" s="100" t="s">
        <v>3146</v>
      </c>
      <c r="C687" s="76" t="s">
        <v>15</v>
      </c>
      <c r="D687" s="40">
        <v>2</v>
      </c>
      <c r="E687" s="120">
        <v>2911.94</v>
      </c>
      <c r="F687" s="78">
        <f>ROUND(D687*E687,2)</f>
        <v>5823.88</v>
      </c>
    </row>
    <row r="688" spans="1:6" x14ac:dyDescent="0.25">
      <c r="B688" s="38"/>
    </row>
    <row r="689" spans="1:6" ht="84" x14ac:dyDescent="0.25">
      <c r="A689" s="39" t="s">
        <v>2788</v>
      </c>
      <c r="B689" s="37" t="s">
        <v>3231</v>
      </c>
    </row>
    <row r="690" spans="1:6" x14ac:dyDescent="0.25">
      <c r="B690" s="100" t="s">
        <v>3147</v>
      </c>
      <c r="C690" s="76" t="s">
        <v>15</v>
      </c>
      <c r="D690" s="40">
        <v>1</v>
      </c>
      <c r="E690" s="120">
        <v>1017.59</v>
      </c>
      <c r="F690" s="78">
        <f>ROUND(D690*E690,2)</f>
        <v>1017.59</v>
      </c>
    </row>
    <row r="691" spans="1:6" x14ac:dyDescent="0.25">
      <c r="B691" s="38"/>
    </row>
    <row r="692" spans="1:6" ht="84" x14ac:dyDescent="0.25">
      <c r="A692" s="39" t="s">
        <v>3156</v>
      </c>
      <c r="B692" s="37" t="s">
        <v>3236</v>
      </c>
    </row>
    <row r="693" spans="1:6" x14ac:dyDescent="0.25">
      <c r="B693" s="100" t="s">
        <v>3148</v>
      </c>
      <c r="C693" s="76" t="s">
        <v>15</v>
      </c>
      <c r="D693" s="40">
        <v>3</v>
      </c>
      <c r="E693" s="120">
        <v>1348.28</v>
      </c>
      <c r="F693" s="78">
        <f>ROUND(D693*E693,2)</f>
        <v>4044.84</v>
      </c>
    </row>
    <row r="694" spans="1:6" x14ac:dyDescent="0.25">
      <c r="B694" s="38"/>
    </row>
    <row r="695" spans="1:6" ht="144" x14ac:dyDescent="0.25">
      <c r="A695" s="39" t="s">
        <v>3157</v>
      </c>
      <c r="B695" s="37" t="s">
        <v>3235</v>
      </c>
    </row>
    <row r="696" spans="1:6" x14ac:dyDescent="0.25">
      <c r="B696" s="100" t="s">
        <v>3149</v>
      </c>
      <c r="C696" s="76" t="s">
        <v>15</v>
      </c>
      <c r="D696" s="40">
        <v>1</v>
      </c>
      <c r="E696" s="120">
        <v>2122.9299999999998</v>
      </c>
      <c r="F696" s="78">
        <f>ROUND(D696*E696,2)</f>
        <v>2122.9299999999998</v>
      </c>
    </row>
    <row r="697" spans="1:6" x14ac:dyDescent="0.25">
      <c r="B697" s="38"/>
    </row>
    <row r="698" spans="1:6" ht="108" x14ac:dyDescent="0.25">
      <c r="A698" s="39" t="s">
        <v>3158</v>
      </c>
      <c r="B698" s="37" t="s">
        <v>3237</v>
      </c>
    </row>
    <row r="699" spans="1:6" x14ac:dyDescent="0.25">
      <c r="B699" s="100" t="s">
        <v>3150</v>
      </c>
      <c r="C699" s="76" t="s">
        <v>15</v>
      </c>
      <c r="D699" s="40">
        <v>2</v>
      </c>
      <c r="E699" s="120">
        <v>3168.28</v>
      </c>
      <c r="F699" s="78">
        <f>ROUND(D699*E699,2)</f>
        <v>6336.56</v>
      </c>
    </row>
    <row r="700" spans="1:6" x14ac:dyDescent="0.25">
      <c r="B700" s="38"/>
    </row>
    <row r="701" spans="1:6" ht="112.8" customHeight="1" x14ac:dyDescent="0.25">
      <c r="A701" s="39" t="s">
        <v>3159</v>
      </c>
      <c r="B701" s="37" t="s">
        <v>3238</v>
      </c>
    </row>
    <row r="702" spans="1:6" x14ac:dyDescent="0.25">
      <c r="B702" s="100" t="s">
        <v>3151</v>
      </c>
      <c r="C702" s="76" t="s">
        <v>15</v>
      </c>
      <c r="D702" s="40">
        <v>4</v>
      </c>
      <c r="E702" s="120">
        <v>1931.53</v>
      </c>
      <c r="F702" s="78">
        <f>ROUND(D702*E702,2)</f>
        <v>7726.12</v>
      </c>
    </row>
    <row r="703" spans="1:6" x14ac:dyDescent="0.25">
      <c r="B703" s="38"/>
    </row>
    <row r="704" spans="1:6" ht="111.6" customHeight="1" x14ac:dyDescent="0.25">
      <c r="A704" s="39" t="s">
        <v>3160</v>
      </c>
      <c r="B704" s="37" t="s">
        <v>3239</v>
      </c>
    </row>
    <row r="705" spans="1:6" x14ac:dyDescent="0.25">
      <c r="B705" s="100" t="s">
        <v>3152</v>
      </c>
      <c r="C705" s="76" t="s">
        <v>15</v>
      </c>
      <c r="D705" s="40">
        <v>2</v>
      </c>
      <c r="E705" s="120">
        <v>1787.46</v>
      </c>
      <c r="F705" s="78">
        <f>ROUND(D705*E705,2)</f>
        <v>3574.92</v>
      </c>
    </row>
    <row r="706" spans="1:6" x14ac:dyDescent="0.25">
      <c r="B706" s="38"/>
    </row>
    <row r="707" spans="1:6" ht="77.400000000000006" customHeight="1" x14ac:dyDescent="0.25">
      <c r="A707" s="39" t="s">
        <v>3161</v>
      </c>
      <c r="B707" s="37" t="s">
        <v>3240</v>
      </c>
    </row>
    <row r="708" spans="1:6" x14ac:dyDescent="0.25">
      <c r="B708" s="100" t="s">
        <v>3153</v>
      </c>
      <c r="C708" s="76" t="s">
        <v>15</v>
      </c>
      <c r="D708" s="40">
        <v>3</v>
      </c>
      <c r="E708" s="120">
        <v>297.70999999999998</v>
      </c>
      <c r="F708" s="78">
        <f>ROUND(D708*E708,2)</f>
        <v>893.13</v>
      </c>
    </row>
    <row r="709" spans="1:6" x14ac:dyDescent="0.25">
      <c r="B709" s="38"/>
    </row>
    <row r="710" spans="1:6" ht="102" customHeight="1" x14ac:dyDescent="0.25">
      <c r="A710" s="39" t="s">
        <v>3162</v>
      </c>
      <c r="B710" s="37" t="s">
        <v>3364</v>
      </c>
    </row>
    <row r="711" spans="1:6" x14ac:dyDescent="0.25">
      <c r="B711" s="100" t="s">
        <v>3154</v>
      </c>
      <c r="C711" s="76" t="s">
        <v>15</v>
      </c>
      <c r="D711" s="40">
        <v>1</v>
      </c>
      <c r="E711" s="120">
        <v>3239.36</v>
      </c>
      <c r="F711" s="78">
        <f>ROUND(D711*E711,2)</f>
        <v>3239.36</v>
      </c>
    </row>
    <row r="712" spans="1:6" x14ac:dyDescent="0.25">
      <c r="B712" s="38"/>
    </row>
    <row r="713" spans="1:6" ht="84" x14ac:dyDescent="0.25">
      <c r="A713" s="39" t="s">
        <v>3163</v>
      </c>
      <c r="B713" s="37" t="s">
        <v>3241</v>
      </c>
    </row>
    <row r="714" spans="1:6" x14ac:dyDescent="0.25">
      <c r="B714" s="100" t="s">
        <v>3155</v>
      </c>
      <c r="C714" s="76" t="s">
        <v>15</v>
      </c>
      <c r="D714" s="40">
        <v>3</v>
      </c>
      <c r="E714" s="120">
        <v>4884.43</v>
      </c>
      <c r="F714" s="78">
        <f>ROUND(D714*E714,2)</f>
        <v>14653.29</v>
      </c>
    </row>
    <row r="715" spans="1:6" x14ac:dyDescent="0.25">
      <c r="B715" s="38"/>
    </row>
    <row r="716" spans="1:6" x14ac:dyDescent="0.25">
      <c r="A716" s="106" t="s">
        <v>3312</v>
      </c>
      <c r="B716" s="37" t="s">
        <v>118</v>
      </c>
    </row>
    <row r="717" spans="1:6" x14ac:dyDescent="0.25">
      <c r="B717" s="75" t="s">
        <v>119</v>
      </c>
      <c r="C717" s="76" t="s">
        <v>13</v>
      </c>
      <c r="D717" s="40">
        <v>200</v>
      </c>
      <c r="E717" s="77">
        <v>20</v>
      </c>
      <c r="F717" s="78">
        <f>ROUND(D717*E717,2)</f>
        <v>4000</v>
      </c>
    </row>
    <row r="718" spans="1:6" x14ac:dyDescent="0.25">
      <c r="B718" s="75" t="s">
        <v>120</v>
      </c>
      <c r="C718" s="76" t="s">
        <v>13</v>
      </c>
      <c r="D718" s="40">
        <v>100</v>
      </c>
      <c r="E718" s="77">
        <v>10</v>
      </c>
      <c r="F718" s="78">
        <f>ROUND(D718*E718,2)</f>
        <v>1000</v>
      </c>
    </row>
    <row r="720" spans="1:6" ht="24" x14ac:dyDescent="0.25">
      <c r="A720" s="106" t="s">
        <v>3344</v>
      </c>
      <c r="B720" s="37" t="s">
        <v>121</v>
      </c>
      <c r="C720" s="76" t="s">
        <v>15</v>
      </c>
      <c r="D720" s="40">
        <v>8</v>
      </c>
      <c r="E720" s="77">
        <v>81.5</v>
      </c>
      <c r="F720" s="78">
        <f>ROUND(D720*E720,2)</f>
        <v>652</v>
      </c>
    </row>
    <row r="721" spans="1:6" x14ac:dyDescent="0.25">
      <c r="B721" s="75"/>
      <c r="C721" s="38"/>
    </row>
    <row r="722" spans="1:6" ht="24" x14ac:dyDescent="0.25">
      <c r="A722" s="106" t="s">
        <v>3345</v>
      </c>
      <c r="B722" s="37" t="s">
        <v>122</v>
      </c>
      <c r="C722" s="76" t="s">
        <v>15</v>
      </c>
      <c r="D722" s="40">
        <v>20</v>
      </c>
      <c r="E722" s="77">
        <v>52</v>
      </c>
      <c r="F722" s="78">
        <f>ROUND(D722*E722,2)</f>
        <v>1040</v>
      </c>
    </row>
    <row r="724" spans="1:6" x14ac:dyDescent="0.25">
      <c r="A724" s="91" t="s">
        <v>1689</v>
      </c>
      <c r="B724" s="92" t="s">
        <v>123</v>
      </c>
      <c r="C724" s="91"/>
      <c r="D724" s="91"/>
      <c r="E724" s="122"/>
      <c r="F724" s="96">
        <f>SUM(F648:F722)</f>
        <v>128162.12</v>
      </c>
    </row>
    <row r="727" spans="1:6" x14ac:dyDescent="0.25">
      <c r="A727" s="91" t="s">
        <v>1698</v>
      </c>
      <c r="B727" s="92" t="s">
        <v>124</v>
      </c>
      <c r="C727" s="91"/>
      <c r="D727" s="91"/>
      <c r="E727" s="122"/>
      <c r="F727" s="91"/>
    </row>
    <row r="729" spans="1:6" x14ac:dyDescent="0.25">
      <c r="A729" s="91"/>
      <c r="B729" s="92" t="s">
        <v>0</v>
      </c>
      <c r="C729" s="97"/>
      <c r="D729" s="91"/>
      <c r="E729" s="122"/>
      <c r="F729" s="91"/>
    </row>
    <row r="731" spans="1:6" ht="248.4" customHeight="1" x14ac:dyDescent="0.25">
      <c r="B731" s="37" t="s">
        <v>3313</v>
      </c>
    </row>
    <row r="732" spans="1:6" ht="174.6" customHeight="1" x14ac:dyDescent="0.25">
      <c r="B732" s="37" t="s">
        <v>3245</v>
      </c>
    </row>
    <row r="733" spans="1:6" ht="30" customHeight="1" x14ac:dyDescent="0.25">
      <c r="B733" s="82" t="s">
        <v>3036</v>
      </c>
    </row>
    <row r="736" spans="1:6" ht="48" x14ac:dyDescent="0.25">
      <c r="A736" s="39" t="s">
        <v>1699</v>
      </c>
      <c r="B736" s="37" t="s">
        <v>2790</v>
      </c>
    </row>
    <row r="737" spans="1:6" x14ac:dyDescent="0.25">
      <c r="B737" s="100" t="s">
        <v>125</v>
      </c>
      <c r="C737" s="76" t="s">
        <v>38</v>
      </c>
      <c r="D737" s="40">
        <v>60</v>
      </c>
      <c r="E737" s="77">
        <v>250</v>
      </c>
      <c r="F737" s="78">
        <f>ROUND(D737*E737,2)</f>
        <v>15000</v>
      </c>
    </row>
    <row r="739" spans="1:6" ht="160.5" customHeight="1" x14ac:dyDescent="0.25">
      <c r="A739" s="106" t="s">
        <v>1700</v>
      </c>
      <c r="B739" s="37" t="s">
        <v>3070</v>
      </c>
    </row>
    <row r="740" spans="1:6" x14ac:dyDescent="0.25">
      <c r="B740" s="100" t="s">
        <v>3246</v>
      </c>
      <c r="C740" s="76" t="s">
        <v>15</v>
      </c>
      <c r="D740" s="40">
        <v>1</v>
      </c>
      <c r="E740" s="77">
        <v>2100</v>
      </c>
      <c r="F740" s="78">
        <f>ROUND(D740*E740,2)</f>
        <v>2100</v>
      </c>
    </row>
    <row r="742" spans="1:6" x14ac:dyDescent="0.25">
      <c r="A742" s="106" t="s">
        <v>1701</v>
      </c>
      <c r="B742" s="74" t="s">
        <v>2789</v>
      </c>
    </row>
    <row r="743" spans="1:6" x14ac:dyDescent="0.25">
      <c r="B743" s="100" t="s">
        <v>3247</v>
      </c>
      <c r="C743" s="76" t="s">
        <v>15</v>
      </c>
      <c r="D743" s="40">
        <v>1</v>
      </c>
      <c r="E743" s="77">
        <v>1800</v>
      </c>
      <c r="F743" s="78">
        <f>ROUND(D743*E743,2)</f>
        <v>1800</v>
      </c>
    </row>
    <row r="745" spans="1:6" ht="24" x14ac:dyDescent="0.25">
      <c r="A745" s="106" t="s">
        <v>1702</v>
      </c>
      <c r="B745" s="75" t="s">
        <v>2791</v>
      </c>
      <c r="D745" s="40"/>
      <c r="E745" s="77"/>
      <c r="F745" s="78"/>
    </row>
    <row r="746" spans="1:6" x14ac:dyDescent="0.25">
      <c r="B746" s="100" t="s">
        <v>3248</v>
      </c>
      <c r="C746" s="76" t="s">
        <v>15</v>
      </c>
      <c r="D746" s="40">
        <v>1</v>
      </c>
      <c r="E746" s="77">
        <v>800</v>
      </c>
      <c r="F746" s="78">
        <f>ROUND(D746*E746,2)</f>
        <v>800</v>
      </c>
    </row>
    <row r="747" spans="1:6" x14ac:dyDescent="0.25">
      <c r="B747" s="100"/>
      <c r="D747" s="40"/>
      <c r="E747" s="77"/>
      <c r="F747" s="78"/>
    </row>
    <row r="748" spans="1:6" ht="36" x14ac:dyDescent="0.25">
      <c r="A748" s="39" t="s">
        <v>1703</v>
      </c>
      <c r="B748" s="75" t="s">
        <v>3293</v>
      </c>
      <c r="D748" s="40"/>
      <c r="E748" s="77"/>
      <c r="F748" s="78"/>
    </row>
    <row r="749" spans="1:6" ht="36" x14ac:dyDescent="0.25">
      <c r="B749" s="75" t="s">
        <v>3294</v>
      </c>
      <c r="D749" s="40"/>
      <c r="E749" s="77"/>
      <c r="F749" s="78"/>
    </row>
    <row r="750" spans="1:6" x14ac:dyDescent="0.25">
      <c r="B750" s="75" t="s">
        <v>3298</v>
      </c>
      <c r="D750" s="40"/>
      <c r="E750" s="77"/>
      <c r="F750" s="78"/>
    </row>
    <row r="751" spans="1:6" x14ac:dyDescent="0.25">
      <c r="B751" s="75" t="s">
        <v>3297</v>
      </c>
      <c r="C751" s="76" t="s">
        <v>15</v>
      </c>
      <c r="D751" s="40">
        <v>25</v>
      </c>
      <c r="E751" s="77">
        <v>450</v>
      </c>
      <c r="F751" s="78">
        <f t="shared" ref="F751:F753" si="6">ROUND(D751*E751,2)</f>
        <v>11250</v>
      </c>
    </row>
    <row r="752" spans="1:6" x14ac:dyDescent="0.25">
      <c r="B752" s="75" t="s">
        <v>3295</v>
      </c>
      <c r="C752" s="76" t="s">
        <v>15</v>
      </c>
      <c r="D752" s="40">
        <v>6</v>
      </c>
      <c r="E752" s="77">
        <v>400</v>
      </c>
      <c r="F752" s="78">
        <f t="shared" si="6"/>
        <v>2400</v>
      </c>
    </row>
    <row r="753" spans="1:6" x14ac:dyDescent="0.25">
      <c r="B753" s="75" t="s">
        <v>3296</v>
      </c>
      <c r="C753" s="76" t="s">
        <v>15</v>
      </c>
      <c r="D753" s="40">
        <v>4</v>
      </c>
      <c r="E753" s="77">
        <v>350</v>
      </c>
      <c r="F753" s="78">
        <f t="shared" si="6"/>
        <v>1400</v>
      </c>
    </row>
    <row r="754" spans="1:6" x14ac:dyDescent="0.25">
      <c r="B754" s="100"/>
      <c r="D754" s="40"/>
      <c r="E754" s="77"/>
      <c r="F754" s="78"/>
    </row>
    <row r="755" spans="1:6" x14ac:dyDescent="0.25">
      <c r="A755" s="91" t="s">
        <v>1698</v>
      </c>
      <c r="B755" s="92" t="s">
        <v>148</v>
      </c>
      <c r="C755" s="91"/>
      <c r="D755" s="91"/>
      <c r="E755" s="122"/>
      <c r="F755" s="96">
        <f>SUM(F736:F753)</f>
        <v>34750</v>
      </c>
    </row>
    <row r="758" spans="1:6" x14ac:dyDescent="0.25">
      <c r="A758" s="91" t="s">
        <v>1704</v>
      </c>
      <c r="B758" s="92" t="s">
        <v>126</v>
      </c>
      <c r="C758" s="91"/>
      <c r="D758" s="91"/>
      <c r="E758" s="122"/>
      <c r="F758" s="91"/>
    </row>
    <row r="760" spans="1:6" ht="127.8" customHeight="1" x14ac:dyDescent="0.25">
      <c r="A760" s="39" t="s">
        <v>1719</v>
      </c>
      <c r="B760" s="37" t="s">
        <v>3314</v>
      </c>
    </row>
    <row r="761" spans="1:6" x14ac:dyDescent="0.25">
      <c r="B761" s="100" t="s">
        <v>127</v>
      </c>
      <c r="C761" s="76" t="s">
        <v>15</v>
      </c>
      <c r="D761" s="40">
        <v>1</v>
      </c>
      <c r="E761" s="77">
        <v>1930</v>
      </c>
      <c r="F761" s="78">
        <f>ROUND(D761*E761,2)</f>
        <v>1930</v>
      </c>
    </row>
    <row r="763" spans="1:6" ht="93" customHeight="1" x14ac:dyDescent="0.25">
      <c r="A763" s="39" t="s">
        <v>1720</v>
      </c>
      <c r="B763" s="37" t="s">
        <v>3365</v>
      </c>
    </row>
    <row r="764" spans="1:6" x14ac:dyDescent="0.25">
      <c r="B764" s="100" t="s">
        <v>128</v>
      </c>
      <c r="C764" s="76" t="s">
        <v>15</v>
      </c>
      <c r="D764" s="40">
        <v>1</v>
      </c>
      <c r="E764" s="77">
        <v>2520</v>
      </c>
      <c r="F764" s="78">
        <f>ROUND(D764*E764,2)</f>
        <v>2520</v>
      </c>
    </row>
    <row r="766" spans="1:6" x14ac:dyDescent="0.25">
      <c r="A766" s="91" t="s">
        <v>1704</v>
      </c>
      <c r="B766" s="92" t="s">
        <v>129</v>
      </c>
      <c r="C766" s="91"/>
      <c r="D766" s="91"/>
      <c r="E766" s="122"/>
      <c r="F766" s="96">
        <f>SUM(F760:F764)</f>
        <v>4450</v>
      </c>
    </row>
    <row r="769" spans="1:6" x14ac:dyDescent="0.25">
      <c r="A769" s="91" t="s">
        <v>1705</v>
      </c>
      <c r="B769" s="92" t="s">
        <v>130</v>
      </c>
      <c r="C769" s="91"/>
      <c r="D769" s="91"/>
      <c r="E769" s="122"/>
      <c r="F769" s="91"/>
    </row>
    <row r="771" spans="1:6" ht="162" customHeight="1" x14ac:dyDescent="0.25">
      <c r="A771" s="39" t="s">
        <v>1721</v>
      </c>
      <c r="B771" s="37" t="s">
        <v>2801</v>
      </c>
    </row>
    <row r="772" spans="1:6" ht="12" customHeight="1" x14ac:dyDescent="0.25">
      <c r="A772" s="39"/>
      <c r="B772" s="37" t="s">
        <v>2797</v>
      </c>
      <c r="C772" s="76" t="s">
        <v>15</v>
      </c>
      <c r="D772" s="40">
        <v>1</v>
      </c>
      <c r="E772" s="77">
        <v>780</v>
      </c>
      <c r="F772" s="78">
        <f>ROUND(D772*E772,2)</f>
        <v>780</v>
      </c>
    </row>
    <row r="773" spans="1:6" x14ac:dyDescent="0.25">
      <c r="B773" s="37" t="s">
        <v>2798</v>
      </c>
      <c r="C773" s="76" t="s">
        <v>15</v>
      </c>
      <c r="D773" s="40">
        <v>3</v>
      </c>
      <c r="E773" s="77">
        <v>780</v>
      </c>
      <c r="F773" s="78">
        <f>ROUND(D773*E773,2)</f>
        <v>2340</v>
      </c>
    </row>
    <row r="774" spans="1:6" x14ac:dyDescent="0.25">
      <c r="B774" s="100" t="s">
        <v>131</v>
      </c>
      <c r="C774" s="38"/>
    </row>
    <row r="776" spans="1:6" ht="162.75" customHeight="1" x14ac:dyDescent="0.25">
      <c r="A776" s="39" t="s">
        <v>1722</v>
      </c>
      <c r="B776" s="37" t="s">
        <v>3054</v>
      </c>
    </row>
    <row r="777" spans="1:6" x14ac:dyDescent="0.25">
      <c r="B777" s="37" t="s">
        <v>2798</v>
      </c>
      <c r="C777" s="76" t="s">
        <v>15</v>
      </c>
      <c r="D777" s="40">
        <v>1</v>
      </c>
      <c r="E777" s="77">
        <v>780</v>
      </c>
      <c r="F777" s="78">
        <f>ROUND(D777*E777,2)</f>
        <v>780</v>
      </c>
    </row>
    <row r="778" spans="1:6" x14ac:dyDescent="0.25">
      <c r="B778" s="100" t="s">
        <v>132</v>
      </c>
      <c r="D778" s="40"/>
      <c r="E778" s="77"/>
      <c r="F778" s="78"/>
    </row>
    <row r="779" spans="1:6" x14ac:dyDescent="0.25">
      <c r="B779" s="100"/>
      <c r="D779" s="40"/>
      <c r="E779" s="77"/>
      <c r="F779" s="78"/>
    </row>
    <row r="780" spans="1:6" ht="171.75" customHeight="1" x14ac:dyDescent="0.25">
      <c r="A780" s="39" t="s">
        <v>1723</v>
      </c>
      <c r="B780" s="37" t="s">
        <v>2817</v>
      </c>
    </row>
    <row r="781" spans="1:6" x14ac:dyDescent="0.25">
      <c r="B781" s="37" t="s">
        <v>2798</v>
      </c>
      <c r="C781" s="76" t="s">
        <v>15</v>
      </c>
      <c r="D781" s="40">
        <v>1</v>
      </c>
      <c r="E781" s="77">
        <v>780</v>
      </c>
      <c r="F781" s="78">
        <f>ROUND(D781*E781,2)</f>
        <v>780</v>
      </c>
    </row>
    <row r="782" spans="1:6" x14ac:dyDescent="0.25">
      <c r="B782" s="100" t="s">
        <v>133</v>
      </c>
      <c r="D782" s="40"/>
      <c r="E782" s="77"/>
      <c r="F782" s="78"/>
    </row>
    <row r="784" spans="1:6" ht="101.25" customHeight="1" x14ac:dyDescent="0.25">
      <c r="A784" s="39" t="s">
        <v>1724</v>
      </c>
      <c r="B784" s="37" t="s">
        <v>2819</v>
      </c>
    </row>
    <row r="785" spans="1:6" x14ac:dyDescent="0.25">
      <c r="B785" s="37" t="s">
        <v>2797</v>
      </c>
      <c r="C785" s="76" t="s">
        <v>15</v>
      </c>
      <c r="D785" s="40">
        <v>1</v>
      </c>
      <c r="E785" s="77">
        <v>950</v>
      </c>
      <c r="F785" s="78">
        <f>ROUND(D785*E785,2)</f>
        <v>950</v>
      </c>
    </row>
    <row r="786" spans="1:6" x14ac:dyDescent="0.25">
      <c r="B786" s="100" t="s">
        <v>2818</v>
      </c>
      <c r="D786" s="40"/>
      <c r="E786" s="77"/>
      <c r="F786" s="78"/>
    </row>
    <row r="788" spans="1:6" ht="147.75" customHeight="1" x14ac:dyDescent="0.25">
      <c r="A788" s="39" t="s">
        <v>1725</v>
      </c>
      <c r="B788" s="37" t="s">
        <v>3055</v>
      </c>
    </row>
    <row r="789" spans="1:6" x14ac:dyDescent="0.25">
      <c r="B789" s="37" t="s">
        <v>2797</v>
      </c>
      <c r="C789" s="76" t="s">
        <v>15</v>
      </c>
      <c r="D789" s="40">
        <v>3</v>
      </c>
      <c r="E789" s="77">
        <v>780</v>
      </c>
      <c r="F789" s="78">
        <f>ROUND(D789*E789,2)</f>
        <v>2340</v>
      </c>
    </row>
    <row r="790" spans="1:6" x14ac:dyDescent="0.25">
      <c r="B790" s="37" t="s">
        <v>2798</v>
      </c>
      <c r="C790" s="76" t="s">
        <v>15</v>
      </c>
      <c r="D790" s="40">
        <v>1</v>
      </c>
      <c r="E790" s="77">
        <v>780</v>
      </c>
      <c r="F790" s="78">
        <f>ROUND(D790*E790,2)</f>
        <v>780</v>
      </c>
    </row>
    <row r="791" spans="1:6" x14ac:dyDescent="0.25">
      <c r="B791" s="100" t="s">
        <v>134</v>
      </c>
      <c r="C791" s="38"/>
    </row>
    <row r="793" spans="1:6" ht="36" x14ac:dyDescent="0.25">
      <c r="A793" s="39" t="s">
        <v>1726</v>
      </c>
      <c r="B793" s="37" t="s">
        <v>3056</v>
      </c>
    </row>
    <row r="794" spans="1:6" x14ac:dyDescent="0.25">
      <c r="A794" s="39"/>
      <c r="B794" s="37" t="s">
        <v>2797</v>
      </c>
      <c r="C794" s="76" t="s">
        <v>15</v>
      </c>
      <c r="D794" s="40">
        <v>1</v>
      </c>
      <c r="E794" s="77">
        <v>780</v>
      </c>
      <c r="F794" s="78">
        <f>ROUND(D794*E794,2)</f>
        <v>780</v>
      </c>
    </row>
    <row r="795" spans="1:6" x14ac:dyDescent="0.25">
      <c r="B795" s="37" t="s">
        <v>2798</v>
      </c>
      <c r="C795" s="76" t="s">
        <v>15</v>
      </c>
      <c r="D795" s="40">
        <v>1</v>
      </c>
      <c r="E795" s="77">
        <v>780</v>
      </c>
      <c r="F795" s="78">
        <f>ROUND(D795*E795,2)</f>
        <v>780</v>
      </c>
    </row>
    <row r="796" spans="1:6" x14ac:dyDescent="0.25">
      <c r="B796" s="100" t="s">
        <v>2799</v>
      </c>
      <c r="C796" s="38"/>
    </row>
    <row r="798" spans="1:6" ht="36" x14ac:dyDescent="0.25">
      <c r="A798" s="39" t="s">
        <v>1727</v>
      </c>
      <c r="B798" s="37" t="s">
        <v>3057</v>
      </c>
    </row>
    <row r="799" spans="1:6" x14ac:dyDescent="0.25">
      <c r="B799" s="37" t="s">
        <v>2798</v>
      </c>
      <c r="C799" s="76" t="s">
        <v>15</v>
      </c>
      <c r="D799" s="40">
        <v>1</v>
      </c>
      <c r="E799" s="77">
        <v>780</v>
      </c>
      <c r="F799" s="78">
        <f>ROUND(D799*E799,2)</f>
        <v>780</v>
      </c>
    </row>
    <row r="800" spans="1:6" x14ac:dyDescent="0.25">
      <c r="B800" s="100" t="s">
        <v>2800</v>
      </c>
      <c r="C800" s="38"/>
    </row>
    <row r="802" spans="1:6" ht="150" customHeight="1" x14ac:dyDescent="0.25">
      <c r="A802" s="39" t="s">
        <v>1728</v>
      </c>
      <c r="B802" s="37" t="s">
        <v>2803</v>
      </c>
    </row>
    <row r="803" spans="1:6" x14ac:dyDescent="0.25">
      <c r="B803" s="37" t="s">
        <v>2798</v>
      </c>
      <c r="C803" s="76" t="s">
        <v>15</v>
      </c>
      <c r="D803" s="40">
        <v>3</v>
      </c>
      <c r="E803" s="77">
        <v>780</v>
      </c>
      <c r="F803" s="78">
        <f>ROUND(D803*E803,2)</f>
        <v>2340</v>
      </c>
    </row>
    <row r="804" spans="1:6" x14ac:dyDescent="0.25">
      <c r="B804" s="100" t="s">
        <v>2802</v>
      </c>
      <c r="C804" s="38"/>
    </row>
    <row r="806" spans="1:6" ht="87" customHeight="1" x14ac:dyDescent="0.25">
      <c r="A806" s="39" t="s">
        <v>1729</v>
      </c>
      <c r="B806" s="37" t="s">
        <v>3366</v>
      </c>
    </row>
    <row r="807" spans="1:6" x14ac:dyDescent="0.25">
      <c r="B807" s="75" t="s">
        <v>136</v>
      </c>
      <c r="C807" s="76" t="s">
        <v>15</v>
      </c>
      <c r="D807" s="40">
        <v>2</v>
      </c>
      <c r="E807" s="77">
        <v>400</v>
      </c>
      <c r="F807" s="78">
        <f>ROUND(D807*E807,2)</f>
        <v>800</v>
      </c>
    </row>
    <row r="808" spans="1:6" x14ac:dyDescent="0.25">
      <c r="B808" s="75" t="s">
        <v>137</v>
      </c>
      <c r="C808" s="76" t="s">
        <v>15</v>
      </c>
      <c r="D808" s="40">
        <v>2</v>
      </c>
      <c r="E808" s="77">
        <v>600</v>
      </c>
      <c r="F808" s="78">
        <f>ROUND(D808*E808,2)</f>
        <v>1200</v>
      </c>
    </row>
    <row r="810" spans="1:6" ht="86.25" customHeight="1" x14ac:dyDescent="0.25">
      <c r="A810" s="39" t="s">
        <v>1730</v>
      </c>
      <c r="B810" s="37" t="s">
        <v>3367</v>
      </c>
    </row>
    <row r="811" spans="1:6" x14ac:dyDescent="0.25">
      <c r="B811" s="75" t="s">
        <v>138</v>
      </c>
      <c r="C811" s="76" t="s">
        <v>15</v>
      </c>
      <c r="D811" s="40">
        <v>3</v>
      </c>
      <c r="E811" s="77">
        <v>400</v>
      </c>
      <c r="F811" s="78">
        <f>ROUND(D811*E811,2)</f>
        <v>1200</v>
      </c>
    </row>
    <row r="812" spans="1:6" x14ac:dyDescent="0.25">
      <c r="B812" s="75" t="s">
        <v>139</v>
      </c>
      <c r="C812" s="76" t="s">
        <v>15</v>
      </c>
      <c r="D812" s="40">
        <v>2</v>
      </c>
      <c r="E812" s="77">
        <v>570</v>
      </c>
      <c r="F812" s="78">
        <f>ROUND(D812*E812,2)</f>
        <v>1140</v>
      </c>
    </row>
    <row r="814" spans="1:6" ht="87" customHeight="1" x14ac:dyDescent="0.25">
      <c r="A814" s="39" t="s">
        <v>1731</v>
      </c>
      <c r="B814" s="37" t="s">
        <v>3368</v>
      </c>
    </row>
    <row r="815" spans="1:6" x14ac:dyDescent="0.25">
      <c r="B815" s="75" t="s">
        <v>140</v>
      </c>
      <c r="C815" s="76" t="s">
        <v>15</v>
      </c>
      <c r="D815" s="40">
        <v>2</v>
      </c>
      <c r="E815" s="77">
        <v>800</v>
      </c>
      <c r="F815" s="78">
        <f>ROUND(D815*E815,2)</f>
        <v>1600</v>
      </c>
    </row>
    <row r="816" spans="1:6" x14ac:dyDescent="0.25">
      <c r="B816" s="75" t="s">
        <v>141</v>
      </c>
      <c r="C816" s="76" t="s">
        <v>15</v>
      </c>
      <c r="D816" s="40">
        <v>2</v>
      </c>
      <c r="E816" s="77">
        <v>400</v>
      </c>
      <c r="F816" s="78">
        <f>ROUND(D816*E816,2)</f>
        <v>800</v>
      </c>
    </row>
    <row r="818" spans="1:6" ht="78" customHeight="1" x14ac:dyDescent="0.25">
      <c r="A818" s="39" t="s">
        <v>1732</v>
      </c>
      <c r="B818" s="37" t="s">
        <v>3369</v>
      </c>
    </row>
    <row r="819" spans="1:6" x14ac:dyDescent="0.25">
      <c r="B819" s="75" t="s">
        <v>142</v>
      </c>
      <c r="C819" s="76" t="s">
        <v>15</v>
      </c>
      <c r="D819" s="40">
        <v>1</v>
      </c>
      <c r="E819" s="77">
        <v>265</v>
      </c>
      <c r="F819" s="78">
        <f>ROUND(D819*E819,2)</f>
        <v>265</v>
      </c>
    </row>
    <row r="821" spans="1:6" ht="51.75" customHeight="1" x14ac:dyDescent="0.25">
      <c r="A821" s="39" t="s">
        <v>1733</v>
      </c>
      <c r="B821" s="37" t="s">
        <v>2633</v>
      </c>
      <c r="C821" s="76" t="s">
        <v>38</v>
      </c>
      <c r="D821" s="40">
        <v>140</v>
      </c>
      <c r="E821" s="77">
        <v>100</v>
      </c>
      <c r="F821" s="78">
        <f>ROUND(D821*E821,2)</f>
        <v>14000</v>
      </c>
    </row>
    <row r="822" spans="1:6" x14ac:dyDescent="0.25">
      <c r="B822" s="75"/>
      <c r="C822" s="38"/>
    </row>
    <row r="823" spans="1:6" ht="57" customHeight="1" x14ac:dyDescent="0.25">
      <c r="A823" s="39" t="s">
        <v>1734</v>
      </c>
      <c r="B823" s="37" t="s">
        <v>3370</v>
      </c>
      <c r="C823" s="76" t="s">
        <v>38</v>
      </c>
      <c r="D823" s="40">
        <v>55</v>
      </c>
      <c r="E823" s="77">
        <v>100</v>
      </c>
      <c r="F823" s="78">
        <f>ROUND(D823*E823,2)</f>
        <v>5500</v>
      </c>
    </row>
    <row r="824" spans="1:6" x14ac:dyDescent="0.25">
      <c r="B824" s="75"/>
      <c r="C824" s="38"/>
    </row>
    <row r="825" spans="1:6" ht="48" x14ac:dyDescent="0.25">
      <c r="A825" s="39" t="s">
        <v>1735</v>
      </c>
      <c r="B825" s="37" t="s">
        <v>3371</v>
      </c>
    </row>
    <row r="826" spans="1:6" ht="19.2" customHeight="1" x14ac:dyDescent="0.25">
      <c r="B826" s="37" t="s">
        <v>3315</v>
      </c>
      <c r="C826" s="76" t="s">
        <v>38</v>
      </c>
      <c r="D826" s="40">
        <v>150</v>
      </c>
      <c r="E826" s="77">
        <v>100</v>
      </c>
      <c r="F826" s="78">
        <f>ROUND(D826*E826,2)</f>
        <v>15000</v>
      </c>
    </row>
    <row r="828" spans="1:6" ht="53.4" customHeight="1" x14ac:dyDescent="0.25">
      <c r="A828" s="39" t="s">
        <v>1736</v>
      </c>
      <c r="B828" s="37" t="s">
        <v>3372</v>
      </c>
    </row>
    <row r="829" spans="1:6" ht="20.399999999999999" customHeight="1" x14ac:dyDescent="0.25">
      <c r="B829" s="37" t="s">
        <v>3315</v>
      </c>
      <c r="C829" s="76" t="s">
        <v>38</v>
      </c>
      <c r="D829" s="40">
        <v>98</v>
      </c>
      <c r="E829" s="77">
        <v>100</v>
      </c>
      <c r="F829" s="78">
        <f>ROUND(D829*E829,2)</f>
        <v>9800</v>
      </c>
    </row>
    <row r="831" spans="1:6" ht="24" x14ac:dyDescent="0.25">
      <c r="A831" s="39" t="s">
        <v>3058</v>
      </c>
      <c r="B831" s="74" t="s">
        <v>3062</v>
      </c>
    </row>
    <row r="832" spans="1:6" x14ac:dyDescent="0.25">
      <c r="B832" s="74" t="s">
        <v>3063</v>
      </c>
      <c r="D832" s="40"/>
      <c r="E832" s="77"/>
      <c r="F832" s="78"/>
    </row>
    <row r="833" spans="1:6" x14ac:dyDescent="0.25">
      <c r="B833" s="74" t="s">
        <v>3064</v>
      </c>
      <c r="C833" s="76" t="s">
        <v>15</v>
      </c>
      <c r="D833" s="40">
        <v>3</v>
      </c>
      <c r="E833" s="77">
        <v>38</v>
      </c>
      <c r="F833" s="78">
        <f t="shared" ref="F833" si="7">ROUND(D833*E833,2)</f>
        <v>114</v>
      </c>
    </row>
    <row r="834" spans="1:6" x14ac:dyDescent="0.25">
      <c r="B834" s="74" t="s">
        <v>3065</v>
      </c>
      <c r="C834" s="76" t="s">
        <v>15</v>
      </c>
      <c r="D834" s="40">
        <v>1</v>
      </c>
      <c r="E834" s="77">
        <v>60</v>
      </c>
      <c r="F834" s="78">
        <f t="shared" ref="F834:F836" si="8">ROUND(D834*E834,2)</f>
        <v>60</v>
      </c>
    </row>
    <row r="835" spans="1:6" x14ac:dyDescent="0.25">
      <c r="B835" s="74" t="s">
        <v>3066</v>
      </c>
      <c r="C835" s="76" t="s">
        <v>15</v>
      </c>
      <c r="D835" s="40">
        <v>6</v>
      </c>
      <c r="E835" s="77">
        <v>90</v>
      </c>
      <c r="F835" s="78">
        <f t="shared" si="8"/>
        <v>540</v>
      </c>
    </row>
    <row r="836" spans="1:6" x14ac:dyDescent="0.25">
      <c r="B836" s="74" t="s">
        <v>3067</v>
      </c>
      <c r="C836" s="76" t="s">
        <v>15</v>
      </c>
      <c r="D836" s="40">
        <v>2</v>
      </c>
      <c r="E836" s="77">
        <v>135</v>
      </c>
      <c r="F836" s="78">
        <f t="shared" si="8"/>
        <v>270</v>
      </c>
    </row>
    <row r="838" spans="1:6" x14ac:dyDescent="0.25">
      <c r="A838" s="91" t="s">
        <v>1705</v>
      </c>
      <c r="B838" s="92" t="s">
        <v>135</v>
      </c>
      <c r="C838" s="91"/>
      <c r="D838" s="91"/>
      <c r="E838" s="122"/>
      <c r="F838" s="96">
        <f>SUM(F771:F836)</f>
        <v>65719</v>
      </c>
    </row>
    <row r="841" spans="1:6" x14ac:dyDescent="0.25">
      <c r="A841" s="91" t="s">
        <v>1706</v>
      </c>
      <c r="B841" s="92" t="s">
        <v>1568</v>
      </c>
      <c r="C841" s="91"/>
      <c r="D841" s="91"/>
      <c r="E841" s="122"/>
      <c r="F841" s="91"/>
    </row>
    <row r="843" spans="1:6" ht="112.5" customHeight="1" x14ac:dyDescent="0.25">
      <c r="A843" s="39" t="s">
        <v>1737</v>
      </c>
      <c r="B843" s="37" t="s">
        <v>2805</v>
      </c>
    </row>
    <row r="844" spans="1:6" x14ac:dyDescent="0.25">
      <c r="B844" s="37" t="s">
        <v>2797</v>
      </c>
      <c r="C844" s="76" t="s">
        <v>15</v>
      </c>
      <c r="D844" s="40">
        <v>1</v>
      </c>
      <c r="E844" s="77">
        <v>1360</v>
      </c>
      <c r="F844" s="78">
        <f>ROUND(D844*E844,2)</f>
        <v>1360</v>
      </c>
    </row>
    <row r="845" spans="1:6" x14ac:dyDescent="0.25">
      <c r="B845" s="37" t="s">
        <v>2798</v>
      </c>
      <c r="C845" s="76" t="s">
        <v>15</v>
      </c>
      <c r="D845" s="40">
        <v>1</v>
      </c>
      <c r="E845" s="77">
        <v>1360</v>
      </c>
      <c r="F845" s="78">
        <f>ROUND(D845*E845,2)</f>
        <v>1360</v>
      </c>
    </row>
    <row r="846" spans="1:6" x14ac:dyDescent="0.25">
      <c r="B846" s="100" t="s">
        <v>143</v>
      </c>
      <c r="D846" s="40"/>
      <c r="E846" s="77"/>
      <c r="F846" s="78"/>
    </row>
    <row r="848" spans="1:6" ht="111" customHeight="1" x14ac:dyDescent="0.25">
      <c r="A848" s="39" t="s">
        <v>1738</v>
      </c>
      <c r="B848" s="37" t="s">
        <v>2804</v>
      </c>
    </row>
    <row r="849" spans="1:6" x14ac:dyDescent="0.25">
      <c r="B849" s="37" t="s">
        <v>2798</v>
      </c>
      <c r="C849" s="76" t="s">
        <v>15</v>
      </c>
      <c r="D849" s="40">
        <v>1</v>
      </c>
      <c r="E849" s="77">
        <v>1375</v>
      </c>
      <c r="F849" s="78">
        <f>ROUND(D849*E849,2)</f>
        <v>1375</v>
      </c>
    </row>
    <row r="850" spans="1:6" x14ac:dyDescent="0.25">
      <c r="B850" s="100" t="s">
        <v>144</v>
      </c>
      <c r="D850" s="40"/>
      <c r="E850" s="77"/>
      <c r="F850" s="78"/>
    </row>
    <row r="852" spans="1:6" ht="112.5" customHeight="1" x14ac:dyDescent="0.25">
      <c r="A852" s="39" t="s">
        <v>1739</v>
      </c>
      <c r="B852" s="37" t="s">
        <v>2806</v>
      </c>
    </row>
    <row r="853" spans="1:6" x14ac:dyDescent="0.25">
      <c r="B853" s="37" t="s">
        <v>2798</v>
      </c>
      <c r="C853" s="76" t="s">
        <v>15</v>
      </c>
      <c r="D853" s="40">
        <v>1</v>
      </c>
      <c r="E853" s="77">
        <v>2890</v>
      </c>
      <c r="F853" s="78">
        <f>ROUND(D853*E853,2)</f>
        <v>2890</v>
      </c>
    </row>
    <row r="854" spans="1:6" x14ac:dyDescent="0.25">
      <c r="B854" s="100" t="s">
        <v>145</v>
      </c>
      <c r="D854" s="40"/>
      <c r="E854" s="77"/>
      <c r="F854" s="78"/>
    </row>
    <row r="856" spans="1:6" ht="99.75" customHeight="1" x14ac:dyDescent="0.25">
      <c r="A856" s="39" t="s">
        <v>1740</v>
      </c>
      <c r="B856" s="37" t="s">
        <v>2807</v>
      </c>
    </row>
    <row r="857" spans="1:6" x14ac:dyDescent="0.25">
      <c r="B857" s="38" t="s">
        <v>2808</v>
      </c>
      <c r="C857" s="76" t="s">
        <v>15</v>
      </c>
      <c r="D857" s="40">
        <v>1</v>
      </c>
      <c r="E857" s="77">
        <v>1060</v>
      </c>
      <c r="F857" s="78">
        <f>ROUND(D857*E857,2)</f>
        <v>1060</v>
      </c>
    </row>
    <row r="858" spans="1:6" x14ac:dyDescent="0.25">
      <c r="B858" s="100" t="s">
        <v>146</v>
      </c>
      <c r="D858" s="40"/>
      <c r="E858" s="77"/>
      <c r="F858" s="78"/>
    </row>
    <row r="860" spans="1:6" ht="97.5" customHeight="1" x14ac:dyDescent="0.25">
      <c r="A860" s="39" t="s">
        <v>1741</v>
      </c>
      <c r="B860" s="37" t="s">
        <v>2809</v>
      </c>
    </row>
    <row r="861" spans="1:6" x14ac:dyDescent="0.25">
      <c r="B861" s="38" t="s">
        <v>2808</v>
      </c>
      <c r="C861" s="76" t="s">
        <v>15</v>
      </c>
      <c r="D861" s="40">
        <v>1</v>
      </c>
      <c r="E861" s="77">
        <v>1518</v>
      </c>
      <c r="F861" s="78">
        <f>ROUND(D861*E861,2)</f>
        <v>1518</v>
      </c>
    </row>
    <row r="862" spans="1:6" x14ac:dyDescent="0.25">
      <c r="B862" s="100" t="s">
        <v>147</v>
      </c>
      <c r="D862" s="40"/>
      <c r="E862" s="77"/>
      <c r="F862" s="78"/>
    </row>
    <row r="864" spans="1:6" x14ac:dyDescent="0.25">
      <c r="A864" s="91" t="s">
        <v>1706</v>
      </c>
      <c r="B864" s="92" t="s">
        <v>1569</v>
      </c>
      <c r="C864" s="91"/>
      <c r="D864" s="91"/>
      <c r="E864" s="122"/>
      <c r="F864" s="96">
        <f>SUM(F843:F861)</f>
        <v>9563</v>
      </c>
    </row>
    <row r="867" spans="1:6" x14ac:dyDescent="0.25">
      <c r="A867" s="91" t="s">
        <v>1707</v>
      </c>
      <c r="B867" s="92" t="s">
        <v>149</v>
      </c>
      <c r="C867" s="91"/>
      <c r="D867" s="91"/>
      <c r="E867" s="122"/>
      <c r="F867" s="91"/>
    </row>
    <row r="869" spans="1:6" x14ac:dyDescent="0.25">
      <c r="A869" s="91"/>
      <c r="B869" s="92" t="s">
        <v>0</v>
      </c>
      <c r="C869" s="97"/>
      <c r="D869" s="91"/>
      <c r="E869" s="122"/>
      <c r="F869" s="91"/>
    </row>
    <row r="871" spans="1:6" ht="279.75" customHeight="1" x14ac:dyDescent="0.25">
      <c r="B871" s="37" t="s">
        <v>3037</v>
      </c>
    </row>
    <row r="872" spans="1:6" x14ac:dyDescent="0.25">
      <c r="B872" s="83" t="s">
        <v>1989</v>
      </c>
    </row>
    <row r="875" spans="1:6" ht="173.4" customHeight="1" x14ac:dyDescent="0.25">
      <c r="A875" s="39" t="s">
        <v>1742</v>
      </c>
      <c r="B875" s="37" t="s">
        <v>3316</v>
      </c>
    </row>
    <row r="876" spans="1:6" x14ac:dyDescent="0.25">
      <c r="B876" s="75" t="s">
        <v>150</v>
      </c>
      <c r="C876" s="76" t="s">
        <v>56</v>
      </c>
      <c r="D876" s="40">
        <v>500</v>
      </c>
      <c r="E876" s="77">
        <v>6</v>
      </c>
      <c r="F876" s="78">
        <f>ROUND(D876*E876,2)</f>
        <v>3000</v>
      </c>
    </row>
    <row r="877" spans="1:6" x14ac:dyDescent="0.25">
      <c r="B877" s="75" t="s">
        <v>151</v>
      </c>
      <c r="C877" s="76" t="s">
        <v>38</v>
      </c>
      <c r="D877" s="40">
        <v>17.100000000000001</v>
      </c>
      <c r="E877" s="77">
        <v>250</v>
      </c>
      <c r="F877" s="78">
        <f>ROUND(D877*E877,2)</f>
        <v>4275</v>
      </c>
    </row>
    <row r="878" spans="1:6" x14ac:dyDescent="0.25">
      <c r="B878" s="75" t="s">
        <v>152</v>
      </c>
      <c r="C878" s="76" t="s">
        <v>13</v>
      </c>
      <c r="D878" s="40">
        <v>18.7</v>
      </c>
      <c r="E878" s="77">
        <v>220</v>
      </c>
      <c r="F878" s="78">
        <f>ROUND(D878*E878,2)</f>
        <v>4114</v>
      </c>
    </row>
    <row r="880" spans="1:6" ht="160.5" customHeight="1" x14ac:dyDescent="0.25">
      <c r="A880" s="39" t="s">
        <v>1743</v>
      </c>
      <c r="B880" s="37" t="s">
        <v>3373</v>
      </c>
    </row>
    <row r="881" spans="1:6" ht="103.8" customHeight="1" x14ac:dyDescent="0.25">
      <c r="B881" s="37" t="s">
        <v>3317</v>
      </c>
    </row>
    <row r="882" spans="1:6" ht="63.6" customHeight="1" x14ac:dyDescent="0.25">
      <c r="B882" s="37" t="s">
        <v>3374</v>
      </c>
    </row>
    <row r="883" spans="1:6" x14ac:dyDescent="0.25">
      <c r="B883" s="75" t="s">
        <v>150</v>
      </c>
      <c r="C883" s="76" t="s">
        <v>56</v>
      </c>
      <c r="D883" s="40">
        <v>750</v>
      </c>
      <c r="E883" s="77">
        <v>6</v>
      </c>
      <c r="F883" s="78">
        <f>ROUND(D883*E883,2)</f>
        <v>4500</v>
      </c>
    </row>
    <row r="884" spans="1:6" x14ac:dyDescent="0.25">
      <c r="B884" s="75" t="s">
        <v>151</v>
      </c>
      <c r="C884" s="76" t="s">
        <v>38</v>
      </c>
      <c r="D884" s="40">
        <v>9</v>
      </c>
      <c r="E884" s="77">
        <v>250</v>
      </c>
      <c r="F884" s="78">
        <f>ROUND(D884*E884,2)</f>
        <v>2250</v>
      </c>
    </row>
    <row r="885" spans="1:6" x14ac:dyDescent="0.25">
      <c r="B885" s="75" t="s">
        <v>152</v>
      </c>
      <c r="C885" s="76" t="s">
        <v>13</v>
      </c>
      <c r="D885" s="40">
        <v>9</v>
      </c>
      <c r="E885" s="77">
        <v>220</v>
      </c>
      <c r="F885" s="78">
        <f>ROUND(D885*E885,2)</f>
        <v>1980</v>
      </c>
    </row>
    <row r="887" spans="1:6" ht="75.75" customHeight="1" x14ac:dyDescent="0.25">
      <c r="A887" s="39" t="s">
        <v>1744</v>
      </c>
      <c r="B887" s="37" t="s">
        <v>3318</v>
      </c>
      <c r="C887" s="76" t="s">
        <v>13</v>
      </c>
      <c r="D887" s="40">
        <v>13</v>
      </c>
      <c r="E887" s="77">
        <v>190</v>
      </c>
      <c r="F887" s="78">
        <f>ROUND(D887*E887,2)</f>
        <v>2470</v>
      </c>
    </row>
    <row r="888" spans="1:6" x14ac:dyDescent="0.25">
      <c r="B888" s="100" t="s">
        <v>2810</v>
      </c>
      <c r="C888" s="38"/>
    </row>
    <row r="889" spans="1:6" x14ac:dyDescent="0.25">
      <c r="B889" s="75"/>
      <c r="C889" s="38"/>
    </row>
    <row r="890" spans="1:6" ht="87.75" customHeight="1" x14ac:dyDescent="0.25">
      <c r="A890" s="39" t="s">
        <v>1745</v>
      </c>
      <c r="B890" s="37" t="s">
        <v>3319</v>
      </c>
    </row>
    <row r="891" spans="1:6" ht="24" x14ac:dyDescent="0.25">
      <c r="B891" s="75" t="s">
        <v>3375</v>
      </c>
      <c r="C891" s="76" t="s">
        <v>15</v>
      </c>
      <c r="D891" s="40">
        <v>1</v>
      </c>
      <c r="E891" s="77">
        <v>4400</v>
      </c>
      <c r="F891" s="78">
        <f>ROUND(D891*E891,2)</f>
        <v>4400</v>
      </c>
    </row>
    <row r="892" spans="1:6" ht="24" x14ac:dyDescent="0.25">
      <c r="B892" s="75" t="s">
        <v>3376</v>
      </c>
      <c r="C892" s="76" t="s">
        <v>15</v>
      </c>
      <c r="D892" s="40">
        <v>1</v>
      </c>
      <c r="E892" s="77">
        <v>3200</v>
      </c>
      <c r="F892" s="78">
        <f>ROUND(D892*E892,2)</f>
        <v>3200</v>
      </c>
    </row>
    <row r="893" spans="1:6" ht="24" x14ac:dyDescent="0.25">
      <c r="B893" s="75" t="s">
        <v>3377</v>
      </c>
      <c r="C893" s="76" t="s">
        <v>15</v>
      </c>
      <c r="D893" s="40">
        <v>1</v>
      </c>
      <c r="E893" s="77">
        <v>2600</v>
      </c>
      <c r="F893" s="78">
        <f>ROUND(D893*E893,2)</f>
        <v>2600</v>
      </c>
    </row>
    <row r="895" spans="1:6" ht="72.75" customHeight="1" x14ac:dyDescent="0.25">
      <c r="A895" s="39" t="s">
        <v>1746</v>
      </c>
      <c r="B895" s="37" t="s">
        <v>3320</v>
      </c>
    </row>
    <row r="896" spans="1:6" x14ac:dyDescent="0.25">
      <c r="B896" s="100" t="s">
        <v>2811</v>
      </c>
      <c r="C896" s="76" t="s">
        <v>13</v>
      </c>
      <c r="D896" s="40">
        <v>14</v>
      </c>
      <c r="E896" s="77">
        <v>220</v>
      </c>
      <c r="F896" s="78">
        <f>ROUND(D896*E896,2)</f>
        <v>3080</v>
      </c>
    </row>
    <row r="898" spans="1:6" ht="65.25" customHeight="1" x14ac:dyDescent="0.25">
      <c r="A898" s="39" t="s">
        <v>1747</v>
      </c>
      <c r="B898" s="37" t="s">
        <v>3321</v>
      </c>
    </row>
    <row r="899" spans="1:6" x14ac:dyDescent="0.25">
      <c r="B899" s="100" t="s">
        <v>2812</v>
      </c>
      <c r="C899" s="76" t="s">
        <v>13</v>
      </c>
      <c r="D899" s="40">
        <v>4.5</v>
      </c>
      <c r="E899" s="77">
        <v>80</v>
      </c>
      <c r="F899" s="78">
        <f>ROUND(D899*E899,2)</f>
        <v>360</v>
      </c>
    </row>
    <row r="901" spans="1:6" ht="52.5" customHeight="1" x14ac:dyDescent="0.25">
      <c r="A901" s="39" t="s">
        <v>1748</v>
      </c>
      <c r="B901" s="37" t="s">
        <v>3322</v>
      </c>
    </row>
    <row r="902" spans="1:6" x14ac:dyDescent="0.25">
      <c r="B902" s="100" t="s">
        <v>2813</v>
      </c>
      <c r="C902" s="76" t="s">
        <v>13</v>
      </c>
      <c r="D902" s="40">
        <v>15</v>
      </c>
      <c r="E902" s="77">
        <v>80</v>
      </c>
      <c r="F902" s="78">
        <f>ROUND(D902*E902,2)</f>
        <v>1200</v>
      </c>
    </row>
    <row r="904" spans="1:6" ht="76.8" customHeight="1" x14ac:dyDescent="0.25">
      <c r="A904" s="39" t="s">
        <v>1749</v>
      </c>
      <c r="B904" s="37" t="s">
        <v>3323</v>
      </c>
      <c r="C904" s="76" t="s">
        <v>15</v>
      </c>
      <c r="D904" s="40">
        <v>1</v>
      </c>
      <c r="E904" s="77">
        <v>120</v>
      </c>
      <c r="F904" s="78">
        <f>ROUND(D904*E904,2)</f>
        <v>120</v>
      </c>
    </row>
    <row r="905" spans="1:6" x14ac:dyDescent="0.25">
      <c r="B905" s="75"/>
      <c r="C905" s="38"/>
    </row>
    <row r="906" spans="1:6" ht="76.2" customHeight="1" x14ac:dyDescent="0.25">
      <c r="A906" s="39" t="s">
        <v>1750</v>
      </c>
      <c r="B906" s="37" t="s">
        <v>3324</v>
      </c>
      <c r="C906" s="76" t="s">
        <v>15</v>
      </c>
      <c r="D906" s="40">
        <v>1</v>
      </c>
      <c r="E906" s="77">
        <v>150</v>
      </c>
      <c r="F906" s="78">
        <f>ROUND(D906*E906,2)</f>
        <v>150</v>
      </c>
    </row>
    <row r="907" spans="1:6" x14ac:dyDescent="0.25">
      <c r="B907" s="75"/>
      <c r="C907" s="38"/>
    </row>
    <row r="908" spans="1:6" ht="78" customHeight="1" x14ac:dyDescent="0.25">
      <c r="A908" s="39" t="s">
        <v>1751</v>
      </c>
      <c r="B908" s="37" t="s">
        <v>3325</v>
      </c>
    </row>
    <row r="909" spans="1:6" x14ac:dyDescent="0.25">
      <c r="B909" s="75" t="s">
        <v>153</v>
      </c>
      <c r="C909" s="76" t="s">
        <v>15</v>
      </c>
      <c r="D909" s="40">
        <v>2</v>
      </c>
      <c r="E909" s="77">
        <v>250</v>
      </c>
      <c r="F909" s="78">
        <f>ROUND(D909*E909,2)</f>
        <v>500</v>
      </c>
    </row>
    <row r="910" spans="1:6" x14ac:dyDescent="0.25">
      <c r="B910" s="75" t="s">
        <v>154</v>
      </c>
      <c r="C910" s="76" t="s">
        <v>15</v>
      </c>
      <c r="D910" s="40">
        <v>4</v>
      </c>
      <c r="E910" s="77">
        <v>150</v>
      </c>
      <c r="F910" s="78">
        <f>ROUND(D910*E910,2)</f>
        <v>600</v>
      </c>
    </row>
    <row r="912" spans="1:6" ht="41.25" customHeight="1" x14ac:dyDescent="0.25">
      <c r="A912" s="39" t="s">
        <v>1752</v>
      </c>
      <c r="B912" s="37" t="s">
        <v>2814</v>
      </c>
      <c r="C912" s="76" t="s">
        <v>15</v>
      </c>
      <c r="D912" s="40">
        <v>10</v>
      </c>
      <c r="E912" s="77">
        <v>200</v>
      </c>
      <c r="F912" s="78">
        <f>ROUND(D912*E912,2)</f>
        <v>2000</v>
      </c>
    </row>
    <row r="913" spans="1:6" x14ac:dyDescent="0.25">
      <c r="B913" s="75"/>
      <c r="C913" s="38"/>
    </row>
    <row r="914" spans="1:6" ht="30" customHeight="1" x14ac:dyDescent="0.25">
      <c r="A914" s="39" t="s">
        <v>1753</v>
      </c>
      <c r="B914" s="37" t="s">
        <v>2821</v>
      </c>
    </row>
    <row r="915" spans="1:6" x14ac:dyDescent="0.25">
      <c r="B915" s="75" t="s">
        <v>155</v>
      </c>
      <c r="C915" s="76" t="s">
        <v>15</v>
      </c>
      <c r="D915" s="40">
        <v>2</v>
      </c>
      <c r="E915" s="77">
        <v>280</v>
      </c>
      <c r="F915" s="78">
        <f>ROUND(D915*E915,2)</f>
        <v>560</v>
      </c>
    </row>
    <row r="916" spans="1:6" x14ac:dyDescent="0.25">
      <c r="B916" s="75"/>
      <c r="D916" s="40"/>
      <c r="E916" s="77"/>
      <c r="F916" s="78"/>
    </row>
    <row r="917" spans="1:6" ht="69.599999999999994" customHeight="1" x14ac:dyDescent="0.25">
      <c r="A917" s="39" t="s">
        <v>2815</v>
      </c>
      <c r="B917" s="37" t="s">
        <v>3144</v>
      </c>
      <c r="D917" s="40"/>
      <c r="E917" s="77"/>
      <c r="F917" s="78"/>
    </row>
    <row r="918" spans="1:6" ht="26.4" customHeight="1" x14ac:dyDescent="0.25">
      <c r="B918" s="37" t="s">
        <v>3326</v>
      </c>
      <c r="C918" s="76" t="s">
        <v>15</v>
      </c>
      <c r="D918" s="40">
        <v>1</v>
      </c>
      <c r="E918" s="77">
        <v>3000</v>
      </c>
      <c r="F918" s="78">
        <f>ROUND(D918*E918,2)</f>
        <v>3000</v>
      </c>
    </row>
    <row r="919" spans="1:6" x14ac:dyDescent="0.25">
      <c r="B919" s="75"/>
      <c r="D919" s="40"/>
      <c r="E919" s="77"/>
      <c r="F919" s="78"/>
    </row>
    <row r="920" spans="1:6" ht="36" x14ac:dyDescent="0.25">
      <c r="A920" s="39" t="s">
        <v>3068</v>
      </c>
      <c r="B920" s="75" t="s">
        <v>3327</v>
      </c>
      <c r="C920" s="76" t="s">
        <v>15</v>
      </c>
      <c r="D920" s="40">
        <v>1</v>
      </c>
      <c r="E920" s="77">
        <v>200</v>
      </c>
      <c r="F920" s="78">
        <f>ROUND(D920*E920,2)</f>
        <v>200</v>
      </c>
    </row>
    <row r="921" spans="1:6" x14ac:dyDescent="0.25">
      <c r="B921" s="75"/>
      <c r="D921" s="40"/>
      <c r="E921" s="77"/>
      <c r="F921" s="78"/>
    </row>
    <row r="922" spans="1:6" ht="87.6" customHeight="1" x14ac:dyDescent="0.25">
      <c r="A922" s="39" t="s">
        <v>3069</v>
      </c>
      <c r="B922" s="37" t="s">
        <v>3328</v>
      </c>
      <c r="C922" s="76" t="s">
        <v>15</v>
      </c>
      <c r="D922" s="40">
        <v>2</v>
      </c>
      <c r="E922" s="77">
        <v>2800</v>
      </c>
      <c r="F922" s="78">
        <f>ROUND(D922*E922,2)</f>
        <v>5600</v>
      </c>
    </row>
    <row r="923" spans="1:6" x14ac:dyDescent="0.25">
      <c r="B923" s="75"/>
      <c r="D923" s="40"/>
      <c r="E923" s="77"/>
      <c r="F923" s="78"/>
    </row>
    <row r="924" spans="1:6" x14ac:dyDescent="0.25">
      <c r="A924" s="91" t="s">
        <v>1707</v>
      </c>
      <c r="B924" s="92" t="s">
        <v>158</v>
      </c>
      <c r="C924" s="91"/>
      <c r="D924" s="91"/>
      <c r="E924" s="122"/>
      <c r="F924" s="96">
        <f>SUM(F876:F922)</f>
        <v>50159</v>
      </c>
    </row>
    <row r="925" spans="1:6" x14ac:dyDescent="0.25">
      <c r="B925" s="75"/>
      <c r="D925" s="40"/>
      <c r="E925" s="77"/>
      <c r="F925" s="78"/>
    </row>
    <row r="927" spans="1:6" x14ac:dyDescent="0.25">
      <c r="A927" s="91" t="s">
        <v>1708</v>
      </c>
      <c r="B927" s="92" t="s">
        <v>156</v>
      </c>
      <c r="C927" s="91"/>
      <c r="D927" s="91"/>
      <c r="E927" s="122"/>
      <c r="F927" s="91"/>
    </row>
    <row r="929" spans="1:6" ht="39" customHeight="1" x14ac:dyDescent="0.25">
      <c r="A929" s="39" t="s">
        <v>1754</v>
      </c>
      <c r="B929" s="37" t="s">
        <v>3071</v>
      </c>
    </row>
    <row r="930" spans="1:6" x14ac:dyDescent="0.25">
      <c r="B930" s="75" t="s">
        <v>3329</v>
      </c>
      <c r="C930" s="76" t="s">
        <v>15</v>
      </c>
      <c r="D930" s="40">
        <v>2</v>
      </c>
      <c r="E930" s="77">
        <v>1190</v>
      </c>
      <c r="F930" s="78">
        <f>ROUND(D930*E930,2)</f>
        <v>2380</v>
      </c>
    </row>
    <row r="932" spans="1:6" x14ac:dyDescent="0.25">
      <c r="A932" s="91" t="s">
        <v>1708</v>
      </c>
      <c r="B932" s="92" t="s">
        <v>157</v>
      </c>
      <c r="C932" s="91"/>
      <c r="D932" s="91"/>
      <c r="E932" s="122"/>
      <c r="F932" s="96">
        <f>SUM(F930:F931)</f>
        <v>2380</v>
      </c>
    </row>
    <row r="935" spans="1:6" x14ac:dyDescent="0.25">
      <c r="A935" s="91" t="s">
        <v>1709</v>
      </c>
      <c r="B935" s="92" t="s">
        <v>159</v>
      </c>
      <c r="C935" s="91"/>
      <c r="D935" s="91"/>
      <c r="E935" s="122"/>
      <c r="F935" s="91"/>
    </row>
    <row r="937" spans="1:6" x14ac:dyDescent="0.25">
      <c r="A937" s="91"/>
      <c r="B937" s="92" t="s">
        <v>0</v>
      </c>
      <c r="C937" s="97"/>
      <c r="D937" s="91"/>
      <c r="E937" s="122"/>
      <c r="F937" s="91"/>
    </row>
    <row r="939" spans="1:6" ht="99" customHeight="1" x14ac:dyDescent="0.25">
      <c r="B939" s="37" t="s">
        <v>2174</v>
      </c>
    </row>
    <row r="942" spans="1:6" ht="65.25" customHeight="1" x14ac:dyDescent="0.25">
      <c r="A942" s="39" t="s">
        <v>1755</v>
      </c>
      <c r="B942" s="37" t="s">
        <v>2013</v>
      </c>
      <c r="C942" s="76" t="s">
        <v>38</v>
      </c>
      <c r="D942" s="40">
        <v>375</v>
      </c>
      <c r="E942" s="77">
        <v>1</v>
      </c>
      <c r="F942" s="78">
        <f>ROUND(D942*E942,2)</f>
        <v>375</v>
      </c>
    </row>
    <row r="943" spans="1:6" x14ac:dyDescent="0.25">
      <c r="B943" s="75"/>
      <c r="C943" s="38"/>
    </row>
    <row r="944" spans="1:6" ht="157.5" customHeight="1" x14ac:dyDescent="0.25">
      <c r="A944" s="39" t="s">
        <v>1756</v>
      </c>
      <c r="B944" s="37" t="s">
        <v>2014</v>
      </c>
    </row>
    <row r="945" spans="1:7" x14ac:dyDescent="0.25">
      <c r="B945" s="37" t="s">
        <v>160</v>
      </c>
      <c r="C945" s="76" t="s">
        <v>38</v>
      </c>
      <c r="D945" s="40">
        <v>325</v>
      </c>
      <c r="E945" s="77">
        <v>60</v>
      </c>
      <c r="F945" s="78">
        <f>ROUND(D945*E945,2)</f>
        <v>19500</v>
      </c>
      <c r="G945" s="95"/>
    </row>
    <row r="946" spans="1:7" x14ac:dyDescent="0.25">
      <c r="B946" s="75"/>
      <c r="C946" s="38"/>
    </row>
    <row r="947" spans="1:7" ht="15.75" customHeight="1" x14ac:dyDescent="0.25">
      <c r="A947" s="39" t="s">
        <v>1757</v>
      </c>
      <c r="B947" s="37" t="s">
        <v>3250</v>
      </c>
      <c r="C947" s="76" t="s">
        <v>13</v>
      </c>
      <c r="D947" s="40">
        <v>15.5</v>
      </c>
      <c r="E947" s="77">
        <v>15</v>
      </c>
      <c r="F947" s="78">
        <f>ROUND(D947*E947,2)</f>
        <v>232.5</v>
      </c>
    </row>
    <row r="948" spans="1:7" x14ac:dyDescent="0.25">
      <c r="B948" s="75"/>
      <c r="C948" s="38"/>
    </row>
    <row r="949" spans="1:7" ht="49.8" customHeight="1" x14ac:dyDescent="0.25">
      <c r="A949" s="39" t="s">
        <v>1758</v>
      </c>
      <c r="B949" s="37" t="s">
        <v>3378</v>
      </c>
      <c r="C949" s="76" t="s">
        <v>13</v>
      </c>
      <c r="D949" s="40">
        <v>147</v>
      </c>
      <c r="E949" s="77">
        <v>16</v>
      </c>
      <c r="F949" s="78">
        <f>ROUND(D949*E949,2)</f>
        <v>2352</v>
      </c>
    </row>
    <row r="950" spans="1:7" x14ac:dyDescent="0.25">
      <c r="B950" s="75"/>
      <c r="C950" s="38"/>
    </row>
    <row r="951" spans="1:7" ht="40.5" customHeight="1" x14ac:dyDescent="0.25">
      <c r="A951" s="39" t="s">
        <v>1759</v>
      </c>
      <c r="B951" s="37" t="s">
        <v>3379</v>
      </c>
      <c r="C951" s="76" t="s">
        <v>38</v>
      </c>
      <c r="D951" s="40">
        <v>225</v>
      </c>
      <c r="E951" s="77">
        <v>60</v>
      </c>
      <c r="F951" s="78">
        <f>ROUND(D951*E951,2)</f>
        <v>13500</v>
      </c>
      <c r="G951" s="95"/>
    </row>
    <row r="952" spans="1:7" x14ac:dyDescent="0.25">
      <c r="B952" s="75"/>
      <c r="C952" s="38"/>
    </row>
    <row r="953" spans="1:7" x14ac:dyDescent="0.25">
      <c r="A953" s="91" t="s">
        <v>1709</v>
      </c>
      <c r="B953" s="92" t="s">
        <v>161</v>
      </c>
      <c r="C953" s="91"/>
      <c r="D953" s="91"/>
      <c r="E953" s="122"/>
      <c r="F953" s="96">
        <f>SUM(F939:F951)</f>
        <v>35959.5</v>
      </c>
    </row>
    <row r="956" spans="1:7" x14ac:dyDescent="0.25">
      <c r="A956" s="91" t="s">
        <v>1710</v>
      </c>
      <c r="B956" s="92" t="s">
        <v>162</v>
      </c>
      <c r="C956" s="91"/>
      <c r="D956" s="91"/>
      <c r="E956" s="122"/>
      <c r="F956" s="91"/>
    </row>
    <row r="958" spans="1:7" x14ac:dyDescent="0.25">
      <c r="A958" s="91"/>
      <c r="B958" s="92" t="s">
        <v>0</v>
      </c>
      <c r="C958" s="97"/>
      <c r="D958" s="91"/>
      <c r="E958" s="122"/>
      <c r="F958" s="91"/>
    </row>
    <row r="960" spans="1:7" ht="163.5" customHeight="1" x14ac:dyDescent="0.25">
      <c r="B960" s="37" t="s">
        <v>2159</v>
      </c>
    </row>
    <row r="963" spans="1:6" ht="114.75" customHeight="1" x14ac:dyDescent="0.25">
      <c r="A963" s="39" t="s">
        <v>1760</v>
      </c>
      <c r="B963" s="37" t="s">
        <v>3380</v>
      </c>
    </row>
    <row r="964" spans="1:6" x14ac:dyDescent="0.25">
      <c r="B964" s="75" t="s">
        <v>163</v>
      </c>
      <c r="C964" s="76" t="s">
        <v>38</v>
      </c>
      <c r="D964" s="40">
        <v>120</v>
      </c>
      <c r="E964" s="77">
        <v>70</v>
      </c>
      <c r="F964" s="78">
        <f>ROUND(D964*E964,2)</f>
        <v>8400</v>
      </c>
    </row>
    <row r="966" spans="1:6" ht="110.25" customHeight="1" x14ac:dyDescent="0.25">
      <c r="A966" s="39" t="s">
        <v>1761</v>
      </c>
      <c r="B966" s="37" t="s">
        <v>2175</v>
      </c>
    </row>
    <row r="967" spans="1:6" x14ac:dyDescent="0.25">
      <c r="B967" s="75" t="s">
        <v>163</v>
      </c>
      <c r="C967" s="76" t="s">
        <v>38</v>
      </c>
      <c r="D967" s="40">
        <v>135</v>
      </c>
      <c r="E967" s="77">
        <v>55</v>
      </c>
      <c r="F967" s="78">
        <f>ROUND(D967*E967,2)</f>
        <v>7425</v>
      </c>
    </row>
    <row r="969" spans="1:6" ht="102" customHeight="1" x14ac:dyDescent="0.25">
      <c r="A969" s="39" t="s">
        <v>1762</v>
      </c>
      <c r="B969" s="37" t="s">
        <v>2176</v>
      </c>
    </row>
    <row r="970" spans="1:6" x14ac:dyDescent="0.25">
      <c r="B970" s="75" t="s">
        <v>163</v>
      </c>
      <c r="C970" s="76" t="s">
        <v>38</v>
      </c>
      <c r="D970" s="40">
        <v>40</v>
      </c>
      <c r="E970" s="77">
        <v>55</v>
      </c>
      <c r="F970" s="78">
        <f>ROUND(D970*E970,2)</f>
        <v>2200</v>
      </c>
    </row>
    <row r="972" spans="1:6" ht="135.75" customHeight="1" x14ac:dyDescent="0.25">
      <c r="A972" s="39" t="s">
        <v>1763</v>
      </c>
      <c r="B972" s="37" t="s">
        <v>2177</v>
      </c>
      <c r="C972" s="76" t="s">
        <v>38</v>
      </c>
      <c r="D972" s="40">
        <v>50</v>
      </c>
      <c r="E972" s="77">
        <v>70</v>
      </c>
      <c r="F972" s="78">
        <f>ROUND(D972*E972,2)</f>
        <v>3500</v>
      </c>
    </row>
    <row r="973" spans="1:6" x14ac:dyDescent="0.25">
      <c r="B973" s="37"/>
      <c r="C973" s="38"/>
    </row>
    <row r="974" spans="1:6" ht="134.4" customHeight="1" x14ac:dyDescent="0.25">
      <c r="A974" s="39" t="s">
        <v>1764</v>
      </c>
      <c r="B974" s="37" t="s">
        <v>2178</v>
      </c>
    </row>
    <row r="975" spans="1:6" x14ac:dyDescent="0.25">
      <c r="B975" s="75" t="s">
        <v>163</v>
      </c>
      <c r="C975" s="76" t="s">
        <v>38</v>
      </c>
      <c r="D975" s="40">
        <v>170</v>
      </c>
      <c r="E975" s="77">
        <v>55</v>
      </c>
      <c r="F975" s="78">
        <f>ROUND(D975*E975,2)</f>
        <v>9350</v>
      </c>
    </row>
    <row r="976" spans="1:6" x14ac:dyDescent="0.25">
      <c r="B976" s="75"/>
      <c r="D976" s="40"/>
      <c r="E976" s="77"/>
      <c r="F976" s="78"/>
    </row>
    <row r="977" spans="1:6" ht="66" customHeight="1" x14ac:dyDescent="0.25">
      <c r="A977" s="39" t="s">
        <v>3257</v>
      </c>
      <c r="B977" s="37" t="s">
        <v>3251</v>
      </c>
      <c r="D977" s="40"/>
      <c r="E977" s="77"/>
      <c r="F977" s="78"/>
    </row>
    <row r="978" spans="1:6" ht="31.2" customHeight="1" x14ac:dyDescent="0.25">
      <c r="B978" s="37" t="s">
        <v>3252</v>
      </c>
      <c r="D978" s="40"/>
      <c r="E978" s="77"/>
      <c r="F978" s="78"/>
    </row>
    <row r="979" spans="1:6" ht="40.200000000000003" customHeight="1" x14ac:dyDescent="0.25">
      <c r="B979" s="37" t="s">
        <v>3346</v>
      </c>
      <c r="D979" s="40"/>
      <c r="E979" s="77"/>
      <c r="F979" s="78"/>
    </row>
    <row r="980" spans="1:6" ht="14.4" customHeight="1" x14ac:dyDescent="0.25">
      <c r="B980" s="37" t="s">
        <v>3253</v>
      </c>
      <c r="D980" s="40"/>
      <c r="E980" s="77"/>
      <c r="F980" s="78"/>
    </row>
    <row r="981" spans="1:6" ht="17.399999999999999" customHeight="1" x14ac:dyDescent="0.25">
      <c r="B981" s="37" t="s">
        <v>3254</v>
      </c>
      <c r="D981" s="40"/>
      <c r="E981" s="77"/>
      <c r="F981" s="78"/>
    </row>
    <row r="982" spans="1:6" x14ac:dyDescent="0.25">
      <c r="B982" s="37" t="s">
        <v>3255</v>
      </c>
      <c r="C982" s="76" t="s">
        <v>38</v>
      </c>
      <c r="D982" s="40">
        <v>170</v>
      </c>
      <c r="E982" s="77">
        <v>70</v>
      </c>
      <c r="F982" s="78">
        <f>ROUND(D982*E982,2)</f>
        <v>11900</v>
      </c>
    </row>
    <row r="983" spans="1:6" x14ac:dyDescent="0.25">
      <c r="B983" s="37" t="s">
        <v>3256</v>
      </c>
      <c r="C983" s="76" t="s">
        <v>3142</v>
      </c>
      <c r="D983" s="40">
        <v>110</v>
      </c>
      <c r="E983" s="77">
        <v>40</v>
      </c>
      <c r="F983" s="78">
        <f>ROUND(D983*E983,2)</f>
        <v>4400</v>
      </c>
    </row>
    <row r="984" spans="1:6" x14ac:dyDescent="0.25">
      <c r="B984" s="37" t="s">
        <v>3258</v>
      </c>
      <c r="C984" s="76" t="s">
        <v>3142</v>
      </c>
      <c r="D984" s="40">
        <v>38</v>
      </c>
      <c r="E984" s="77">
        <v>30</v>
      </c>
      <c r="F984" s="78">
        <f>ROUND(D984*E984,2)</f>
        <v>1140</v>
      </c>
    </row>
    <row r="985" spans="1:6" x14ac:dyDescent="0.25">
      <c r="B985" s="37" t="s">
        <v>3347</v>
      </c>
      <c r="C985" s="76" t="s">
        <v>3142</v>
      </c>
      <c r="D985" s="40">
        <v>70</v>
      </c>
      <c r="E985" s="77">
        <v>30</v>
      </c>
      <c r="F985" s="78">
        <f>ROUND(D985*E985,2)</f>
        <v>2100</v>
      </c>
    </row>
    <row r="986" spans="1:6" x14ac:dyDescent="0.25">
      <c r="B986" s="75"/>
      <c r="D986" s="40"/>
      <c r="E986" s="77"/>
      <c r="F986" s="78"/>
    </row>
    <row r="987" spans="1:6" x14ac:dyDescent="0.25">
      <c r="A987" s="91" t="s">
        <v>1710</v>
      </c>
      <c r="B987" s="92" t="s">
        <v>164</v>
      </c>
      <c r="C987" s="91"/>
      <c r="D987" s="91"/>
      <c r="E987" s="122"/>
      <c r="F987" s="96">
        <f>SUM(F960:F985)</f>
        <v>50415</v>
      </c>
    </row>
    <row r="990" spans="1:6" x14ac:dyDescent="0.25">
      <c r="A990" s="91" t="s">
        <v>1711</v>
      </c>
      <c r="B990" s="92" t="s">
        <v>165</v>
      </c>
      <c r="C990" s="91"/>
      <c r="D990" s="91"/>
      <c r="E990" s="122"/>
      <c r="F990" s="91"/>
    </row>
    <row r="992" spans="1:6" x14ac:dyDescent="0.25">
      <c r="A992" s="91"/>
      <c r="B992" s="92" t="s">
        <v>0</v>
      </c>
      <c r="C992" s="97"/>
      <c r="D992" s="91"/>
      <c r="E992" s="122"/>
      <c r="F992" s="91"/>
    </row>
    <row r="994" spans="1:6" ht="294" customHeight="1" x14ac:dyDescent="0.25">
      <c r="B994" s="37" t="s">
        <v>2155</v>
      </c>
    </row>
    <row r="995" spans="1:6" ht="246" customHeight="1" x14ac:dyDescent="0.25">
      <c r="B995" s="37" t="s">
        <v>2158</v>
      </c>
    </row>
    <row r="996" spans="1:6" ht="256.8" customHeight="1" x14ac:dyDescent="0.25">
      <c r="B996" s="37" t="s">
        <v>3330</v>
      </c>
    </row>
    <row r="999" spans="1:6" ht="48" x14ac:dyDescent="0.25">
      <c r="A999" s="39" t="s">
        <v>1765</v>
      </c>
      <c r="B999" s="37" t="s">
        <v>2693</v>
      </c>
      <c r="C999" s="76" t="s">
        <v>38</v>
      </c>
      <c r="D999" s="40">
        <v>30</v>
      </c>
      <c r="E999" s="77">
        <v>230</v>
      </c>
      <c r="F999" s="78">
        <f>ROUND(D999*E999,2)</f>
        <v>6900</v>
      </c>
    </row>
    <row r="1001" spans="1:6" ht="48" x14ac:dyDescent="0.25">
      <c r="A1001" s="39" t="s">
        <v>1766</v>
      </c>
      <c r="B1001" s="37" t="s">
        <v>166</v>
      </c>
      <c r="C1001" s="76" t="s">
        <v>13</v>
      </c>
      <c r="D1001" s="40">
        <v>30</v>
      </c>
      <c r="E1001" s="77">
        <v>100</v>
      </c>
      <c r="F1001" s="78">
        <f>ROUND(D1001*E1001,2)</f>
        <v>3000</v>
      </c>
    </row>
    <row r="1002" spans="1:6" x14ac:dyDescent="0.25">
      <c r="B1002" s="75"/>
      <c r="D1002" s="40"/>
      <c r="E1002" s="77"/>
      <c r="F1002" s="78"/>
    </row>
    <row r="1003" spans="1:6" ht="37.799999999999997" customHeight="1" x14ac:dyDescent="0.25">
      <c r="A1003" s="39" t="s">
        <v>3274</v>
      </c>
      <c r="B1003" s="37" t="s">
        <v>3273</v>
      </c>
      <c r="C1003" s="76" t="s">
        <v>38</v>
      </c>
      <c r="D1003" s="40">
        <v>20</v>
      </c>
      <c r="E1003" s="77">
        <v>230</v>
      </c>
      <c r="F1003" s="78">
        <f>ROUND(D1003*E1003,2)</f>
        <v>4600</v>
      </c>
    </row>
    <row r="1004" spans="1:6" x14ac:dyDescent="0.25">
      <c r="B1004" s="75"/>
      <c r="D1004" s="40"/>
      <c r="E1004" s="77"/>
      <c r="F1004" s="78"/>
    </row>
    <row r="1006" spans="1:6" x14ac:dyDescent="0.25">
      <c r="A1006" s="91" t="s">
        <v>1711</v>
      </c>
      <c r="B1006" s="92" t="s">
        <v>167</v>
      </c>
      <c r="C1006" s="91"/>
      <c r="D1006" s="91"/>
      <c r="E1006" s="122"/>
      <c r="F1006" s="96">
        <f>SUM(F994:F1003)</f>
        <v>14500</v>
      </c>
    </row>
    <row r="1009" spans="1:6" x14ac:dyDescent="0.25">
      <c r="A1009" s="91" t="s">
        <v>1712</v>
      </c>
      <c r="B1009" s="92" t="s">
        <v>168</v>
      </c>
      <c r="C1009" s="91"/>
      <c r="D1009" s="91"/>
      <c r="E1009" s="122"/>
      <c r="F1009" s="91"/>
    </row>
    <row r="1011" spans="1:6" x14ac:dyDescent="0.25">
      <c r="A1011" s="91"/>
      <c r="B1011" s="92" t="s">
        <v>0</v>
      </c>
      <c r="C1011" s="97"/>
      <c r="D1011" s="91"/>
      <c r="E1011" s="122"/>
      <c r="F1011" s="91"/>
    </row>
    <row r="1013" spans="1:6" ht="280.8" customHeight="1" x14ac:dyDescent="0.25">
      <c r="B1013" s="37" t="s">
        <v>2179</v>
      </c>
    </row>
    <row r="1014" spans="1:6" ht="255" customHeight="1" x14ac:dyDescent="0.25">
      <c r="B1014" s="37" t="s">
        <v>2180</v>
      </c>
    </row>
    <row r="1015" spans="1:6" ht="385.8" customHeight="1" x14ac:dyDescent="0.25">
      <c r="B1015" s="37" t="s">
        <v>1570</v>
      </c>
    </row>
    <row r="1016" spans="1:6" ht="181.8" customHeight="1" x14ac:dyDescent="0.25">
      <c r="B1016" s="37" t="s">
        <v>2873</v>
      </c>
    </row>
    <row r="1017" spans="1:6" ht="162.75" customHeight="1" x14ac:dyDescent="0.25">
      <c r="B1017" s="37" t="s">
        <v>2156</v>
      </c>
    </row>
    <row r="1020" spans="1:6" ht="144" x14ac:dyDescent="0.25">
      <c r="A1020" s="39" t="s">
        <v>1767</v>
      </c>
      <c r="B1020" s="37" t="s">
        <v>3260</v>
      </c>
    </row>
    <row r="1021" spans="1:6" x14ac:dyDescent="0.25">
      <c r="B1021" s="75" t="s">
        <v>169</v>
      </c>
      <c r="C1021" s="76" t="s">
        <v>38</v>
      </c>
      <c r="D1021" s="40">
        <v>28</v>
      </c>
      <c r="E1021" s="120">
        <v>50</v>
      </c>
      <c r="F1021" s="78">
        <f>ROUND(D1021*E1021,2)</f>
        <v>1400</v>
      </c>
    </row>
    <row r="1023" spans="1:6" ht="150.75" customHeight="1" x14ac:dyDescent="0.25">
      <c r="A1023" s="106" t="s">
        <v>3348</v>
      </c>
      <c r="B1023" s="37" t="s">
        <v>3381</v>
      </c>
    </row>
    <row r="1024" spans="1:6" x14ac:dyDescent="0.25">
      <c r="B1024" s="75" t="s">
        <v>169</v>
      </c>
      <c r="C1024" s="76" t="s">
        <v>38</v>
      </c>
      <c r="D1024" s="40">
        <v>33</v>
      </c>
      <c r="E1024" s="77">
        <v>50</v>
      </c>
      <c r="F1024" s="78">
        <f>ROUND(D1024*E1024,2)</f>
        <v>1650</v>
      </c>
    </row>
    <row r="1026" spans="1:6" ht="126" customHeight="1" x14ac:dyDescent="0.25">
      <c r="A1026" s="39" t="s">
        <v>1768</v>
      </c>
      <c r="B1026" s="37" t="s">
        <v>3259</v>
      </c>
    </row>
    <row r="1027" spans="1:6" x14ac:dyDescent="0.25">
      <c r="B1027" s="75" t="s">
        <v>169</v>
      </c>
      <c r="C1027" s="76" t="s">
        <v>38</v>
      </c>
      <c r="D1027" s="40">
        <v>22</v>
      </c>
      <c r="E1027" s="120">
        <v>50</v>
      </c>
      <c r="F1027" s="78">
        <f>ROUND(D1027*E1027,2)</f>
        <v>1100</v>
      </c>
    </row>
    <row r="1029" spans="1:6" ht="144" x14ac:dyDescent="0.25">
      <c r="A1029" s="39" t="s">
        <v>1769</v>
      </c>
      <c r="B1029" s="37" t="s">
        <v>3261</v>
      </c>
    </row>
    <row r="1030" spans="1:6" x14ac:dyDescent="0.25">
      <c r="B1030" s="75" t="s">
        <v>169</v>
      </c>
      <c r="C1030" s="76" t="s">
        <v>38</v>
      </c>
      <c r="D1030" s="40">
        <v>8</v>
      </c>
      <c r="E1030" s="120">
        <v>70</v>
      </c>
      <c r="F1030" s="78">
        <f>ROUND(D1030*E1030,2)</f>
        <v>560</v>
      </c>
    </row>
    <row r="1032" spans="1:6" ht="146.4" customHeight="1" x14ac:dyDescent="0.25">
      <c r="A1032" s="106" t="s">
        <v>3331</v>
      </c>
      <c r="B1032" s="37" t="s">
        <v>3382</v>
      </c>
    </row>
    <row r="1033" spans="1:6" x14ac:dyDescent="0.25">
      <c r="B1033" s="75" t="s">
        <v>169</v>
      </c>
      <c r="C1033" s="76" t="s">
        <v>38</v>
      </c>
      <c r="D1033" s="40">
        <v>9</v>
      </c>
      <c r="E1033" s="77">
        <v>60</v>
      </c>
      <c r="F1033" s="78">
        <f>ROUND(D1033*E1033,2)</f>
        <v>540</v>
      </c>
    </row>
    <row r="1035" spans="1:6" ht="144" x14ac:dyDescent="0.25">
      <c r="A1035" s="39" t="s">
        <v>1770</v>
      </c>
      <c r="B1035" s="37" t="s">
        <v>3265</v>
      </c>
    </row>
    <row r="1036" spans="1:6" x14ac:dyDescent="0.25">
      <c r="B1036" s="75" t="s">
        <v>169</v>
      </c>
      <c r="C1036" s="76" t="s">
        <v>38</v>
      </c>
      <c r="D1036" s="40">
        <v>8</v>
      </c>
      <c r="E1036" s="120">
        <v>60</v>
      </c>
      <c r="F1036" s="78">
        <f>ROUND(D1036*E1036,2)</f>
        <v>480</v>
      </c>
    </row>
    <row r="1038" spans="1:6" ht="144" x14ac:dyDescent="0.25">
      <c r="A1038" s="39" t="s">
        <v>1771</v>
      </c>
      <c r="B1038" s="37" t="s">
        <v>3264</v>
      </c>
    </row>
    <row r="1039" spans="1:6" x14ac:dyDescent="0.25">
      <c r="B1039" s="75" t="s">
        <v>169</v>
      </c>
      <c r="C1039" s="76" t="s">
        <v>38</v>
      </c>
      <c r="D1039" s="40">
        <v>35</v>
      </c>
      <c r="E1039" s="120">
        <v>40</v>
      </c>
      <c r="F1039" s="78">
        <f>ROUND(D1039*E1039,2)</f>
        <v>1400</v>
      </c>
    </row>
    <row r="1041" spans="1:6" ht="144" x14ac:dyDescent="0.25">
      <c r="A1041" s="39" t="s">
        <v>1772</v>
      </c>
      <c r="B1041" s="37" t="s">
        <v>3263</v>
      </c>
    </row>
    <row r="1042" spans="1:6" x14ac:dyDescent="0.25">
      <c r="B1042" s="75" t="s">
        <v>169</v>
      </c>
      <c r="C1042" s="76" t="s">
        <v>38</v>
      </c>
      <c r="D1042" s="40">
        <v>6.5</v>
      </c>
      <c r="E1042" s="120">
        <v>50</v>
      </c>
      <c r="F1042" s="78">
        <f>ROUND(D1042*E1042,2)</f>
        <v>325</v>
      </c>
    </row>
    <row r="1044" spans="1:6" ht="144" x14ac:dyDescent="0.25">
      <c r="A1044" s="39" t="s">
        <v>3262</v>
      </c>
      <c r="B1044" s="37" t="s">
        <v>3270</v>
      </c>
    </row>
    <row r="1045" spans="1:6" x14ac:dyDescent="0.25">
      <c r="B1045" s="75" t="s">
        <v>169</v>
      </c>
      <c r="C1045" s="76" t="s">
        <v>38</v>
      </c>
      <c r="D1045" s="40">
        <v>25</v>
      </c>
      <c r="E1045" s="120">
        <v>50</v>
      </c>
      <c r="F1045" s="78">
        <f>ROUND(D1045*E1045,2)</f>
        <v>1250</v>
      </c>
    </row>
    <row r="1047" spans="1:6" ht="124.8" customHeight="1" x14ac:dyDescent="0.25">
      <c r="A1047" s="39" t="s">
        <v>3267</v>
      </c>
      <c r="B1047" s="37" t="s">
        <v>3269</v>
      </c>
    </row>
    <row r="1048" spans="1:6" x14ac:dyDescent="0.25">
      <c r="B1048" s="75" t="s">
        <v>169</v>
      </c>
      <c r="C1048" s="76" t="s">
        <v>38</v>
      </c>
      <c r="D1048" s="40">
        <v>8</v>
      </c>
      <c r="E1048" s="120">
        <v>40</v>
      </c>
      <c r="F1048" s="78">
        <f>ROUND(D1048*E1048,2)</f>
        <v>320</v>
      </c>
    </row>
    <row r="1050" spans="1:6" ht="60" x14ac:dyDescent="0.25">
      <c r="A1050" s="39" t="s">
        <v>3268</v>
      </c>
      <c r="B1050" s="74" t="s">
        <v>3266</v>
      </c>
    </row>
    <row r="1051" spans="1:6" x14ac:dyDescent="0.25">
      <c r="B1051" s="75" t="s">
        <v>169</v>
      </c>
      <c r="C1051" s="76" t="s">
        <v>38</v>
      </c>
      <c r="D1051" s="40">
        <v>25</v>
      </c>
      <c r="E1051" s="120">
        <v>30</v>
      </c>
      <c r="F1051" s="78">
        <f>ROUND(D1051*E1051,2)</f>
        <v>750</v>
      </c>
    </row>
    <row r="1053" spans="1:6" ht="68.25" customHeight="1" x14ac:dyDescent="0.25">
      <c r="A1053" s="106" t="s">
        <v>3332</v>
      </c>
      <c r="B1053" s="37" t="s">
        <v>2694</v>
      </c>
      <c r="C1053" s="76" t="s">
        <v>38</v>
      </c>
      <c r="D1053" s="40">
        <v>65</v>
      </c>
      <c r="E1053" s="77">
        <v>30</v>
      </c>
      <c r="F1053" s="78">
        <f>ROUND(D1053*E1053,2)</f>
        <v>1950</v>
      </c>
    </row>
    <row r="1054" spans="1:6" x14ac:dyDescent="0.25">
      <c r="B1054" s="75"/>
      <c r="C1054" s="38"/>
    </row>
    <row r="1055" spans="1:6" ht="60" x14ac:dyDescent="0.25">
      <c r="A1055" s="106" t="s">
        <v>3333</v>
      </c>
      <c r="B1055" s="37" t="s">
        <v>2695</v>
      </c>
      <c r="C1055" s="76" t="s">
        <v>38</v>
      </c>
      <c r="D1055" s="40">
        <v>42</v>
      </c>
      <c r="E1055" s="77">
        <v>30</v>
      </c>
      <c r="F1055" s="78">
        <f>ROUND(D1055*E1055,2)</f>
        <v>1260</v>
      </c>
    </row>
    <row r="1056" spans="1:6" x14ac:dyDescent="0.25">
      <c r="B1056" s="75"/>
      <c r="C1056" s="38"/>
    </row>
    <row r="1057" spans="1:6" ht="52.5" customHeight="1" x14ac:dyDescent="0.25">
      <c r="A1057" s="106" t="s">
        <v>3334</v>
      </c>
      <c r="B1057" s="37" t="s">
        <v>2696</v>
      </c>
    </row>
    <row r="1058" spans="1:6" x14ac:dyDescent="0.25">
      <c r="B1058" s="75" t="s">
        <v>170</v>
      </c>
      <c r="C1058" s="76" t="s">
        <v>13</v>
      </c>
      <c r="D1058" s="40">
        <v>20</v>
      </c>
      <c r="E1058" s="77">
        <v>25</v>
      </c>
      <c r="F1058" s="78">
        <f>ROUND(D1058*E1058,2)</f>
        <v>500</v>
      </c>
    </row>
    <row r="1059" spans="1:6" x14ac:dyDescent="0.25">
      <c r="B1059" s="75" t="s">
        <v>171</v>
      </c>
      <c r="C1059" s="76" t="s">
        <v>13</v>
      </c>
      <c r="D1059" s="40">
        <v>20</v>
      </c>
      <c r="E1059" s="77">
        <v>45</v>
      </c>
      <c r="F1059" s="78">
        <f>ROUND(D1059*E1059,2)</f>
        <v>900</v>
      </c>
    </row>
    <row r="1061" spans="1:6" x14ac:dyDescent="0.25">
      <c r="A1061" s="106" t="s">
        <v>3335</v>
      </c>
      <c r="B1061" s="37" t="s">
        <v>172</v>
      </c>
    </row>
    <row r="1062" spans="1:6" x14ac:dyDescent="0.25">
      <c r="B1062" s="75" t="s">
        <v>173</v>
      </c>
      <c r="C1062" s="76" t="s">
        <v>15</v>
      </c>
      <c r="D1062" s="40">
        <v>10</v>
      </c>
      <c r="E1062" s="77">
        <v>45</v>
      </c>
      <c r="F1062" s="78">
        <f>ROUND(D1062*E1062,2)</f>
        <v>450</v>
      </c>
    </row>
    <row r="1063" spans="1:6" x14ac:dyDescent="0.25">
      <c r="B1063" s="75" t="s">
        <v>174</v>
      </c>
      <c r="C1063" s="76" t="s">
        <v>15</v>
      </c>
      <c r="D1063" s="40">
        <v>10</v>
      </c>
      <c r="E1063" s="77">
        <v>55</v>
      </c>
      <c r="F1063" s="78">
        <f>ROUND(D1063*E1063,2)</f>
        <v>550</v>
      </c>
    </row>
    <row r="1065" spans="1:6" x14ac:dyDescent="0.25">
      <c r="A1065" s="91" t="s">
        <v>1712</v>
      </c>
      <c r="B1065" s="92" t="s">
        <v>179</v>
      </c>
      <c r="C1065" s="91"/>
      <c r="D1065" s="91"/>
      <c r="E1065" s="122"/>
      <c r="F1065" s="96">
        <f>SUM(F1017:F1063)</f>
        <v>15385</v>
      </c>
    </row>
    <row r="1068" spans="1:6" x14ac:dyDescent="0.25">
      <c r="A1068" s="91" t="s">
        <v>1713</v>
      </c>
      <c r="B1068" s="92" t="s">
        <v>175</v>
      </c>
      <c r="C1068" s="91"/>
      <c r="D1068" s="91"/>
      <c r="E1068" s="122"/>
      <c r="F1068" s="91"/>
    </row>
    <row r="1070" spans="1:6" ht="126" customHeight="1" x14ac:dyDescent="0.25">
      <c r="A1070" s="39" t="s">
        <v>1773</v>
      </c>
      <c r="B1070" s="37" t="s">
        <v>2697</v>
      </c>
    </row>
    <row r="1071" spans="1:6" x14ac:dyDescent="0.25">
      <c r="B1071" s="75" t="s">
        <v>169</v>
      </c>
      <c r="C1071" s="76" t="s">
        <v>38</v>
      </c>
      <c r="D1071" s="40">
        <v>17</v>
      </c>
      <c r="E1071" s="77">
        <v>50</v>
      </c>
      <c r="F1071" s="78">
        <f>ROUND(D1071*E1071,2)</f>
        <v>850</v>
      </c>
    </row>
    <row r="1073" spans="1:6" ht="120" x14ac:dyDescent="0.25">
      <c r="A1073" s="39" t="s">
        <v>1774</v>
      </c>
      <c r="B1073" s="37" t="s">
        <v>2698</v>
      </c>
    </row>
    <row r="1074" spans="1:6" x14ac:dyDescent="0.25">
      <c r="B1074" s="75" t="s">
        <v>169</v>
      </c>
      <c r="C1074" s="76" t="s">
        <v>38</v>
      </c>
      <c r="D1074" s="40">
        <v>8</v>
      </c>
      <c r="E1074" s="77">
        <v>68</v>
      </c>
      <c r="F1074" s="78">
        <f>ROUND(D1074*E1074,2)</f>
        <v>544</v>
      </c>
    </row>
    <row r="1076" spans="1:6" ht="60" x14ac:dyDescent="0.25">
      <c r="A1076" s="39" t="s">
        <v>1775</v>
      </c>
      <c r="B1076" s="37" t="s">
        <v>2699</v>
      </c>
    </row>
    <row r="1077" spans="1:6" x14ac:dyDescent="0.25">
      <c r="B1077" s="75" t="s">
        <v>169</v>
      </c>
      <c r="C1077" s="76" t="s">
        <v>38</v>
      </c>
      <c r="D1077" s="40">
        <v>35</v>
      </c>
      <c r="E1077" s="77">
        <v>135</v>
      </c>
      <c r="F1077" s="78">
        <f>ROUND(D1077*E1077,2)</f>
        <v>4725</v>
      </c>
    </row>
    <row r="1079" spans="1:6" ht="54" customHeight="1" x14ac:dyDescent="0.25">
      <c r="A1079" s="39" t="s">
        <v>1776</v>
      </c>
      <c r="B1079" s="37" t="s">
        <v>2700</v>
      </c>
    </row>
    <row r="1080" spans="1:6" x14ac:dyDescent="0.25">
      <c r="B1080" s="75" t="s">
        <v>169</v>
      </c>
      <c r="C1080" s="76" t="s">
        <v>38</v>
      </c>
      <c r="D1080" s="40">
        <v>8</v>
      </c>
      <c r="E1080" s="77">
        <v>140</v>
      </c>
      <c r="F1080" s="78">
        <f>ROUND(D1080*E1080,2)</f>
        <v>1120</v>
      </c>
    </row>
    <row r="1082" spans="1:6" ht="54" customHeight="1" x14ac:dyDescent="0.25">
      <c r="A1082" s="39" t="s">
        <v>1777</v>
      </c>
      <c r="B1082" s="37" t="s">
        <v>2701</v>
      </c>
    </row>
    <row r="1083" spans="1:6" x14ac:dyDescent="0.25">
      <c r="B1083" s="75" t="s">
        <v>169</v>
      </c>
      <c r="C1083" s="76" t="s">
        <v>38</v>
      </c>
      <c r="D1083" s="40">
        <v>11</v>
      </c>
      <c r="E1083" s="77">
        <v>90</v>
      </c>
      <c r="F1083" s="78">
        <f>ROUND(D1083*E1083,2)</f>
        <v>990</v>
      </c>
    </row>
    <row r="1085" spans="1:6" ht="48" x14ac:dyDescent="0.25">
      <c r="A1085" s="39" t="s">
        <v>1778</v>
      </c>
      <c r="B1085" s="37" t="s">
        <v>2702</v>
      </c>
    </row>
    <row r="1086" spans="1:6" x14ac:dyDescent="0.25">
      <c r="B1086" s="75" t="s">
        <v>169</v>
      </c>
      <c r="C1086" s="76" t="s">
        <v>38</v>
      </c>
      <c r="D1086" s="40">
        <v>12</v>
      </c>
      <c r="E1086" s="77">
        <v>90</v>
      </c>
      <c r="F1086" s="78">
        <f>ROUND(D1086*E1086,2)</f>
        <v>1080</v>
      </c>
    </row>
    <row r="1088" spans="1:6" ht="48" x14ac:dyDescent="0.25">
      <c r="A1088" s="39" t="s">
        <v>1779</v>
      </c>
      <c r="B1088" s="37" t="s">
        <v>2703</v>
      </c>
    </row>
    <row r="1089" spans="1:6" x14ac:dyDescent="0.25">
      <c r="B1089" s="75" t="s">
        <v>169</v>
      </c>
      <c r="C1089" s="76" t="s">
        <v>38</v>
      </c>
      <c r="D1089" s="40">
        <v>18</v>
      </c>
      <c r="E1089" s="77">
        <v>90</v>
      </c>
      <c r="F1089" s="78">
        <f>ROUND(D1089*E1089,2)</f>
        <v>1620</v>
      </c>
    </row>
    <row r="1091" spans="1:6" ht="60" x14ac:dyDescent="0.25">
      <c r="A1091" s="39" t="s">
        <v>1780</v>
      </c>
      <c r="B1091" s="37" t="s">
        <v>2704</v>
      </c>
    </row>
    <row r="1092" spans="1:6" x14ac:dyDescent="0.25">
      <c r="B1092" s="75" t="s">
        <v>169</v>
      </c>
      <c r="C1092" s="76" t="s">
        <v>38</v>
      </c>
      <c r="D1092" s="40">
        <v>8</v>
      </c>
      <c r="E1092" s="77">
        <v>90</v>
      </c>
      <c r="F1092" s="78">
        <f>ROUND(D1092*E1092,2)</f>
        <v>720</v>
      </c>
    </row>
    <row r="1094" spans="1:6" ht="73.5" customHeight="1" x14ac:dyDescent="0.25">
      <c r="A1094" s="39" t="s">
        <v>1781</v>
      </c>
      <c r="B1094" s="37" t="s">
        <v>2705</v>
      </c>
    </row>
    <row r="1095" spans="1:6" x14ac:dyDescent="0.25">
      <c r="B1095" s="75" t="s">
        <v>169</v>
      </c>
      <c r="C1095" s="76" t="s">
        <v>38</v>
      </c>
      <c r="D1095" s="40">
        <v>2</v>
      </c>
      <c r="E1095" s="77">
        <v>140</v>
      </c>
      <c r="F1095" s="78">
        <f>ROUND(D1095*E1095,2)</f>
        <v>280</v>
      </c>
    </row>
    <row r="1097" spans="1:6" ht="40.5" customHeight="1" x14ac:dyDescent="0.25">
      <c r="A1097" s="39" t="s">
        <v>1782</v>
      </c>
      <c r="B1097" s="37" t="s">
        <v>2706</v>
      </c>
    </row>
    <row r="1098" spans="1:6" x14ac:dyDescent="0.25">
      <c r="B1098" s="75" t="s">
        <v>169</v>
      </c>
      <c r="C1098" s="76" t="s">
        <v>38</v>
      </c>
      <c r="D1098" s="40">
        <v>25</v>
      </c>
      <c r="E1098" s="77">
        <v>60</v>
      </c>
      <c r="F1098" s="78">
        <f>ROUND(D1098*E1098,2)</f>
        <v>1500</v>
      </c>
    </row>
    <row r="1100" spans="1:6" ht="39" customHeight="1" x14ac:dyDescent="0.25">
      <c r="A1100" s="39" t="s">
        <v>1783</v>
      </c>
      <c r="B1100" s="37" t="s">
        <v>2707</v>
      </c>
    </row>
    <row r="1101" spans="1:6" x14ac:dyDescent="0.25">
      <c r="B1101" s="75" t="s">
        <v>169</v>
      </c>
      <c r="C1101" s="76" t="s">
        <v>38</v>
      </c>
      <c r="D1101" s="40">
        <v>90</v>
      </c>
      <c r="E1101" s="77">
        <v>90</v>
      </c>
      <c r="F1101" s="78">
        <f>ROUND(D1101*E1101,2)</f>
        <v>8100</v>
      </c>
    </row>
    <row r="1103" spans="1:6" ht="36" x14ac:dyDescent="0.25">
      <c r="A1103" s="39" t="s">
        <v>1784</v>
      </c>
      <c r="B1103" s="37" t="s">
        <v>2708</v>
      </c>
    </row>
    <row r="1104" spans="1:6" x14ac:dyDescent="0.25">
      <c r="B1104" s="75" t="s">
        <v>169</v>
      </c>
      <c r="C1104" s="76" t="s">
        <v>38</v>
      </c>
      <c r="D1104" s="40">
        <v>90</v>
      </c>
      <c r="E1104" s="77">
        <v>60</v>
      </c>
      <c r="F1104" s="78">
        <f>ROUND(D1104*E1104,2)</f>
        <v>5400</v>
      </c>
    </row>
    <row r="1106" spans="1:6" ht="36" x14ac:dyDescent="0.25">
      <c r="A1106" s="39" t="s">
        <v>1785</v>
      </c>
      <c r="B1106" s="37" t="s">
        <v>2709</v>
      </c>
    </row>
    <row r="1107" spans="1:6" x14ac:dyDescent="0.25">
      <c r="B1107" s="75" t="s">
        <v>169</v>
      </c>
      <c r="C1107" s="76" t="s">
        <v>38</v>
      </c>
      <c r="D1107" s="40">
        <v>2.5</v>
      </c>
      <c r="E1107" s="77">
        <v>120</v>
      </c>
      <c r="F1107" s="78">
        <f>ROUND(D1107*E1107,2)</f>
        <v>300</v>
      </c>
    </row>
    <row r="1109" spans="1:6" ht="72" x14ac:dyDescent="0.25">
      <c r="A1109" s="39" t="s">
        <v>1786</v>
      </c>
      <c r="B1109" s="37" t="s">
        <v>2710</v>
      </c>
    </row>
    <row r="1110" spans="1:6" x14ac:dyDescent="0.25">
      <c r="B1110" s="75" t="s">
        <v>176</v>
      </c>
      <c r="C1110" s="76" t="s">
        <v>13</v>
      </c>
      <c r="D1110" s="40">
        <v>28</v>
      </c>
      <c r="E1110" s="77">
        <v>45</v>
      </c>
      <c r="F1110" s="78">
        <f>ROUND(D1110*E1110,2)</f>
        <v>1260</v>
      </c>
    </row>
    <row r="1111" spans="1:6" x14ac:dyDescent="0.25">
      <c r="B1111" s="75" t="s">
        <v>177</v>
      </c>
      <c r="C1111" s="76" t="s">
        <v>13</v>
      </c>
      <c r="D1111" s="40">
        <v>30</v>
      </c>
      <c r="E1111" s="77">
        <v>60</v>
      </c>
      <c r="F1111" s="78">
        <f>ROUND(D1111*E1111,2)</f>
        <v>1800</v>
      </c>
    </row>
    <row r="1113" spans="1:6" x14ac:dyDescent="0.25">
      <c r="A1113" s="91" t="s">
        <v>1713</v>
      </c>
      <c r="B1113" s="92" t="s">
        <v>178</v>
      </c>
      <c r="C1113" s="91"/>
      <c r="D1113" s="91"/>
      <c r="E1113" s="122"/>
      <c r="F1113" s="96">
        <f>SUM(F1070:F1111)</f>
        <v>30289</v>
      </c>
    </row>
    <row r="1116" spans="1:6" x14ac:dyDescent="0.25">
      <c r="A1116" s="91" t="s">
        <v>1714</v>
      </c>
      <c r="B1116" s="92" t="s">
        <v>180</v>
      </c>
      <c r="C1116" s="91"/>
      <c r="D1116" s="91"/>
      <c r="E1116" s="122"/>
      <c r="F1116" s="91"/>
    </row>
    <row r="1118" spans="1:6" x14ac:dyDescent="0.25">
      <c r="A1118" s="91"/>
      <c r="B1118" s="92" t="s">
        <v>0</v>
      </c>
      <c r="C1118" s="97"/>
      <c r="D1118" s="91"/>
      <c r="E1118" s="122"/>
      <c r="F1118" s="91"/>
    </row>
    <row r="1120" spans="1:6" ht="338.25" customHeight="1" x14ac:dyDescent="0.25">
      <c r="B1120" s="37" t="s">
        <v>1571</v>
      </c>
    </row>
    <row r="1123" spans="1:6" ht="27.75" customHeight="1" x14ac:dyDescent="0.25">
      <c r="A1123" s="39" t="s">
        <v>1787</v>
      </c>
      <c r="B1123" s="37" t="s">
        <v>181</v>
      </c>
      <c r="C1123" s="76" t="s">
        <v>38</v>
      </c>
      <c r="D1123" s="40">
        <v>280</v>
      </c>
      <c r="E1123" s="77">
        <v>14</v>
      </c>
      <c r="F1123" s="78">
        <f>ROUND(D1123*E1123,2)</f>
        <v>3920</v>
      </c>
    </row>
    <row r="1124" spans="1:6" x14ac:dyDescent="0.25">
      <c r="B1124" s="75"/>
      <c r="C1124" s="38"/>
    </row>
    <row r="1125" spans="1:6" ht="28.5" customHeight="1" x14ac:dyDescent="0.25">
      <c r="A1125" s="39" t="s">
        <v>1788</v>
      </c>
      <c r="B1125" s="37" t="s">
        <v>182</v>
      </c>
      <c r="C1125" s="76" t="s">
        <v>38</v>
      </c>
      <c r="D1125" s="40">
        <v>275</v>
      </c>
      <c r="E1125" s="77">
        <v>14.5</v>
      </c>
      <c r="F1125" s="78">
        <f>ROUND(D1125*E1125,2)</f>
        <v>3987.5</v>
      </c>
    </row>
    <row r="1126" spans="1:6" x14ac:dyDescent="0.25">
      <c r="B1126" s="75"/>
      <c r="C1126" s="38"/>
    </row>
    <row r="1127" spans="1:6" ht="36" x14ac:dyDescent="0.25">
      <c r="A1127" s="39" t="s">
        <v>1789</v>
      </c>
      <c r="B1127" s="37" t="s">
        <v>183</v>
      </c>
      <c r="C1127" s="76" t="s">
        <v>38</v>
      </c>
      <c r="D1127" s="40">
        <v>320</v>
      </c>
      <c r="E1127" s="77">
        <v>14</v>
      </c>
      <c r="F1127" s="78">
        <f>ROUND(D1127*E1127,2)</f>
        <v>4480</v>
      </c>
    </row>
    <row r="1128" spans="1:6" x14ac:dyDescent="0.25">
      <c r="B1128" s="75"/>
      <c r="C1128" s="38"/>
    </row>
    <row r="1129" spans="1:6" ht="36" x14ac:dyDescent="0.25">
      <c r="A1129" s="39" t="s">
        <v>1790</v>
      </c>
      <c r="B1129" s="37" t="s">
        <v>184</v>
      </c>
      <c r="C1129" s="76" t="s">
        <v>38</v>
      </c>
      <c r="D1129" s="40">
        <v>120</v>
      </c>
      <c r="E1129" s="77">
        <v>14.5</v>
      </c>
      <c r="F1129" s="78">
        <f>ROUND(D1129*E1129,2)</f>
        <v>1740</v>
      </c>
    </row>
    <row r="1130" spans="1:6" x14ac:dyDescent="0.25">
      <c r="B1130" s="75"/>
      <c r="C1130" s="38"/>
    </row>
    <row r="1131" spans="1:6" ht="36" x14ac:dyDescent="0.25">
      <c r="B1131" s="75" t="s">
        <v>185</v>
      </c>
      <c r="C1131" s="76" t="s">
        <v>38</v>
      </c>
      <c r="D1131" s="40">
        <v>200</v>
      </c>
      <c r="E1131" s="77">
        <v>16</v>
      </c>
      <c r="F1131" s="78">
        <f>ROUND(D1131*E1131,2)</f>
        <v>3200</v>
      </c>
    </row>
    <row r="1133" spans="1:6" x14ac:dyDescent="0.25">
      <c r="A1133" s="39" t="s">
        <v>1791</v>
      </c>
      <c r="B1133" s="37" t="s">
        <v>186</v>
      </c>
    </row>
    <row r="1134" spans="1:6" x14ac:dyDescent="0.25">
      <c r="B1134" s="75" t="s">
        <v>187</v>
      </c>
      <c r="C1134" s="76" t="s">
        <v>38</v>
      </c>
      <c r="D1134" s="40">
        <v>150</v>
      </c>
      <c r="E1134" s="77">
        <v>7</v>
      </c>
      <c r="F1134" s="78">
        <f>ROUND(D1134*E1134,2)</f>
        <v>1050</v>
      </c>
    </row>
    <row r="1135" spans="1:6" x14ac:dyDescent="0.25">
      <c r="B1135" s="75" t="s">
        <v>188</v>
      </c>
      <c r="C1135" s="76" t="s">
        <v>38</v>
      </c>
      <c r="D1135" s="40">
        <v>100</v>
      </c>
      <c r="E1135" s="77">
        <v>9</v>
      </c>
      <c r="F1135" s="78">
        <f>ROUND(D1135*E1135,2)</f>
        <v>900</v>
      </c>
    </row>
    <row r="1136" spans="1:6" x14ac:dyDescent="0.25">
      <c r="B1136" s="75" t="s">
        <v>189</v>
      </c>
      <c r="C1136" s="76" t="s">
        <v>38</v>
      </c>
      <c r="D1136" s="40">
        <v>85</v>
      </c>
      <c r="E1136" s="77">
        <v>30</v>
      </c>
      <c r="F1136" s="78">
        <f>ROUND(D1136*E1136,2)</f>
        <v>2550</v>
      </c>
    </row>
    <row r="1138" spans="1:6" x14ac:dyDescent="0.25">
      <c r="A1138" s="91" t="s">
        <v>1714</v>
      </c>
      <c r="B1138" s="92" t="s">
        <v>190</v>
      </c>
      <c r="C1138" s="91"/>
      <c r="D1138" s="91"/>
      <c r="E1138" s="122"/>
      <c r="F1138" s="96">
        <f>SUM(F1120:F1136)</f>
        <v>21827.5</v>
      </c>
    </row>
    <row r="1141" spans="1:6" x14ac:dyDescent="0.25">
      <c r="A1141" s="91" t="s">
        <v>1715</v>
      </c>
      <c r="B1141" s="92" t="s">
        <v>191</v>
      </c>
      <c r="C1141" s="91"/>
      <c r="D1141" s="91"/>
      <c r="E1141" s="122"/>
      <c r="F1141" s="91"/>
    </row>
    <row r="1143" spans="1:6" ht="49.5" customHeight="1" x14ac:dyDescent="0.25">
      <c r="A1143" s="39" t="s">
        <v>1792</v>
      </c>
      <c r="B1143" s="37" t="s">
        <v>2181</v>
      </c>
      <c r="C1143" s="76" t="s">
        <v>15</v>
      </c>
      <c r="D1143" s="40">
        <v>20</v>
      </c>
      <c r="E1143" s="77">
        <v>30</v>
      </c>
      <c r="F1143" s="78">
        <f>ROUND(D1143*E1143,2)</f>
        <v>600</v>
      </c>
    </row>
    <row r="1144" spans="1:6" x14ac:dyDescent="0.25">
      <c r="B1144" s="75"/>
      <c r="C1144" s="38"/>
    </row>
    <row r="1145" spans="1:6" ht="15.75" customHeight="1" x14ac:dyDescent="0.25">
      <c r="A1145" s="39" t="s">
        <v>1793</v>
      </c>
      <c r="B1145" s="37" t="s">
        <v>192</v>
      </c>
      <c r="C1145" s="76" t="s">
        <v>15</v>
      </c>
      <c r="D1145" s="40">
        <v>1</v>
      </c>
      <c r="E1145" s="77">
        <v>50</v>
      </c>
      <c r="F1145" s="78">
        <f>ROUND(D1145*E1145,2)</f>
        <v>50</v>
      </c>
    </row>
    <row r="1146" spans="1:6" x14ac:dyDescent="0.25">
      <c r="B1146" s="75"/>
      <c r="C1146" s="38"/>
    </row>
    <row r="1147" spans="1:6" x14ac:dyDescent="0.25">
      <c r="A1147" s="39" t="s">
        <v>1794</v>
      </c>
      <c r="B1147" s="37" t="s">
        <v>193</v>
      </c>
      <c r="C1147" s="76" t="s">
        <v>15</v>
      </c>
      <c r="D1147" s="40">
        <v>4</v>
      </c>
      <c r="E1147" s="77">
        <v>50</v>
      </c>
      <c r="F1147" s="78">
        <f>ROUND(D1147*E1147,2)</f>
        <v>200</v>
      </c>
    </row>
    <row r="1148" spans="1:6" x14ac:dyDescent="0.25">
      <c r="B1148" s="75"/>
      <c r="C1148" s="38"/>
    </row>
    <row r="1149" spans="1:6" x14ac:dyDescent="0.25">
      <c r="A1149" s="39" t="s">
        <v>1795</v>
      </c>
      <c r="B1149" s="37" t="s">
        <v>194</v>
      </c>
      <c r="C1149" s="76" t="s">
        <v>15</v>
      </c>
      <c r="D1149" s="40">
        <v>5</v>
      </c>
      <c r="E1149" s="77">
        <v>50</v>
      </c>
      <c r="F1149" s="78">
        <f>ROUND(D1149*E1149,2)</f>
        <v>250</v>
      </c>
    </row>
    <row r="1150" spans="1:6" x14ac:dyDescent="0.25">
      <c r="B1150" s="75"/>
      <c r="C1150" s="38"/>
    </row>
    <row r="1151" spans="1:6" ht="24" x14ac:dyDescent="0.25">
      <c r="A1151" s="39" t="s">
        <v>1796</v>
      </c>
      <c r="B1151" s="37" t="s">
        <v>2711</v>
      </c>
      <c r="C1151" s="76" t="s">
        <v>15</v>
      </c>
      <c r="D1151" s="40">
        <v>5</v>
      </c>
      <c r="E1151" s="77">
        <v>150</v>
      </c>
      <c r="F1151" s="78">
        <f>ROUND(D1151*E1151,2)</f>
        <v>750</v>
      </c>
    </row>
    <row r="1152" spans="1:6" x14ac:dyDescent="0.25">
      <c r="B1152" s="75"/>
      <c r="C1152" s="38"/>
    </row>
    <row r="1153" spans="1:6" ht="15" customHeight="1" x14ac:dyDescent="0.25">
      <c r="A1153" s="39" t="s">
        <v>1797</v>
      </c>
      <c r="B1153" s="37" t="s">
        <v>195</v>
      </c>
      <c r="C1153" s="76" t="s">
        <v>15</v>
      </c>
      <c r="D1153" s="40">
        <v>5</v>
      </c>
      <c r="E1153" s="77">
        <v>10</v>
      </c>
      <c r="F1153" s="78">
        <f>ROUND(D1153*E1153,2)</f>
        <v>50</v>
      </c>
    </row>
    <row r="1154" spans="1:6" x14ac:dyDescent="0.25">
      <c r="B1154" s="75"/>
      <c r="C1154" s="38"/>
    </row>
    <row r="1155" spans="1:6" ht="36" x14ac:dyDescent="0.25">
      <c r="A1155" s="39" t="s">
        <v>1798</v>
      </c>
      <c r="B1155" s="37" t="s">
        <v>196</v>
      </c>
      <c r="C1155" s="76" t="s">
        <v>15</v>
      </c>
      <c r="D1155" s="40">
        <v>2</v>
      </c>
      <c r="E1155" s="77">
        <v>1000</v>
      </c>
      <c r="F1155" s="78">
        <f>ROUND(D1155*E1155,2)</f>
        <v>2000</v>
      </c>
    </row>
    <row r="1156" spans="1:6" x14ac:dyDescent="0.25">
      <c r="B1156" s="75"/>
      <c r="C1156" s="38"/>
    </row>
    <row r="1157" spans="1:6" x14ac:dyDescent="0.25">
      <c r="A1157" s="39" t="s">
        <v>1799</v>
      </c>
      <c r="B1157" s="37" t="s">
        <v>2876</v>
      </c>
    </row>
    <row r="1158" spans="1:6" x14ac:dyDescent="0.25">
      <c r="B1158" s="75" t="s">
        <v>197</v>
      </c>
      <c r="C1158" s="76" t="s">
        <v>15</v>
      </c>
      <c r="D1158" s="40">
        <v>3</v>
      </c>
      <c r="E1158" s="77">
        <v>100</v>
      </c>
      <c r="F1158" s="78">
        <f>ROUND(D1158*E1158,2)</f>
        <v>300</v>
      </c>
    </row>
    <row r="1159" spans="1:6" x14ac:dyDescent="0.25">
      <c r="B1159" s="75" t="s">
        <v>198</v>
      </c>
      <c r="C1159" s="76" t="s">
        <v>15</v>
      </c>
      <c r="D1159" s="40">
        <v>2</v>
      </c>
      <c r="E1159" s="77">
        <v>100</v>
      </c>
      <c r="F1159" s="78">
        <f>ROUND(D1159*E1159,2)</f>
        <v>200</v>
      </c>
    </row>
    <row r="1160" spans="1:6" x14ac:dyDescent="0.25">
      <c r="B1160" s="75" t="s">
        <v>199</v>
      </c>
      <c r="C1160" s="76" t="s">
        <v>15</v>
      </c>
      <c r="D1160" s="40">
        <v>1</v>
      </c>
      <c r="E1160" s="77">
        <v>100</v>
      </c>
      <c r="F1160" s="78">
        <f>ROUND(D1160*E1160,2)</f>
        <v>100</v>
      </c>
    </row>
    <row r="1161" spans="1:6" x14ac:dyDescent="0.25">
      <c r="E1161" s="124"/>
      <c r="F1161" s="78"/>
    </row>
    <row r="1162" spans="1:6" x14ac:dyDescent="0.25">
      <c r="A1162" s="91" t="s">
        <v>1715</v>
      </c>
      <c r="B1162" s="92" t="s">
        <v>219</v>
      </c>
      <c r="C1162" s="91"/>
      <c r="D1162" s="91"/>
      <c r="E1162" s="122"/>
      <c r="F1162" s="96">
        <f>SUM(F1143:F1160)</f>
        <v>4500</v>
      </c>
    </row>
    <row r="1163" spans="1:6" x14ac:dyDescent="0.25">
      <c r="E1163" s="124"/>
      <c r="F1163" s="78"/>
    </row>
    <row r="1165" spans="1:6" x14ac:dyDescent="0.25">
      <c r="A1165" s="91" t="s">
        <v>1716</v>
      </c>
      <c r="B1165" s="92" t="s">
        <v>200</v>
      </c>
      <c r="C1165" s="91"/>
      <c r="D1165" s="91"/>
      <c r="E1165" s="122"/>
      <c r="F1165" s="91"/>
    </row>
    <row r="1167" spans="1:6" x14ac:dyDescent="0.25">
      <c r="A1167" s="91"/>
      <c r="B1167" s="92" t="s">
        <v>0</v>
      </c>
      <c r="C1167" s="97"/>
      <c r="D1167" s="91"/>
      <c r="E1167" s="122"/>
      <c r="F1167" s="91"/>
    </row>
    <row r="1169" spans="1:6" ht="159" customHeight="1" x14ac:dyDescent="0.25">
      <c r="B1169" s="37" t="s">
        <v>201</v>
      </c>
    </row>
    <row r="1172" spans="1:6" ht="48" x14ac:dyDescent="0.25">
      <c r="A1172" s="39" t="s">
        <v>1800</v>
      </c>
      <c r="B1172" s="37" t="s">
        <v>202</v>
      </c>
    </row>
    <row r="1173" spans="1:6" x14ac:dyDescent="0.25">
      <c r="B1173" s="75" t="s">
        <v>203</v>
      </c>
      <c r="C1173" s="76" t="s">
        <v>15</v>
      </c>
      <c r="D1173" s="40">
        <v>10</v>
      </c>
      <c r="E1173" s="77">
        <v>50</v>
      </c>
      <c r="F1173" s="78">
        <f t="shared" ref="F1173:F1178" si="9">ROUND(D1173*E1173,2)</f>
        <v>500</v>
      </c>
    </row>
    <row r="1174" spans="1:6" x14ac:dyDescent="0.25">
      <c r="B1174" s="75" t="s">
        <v>204</v>
      </c>
      <c r="C1174" s="76" t="s">
        <v>15</v>
      </c>
      <c r="D1174" s="40">
        <v>5</v>
      </c>
      <c r="E1174" s="77">
        <v>55</v>
      </c>
      <c r="F1174" s="78">
        <f t="shared" si="9"/>
        <v>275</v>
      </c>
    </row>
    <row r="1175" spans="1:6" x14ac:dyDescent="0.25">
      <c r="B1175" s="75" t="s">
        <v>205</v>
      </c>
      <c r="C1175" s="76" t="s">
        <v>15</v>
      </c>
      <c r="D1175" s="40">
        <v>3</v>
      </c>
      <c r="E1175" s="77">
        <v>70</v>
      </c>
      <c r="F1175" s="78">
        <f t="shared" si="9"/>
        <v>210</v>
      </c>
    </row>
    <row r="1176" spans="1:6" x14ac:dyDescent="0.25">
      <c r="B1176" s="75" t="s">
        <v>206</v>
      </c>
      <c r="C1176" s="76" t="s">
        <v>15</v>
      </c>
      <c r="D1176" s="40">
        <v>10</v>
      </c>
      <c r="E1176" s="77">
        <v>50</v>
      </c>
      <c r="F1176" s="78">
        <f t="shared" si="9"/>
        <v>500</v>
      </c>
    </row>
    <row r="1177" spans="1:6" x14ac:dyDescent="0.25">
      <c r="B1177" s="75" t="s">
        <v>207</v>
      </c>
      <c r="C1177" s="76" t="s">
        <v>15</v>
      </c>
      <c r="D1177" s="40">
        <v>5</v>
      </c>
      <c r="E1177" s="77">
        <v>55</v>
      </c>
      <c r="F1177" s="78">
        <f t="shared" si="9"/>
        <v>275</v>
      </c>
    </row>
    <row r="1178" spans="1:6" x14ac:dyDescent="0.25">
      <c r="B1178" s="75" t="s">
        <v>208</v>
      </c>
      <c r="C1178" s="76" t="s">
        <v>15</v>
      </c>
      <c r="D1178" s="40">
        <v>3</v>
      </c>
      <c r="E1178" s="77">
        <v>70</v>
      </c>
      <c r="F1178" s="78">
        <f t="shared" si="9"/>
        <v>210</v>
      </c>
    </row>
    <row r="1180" spans="1:6" ht="51.75" customHeight="1" x14ac:dyDescent="0.25">
      <c r="A1180" s="39" t="s">
        <v>1801</v>
      </c>
      <c r="B1180" s="37" t="s">
        <v>209</v>
      </c>
    </row>
    <row r="1181" spans="1:6" x14ac:dyDescent="0.25">
      <c r="B1181" s="75" t="s">
        <v>210</v>
      </c>
      <c r="C1181" s="76" t="s">
        <v>15</v>
      </c>
      <c r="D1181" s="40">
        <v>3</v>
      </c>
      <c r="E1181" s="77">
        <v>110</v>
      </c>
      <c r="F1181" s="78">
        <f>ROUND(D1181*E1181,2)</f>
        <v>330</v>
      </c>
    </row>
    <row r="1182" spans="1:6" x14ac:dyDescent="0.25">
      <c r="B1182" s="75" t="s">
        <v>211</v>
      </c>
      <c r="C1182" s="76" t="s">
        <v>15</v>
      </c>
      <c r="D1182" s="40">
        <v>2</v>
      </c>
      <c r="E1182" s="77">
        <v>110</v>
      </c>
      <c r="F1182" s="78">
        <f>ROUND(D1182*E1182,2)</f>
        <v>220</v>
      </c>
    </row>
    <row r="1184" spans="1:6" ht="60" x14ac:dyDescent="0.25">
      <c r="A1184" s="39" t="s">
        <v>1802</v>
      </c>
      <c r="B1184" s="37" t="s">
        <v>2714</v>
      </c>
    </row>
    <row r="1185" spans="1:6" x14ac:dyDescent="0.25">
      <c r="B1185" s="75" t="s">
        <v>212</v>
      </c>
      <c r="C1185" s="76" t="s">
        <v>15</v>
      </c>
      <c r="D1185" s="40">
        <v>10</v>
      </c>
      <c r="E1185" s="77">
        <v>40</v>
      </c>
      <c r="F1185" s="78">
        <f>ROUND(D1185*E1185,2)</f>
        <v>400</v>
      </c>
    </row>
    <row r="1187" spans="1:6" ht="48" x14ac:dyDescent="0.25">
      <c r="A1187" s="39" t="s">
        <v>1803</v>
      </c>
      <c r="B1187" s="37" t="s">
        <v>2712</v>
      </c>
      <c r="C1187" s="76" t="s">
        <v>38</v>
      </c>
      <c r="D1187" s="40">
        <v>21</v>
      </c>
      <c r="E1187" s="77">
        <v>130</v>
      </c>
      <c r="F1187" s="78">
        <f>ROUND(D1187*E1187,2)</f>
        <v>2730</v>
      </c>
    </row>
    <row r="1188" spans="1:6" x14ac:dyDescent="0.25">
      <c r="B1188" s="75"/>
      <c r="C1188" s="38"/>
    </row>
    <row r="1189" spans="1:6" ht="101.25" customHeight="1" x14ac:dyDescent="0.25">
      <c r="A1189" s="39" t="s">
        <v>1804</v>
      </c>
      <c r="B1189" s="37" t="s">
        <v>2713</v>
      </c>
    </row>
    <row r="1190" spans="1:6" x14ac:dyDescent="0.25">
      <c r="B1190" s="75" t="s">
        <v>213</v>
      </c>
      <c r="C1190" s="76" t="s">
        <v>19</v>
      </c>
      <c r="D1190" s="40">
        <v>3</v>
      </c>
      <c r="E1190" s="77">
        <v>340</v>
      </c>
      <c r="F1190" s="78">
        <f>ROUND(D1190*E1190,2)</f>
        <v>1020</v>
      </c>
    </row>
    <row r="1191" spans="1:6" x14ac:dyDescent="0.25">
      <c r="B1191" s="75" t="s">
        <v>214</v>
      </c>
      <c r="C1191" s="76" t="s">
        <v>19</v>
      </c>
      <c r="D1191" s="40">
        <v>3</v>
      </c>
      <c r="E1191" s="77">
        <v>480</v>
      </c>
      <c r="F1191" s="78">
        <f>ROUND(D1191*E1191,2)</f>
        <v>1440</v>
      </c>
    </row>
    <row r="1193" spans="1:6" ht="30" customHeight="1" x14ac:dyDescent="0.25">
      <c r="A1193" s="39" t="s">
        <v>1805</v>
      </c>
      <c r="B1193" s="37" t="s">
        <v>215</v>
      </c>
      <c r="C1193" s="76" t="s">
        <v>15</v>
      </c>
      <c r="D1193" s="40">
        <v>20</v>
      </c>
      <c r="E1193" s="77">
        <v>60</v>
      </c>
      <c r="F1193" s="78">
        <f>ROUND(D1193*E1193,2)</f>
        <v>1200</v>
      </c>
    </row>
    <row r="1194" spans="1:6" x14ac:dyDescent="0.25">
      <c r="B1194" s="75"/>
      <c r="C1194" s="38"/>
    </row>
    <row r="1195" spans="1:6" ht="24" x14ac:dyDescent="0.25">
      <c r="A1195" s="39" t="s">
        <v>1806</v>
      </c>
      <c r="B1195" s="37" t="s">
        <v>2877</v>
      </c>
      <c r="C1195" s="76" t="s">
        <v>15</v>
      </c>
      <c r="D1195" s="40">
        <v>2</v>
      </c>
      <c r="E1195" s="77">
        <v>1000</v>
      </c>
      <c r="F1195" s="78">
        <f>ROUND(D1195*E1195,2)</f>
        <v>2000</v>
      </c>
    </row>
    <row r="1196" spans="1:6" x14ac:dyDescent="0.25">
      <c r="B1196" s="75"/>
      <c r="C1196" s="38"/>
    </row>
    <row r="1197" spans="1:6" ht="30" customHeight="1" x14ac:dyDescent="0.25">
      <c r="A1197" s="39" t="s">
        <v>1807</v>
      </c>
      <c r="B1197" s="37" t="s">
        <v>3038</v>
      </c>
      <c r="C1197" s="76" t="s">
        <v>19</v>
      </c>
      <c r="D1197" s="40">
        <v>1</v>
      </c>
      <c r="E1197" s="77">
        <v>400</v>
      </c>
      <c r="F1197" s="78">
        <f>ROUND(D1197*E1197,2)</f>
        <v>400</v>
      </c>
    </row>
    <row r="1198" spans="1:6" x14ac:dyDescent="0.25">
      <c r="B1198" s="75"/>
      <c r="C1198" s="38"/>
    </row>
    <row r="1199" spans="1:6" ht="183.75" customHeight="1" x14ac:dyDescent="0.25">
      <c r="A1199" s="39" t="s">
        <v>1808</v>
      </c>
      <c r="B1199" s="37" t="s">
        <v>2715</v>
      </c>
    </row>
    <row r="1200" spans="1:6" ht="185.4" customHeight="1" x14ac:dyDescent="0.25">
      <c r="B1200" s="37" t="s">
        <v>1572</v>
      </c>
    </row>
    <row r="1201" spans="1:6" ht="138" customHeight="1" x14ac:dyDescent="0.25">
      <c r="B1201" s="37" t="s">
        <v>2182</v>
      </c>
    </row>
    <row r="1202" spans="1:6" ht="201" customHeight="1" x14ac:dyDescent="0.25">
      <c r="B1202" s="37" t="s">
        <v>2183</v>
      </c>
    </row>
    <row r="1203" spans="1:6" ht="123.75" customHeight="1" x14ac:dyDescent="0.25">
      <c r="B1203" s="37" t="s">
        <v>2636</v>
      </c>
    </row>
    <row r="1204" spans="1:6" x14ac:dyDescent="0.25">
      <c r="B1204" s="75" t="s">
        <v>217</v>
      </c>
      <c r="C1204" s="76" t="s">
        <v>38</v>
      </c>
      <c r="D1204" s="40">
        <v>105</v>
      </c>
      <c r="E1204" s="77">
        <v>180</v>
      </c>
      <c r="F1204" s="78">
        <f>ROUND(D1204*E1204,2)</f>
        <v>18900</v>
      </c>
    </row>
    <row r="1206" spans="1:6" ht="75" customHeight="1" x14ac:dyDescent="0.25">
      <c r="A1206" s="39" t="s">
        <v>1809</v>
      </c>
      <c r="B1206" s="37" t="s">
        <v>218</v>
      </c>
      <c r="C1206" s="76" t="s">
        <v>15</v>
      </c>
      <c r="D1206" s="40">
        <v>1</v>
      </c>
      <c r="E1206" s="77">
        <v>2000</v>
      </c>
      <c r="F1206" s="78">
        <f>ROUND(D1206*E1206,2)</f>
        <v>2000</v>
      </c>
    </row>
    <row r="1208" spans="1:6" x14ac:dyDescent="0.25">
      <c r="A1208" s="91" t="s">
        <v>1716</v>
      </c>
      <c r="B1208" s="92" t="s">
        <v>216</v>
      </c>
      <c r="C1208" s="91"/>
      <c r="D1208" s="91"/>
      <c r="E1208" s="122"/>
      <c r="F1208" s="96">
        <f>SUM(F1169:F1206)</f>
        <v>32610</v>
      </c>
    </row>
    <row r="1211" spans="1:6" x14ac:dyDescent="0.25">
      <c r="A1211" s="91" t="s">
        <v>1717</v>
      </c>
      <c r="B1211" s="92" t="s">
        <v>220</v>
      </c>
      <c r="C1211" s="91"/>
      <c r="D1211" s="91"/>
      <c r="E1211" s="122"/>
      <c r="F1211" s="91"/>
    </row>
    <row r="1213" spans="1:6" x14ac:dyDescent="0.25">
      <c r="A1213" s="91" t="s">
        <v>1810</v>
      </c>
      <c r="B1213" s="92" t="s">
        <v>221</v>
      </c>
      <c r="C1213" s="91"/>
      <c r="D1213" s="91"/>
      <c r="E1213" s="122"/>
      <c r="F1213" s="91"/>
    </row>
    <row r="1215" spans="1:6" ht="36" x14ac:dyDescent="0.25">
      <c r="A1215" s="39" t="s">
        <v>1811</v>
      </c>
      <c r="B1215" s="37" t="s">
        <v>2734</v>
      </c>
      <c r="C1215" s="76" t="s">
        <v>15</v>
      </c>
      <c r="D1215" s="40">
        <v>2</v>
      </c>
      <c r="E1215" s="77">
        <v>230</v>
      </c>
      <c r="F1215" s="78">
        <f>ROUND(D1215*E1215,2)</f>
        <v>460</v>
      </c>
    </row>
    <row r="1216" spans="1:6" x14ac:dyDescent="0.25">
      <c r="B1216" s="75"/>
      <c r="C1216" s="38"/>
    </row>
    <row r="1217" spans="1:6" ht="60" x14ac:dyDescent="0.25">
      <c r="A1217" s="39" t="s">
        <v>1812</v>
      </c>
      <c r="B1217" s="37" t="s">
        <v>2766</v>
      </c>
      <c r="C1217" s="76" t="s">
        <v>15</v>
      </c>
      <c r="D1217" s="40">
        <v>1</v>
      </c>
      <c r="E1217" s="77">
        <v>1349</v>
      </c>
      <c r="F1217" s="78">
        <f>ROUND(D1217*E1217,2)</f>
        <v>1349</v>
      </c>
    </row>
    <row r="1218" spans="1:6" x14ac:dyDescent="0.25">
      <c r="B1218" s="75"/>
      <c r="C1218" s="38"/>
    </row>
    <row r="1219" spans="1:6" ht="36" x14ac:dyDescent="0.25">
      <c r="A1219" s="39" t="s">
        <v>1813</v>
      </c>
      <c r="B1219" s="37" t="s">
        <v>2742</v>
      </c>
      <c r="C1219" s="76" t="s">
        <v>15</v>
      </c>
      <c r="D1219" s="40">
        <v>2</v>
      </c>
      <c r="E1219" s="77">
        <v>100</v>
      </c>
      <c r="F1219" s="78">
        <f>ROUND(D1219*E1219,2)</f>
        <v>200</v>
      </c>
    </row>
    <row r="1220" spans="1:6" x14ac:dyDescent="0.25">
      <c r="B1220" s="75"/>
      <c r="C1220" s="38"/>
    </row>
    <row r="1221" spans="1:6" ht="39.75" customHeight="1" x14ac:dyDescent="0.25">
      <c r="A1221" s="39" t="s">
        <v>1814</v>
      </c>
      <c r="B1221" s="37" t="s">
        <v>2765</v>
      </c>
      <c r="C1221" s="76" t="s">
        <v>15</v>
      </c>
      <c r="D1221" s="40">
        <v>1</v>
      </c>
      <c r="E1221" s="77">
        <v>3065</v>
      </c>
      <c r="F1221" s="78">
        <f>ROUND(D1221*E1221,2)</f>
        <v>3065</v>
      </c>
    </row>
    <row r="1222" spans="1:6" x14ac:dyDescent="0.25">
      <c r="B1222" s="75"/>
      <c r="C1222" s="38"/>
    </row>
    <row r="1223" spans="1:6" ht="36" x14ac:dyDescent="0.25">
      <c r="A1223" s="39" t="s">
        <v>1815</v>
      </c>
      <c r="B1223" s="37" t="s">
        <v>2764</v>
      </c>
      <c r="C1223" s="76" t="s">
        <v>15</v>
      </c>
      <c r="D1223" s="40">
        <v>1</v>
      </c>
      <c r="E1223" s="77">
        <v>290</v>
      </c>
      <c r="F1223" s="78">
        <f>ROUND(D1223*E1223,2)</f>
        <v>290</v>
      </c>
    </row>
    <row r="1224" spans="1:6" x14ac:dyDescent="0.25">
      <c r="B1224" s="75"/>
      <c r="C1224" s="38"/>
    </row>
    <row r="1225" spans="1:6" ht="36" x14ac:dyDescent="0.25">
      <c r="A1225" s="39" t="s">
        <v>1816</v>
      </c>
      <c r="B1225" s="37" t="s">
        <v>2763</v>
      </c>
      <c r="C1225" s="76" t="s">
        <v>15</v>
      </c>
      <c r="D1225" s="40">
        <v>1</v>
      </c>
      <c r="E1225" s="77">
        <v>599</v>
      </c>
      <c r="F1225" s="78">
        <f>ROUND(D1225*E1225,2)</f>
        <v>599</v>
      </c>
    </row>
    <row r="1226" spans="1:6" x14ac:dyDescent="0.25">
      <c r="B1226" s="75"/>
    </row>
    <row r="1227" spans="1:6" ht="36" x14ac:dyDescent="0.25">
      <c r="A1227" s="39" t="s">
        <v>1817</v>
      </c>
      <c r="B1227" s="37" t="s">
        <v>2762</v>
      </c>
      <c r="C1227" s="76" t="s">
        <v>15</v>
      </c>
      <c r="D1227" s="40">
        <v>1</v>
      </c>
      <c r="E1227" s="77">
        <v>711</v>
      </c>
      <c r="F1227" s="78">
        <f>ROUND(D1227*E1227,2)</f>
        <v>711</v>
      </c>
    </row>
    <row r="1228" spans="1:6" x14ac:dyDescent="0.25">
      <c r="B1228" s="75"/>
      <c r="C1228" s="38"/>
    </row>
    <row r="1229" spans="1:6" ht="60" x14ac:dyDescent="0.25">
      <c r="A1229" s="39" t="s">
        <v>1818</v>
      </c>
      <c r="B1229" s="37" t="s">
        <v>2761</v>
      </c>
      <c r="C1229" s="76" t="s">
        <v>15</v>
      </c>
      <c r="D1229" s="40">
        <v>1</v>
      </c>
      <c r="E1229" s="77">
        <v>2240</v>
      </c>
      <c r="F1229" s="78">
        <f>ROUND(D1229*E1229,2)</f>
        <v>2240</v>
      </c>
    </row>
    <row r="1230" spans="1:6" x14ac:dyDescent="0.25">
      <c r="B1230" s="75"/>
      <c r="C1230" s="38"/>
    </row>
    <row r="1231" spans="1:6" ht="48" x14ac:dyDescent="0.25">
      <c r="A1231" s="39" t="s">
        <v>1819</v>
      </c>
      <c r="B1231" s="37" t="s">
        <v>2760</v>
      </c>
      <c r="C1231" s="76" t="s">
        <v>15</v>
      </c>
      <c r="D1231" s="40">
        <v>1</v>
      </c>
      <c r="E1231" s="77">
        <v>800</v>
      </c>
      <c r="F1231" s="78">
        <f>ROUND(D1231*E1231,2)</f>
        <v>800</v>
      </c>
    </row>
    <row r="1232" spans="1:6" x14ac:dyDescent="0.25">
      <c r="B1232" s="75"/>
      <c r="C1232" s="38"/>
    </row>
    <row r="1233" spans="1:6" ht="36" x14ac:dyDescent="0.25">
      <c r="A1233" s="39" t="s">
        <v>1820</v>
      </c>
      <c r="B1233" s="37" t="s">
        <v>2759</v>
      </c>
      <c r="C1233" s="76" t="s">
        <v>15</v>
      </c>
      <c r="D1233" s="40">
        <v>1</v>
      </c>
      <c r="E1233" s="77">
        <v>998</v>
      </c>
      <c r="F1233" s="78">
        <f>ROUND(D1233*E1233,2)</f>
        <v>998</v>
      </c>
    </row>
    <row r="1234" spans="1:6" x14ac:dyDescent="0.25">
      <c r="B1234" s="75"/>
      <c r="C1234" s="38"/>
    </row>
    <row r="1235" spans="1:6" ht="36" x14ac:dyDescent="0.25">
      <c r="A1235" s="39" t="s">
        <v>1821</v>
      </c>
      <c r="B1235" s="37" t="s">
        <v>2758</v>
      </c>
      <c r="C1235" s="76" t="s">
        <v>15</v>
      </c>
      <c r="D1235" s="40">
        <v>1</v>
      </c>
      <c r="E1235" s="77">
        <v>858</v>
      </c>
      <c r="F1235" s="78">
        <f>ROUND(D1235*E1235,2)</f>
        <v>858</v>
      </c>
    </row>
    <row r="1236" spans="1:6" x14ac:dyDescent="0.25">
      <c r="B1236" s="75"/>
      <c r="C1236" s="38"/>
    </row>
    <row r="1237" spans="1:6" ht="60" x14ac:dyDescent="0.25">
      <c r="A1237" s="39" t="s">
        <v>1822</v>
      </c>
      <c r="B1237" s="37" t="s">
        <v>2757</v>
      </c>
      <c r="C1237" s="76" t="s">
        <v>15</v>
      </c>
      <c r="D1237" s="40">
        <v>1</v>
      </c>
      <c r="E1237" s="77">
        <v>875</v>
      </c>
      <c r="F1237" s="78">
        <f>ROUND(D1237*E1237,2)</f>
        <v>875</v>
      </c>
    </row>
    <row r="1238" spans="1:6" x14ac:dyDescent="0.25">
      <c r="B1238" s="75"/>
      <c r="C1238" s="38"/>
    </row>
    <row r="1239" spans="1:6" ht="63" customHeight="1" x14ac:dyDescent="0.25">
      <c r="A1239" s="39" t="s">
        <v>1823</v>
      </c>
      <c r="B1239" s="37" t="s">
        <v>2716</v>
      </c>
      <c r="C1239" s="76" t="s">
        <v>15</v>
      </c>
      <c r="D1239" s="40">
        <v>1</v>
      </c>
      <c r="E1239" s="77">
        <v>670</v>
      </c>
      <c r="F1239" s="78">
        <f>ROUND(D1239*E1239,2)</f>
        <v>670</v>
      </c>
    </row>
    <row r="1241" spans="1:6" x14ac:dyDescent="0.25">
      <c r="A1241" s="91" t="s">
        <v>1810</v>
      </c>
      <c r="B1241" s="92" t="s">
        <v>222</v>
      </c>
      <c r="C1241" s="91"/>
      <c r="D1241" s="91"/>
      <c r="E1241" s="122"/>
      <c r="F1241" s="96">
        <f>SUM(F1215:F1239)</f>
        <v>13115</v>
      </c>
    </row>
    <row r="1243" spans="1:6" x14ac:dyDescent="0.25">
      <c r="A1243" s="91" t="s">
        <v>1824</v>
      </c>
      <c r="B1243" s="92" t="s">
        <v>223</v>
      </c>
      <c r="C1243" s="91"/>
      <c r="D1243" s="91"/>
      <c r="E1243" s="122"/>
      <c r="F1243" s="91"/>
    </row>
    <row r="1245" spans="1:6" ht="48" x14ac:dyDescent="0.25">
      <c r="A1245" s="39" t="s">
        <v>1825</v>
      </c>
      <c r="B1245" s="37" t="s">
        <v>2756</v>
      </c>
      <c r="C1245" s="76" t="s">
        <v>15</v>
      </c>
      <c r="D1245" s="40">
        <v>2</v>
      </c>
      <c r="E1245" s="77">
        <v>687</v>
      </c>
      <c r="F1245" s="78">
        <f>ROUND(D1245*E1245,2)</f>
        <v>1374</v>
      </c>
    </row>
    <row r="1246" spans="1:6" x14ac:dyDescent="0.25">
      <c r="B1246" s="75"/>
      <c r="C1246" s="38"/>
    </row>
    <row r="1247" spans="1:6" ht="135.75" customHeight="1" x14ac:dyDescent="0.25">
      <c r="A1247" s="39" t="s">
        <v>1826</v>
      </c>
      <c r="B1247" s="37" t="s">
        <v>2755</v>
      </c>
    </row>
    <row r="1248" spans="1:6" x14ac:dyDescent="0.25">
      <c r="B1248" s="37" t="s">
        <v>224</v>
      </c>
      <c r="C1248" s="76" t="s">
        <v>15</v>
      </c>
      <c r="D1248" s="40">
        <v>2</v>
      </c>
      <c r="E1248" s="77">
        <v>2670</v>
      </c>
      <c r="F1248" s="78">
        <f>ROUND(D1248*E1248,2)</f>
        <v>5340</v>
      </c>
    </row>
    <row r="1249" spans="1:6" x14ac:dyDescent="0.25">
      <c r="B1249" s="75"/>
      <c r="C1249" s="38"/>
    </row>
    <row r="1250" spans="1:6" ht="138.75" customHeight="1" x14ac:dyDescent="0.25">
      <c r="A1250" s="39" t="s">
        <v>1827</v>
      </c>
      <c r="B1250" s="37" t="s">
        <v>2754</v>
      </c>
    </row>
    <row r="1251" spans="1:6" x14ac:dyDescent="0.25">
      <c r="B1251" s="37" t="s">
        <v>225</v>
      </c>
      <c r="C1251" s="76" t="s">
        <v>15</v>
      </c>
      <c r="D1251" s="40">
        <v>2</v>
      </c>
      <c r="E1251" s="77">
        <v>2850</v>
      </c>
      <c r="F1251" s="78">
        <f>ROUND(D1251*E1251,2)</f>
        <v>5700</v>
      </c>
    </row>
    <row r="1253" spans="1:6" x14ac:dyDescent="0.25">
      <c r="A1253" s="91" t="s">
        <v>1824</v>
      </c>
      <c r="B1253" s="92" t="s">
        <v>226</v>
      </c>
      <c r="C1253" s="91"/>
      <c r="D1253" s="91"/>
      <c r="E1253" s="122"/>
      <c r="F1253" s="96">
        <f>SUM(F1245:F1251)</f>
        <v>12414</v>
      </c>
    </row>
    <row r="1255" spans="1:6" x14ac:dyDescent="0.25">
      <c r="A1255" s="91" t="s">
        <v>1828</v>
      </c>
      <c r="B1255" s="92" t="s">
        <v>227</v>
      </c>
      <c r="C1255" s="91"/>
      <c r="D1255" s="91"/>
      <c r="E1255" s="122"/>
      <c r="F1255" s="91"/>
    </row>
    <row r="1257" spans="1:6" ht="60" x14ac:dyDescent="0.25">
      <c r="A1257" s="39" t="s">
        <v>1829</v>
      </c>
      <c r="B1257" s="37" t="s">
        <v>2753</v>
      </c>
      <c r="C1257" s="76" t="s">
        <v>15</v>
      </c>
      <c r="D1257" s="40">
        <v>1</v>
      </c>
      <c r="E1257" s="77">
        <v>1252</v>
      </c>
      <c r="F1257" s="78">
        <f>ROUND(D1257*E1257,2)</f>
        <v>1252</v>
      </c>
    </row>
    <row r="1258" spans="1:6" x14ac:dyDescent="0.25">
      <c r="B1258" s="75"/>
      <c r="C1258" s="38"/>
    </row>
    <row r="1259" spans="1:6" ht="36" x14ac:dyDescent="0.25">
      <c r="A1259" s="39" t="s">
        <v>1830</v>
      </c>
      <c r="B1259" s="37" t="s">
        <v>2742</v>
      </c>
      <c r="C1259" s="76" t="s">
        <v>15</v>
      </c>
      <c r="D1259" s="40">
        <v>1</v>
      </c>
      <c r="E1259" s="77">
        <v>100</v>
      </c>
      <c r="F1259" s="78">
        <f>ROUND(D1259*E1259,2)</f>
        <v>100</v>
      </c>
    </row>
    <row r="1260" spans="1:6" x14ac:dyDescent="0.25">
      <c r="B1260" s="75"/>
      <c r="C1260" s="38"/>
    </row>
    <row r="1261" spans="1:6" ht="36" x14ac:dyDescent="0.25">
      <c r="A1261" s="39" t="s">
        <v>1831</v>
      </c>
      <c r="B1261" s="37" t="s">
        <v>2734</v>
      </c>
      <c r="C1261" s="76" t="s">
        <v>15</v>
      </c>
      <c r="D1261" s="40">
        <v>1</v>
      </c>
      <c r="E1261" s="77">
        <v>230</v>
      </c>
      <c r="F1261" s="78">
        <f>ROUND(D1261*E1261,2)</f>
        <v>230</v>
      </c>
    </row>
    <row r="1262" spans="1:6" x14ac:dyDescent="0.25">
      <c r="B1262" s="75"/>
      <c r="C1262" s="38"/>
    </row>
    <row r="1263" spans="1:6" ht="48" x14ac:dyDescent="0.25">
      <c r="A1263" s="39" t="s">
        <v>1832</v>
      </c>
      <c r="B1263" s="37" t="s">
        <v>2752</v>
      </c>
      <c r="C1263" s="76" t="s">
        <v>15</v>
      </c>
      <c r="D1263" s="40">
        <v>1</v>
      </c>
      <c r="E1263" s="77">
        <v>508</v>
      </c>
      <c r="F1263" s="78">
        <f>ROUND(D1263*E1263,2)</f>
        <v>508</v>
      </c>
    </row>
    <row r="1264" spans="1:6" x14ac:dyDescent="0.25">
      <c r="B1264" s="75"/>
      <c r="C1264" s="38"/>
    </row>
    <row r="1265" spans="1:6" ht="183" customHeight="1" x14ac:dyDescent="0.25">
      <c r="A1265" s="39" t="s">
        <v>1833</v>
      </c>
      <c r="B1265" s="37" t="s">
        <v>2751</v>
      </c>
      <c r="C1265" s="76" t="s">
        <v>15</v>
      </c>
      <c r="D1265" s="40">
        <v>1</v>
      </c>
      <c r="E1265" s="77">
        <v>17000</v>
      </c>
      <c r="F1265" s="78">
        <f>ROUND(D1265*E1265,2)</f>
        <v>17000</v>
      </c>
    </row>
    <row r="1266" spans="1:6" x14ac:dyDescent="0.25">
      <c r="B1266" s="75"/>
      <c r="C1266" s="38"/>
    </row>
    <row r="1267" spans="1:6" ht="48" x14ac:dyDescent="0.25">
      <c r="A1267" s="39" t="s">
        <v>1834</v>
      </c>
      <c r="B1267" s="37" t="s">
        <v>2750</v>
      </c>
      <c r="C1267" s="76" t="s">
        <v>15</v>
      </c>
      <c r="D1267" s="40">
        <v>1</v>
      </c>
      <c r="E1267" s="77">
        <v>1012</v>
      </c>
      <c r="F1267" s="78">
        <f>ROUND(D1267*E1267,2)</f>
        <v>1012</v>
      </c>
    </row>
    <row r="1268" spans="1:6" x14ac:dyDescent="0.25">
      <c r="B1268" s="75"/>
      <c r="C1268" s="38"/>
    </row>
    <row r="1269" spans="1:6" ht="111" customHeight="1" x14ac:dyDescent="0.25">
      <c r="A1269" s="39" t="s">
        <v>1835</v>
      </c>
      <c r="B1269" s="37" t="s">
        <v>2749</v>
      </c>
      <c r="C1269" s="76" t="s">
        <v>15</v>
      </c>
      <c r="D1269" s="40">
        <v>1</v>
      </c>
      <c r="E1269" s="77">
        <v>3000</v>
      </c>
      <c r="F1269" s="78">
        <f>ROUND(D1269*E1269,2)</f>
        <v>3000</v>
      </c>
    </row>
    <row r="1270" spans="1:6" x14ac:dyDescent="0.25">
      <c r="B1270" s="75"/>
      <c r="C1270" s="38"/>
    </row>
    <row r="1271" spans="1:6" ht="98.25" customHeight="1" x14ac:dyDescent="0.25">
      <c r="A1271" s="39" t="s">
        <v>1836</v>
      </c>
      <c r="B1271" s="37" t="s">
        <v>2748</v>
      </c>
      <c r="C1271" s="76" t="s">
        <v>15</v>
      </c>
      <c r="D1271" s="40">
        <v>1</v>
      </c>
      <c r="E1271" s="77">
        <v>510</v>
      </c>
      <c r="F1271" s="78">
        <f>ROUND(D1271*E1271,2)</f>
        <v>510</v>
      </c>
    </row>
    <row r="1272" spans="1:6" x14ac:dyDescent="0.25">
      <c r="B1272" s="75"/>
      <c r="C1272" s="38"/>
    </row>
    <row r="1273" spans="1:6" ht="60" x14ac:dyDescent="0.25">
      <c r="A1273" s="39" t="s">
        <v>1837</v>
      </c>
      <c r="B1273" s="37" t="s">
        <v>2747</v>
      </c>
      <c r="C1273" s="76" t="s">
        <v>15</v>
      </c>
      <c r="D1273" s="40">
        <v>1</v>
      </c>
      <c r="E1273" s="77">
        <v>324</v>
      </c>
      <c r="F1273" s="78">
        <f>ROUND(D1273*E1273,2)</f>
        <v>324</v>
      </c>
    </row>
    <row r="1275" spans="1:6" x14ac:dyDescent="0.25">
      <c r="A1275" s="91" t="s">
        <v>1828</v>
      </c>
      <c r="B1275" s="92" t="s">
        <v>228</v>
      </c>
      <c r="C1275" s="91"/>
      <c r="D1275" s="91"/>
      <c r="E1275" s="122"/>
      <c r="F1275" s="96">
        <f>SUM(F1257:F1273)</f>
        <v>23936</v>
      </c>
    </row>
    <row r="1277" spans="1:6" x14ac:dyDescent="0.25">
      <c r="A1277" s="91" t="s">
        <v>1838</v>
      </c>
      <c r="B1277" s="92" t="s">
        <v>229</v>
      </c>
      <c r="C1277" s="91"/>
      <c r="D1277" s="91"/>
      <c r="E1277" s="122"/>
      <c r="F1277" s="91"/>
    </row>
    <row r="1279" spans="1:6" ht="72" x14ac:dyDescent="0.25">
      <c r="A1279" s="39" t="s">
        <v>1839</v>
      </c>
      <c r="B1279" s="37" t="s">
        <v>2746</v>
      </c>
      <c r="C1279" s="76" t="s">
        <v>15</v>
      </c>
      <c r="D1279" s="40">
        <v>1</v>
      </c>
      <c r="E1279" s="77">
        <v>2150</v>
      </c>
      <c r="F1279" s="78">
        <f>ROUND(D1279*E1279,2)</f>
        <v>2150</v>
      </c>
    </row>
    <row r="1280" spans="1:6" x14ac:dyDescent="0.25">
      <c r="B1280" s="75"/>
      <c r="C1280" s="38"/>
    </row>
    <row r="1281" spans="1:6" ht="36" x14ac:dyDescent="0.25">
      <c r="A1281" s="39" t="s">
        <v>1840</v>
      </c>
      <c r="B1281" s="37" t="s">
        <v>2745</v>
      </c>
      <c r="C1281" s="76" t="s">
        <v>15</v>
      </c>
      <c r="D1281" s="40">
        <v>1</v>
      </c>
      <c r="E1281" s="77">
        <v>693</v>
      </c>
      <c r="F1281" s="78">
        <f>ROUND(D1281*E1281,2)</f>
        <v>693</v>
      </c>
    </row>
    <row r="1282" spans="1:6" x14ac:dyDescent="0.25">
      <c r="B1282" s="75"/>
      <c r="C1282" s="38"/>
    </row>
    <row r="1283" spans="1:6" ht="60" x14ac:dyDescent="0.25">
      <c r="A1283" s="39" t="s">
        <v>1841</v>
      </c>
      <c r="B1283" s="37" t="s">
        <v>2744</v>
      </c>
      <c r="C1283" s="76" t="s">
        <v>15</v>
      </c>
      <c r="D1283" s="40">
        <v>1</v>
      </c>
      <c r="E1283" s="77">
        <v>984</v>
      </c>
      <c r="F1283" s="78">
        <f>ROUND(D1283*E1283,2)</f>
        <v>984</v>
      </c>
    </row>
    <row r="1284" spans="1:6" x14ac:dyDescent="0.25">
      <c r="B1284" s="75"/>
      <c r="C1284" s="38"/>
    </row>
    <row r="1285" spans="1:6" ht="40.5" customHeight="1" x14ac:dyDescent="0.25">
      <c r="A1285" s="39" t="s">
        <v>1842</v>
      </c>
      <c r="B1285" s="37" t="s">
        <v>2743</v>
      </c>
      <c r="C1285" s="76" t="s">
        <v>15</v>
      </c>
      <c r="D1285" s="40">
        <v>1</v>
      </c>
      <c r="E1285" s="77">
        <v>663</v>
      </c>
      <c r="F1285" s="78">
        <f>ROUND(D1285*E1285,2)</f>
        <v>663</v>
      </c>
    </row>
    <row r="1286" spans="1:6" x14ac:dyDescent="0.25">
      <c r="B1286" s="75"/>
      <c r="C1286" s="38"/>
    </row>
    <row r="1287" spans="1:6" ht="36" x14ac:dyDescent="0.25">
      <c r="A1287" s="39" t="s">
        <v>1843</v>
      </c>
      <c r="B1287" s="37" t="s">
        <v>2742</v>
      </c>
      <c r="C1287" s="76" t="s">
        <v>15</v>
      </c>
      <c r="D1287" s="40">
        <v>1</v>
      </c>
      <c r="E1287" s="77">
        <v>100</v>
      </c>
      <c r="F1287" s="78">
        <f>ROUND(D1287*E1287,2)</f>
        <v>100</v>
      </c>
    </row>
    <row r="1288" spans="1:6" x14ac:dyDescent="0.25">
      <c r="B1288" s="75"/>
      <c r="C1288" s="38"/>
    </row>
    <row r="1289" spans="1:6" ht="72" x14ac:dyDescent="0.25">
      <c r="A1289" s="39" t="s">
        <v>1844</v>
      </c>
      <c r="B1289" s="37" t="s">
        <v>2741</v>
      </c>
      <c r="C1289" s="76" t="s">
        <v>15</v>
      </c>
      <c r="D1289" s="40">
        <v>2</v>
      </c>
      <c r="E1289" s="77">
        <v>508</v>
      </c>
      <c r="F1289" s="78">
        <f>ROUND(D1289*E1289,2)</f>
        <v>1016</v>
      </c>
    </row>
    <row r="1291" spans="1:6" x14ac:dyDescent="0.25">
      <c r="A1291" s="91" t="s">
        <v>1838</v>
      </c>
      <c r="B1291" s="92" t="s">
        <v>230</v>
      </c>
      <c r="C1291" s="91"/>
      <c r="D1291" s="91"/>
      <c r="E1291" s="122"/>
      <c r="F1291" s="96">
        <f>SUM(F1279:F1289)</f>
        <v>5606</v>
      </c>
    </row>
    <row r="1293" spans="1:6" x14ac:dyDescent="0.25">
      <c r="A1293" s="91" t="s">
        <v>1845</v>
      </c>
      <c r="B1293" s="92" t="s">
        <v>231</v>
      </c>
      <c r="C1293" s="91"/>
      <c r="D1293" s="91"/>
      <c r="E1293" s="122"/>
      <c r="F1293" s="91"/>
    </row>
    <row r="1295" spans="1:6" ht="39" customHeight="1" x14ac:dyDescent="0.25">
      <c r="A1295" s="39" t="s">
        <v>1846</v>
      </c>
      <c r="B1295" s="37" t="s">
        <v>2740</v>
      </c>
      <c r="C1295" s="76" t="s">
        <v>15</v>
      </c>
      <c r="D1295" s="40">
        <v>1</v>
      </c>
      <c r="E1295" s="77">
        <v>813</v>
      </c>
      <c r="F1295" s="78">
        <f>ROUND(D1295*E1295,2)</f>
        <v>813</v>
      </c>
    </row>
    <row r="1296" spans="1:6" x14ac:dyDescent="0.25">
      <c r="B1296" s="75"/>
      <c r="C1296" s="38"/>
    </row>
    <row r="1297" spans="1:6" ht="72" x14ac:dyDescent="0.25">
      <c r="A1297" s="39" t="s">
        <v>1847</v>
      </c>
      <c r="B1297" s="37" t="s">
        <v>2739</v>
      </c>
      <c r="C1297" s="76" t="s">
        <v>15</v>
      </c>
      <c r="D1297" s="40">
        <v>1</v>
      </c>
      <c r="E1297" s="77">
        <v>3500</v>
      </c>
      <c r="F1297" s="78">
        <f>ROUND(D1297*E1297,2)</f>
        <v>3500</v>
      </c>
    </row>
    <row r="1298" spans="1:6" x14ac:dyDescent="0.25">
      <c r="B1298" s="75"/>
      <c r="C1298" s="38"/>
    </row>
    <row r="1299" spans="1:6" ht="72" x14ac:dyDescent="0.25">
      <c r="A1299" s="39" t="s">
        <v>1848</v>
      </c>
      <c r="B1299" s="37" t="s">
        <v>2738</v>
      </c>
      <c r="C1299" s="76" t="s">
        <v>15</v>
      </c>
      <c r="D1299" s="40">
        <v>1</v>
      </c>
      <c r="E1299" s="77">
        <v>3000</v>
      </c>
      <c r="F1299" s="78">
        <f>ROUND(D1299*E1299,2)</f>
        <v>3000</v>
      </c>
    </row>
    <row r="1300" spans="1:6" x14ac:dyDescent="0.25">
      <c r="B1300" s="75"/>
      <c r="C1300" s="38"/>
    </row>
    <row r="1301" spans="1:6" ht="60.75" customHeight="1" x14ac:dyDescent="0.25">
      <c r="A1301" s="39" t="s">
        <v>1849</v>
      </c>
      <c r="B1301" s="37" t="s">
        <v>2737</v>
      </c>
      <c r="C1301" s="76" t="s">
        <v>15</v>
      </c>
      <c r="D1301" s="40">
        <v>1</v>
      </c>
      <c r="E1301" s="77">
        <v>3000</v>
      </c>
      <c r="F1301" s="78">
        <f>ROUND(D1301*E1301,2)</f>
        <v>3000</v>
      </c>
    </row>
    <row r="1302" spans="1:6" x14ac:dyDescent="0.25">
      <c r="B1302" s="75"/>
      <c r="C1302" s="38"/>
    </row>
    <row r="1303" spans="1:6" ht="42" customHeight="1" x14ac:dyDescent="0.25">
      <c r="A1303" s="39" t="s">
        <v>1850</v>
      </c>
      <c r="B1303" s="37" t="s">
        <v>2736</v>
      </c>
      <c r="C1303" s="76" t="s">
        <v>15</v>
      </c>
      <c r="D1303" s="40">
        <v>1</v>
      </c>
      <c r="E1303" s="77">
        <v>738</v>
      </c>
      <c r="F1303" s="78">
        <f>ROUND(D1303*E1303,2)</f>
        <v>738</v>
      </c>
    </row>
    <row r="1305" spans="1:6" x14ac:dyDescent="0.25">
      <c r="A1305" s="91" t="s">
        <v>1845</v>
      </c>
      <c r="B1305" s="92" t="s">
        <v>232</v>
      </c>
      <c r="C1305" s="91"/>
      <c r="D1305" s="91"/>
      <c r="E1305" s="122"/>
      <c r="F1305" s="96">
        <f>SUM(F1295:F1303)</f>
        <v>11051</v>
      </c>
    </row>
    <row r="1307" spans="1:6" x14ac:dyDescent="0.25">
      <c r="A1307" s="91" t="s">
        <v>1851</v>
      </c>
      <c r="B1307" s="92" t="s">
        <v>233</v>
      </c>
      <c r="C1307" s="91"/>
      <c r="D1307" s="91"/>
      <c r="E1307" s="122"/>
      <c r="F1307" s="91"/>
    </row>
    <row r="1309" spans="1:6" ht="36" x14ac:dyDescent="0.25">
      <c r="A1309" s="39" t="s">
        <v>1852</v>
      </c>
      <c r="B1309" s="37" t="s">
        <v>2735</v>
      </c>
      <c r="C1309" s="76" t="s">
        <v>15</v>
      </c>
      <c r="D1309" s="40">
        <v>1</v>
      </c>
      <c r="E1309" s="77">
        <v>290</v>
      </c>
      <c r="F1309" s="78">
        <f>ROUND(D1309*E1309,2)</f>
        <v>290</v>
      </c>
    </row>
    <row r="1310" spans="1:6" x14ac:dyDescent="0.25">
      <c r="B1310" s="75"/>
      <c r="C1310" s="38"/>
    </row>
    <row r="1311" spans="1:6" ht="36" x14ac:dyDescent="0.25">
      <c r="A1311" s="39" t="s">
        <v>1853</v>
      </c>
      <c r="B1311" s="37" t="s">
        <v>2734</v>
      </c>
      <c r="C1311" s="76" t="s">
        <v>15</v>
      </c>
      <c r="D1311" s="40">
        <v>1</v>
      </c>
      <c r="E1311" s="77">
        <v>230</v>
      </c>
      <c r="F1311" s="78">
        <f>ROUND(D1311*E1311,2)</f>
        <v>230</v>
      </c>
    </row>
    <row r="1312" spans="1:6" x14ac:dyDescent="0.25">
      <c r="B1312" s="75"/>
      <c r="C1312" s="38"/>
    </row>
    <row r="1313" spans="1:6" ht="68.25" customHeight="1" x14ac:dyDescent="0.25">
      <c r="A1313" s="39" t="s">
        <v>1854</v>
      </c>
      <c r="B1313" s="37" t="s">
        <v>2733</v>
      </c>
      <c r="C1313" s="76" t="s">
        <v>15</v>
      </c>
      <c r="D1313" s="40">
        <v>1</v>
      </c>
      <c r="E1313" s="77">
        <v>670</v>
      </c>
      <c r="F1313" s="78">
        <f>ROUND(D1313*E1313,2)</f>
        <v>670</v>
      </c>
    </row>
    <row r="1314" spans="1:6" x14ac:dyDescent="0.25">
      <c r="B1314" s="75"/>
      <c r="C1314" s="38"/>
    </row>
    <row r="1315" spans="1:6" ht="48" x14ac:dyDescent="0.25">
      <c r="A1315" s="39" t="s">
        <v>1855</v>
      </c>
      <c r="B1315" s="37" t="s">
        <v>2732</v>
      </c>
      <c r="C1315" s="76" t="s">
        <v>15</v>
      </c>
      <c r="D1315" s="40">
        <v>1</v>
      </c>
      <c r="E1315" s="77">
        <v>3328</v>
      </c>
      <c r="F1315" s="78">
        <f>ROUND(D1315*E1315,2)</f>
        <v>3328</v>
      </c>
    </row>
    <row r="1316" spans="1:6" x14ac:dyDescent="0.25">
      <c r="B1316" s="75"/>
      <c r="C1316" s="38"/>
    </row>
    <row r="1317" spans="1:6" ht="36" x14ac:dyDescent="0.25">
      <c r="A1317" s="39" t="s">
        <v>1856</v>
      </c>
      <c r="B1317" s="37" t="s">
        <v>2731</v>
      </c>
      <c r="C1317" s="76" t="s">
        <v>15</v>
      </c>
      <c r="D1317" s="40">
        <v>2</v>
      </c>
      <c r="E1317" s="77">
        <v>50</v>
      </c>
      <c r="F1317" s="78">
        <f>ROUND(D1317*E1317,2)</f>
        <v>100</v>
      </c>
    </row>
    <row r="1318" spans="1:6" x14ac:dyDescent="0.25">
      <c r="B1318" s="75"/>
      <c r="C1318" s="38"/>
    </row>
    <row r="1319" spans="1:6" ht="84" x14ac:dyDescent="0.25">
      <c r="A1319" s="39" t="s">
        <v>1857</v>
      </c>
      <c r="B1319" s="37" t="s">
        <v>2730</v>
      </c>
      <c r="C1319" s="76" t="s">
        <v>15</v>
      </c>
      <c r="D1319" s="40">
        <v>2</v>
      </c>
      <c r="E1319" s="77">
        <v>5000</v>
      </c>
      <c r="F1319" s="78">
        <f>ROUND(D1319*E1319,2)</f>
        <v>10000</v>
      </c>
    </row>
    <row r="1320" spans="1:6" x14ac:dyDescent="0.25">
      <c r="B1320" s="75"/>
      <c r="C1320" s="38"/>
    </row>
    <row r="1321" spans="1:6" ht="39" customHeight="1" x14ac:dyDescent="0.25">
      <c r="A1321" s="39" t="s">
        <v>1858</v>
      </c>
      <c r="B1321" s="37" t="s">
        <v>2729</v>
      </c>
      <c r="C1321" s="76" t="s">
        <v>15</v>
      </c>
      <c r="D1321" s="40">
        <v>1</v>
      </c>
      <c r="E1321" s="77">
        <v>1610</v>
      </c>
      <c r="F1321" s="78">
        <f>ROUND(D1321*E1321,2)</f>
        <v>1610</v>
      </c>
    </row>
    <row r="1322" spans="1:6" x14ac:dyDescent="0.25">
      <c r="B1322" s="75"/>
      <c r="C1322" s="38"/>
    </row>
    <row r="1323" spans="1:6" ht="36" x14ac:dyDescent="0.25">
      <c r="A1323" s="39" t="s">
        <v>1859</v>
      </c>
      <c r="B1323" s="37" t="s">
        <v>2725</v>
      </c>
      <c r="C1323" s="76" t="s">
        <v>15</v>
      </c>
      <c r="D1323" s="40">
        <v>1</v>
      </c>
      <c r="E1323" s="77">
        <v>100</v>
      </c>
      <c r="F1323" s="78">
        <f>ROUND(D1323*E1323,2)</f>
        <v>100</v>
      </c>
    </row>
    <row r="1324" spans="1:6" x14ac:dyDescent="0.25">
      <c r="B1324" s="75"/>
      <c r="C1324" s="38"/>
    </row>
    <row r="1325" spans="1:6" ht="38.25" customHeight="1" x14ac:dyDescent="0.25">
      <c r="A1325" s="39" t="s">
        <v>1860</v>
      </c>
      <c r="B1325" s="37" t="s">
        <v>2728</v>
      </c>
      <c r="C1325" s="76" t="s">
        <v>15</v>
      </c>
      <c r="D1325" s="40">
        <v>1</v>
      </c>
      <c r="E1325" s="77">
        <v>400</v>
      </c>
      <c r="F1325" s="78">
        <f>ROUND(D1325*E1325,2)</f>
        <v>400</v>
      </c>
    </row>
    <row r="1326" spans="1:6" x14ac:dyDescent="0.25">
      <c r="B1326" s="75"/>
      <c r="C1326" s="38"/>
    </row>
    <row r="1327" spans="1:6" ht="60" x14ac:dyDescent="0.25">
      <c r="A1327" s="39" t="s">
        <v>1861</v>
      </c>
      <c r="B1327" s="37" t="s">
        <v>2727</v>
      </c>
      <c r="C1327" s="76" t="s">
        <v>15</v>
      </c>
      <c r="D1327" s="40">
        <v>1</v>
      </c>
      <c r="E1327" s="77">
        <v>5000</v>
      </c>
      <c r="F1327" s="78">
        <f>ROUND(D1327*E1327,2)</f>
        <v>5000</v>
      </c>
    </row>
    <row r="1328" spans="1:6" x14ac:dyDescent="0.25">
      <c r="B1328" s="75"/>
      <c r="C1328" s="38"/>
    </row>
    <row r="1329" spans="1:6" ht="158.25" customHeight="1" x14ac:dyDescent="0.25">
      <c r="A1329" s="39" t="s">
        <v>1862</v>
      </c>
      <c r="B1329" s="37" t="s">
        <v>2726</v>
      </c>
      <c r="C1329" s="76" t="s">
        <v>15</v>
      </c>
      <c r="D1329" s="40">
        <v>1</v>
      </c>
      <c r="E1329" s="77">
        <v>4000</v>
      </c>
      <c r="F1329" s="78">
        <f>ROUND(D1329*E1329,2)</f>
        <v>4000</v>
      </c>
    </row>
    <row r="1330" spans="1:6" x14ac:dyDescent="0.25">
      <c r="B1330" s="75"/>
      <c r="C1330" s="38"/>
    </row>
    <row r="1331" spans="1:6" ht="39" customHeight="1" x14ac:dyDescent="0.25">
      <c r="A1331" s="39" t="s">
        <v>1863</v>
      </c>
      <c r="B1331" s="37" t="s">
        <v>2725</v>
      </c>
      <c r="C1331" s="76" t="s">
        <v>15</v>
      </c>
      <c r="D1331" s="40">
        <v>2</v>
      </c>
      <c r="E1331" s="77">
        <v>100</v>
      </c>
      <c r="F1331" s="78">
        <f>ROUND(D1331*E1331,2)</f>
        <v>200</v>
      </c>
    </row>
    <row r="1332" spans="1:6" x14ac:dyDescent="0.25">
      <c r="B1332" s="75"/>
      <c r="C1332" s="38"/>
    </row>
    <row r="1333" spans="1:6" ht="156.75" customHeight="1" x14ac:dyDescent="0.25">
      <c r="A1333" s="39" t="s">
        <v>1864</v>
      </c>
      <c r="B1333" s="37" t="s">
        <v>2724</v>
      </c>
      <c r="C1333" s="76" t="s">
        <v>15</v>
      </c>
      <c r="D1333" s="40">
        <v>1</v>
      </c>
      <c r="E1333" s="77">
        <v>3000</v>
      </c>
      <c r="F1333" s="78">
        <f>ROUND(D1333*E1333,2)</f>
        <v>3000</v>
      </c>
    </row>
    <row r="1334" spans="1:6" x14ac:dyDescent="0.25">
      <c r="B1334" s="75"/>
      <c r="C1334" s="38"/>
    </row>
    <row r="1335" spans="1:6" ht="36" x14ac:dyDescent="0.25">
      <c r="A1335" s="39" t="s">
        <v>1865</v>
      </c>
      <c r="B1335" s="37" t="s">
        <v>2723</v>
      </c>
      <c r="C1335" s="76" t="s">
        <v>15</v>
      </c>
      <c r="D1335" s="40">
        <v>1</v>
      </c>
      <c r="E1335" s="77">
        <v>950</v>
      </c>
      <c r="F1335" s="78">
        <f>ROUND(D1335*E1335,2)</f>
        <v>950</v>
      </c>
    </row>
    <row r="1336" spans="1:6" x14ac:dyDescent="0.25">
      <c r="B1336" s="75"/>
      <c r="C1336" s="38"/>
    </row>
    <row r="1337" spans="1:6" ht="36" x14ac:dyDescent="0.25">
      <c r="A1337" s="39" t="s">
        <v>1866</v>
      </c>
      <c r="B1337" s="37" t="s">
        <v>2722</v>
      </c>
      <c r="C1337" s="76" t="s">
        <v>15</v>
      </c>
      <c r="D1337" s="40">
        <v>1</v>
      </c>
      <c r="E1337" s="77">
        <v>100</v>
      </c>
      <c r="F1337" s="78">
        <f>ROUND(D1337*E1337,2)</f>
        <v>100</v>
      </c>
    </row>
    <row r="1338" spans="1:6" x14ac:dyDescent="0.25">
      <c r="B1338" s="75"/>
      <c r="C1338" s="38"/>
    </row>
    <row r="1339" spans="1:6" x14ac:dyDescent="0.25">
      <c r="A1339" s="91" t="s">
        <v>1851</v>
      </c>
      <c r="B1339" s="92" t="s">
        <v>234</v>
      </c>
      <c r="C1339" s="91"/>
      <c r="D1339" s="91"/>
      <c r="E1339" s="122"/>
      <c r="F1339" s="96">
        <f>SUM(F1309:F1337)</f>
        <v>29978</v>
      </c>
    </row>
    <row r="1341" spans="1:6" x14ac:dyDescent="0.25">
      <c r="A1341" s="91" t="s">
        <v>1867</v>
      </c>
      <c r="B1341" s="92" t="s">
        <v>235</v>
      </c>
      <c r="C1341" s="91"/>
      <c r="D1341" s="91"/>
      <c r="E1341" s="122"/>
      <c r="F1341" s="91"/>
    </row>
    <row r="1343" spans="1:6" ht="48" x14ac:dyDescent="0.25">
      <c r="A1343" s="39" t="s">
        <v>1868</v>
      </c>
      <c r="B1343" s="37" t="s">
        <v>2721</v>
      </c>
      <c r="C1343" s="76" t="s">
        <v>15</v>
      </c>
      <c r="D1343" s="40">
        <v>1</v>
      </c>
      <c r="E1343" s="77">
        <v>878</v>
      </c>
      <c r="F1343" s="78">
        <f>ROUND(D1343*E1343,2)</f>
        <v>878</v>
      </c>
    </row>
    <row r="1344" spans="1:6" x14ac:dyDescent="0.25">
      <c r="B1344" s="75"/>
      <c r="C1344" s="38"/>
    </row>
    <row r="1345" spans="1:6" ht="66" customHeight="1" x14ac:dyDescent="0.25">
      <c r="A1345" s="39" t="s">
        <v>1869</v>
      </c>
      <c r="B1345" s="37" t="s">
        <v>2720</v>
      </c>
      <c r="C1345" s="76" t="s">
        <v>15</v>
      </c>
      <c r="D1345" s="40">
        <v>1</v>
      </c>
      <c r="E1345" s="77">
        <v>4000</v>
      </c>
      <c r="F1345" s="78">
        <f>ROUND(D1345*E1345,2)</f>
        <v>4000</v>
      </c>
    </row>
    <row r="1346" spans="1:6" x14ac:dyDescent="0.25">
      <c r="B1346" s="75"/>
      <c r="C1346" s="38"/>
    </row>
    <row r="1347" spans="1:6" ht="72" x14ac:dyDescent="0.25">
      <c r="A1347" s="39" t="s">
        <v>1870</v>
      </c>
      <c r="B1347" s="37" t="s">
        <v>2719</v>
      </c>
      <c r="C1347" s="76" t="s">
        <v>15</v>
      </c>
      <c r="D1347" s="40">
        <v>1</v>
      </c>
      <c r="E1347" s="77">
        <v>3000</v>
      </c>
      <c r="F1347" s="78">
        <f>ROUND(D1347*E1347,2)</f>
        <v>3000</v>
      </c>
    </row>
    <row r="1348" spans="1:6" x14ac:dyDescent="0.25">
      <c r="B1348" s="75"/>
      <c r="C1348" s="38"/>
    </row>
    <row r="1349" spans="1:6" ht="72" x14ac:dyDescent="0.25">
      <c r="A1349" s="39" t="s">
        <v>1871</v>
      </c>
      <c r="B1349" s="37" t="s">
        <v>2718</v>
      </c>
      <c r="C1349" s="76" t="s">
        <v>15</v>
      </c>
      <c r="D1349" s="40">
        <v>1</v>
      </c>
      <c r="E1349" s="77">
        <v>3870</v>
      </c>
      <c r="F1349" s="78">
        <f>ROUND(D1349*E1349,2)</f>
        <v>3870</v>
      </c>
    </row>
    <row r="1350" spans="1:6" x14ac:dyDescent="0.25">
      <c r="B1350" s="75"/>
      <c r="C1350" s="38"/>
    </row>
    <row r="1351" spans="1:6" ht="48" x14ac:dyDescent="0.25">
      <c r="A1351" s="39" t="s">
        <v>1872</v>
      </c>
      <c r="B1351" s="37" t="s">
        <v>2717</v>
      </c>
      <c r="C1351" s="76" t="s">
        <v>15</v>
      </c>
      <c r="D1351" s="40">
        <v>1</v>
      </c>
      <c r="E1351" s="77">
        <v>849</v>
      </c>
      <c r="F1351" s="78">
        <f>ROUND(D1351*E1351,2)</f>
        <v>849</v>
      </c>
    </row>
    <row r="1353" spans="1:6" x14ac:dyDescent="0.25">
      <c r="A1353" s="91" t="s">
        <v>1867</v>
      </c>
      <c r="B1353" s="92" t="s">
        <v>236</v>
      </c>
      <c r="C1353" s="91"/>
      <c r="D1353" s="91"/>
      <c r="E1353" s="122"/>
      <c r="F1353" s="96">
        <f>SUM(F1343:F1351)</f>
        <v>12597</v>
      </c>
    </row>
    <row r="1355" spans="1:6" x14ac:dyDescent="0.25">
      <c r="A1355" s="91" t="s">
        <v>1873</v>
      </c>
      <c r="B1355" s="92" t="s">
        <v>237</v>
      </c>
      <c r="C1355" s="91"/>
      <c r="D1355" s="91"/>
      <c r="E1355" s="122"/>
      <c r="F1355" s="91"/>
    </row>
    <row r="1357" spans="1:6" ht="87" customHeight="1" x14ac:dyDescent="0.25">
      <c r="A1357" s="39" t="s">
        <v>1874</v>
      </c>
      <c r="B1357" s="37" t="s">
        <v>2015</v>
      </c>
      <c r="C1357" s="76" t="s">
        <v>19</v>
      </c>
      <c r="D1357" s="40">
        <v>1</v>
      </c>
      <c r="E1357" s="77">
        <v>600</v>
      </c>
      <c r="F1357" s="78">
        <f>ROUND(D1357*E1357,2)</f>
        <v>600</v>
      </c>
    </row>
    <row r="1358" spans="1:6" x14ac:dyDescent="0.25">
      <c r="B1358" s="75"/>
      <c r="C1358" s="38"/>
    </row>
    <row r="1359" spans="1:6" ht="159" customHeight="1" x14ac:dyDescent="0.25">
      <c r="A1359" s="39" t="s">
        <v>1875</v>
      </c>
      <c r="B1359" s="37" t="s">
        <v>238</v>
      </c>
      <c r="C1359" s="76" t="s">
        <v>19</v>
      </c>
      <c r="D1359" s="40">
        <v>1</v>
      </c>
      <c r="E1359" s="77">
        <v>2800</v>
      </c>
      <c r="F1359" s="78">
        <f>ROUND(D1359*E1359,2)</f>
        <v>2800</v>
      </c>
    </row>
    <row r="1361" spans="1:6" ht="63.75" customHeight="1" x14ac:dyDescent="0.25">
      <c r="A1361" s="39" t="s">
        <v>1876</v>
      </c>
      <c r="B1361" s="37" t="s">
        <v>239</v>
      </c>
      <c r="C1361" s="76" t="s">
        <v>19</v>
      </c>
      <c r="D1361" s="40">
        <v>1</v>
      </c>
      <c r="E1361" s="77">
        <v>630</v>
      </c>
      <c r="F1361" s="78">
        <f>ROUND(D1361*E1361,2)</f>
        <v>630</v>
      </c>
    </row>
    <row r="1362" spans="1:6" x14ac:dyDescent="0.25">
      <c r="B1362" s="75"/>
      <c r="C1362" s="38"/>
    </row>
    <row r="1363" spans="1:6" ht="24" x14ac:dyDescent="0.25">
      <c r="A1363" s="39" t="s">
        <v>1877</v>
      </c>
      <c r="B1363" s="37" t="s">
        <v>240</v>
      </c>
      <c r="C1363" s="76" t="s">
        <v>19</v>
      </c>
      <c r="D1363" s="40">
        <v>1</v>
      </c>
      <c r="E1363" s="77">
        <v>250</v>
      </c>
      <c r="F1363" s="78">
        <f>ROUND(D1363*E1363,2)</f>
        <v>250</v>
      </c>
    </row>
    <row r="1364" spans="1:6" x14ac:dyDescent="0.25">
      <c r="B1364" s="75"/>
      <c r="C1364" s="38"/>
    </row>
    <row r="1365" spans="1:6" ht="24" x14ac:dyDescent="0.25">
      <c r="A1365" s="39" t="s">
        <v>1878</v>
      </c>
      <c r="B1365" s="37" t="s">
        <v>241</v>
      </c>
      <c r="C1365" s="76" t="s">
        <v>19</v>
      </c>
      <c r="D1365" s="40">
        <v>1</v>
      </c>
      <c r="E1365" s="77">
        <v>810</v>
      </c>
      <c r="F1365" s="78">
        <f>ROUND(D1365*E1365,2)</f>
        <v>810</v>
      </c>
    </row>
    <row r="1366" spans="1:6" x14ac:dyDescent="0.25">
      <c r="B1366" s="75"/>
      <c r="C1366" s="38"/>
    </row>
    <row r="1367" spans="1:6" x14ac:dyDescent="0.25">
      <c r="A1367" s="91" t="s">
        <v>1873</v>
      </c>
      <c r="B1367" s="92" t="s">
        <v>242</v>
      </c>
      <c r="C1367" s="91"/>
      <c r="D1367" s="91"/>
      <c r="E1367" s="122"/>
      <c r="F1367" s="96">
        <f>SUM(F1357:F1365)</f>
        <v>5090</v>
      </c>
    </row>
    <row r="1369" spans="1:6" x14ac:dyDescent="0.25">
      <c r="A1369" s="91" t="s">
        <v>1717</v>
      </c>
      <c r="B1369" s="92" t="s">
        <v>243</v>
      </c>
      <c r="C1369" s="91"/>
      <c r="D1369" s="91"/>
      <c r="E1369" s="122"/>
      <c r="F1369" s="96">
        <f>SUM(F1367,F1353,F1339,F1305,F1291,F1275,F1253,F1241)</f>
        <v>113787</v>
      </c>
    </row>
    <row r="1372" spans="1:6" x14ac:dyDescent="0.25">
      <c r="A1372" s="91" t="s">
        <v>1566</v>
      </c>
      <c r="B1372" s="92" t="s">
        <v>244</v>
      </c>
      <c r="C1372" s="91"/>
      <c r="D1372" s="91"/>
      <c r="E1372" s="122"/>
      <c r="F1372" s="96">
        <f>SUM(F1369,F1208,F1162,F1138,F1113,F1065,F1006,F987,F953,F932,F924,F864,F838,F766,F755,F724,F532,F514,F456)</f>
        <v>740007.32</v>
      </c>
    </row>
    <row r="1373" spans="1:6" x14ac:dyDescent="0.25">
      <c r="A1373" s="95"/>
      <c r="B1373" s="81"/>
      <c r="C1373" s="107"/>
      <c r="D1373" s="95"/>
      <c r="E1373" s="125"/>
      <c r="F1373" s="108"/>
    </row>
    <row r="1375" spans="1:6" x14ac:dyDescent="0.25">
      <c r="A1375" s="91" t="s">
        <v>1565</v>
      </c>
      <c r="B1375" s="92" t="s">
        <v>26</v>
      </c>
      <c r="C1375" s="91"/>
      <c r="D1375" s="91"/>
      <c r="E1375" s="122"/>
      <c r="F1375" s="96">
        <f>SUM(F414)</f>
        <v>591653.4</v>
      </c>
    </row>
    <row r="1376" spans="1:6" x14ac:dyDescent="0.25">
      <c r="A1376" s="91" t="s">
        <v>1566</v>
      </c>
      <c r="B1376" s="92" t="s">
        <v>244</v>
      </c>
      <c r="C1376" s="91"/>
      <c r="D1376" s="91"/>
      <c r="E1376" s="122"/>
      <c r="F1376" s="96">
        <f>SUM(F1372)</f>
        <v>740007.32</v>
      </c>
    </row>
    <row r="1377" spans="1:6" x14ac:dyDescent="0.25">
      <c r="A1377" s="91" t="s">
        <v>1573</v>
      </c>
      <c r="B1377" s="92" t="s">
        <v>245</v>
      </c>
      <c r="C1377" s="91"/>
      <c r="D1377" s="91"/>
      <c r="E1377" s="122"/>
      <c r="F1377" s="96">
        <f>SUM(F1375:F1376)</f>
        <v>1331660.72</v>
      </c>
    </row>
    <row r="1380" spans="1:6" ht="18.45" customHeight="1" x14ac:dyDescent="0.35">
      <c r="A1380" s="109" t="s">
        <v>1574</v>
      </c>
      <c r="B1380" s="88" t="s">
        <v>2191</v>
      </c>
      <c r="C1380" s="109"/>
      <c r="D1380" s="109"/>
      <c r="E1380" s="126"/>
      <c r="F1380" s="109"/>
    </row>
    <row r="1382" spans="1:6" x14ac:dyDescent="0.25">
      <c r="A1382" s="91"/>
      <c r="B1382" s="92" t="s">
        <v>0</v>
      </c>
      <c r="C1382" s="97"/>
      <c r="D1382" s="91"/>
      <c r="E1382" s="122"/>
      <c r="F1382" s="91"/>
    </row>
    <row r="1384" spans="1:6" ht="255.75" customHeight="1" x14ac:dyDescent="0.25">
      <c r="B1384" s="37" t="s">
        <v>30</v>
      </c>
    </row>
    <row r="1385" spans="1:6" ht="28.5" customHeight="1" x14ac:dyDescent="0.25">
      <c r="B1385" s="48" t="s">
        <v>2878</v>
      </c>
    </row>
    <row r="1386" spans="1:6" ht="24" x14ac:dyDescent="0.25">
      <c r="B1386" s="81" t="s">
        <v>2879</v>
      </c>
    </row>
    <row r="1389" spans="1:6" x14ac:dyDescent="0.25">
      <c r="A1389" s="91" t="s">
        <v>1879</v>
      </c>
      <c r="B1389" s="92" t="s">
        <v>10</v>
      </c>
      <c r="C1389" s="91"/>
      <c r="D1389" s="91"/>
      <c r="E1389" s="122"/>
      <c r="F1389" s="91"/>
    </row>
    <row r="1391" spans="1:6" x14ac:dyDescent="0.25">
      <c r="A1391" s="91" t="s">
        <v>1880</v>
      </c>
      <c r="B1391" s="92" t="s">
        <v>37</v>
      </c>
      <c r="C1391" s="91"/>
      <c r="D1391" s="91"/>
      <c r="E1391" s="122"/>
      <c r="F1391" s="91"/>
    </row>
    <row r="1393" spans="1:6" x14ac:dyDescent="0.25">
      <c r="A1393" s="91"/>
      <c r="B1393" s="92" t="s">
        <v>0</v>
      </c>
      <c r="C1393" s="97"/>
      <c r="D1393" s="91"/>
      <c r="E1393" s="122"/>
      <c r="F1393" s="91"/>
    </row>
    <row r="1395" spans="1:6" ht="288" customHeight="1" x14ac:dyDescent="0.25">
      <c r="B1395" s="37" t="s">
        <v>2870</v>
      </c>
    </row>
    <row r="1396" spans="1:6" ht="38.25" customHeight="1" x14ac:dyDescent="0.25">
      <c r="B1396" s="48" t="s">
        <v>2021</v>
      </c>
    </row>
    <row r="1399" spans="1:6" ht="41.25" customHeight="1" x14ac:dyDescent="0.25">
      <c r="A1399" s="39" t="s">
        <v>1881</v>
      </c>
      <c r="B1399" s="37" t="s">
        <v>2872</v>
      </c>
      <c r="C1399" s="76" t="s">
        <v>38</v>
      </c>
      <c r="D1399" s="40">
        <v>425</v>
      </c>
      <c r="E1399" s="77">
        <v>1</v>
      </c>
      <c r="F1399" s="78">
        <f>ROUND(D1399*E1399,2)</f>
        <v>425</v>
      </c>
    </row>
    <row r="1400" spans="1:6" x14ac:dyDescent="0.25">
      <c r="B1400" s="75"/>
      <c r="C1400" s="38"/>
    </row>
    <row r="1401" spans="1:6" ht="40.5" customHeight="1" x14ac:dyDescent="0.25">
      <c r="A1401" s="39" t="s">
        <v>1882</v>
      </c>
      <c r="B1401" s="37" t="s">
        <v>2866</v>
      </c>
    </row>
    <row r="1402" spans="1:6" x14ac:dyDescent="0.25">
      <c r="B1402" s="75" t="s">
        <v>246</v>
      </c>
      <c r="C1402" s="76" t="s">
        <v>39</v>
      </c>
      <c r="D1402" s="40">
        <v>30</v>
      </c>
      <c r="E1402" s="77">
        <v>20</v>
      </c>
      <c r="F1402" s="78">
        <f>ROUND(D1402*E1402,2)</f>
        <v>600</v>
      </c>
    </row>
    <row r="1403" spans="1:6" x14ac:dyDescent="0.25">
      <c r="B1403" s="75" t="s">
        <v>247</v>
      </c>
      <c r="C1403" s="76" t="s">
        <v>39</v>
      </c>
      <c r="D1403" s="40">
        <v>34.200000000000003</v>
      </c>
      <c r="E1403" s="77">
        <v>20</v>
      </c>
      <c r="F1403" s="78">
        <f>ROUND(D1403*E1403,2)</f>
        <v>684</v>
      </c>
    </row>
    <row r="1404" spans="1:6" x14ac:dyDescent="0.25">
      <c r="B1404" s="75" t="s">
        <v>248</v>
      </c>
      <c r="C1404" s="76" t="s">
        <v>39</v>
      </c>
      <c r="D1404" s="40">
        <v>26.53</v>
      </c>
      <c r="E1404" s="77">
        <v>20</v>
      </c>
      <c r="F1404" s="78">
        <f>ROUND(D1404*E1404,2)</f>
        <v>530.6</v>
      </c>
    </row>
    <row r="1405" spans="1:6" x14ac:dyDescent="0.25">
      <c r="B1405" s="75" t="s">
        <v>249</v>
      </c>
      <c r="C1405" s="76" t="s">
        <v>39</v>
      </c>
      <c r="D1405" s="40">
        <v>35</v>
      </c>
      <c r="E1405" s="77">
        <v>20</v>
      </c>
      <c r="F1405" s="78">
        <f>ROUND(D1405*E1405,2)</f>
        <v>700</v>
      </c>
    </row>
    <row r="1406" spans="1:6" x14ac:dyDescent="0.25">
      <c r="E1406" s="124"/>
      <c r="F1406" s="78"/>
    </row>
    <row r="1407" spans="1:6" ht="48" x14ac:dyDescent="0.25">
      <c r="A1407" s="39" t="s">
        <v>1883</v>
      </c>
      <c r="B1407" s="37" t="s">
        <v>2867</v>
      </c>
    </row>
    <row r="1408" spans="1:6" x14ac:dyDescent="0.25">
      <c r="B1408" s="75" t="s">
        <v>246</v>
      </c>
      <c r="C1408" s="76" t="s">
        <v>39</v>
      </c>
      <c r="D1408" s="40">
        <v>50</v>
      </c>
      <c r="E1408" s="77">
        <v>20</v>
      </c>
      <c r="F1408" s="78">
        <f>ROUND(D1408*E1408,2)</f>
        <v>1000</v>
      </c>
    </row>
    <row r="1409" spans="1:6" x14ac:dyDescent="0.25">
      <c r="B1409" s="75" t="s">
        <v>247</v>
      </c>
      <c r="C1409" s="76" t="s">
        <v>39</v>
      </c>
      <c r="D1409" s="40">
        <v>80.599999999999994</v>
      </c>
      <c r="E1409" s="77">
        <v>20</v>
      </c>
      <c r="F1409" s="78">
        <f>ROUND(D1409*E1409,2)</f>
        <v>1612</v>
      </c>
    </row>
    <row r="1410" spans="1:6" x14ac:dyDescent="0.25">
      <c r="B1410" s="75" t="s">
        <v>248</v>
      </c>
      <c r="C1410" s="76" t="s">
        <v>39</v>
      </c>
      <c r="D1410" s="40">
        <v>176.88</v>
      </c>
      <c r="E1410" s="77">
        <v>20</v>
      </c>
      <c r="F1410" s="78">
        <f>ROUND(D1410*E1410,2)</f>
        <v>3537.6</v>
      </c>
    </row>
    <row r="1412" spans="1:6" ht="15" customHeight="1" x14ac:dyDescent="0.25">
      <c r="A1412" s="39" t="s">
        <v>1884</v>
      </c>
      <c r="B1412" s="37" t="s">
        <v>41</v>
      </c>
    </row>
    <row r="1413" spans="1:6" x14ac:dyDescent="0.25">
      <c r="B1413" s="75" t="s">
        <v>246</v>
      </c>
      <c r="C1413" s="76" t="s">
        <v>38</v>
      </c>
      <c r="D1413" s="40">
        <v>75</v>
      </c>
      <c r="E1413" s="77">
        <v>5</v>
      </c>
      <c r="F1413" s="78">
        <f>ROUND(D1413*E1413,2)</f>
        <v>375</v>
      </c>
    </row>
    <row r="1414" spans="1:6" x14ac:dyDescent="0.25">
      <c r="B1414" s="75" t="s">
        <v>247</v>
      </c>
      <c r="C1414" s="76" t="s">
        <v>38</v>
      </c>
      <c r="D1414" s="40">
        <v>81</v>
      </c>
      <c r="E1414" s="77">
        <v>5</v>
      </c>
      <c r="F1414" s="78">
        <f>ROUND(D1414*E1414,2)</f>
        <v>405</v>
      </c>
    </row>
    <row r="1415" spans="1:6" x14ac:dyDescent="0.25">
      <c r="B1415" s="75" t="s">
        <v>248</v>
      </c>
      <c r="C1415" s="76" t="s">
        <v>38</v>
      </c>
      <c r="D1415" s="40">
        <v>88.5</v>
      </c>
      <c r="E1415" s="77">
        <v>5</v>
      </c>
      <c r="F1415" s="78">
        <f>ROUND(D1415*E1415,2)</f>
        <v>442.5</v>
      </c>
    </row>
    <row r="1417" spans="1:6" ht="49.5" customHeight="1" x14ac:dyDescent="0.25">
      <c r="A1417" s="39" t="s">
        <v>1885</v>
      </c>
      <c r="B1417" s="37" t="s">
        <v>250</v>
      </c>
    </row>
    <row r="1418" spans="1:6" x14ac:dyDescent="0.25">
      <c r="B1418" s="75" t="s">
        <v>246</v>
      </c>
      <c r="C1418" s="76" t="s">
        <v>39</v>
      </c>
      <c r="D1418" s="40">
        <v>7.45</v>
      </c>
      <c r="E1418" s="77">
        <v>60</v>
      </c>
      <c r="F1418" s="78">
        <f>ROUND(D1418*E1418,2)</f>
        <v>447</v>
      </c>
    </row>
    <row r="1419" spans="1:6" x14ac:dyDescent="0.25">
      <c r="B1419" s="75" t="s">
        <v>247</v>
      </c>
      <c r="C1419" s="76" t="s">
        <v>39</v>
      </c>
      <c r="D1419" s="40">
        <v>6.9</v>
      </c>
      <c r="E1419" s="77">
        <v>60</v>
      </c>
      <c r="F1419" s="78">
        <f>ROUND(D1419*E1419,2)</f>
        <v>414</v>
      </c>
    </row>
    <row r="1420" spans="1:6" x14ac:dyDescent="0.25">
      <c r="B1420" s="75" t="s">
        <v>248</v>
      </c>
      <c r="C1420" s="76" t="s">
        <v>39</v>
      </c>
      <c r="D1420" s="40">
        <v>5.8</v>
      </c>
      <c r="E1420" s="77">
        <v>60</v>
      </c>
      <c r="F1420" s="78">
        <f>ROUND(D1420*E1420,2)</f>
        <v>348</v>
      </c>
    </row>
    <row r="1422" spans="1:6" ht="36" x14ac:dyDescent="0.25">
      <c r="A1422" s="39" t="s">
        <v>1886</v>
      </c>
      <c r="B1422" s="37" t="s">
        <v>44</v>
      </c>
    </row>
    <row r="1423" spans="1:6" x14ac:dyDescent="0.25">
      <c r="B1423" s="75" t="s">
        <v>247</v>
      </c>
      <c r="C1423" s="76" t="s">
        <v>39</v>
      </c>
      <c r="D1423" s="40">
        <v>13.7</v>
      </c>
      <c r="E1423" s="77">
        <v>45</v>
      </c>
      <c r="F1423" s="78">
        <f>ROUND(D1423*E1423,2)</f>
        <v>616.5</v>
      </c>
    </row>
    <row r="1424" spans="1:6" x14ac:dyDescent="0.25">
      <c r="B1424" s="75" t="s">
        <v>248</v>
      </c>
      <c r="C1424" s="76" t="s">
        <v>39</v>
      </c>
      <c r="D1424" s="40">
        <v>28.4</v>
      </c>
      <c r="E1424" s="77">
        <v>45</v>
      </c>
      <c r="F1424" s="78">
        <f>ROUND(D1424*E1424,2)</f>
        <v>1278</v>
      </c>
    </row>
    <row r="1426" spans="1:6" x14ac:dyDescent="0.25">
      <c r="A1426" s="39" t="s">
        <v>1887</v>
      </c>
      <c r="B1426" s="37" t="s">
        <v>2849</v>
      </c>
    </row>
    <row r="1427" spans="1:6" x14ac:dyDescent="0.25">
      <c r="B1427" s="75" t="s">
        <v>247</v>
      </c>
      <c r="C1427" s="76" t="s">
        <v>38</v>
      </c>
      <c r="D1427" s="40">
        <v>45</v>
      </c>
      <c r="E1427" s="77">
        <v>5</v>
      </c>
      <c r="F1427" s="78">
        <f>ROUND(D1427*E1427,2)</f>
        <v>225</v>
      </c>
    </row>
    <row r="1428" spans="1:6" x14ac:dyDescent="0.25">
      <c r="B1428" s="75" t="s">
        <v>248</v>
      </c>
      <c r="C1428" s="76" t="s">
        <v>38</v>
      </c>
      <c r="D1428" s="40">
        <v>23</v>
      </c>
      <c r="E1428" s="77">
        <v>5</v>
      </c>
      <c r="F1428" s="78">
        <f>ROUND(D1428*E1428,2)</f>
        <v>115</v>
      </c>
    </row>
    <row r="1430" spans="1:6" ht="24" x14ac:dyDescent="0.25">
      <c r="A1430" s="39" t="s">
        <v>1888</v>
      </c>
      <c r="B1430" s="37" t="s">
        <v>2851</v>
      </c>
      <c r="C1430" s="76" t="s">
        <v>38</v>
      </c>
      <c r="D1430" s="40">
        <v>100</v>
      </c>
      <c r="E1430" s="77">
        <v>5</v>
      </c>
      <c r="F1430" s="78">
        <f>ROUND(D1430*E1430,2)</f>
        <v>500</v>
      </c>
    </row>
    <row r="1431" spans="1:6" x14ac:dyDescent="0.25">
      <c r="B1431" s="75"/>
      <c r="C1431" s="38"/>
    </row>
    <row r="1432" spans="1:6" ht="24" x14ac:dyDescent="0.25">
      <c r="A1432" s="39" t="s">
        <v>1889</v>
      </c>
      <c r="B1432" s="37" t="s">
        <v>2865</v>
      </c>
      <c r="C1432" s="76" t="s">
        <v>39</v>
      </c>
      <c r="D1432" s="40">
        <v>8</v>
      </c>
      <c r="E1432" s="77">
        <v>50</v>
      </c>
      <c r="F1432" s="78">
        <f>ROUND(D1432*E1432,2)</f>
        <v>400</v>
      </c>
    </row>
    <row r="1433" spans="1:6" x14ac:dyDescent="0.25">
      <c r="B1433" s="75"/>
      <c r="C1433" s="38"/>
    </row>
    <row r="1434" spans="1:6" ht="63.75" customHeight="1" x14ac:dyDescent="0.25">
      <c r="A1434" s="39" t="s">
        <v>1890</v>
      </c>
      <c r="B1434" s="37" t="s">
        <v>251</v>
      </c>
      <c r="C1434" s="76" t="s">
        <v>38</v>
      </c>
      <c r="D1434" s="40">
        <v>90</v>
      </c>
      <c r="E1434" s="77">
        <v>5</v>
      </c>
      <c r="F1434" s="78">
        <f>ROUND(D1434*E1434,2)</f>
        <v>450</v>
      </c>
    </row>
    <row r="1435" spans="1:6" x14ac:dyDescent="0.25">
      <c r="B1435" s="75"/>
      <c r="C1435" s="38"/>
    </row>
    <row r="1436" spans="1:6" ht="48" x14ac:dyDescent="0.25">
      <c r="A1436" s="39" t="s">
        <v>1891</v>
      </c>
      <c r="B1436" s="37" t="s">
        <v>252</v>
      </c>
      <c r="C1436" s="76" t="s">
        <v>39</v>
      </c>
      <c r="D1436" s="40">
        <v>38</v>
      </c>
      <c r="E1436" s="77">
        <v>45</v>
      </c>
      <c r="F1436" s="78">
        <f>ROUND(D1436*E1436,2)</f>
        <v>1710</v>
      </c>
    </row>
    <row r="1437" spans="1:6" x14ac:dyDescent="0.25">
      <c r="B1437" s="75"/>
      <c r="C1437" s="38"/>
    </row>
    <row r="1438" spans="1:6" ht="80.400000000000006" customHeight="1" x14ac:dyDescent="0.25">
      <c r="A1438" s="39" t="s">
        <v>1892</v>
      </c>
      <c r="B1438" s="37" t="s">
        <v>2767</v>
      </c>
      <c r="C1438" s="76" t="s">
        <v>39</v>
      </c>
      <c r="D1438" s="40">
        <v>40</v>
      </c>
      <c r="E1438" s="77">
        <v>45</v>
      </c>
      <c r="F1438" s="78">
        <f>ROUND(D1438*E1438,2)</f>
        <v>1800</v>
      </c>
    </row>
    <row r="1439" spans="1:6" x14ac:dyDescent="0.25">
      <c r="B1439" s="75"/>
      <c r="C1439" s="38"/>
    </row>
    <row r="1440" spans="1:6" ht="24" x14ac:dyDescent="0.25">
      <c r="A1440" s="39" t="s">
        <v>1893</v>
      </c>
      <c r="B1440" s="37" t="s">
        <v>48</v>
      </c>
      <c r="C1440" s="76" t="s">
        <v>39</v>
      </c>
      <c r="D1440" s="40">
        <v>10</v>
      </c>
      <c r="E1440" s="77">
        <v>20</v>
      </c>
      <c r="F1440" s="78">
        <f>ROUND(D1440*E1440,2)</f>
        <v>200</v>
      </c>
    </row>
    <row r="1441" spans="1:6" x14ac:dyDescent="0.25">
      <c r="B1441" s="75"/>
      <c r="C1441" s="38"/>
    </row>
    <row r="1442" spans="1:6" ht="24" x14ac:dyDescent="0.25">
      <c r="A1442" s="39" t="s">
        <v>1894</v>
      </c>
      <c r="B1442" s="37" t="s">
        <v>49</v>
      </c>
      <c r="C1442" s="76" t="s">
        <v>39</v>
      </c>
      <c r="D1442" s="40">
        <v>12</v>
      </c>
      <c r="E1442" s="77">
        <v>60</v>
      </c>
      <c r="F1442" s="78">
        <f>ROUND(D1442*E1442,2)</f>
        <v>720</v>
      </c>
    </row>
    <row r="1443" spans="1:6" x14ac:dyDescent="0.25">
      <c r="B1443" s="75"/>
      <c r="C1443" s="38"/>
    </row>
    <row r="1444" spans="1:6" ht="27" customHeight="1" x14ac:dyDescent="0.25">
      <c r="A1444" s="39" t="s">
        <v>1895</v>
      </c>
      <c r="B1444" s="37" t="s">
        <v>2640</v>
      </c>
      <c r="C1444" s="38"/>
    </row>
    <row r="1445" spans="1:6" x14ac:dyDescent="0.25">
      <c r="A1445" s="39"/>
      <c r="B1445" s="37" t="s">
        <v>2639</v>
      </c>
      <c r="C1445" s="76" t="s">
        <v>15</v>
      </c>
      <c r="D1445" s="40">
        <v>6</v>
      </c>
      <c r="E1445" s="77">
        <v>100</v>
      </c>
      <c r="F1445" s="78">
        <f>ROUND(D1445*E1445,2)</f>
        <v>600</v>
      </c>
    </row>
    <row r="1446" spans="1:6" x14ac:dyDescent="0.25">
      <c r="A1446" s="39"/>
      <c r="B1446" s="37" t="s">
        <v>2637</v>
      </c>
      <c r="C1446" s="76" t="s">
        <v>15</v>
      </c>
      <c r="D1446" s="40">
        <v>3</v>
      </c>
      <c r="E1446" s="77">
        <v>100</v>
      </c>
      <c r="F1446" s="78">
        <f t="shared" ref="F1446:F1450" si="10">ROUND(D1446*E1446,2)</f>
        <v>300</v>
      </c>
    </row>
    <row r="1447" spans="1:6" x14ac:dyDescent="0.25">
      <c r="A1447" s="39"/>
      <c r="B1447" s="37" t="s">
        <v>2638</v>
      </c>
      <c r="C1447" s="76" t="s">
        <v>15</v>
      </c>
      <c r="D1447" s="40">
        <v>2</v>
      </c>
      <c r="E1447" s="77">
        <v>100</v>
      </c>
      <c r="F1447" s="78">
        <f t="shared" si="10"/>
        <v>200</v>
      </c>
    </row>
    <row r="1448" spans="1:6" x14ac:dyDescent="0.25">
      <c r="A1448" s="39"/>
      <c r="B1448" s="37" t="s">
        <v>2641</v>
      </c>
      <c r="C1448" s="76" t="s">
        <v>15</v>
      </c>
      <c r="D1448" s="40">
        <v>2</v>
      </c>
      <c r="E1448" s="77">
        <v>100</v>
      </c>
      <c r="F1448" s="78">
        <f t="shared" si="10"/>
        <v>200</v>
      </c>
    </row>
    <row r="1449" spans="1:6" x14ac:dyDescent="0.25">
      <c r="A1449" s="39"/>
      <c r="B1449" s="37" t="s">
        <v>2642</v>
      </c>
      <c r="C1449" s="76" t="s">
        <v>15</v>
      </c>
      <c r="D1449" s="40">
        <v>1</v>
      </c>
      <c r="E1449" s="77">
        <v>100</v>
      </c>
      <c r="F1449" s="78">
        <f t="shared" si="10"/>
        <v>100</v>
      </c>
    </row>
    <row r="1450" spans="1:6" x14ac:dyDescent="0.25">
      <c r="A1450" s="39"/>
      <c r="B1450" s="37" t="s">
        <v>2643</v>
      </c>
      <c r="C1450" s="76" t="s">
        <v>15</v>
      </c>
      <c r="D1450" s="40">
        <v>1</v>
      </c>
      <c r="E1450" s="77">
        <v>100</v>
      </c>
      <c r="F1450" s="78">
        <f t="shared" si="10"/>
        <v>100</v>
      </c>
    </row>
    <row r="1451" spans="1:6" x14ac:dyDescent="0.25">
      <c r="A1451" s="39"/>
      <c r="B1451" s="37" t="s">
        <v>2644</v>
      </c>
      <c r="D1451" s="40"/>
      <c r="E1451" s="77"/>
      <c r="F1451" s="78"/>
    </row>
    <row r="1452" spans="1:6" x14ac:dyDescent="0.25">
      <c r="A1452" s="95"/>
      <c r="B1452" s="81"/>
      <c r="C1452" s="107"/>
      <c r="D1452" s="95"/>
      <c r="E1452" s="125"/>
      <c r="F1452" s="108"/>
    </row>
    <row r="1453" spans="1:6" x14ac:dyDescent="0.25">
      <c r="A1453" s="91" t="s">
        <v>1880</v>
      </c>
      <c r="B1453" s="92" t="s">
        <v>50</v>
      </c>
      <c r="C1453" s="91"/>
      <c r="D1453" s="91"/>
      <c r="E1453" s="122"/>
      <c r="F1453" s="96">
        <f>SUM(F1399:F1450)</f>
        <v>21035.200000000001</v>
      </c>
    </row>
    <row r="1456" spans="1:6" x14ac:dyDescent="0.25">
      <c r="A1456" s="91" t="s">
        <v>1896</v>
      </c>
      <c r="B1456" s="92" t="s">
        <v>253</v>
      </c>
      <c r="C1456" s="91"/>
      <c r="D1456" s="91"/>
      <c r="E1456" s="122"/>
      <c r="F1456" s="91"/>
    </row>
    <row r="1458" spans="1:6" x14ac:dyDescent="0.25">
      <c r="A1458" s="91"/>
      <c r="B1458" s="92" t="s">
        <v>0</v>
      </c>
      <c r="C1458" s="97"/>
      <c r="D1458" s="91"/>
      <c r="E1458" s="122"/>
      <c r="F1458" s="91"/>
    </row>
    <row r="1460" spans="1:6" ht="371.25" customHeight="1" x14ac:dyDescent="0.25">
      <c r="B1460" s="37" t="s">
        <v>2634</v>
      </c>
    </row>
    <row r="1461" spans="1:6" ht="48" x14ac:dyDescent="0.25">
      <c r="B1461" s="48" t="s">
        <v>2022</v>
      </c>
    </row>
    <row r="1464" spans="1:6" x14ac:dyDescent="0.25">
      <c r="A1464" s="39" t="s">
        <v>1897</v>
      </c>
      <c r="B1464" s="81" t="s">
        <v>2647</v>
      </c>
    </row>
    <row r="1465" spans="1:6" ht="24" x14ac:dyDescent="0.25">
      <c r="B1465" s="37" t="s">
        <v>52</v>
      </c>
    </row>
    <row r="1466" spans="1:6" x14ac:dyDescent="0.25">
      <c r="B1466" s="75" t="s">
        <v>254</v>
      </c>
      <c r="C1466" s="76" t="s">
        <v>39</v>
      </c>
      <c r="D1466" s="40">
        <v>5.8</v>
      </c>
      <c r="E1466" s="77">
        <v>160</v>
      </c>
      <c r="F1466" s="78">
        <f>ROUND(D1466*E1466,2)</f>
        <v>928</v>
      </c>
    </row>
    <row r="1468" spans="1:6" x14ac:dyDescent="0.25">
      <c r="A1468" s="39" t="s">
        <v>1898</v>
      </c>
      <c r="B1468" s="81" t="s">
        <v>2649</v>
      </c>
    </row>
    <row r="1469" spans="1:6" ht="24" x14ac:dyDescent="0.25">
      <c r="B1469" s="37" t="s">
        <v>255</v>
      </c>
    </row>
    <row r="1470" spans="1:6" x14ac:dyDescent="0.25">
      <c r="B1470" s="75" t="s">
        <v>256</v>
      </c>
      <c r="C1470" s="76" t="s">
        <v>38</v>
      </c>
      <c r="D1470" s="40">
        <v>58</v>
      </c>
      <c r="E1470" s="77">
        <v>20</v>
      </c>
      <c r="F1470" s="78">
        <f>ROUND(D1470*E1470,2)</f>
        <v>1160</v>
      </c>
    </row>
    <row r="1471" spans="1:6" x14ac:dyDescent="0.25">
      <c r="B1471" s="75" t="s">
        <v>257</v>
      </c>
      <c r="C1471" s="76" t="s">
        <v>38</v>
      </c>
      <c r="D1471" s="40">
        <v>53</v>
      </c>
      <c r="E1471" s="77">
        <v>20</v>
      </c>
      <c r="F1471" s="78">
        <f>ROUND(D1471*E1471,2)</f>
        <v>1060</v>
      </c>
    </row>
    <row r="1473" spans="1:6" x14ac:dyDescent="0.25">
      <c r="A1473" s="39" t="s">
        <v>1899</v>
      </c>
      <c r="B1473" s="81" t="s">
        <v>2647</v>
      </c>
    </row>
    <row r="1474" spans="1:6" ht="85.5" customHeight="1" x14ac:dyDescent="0.25">
      <c r="B1474" s="37" t="s">
        <v>2645</v>
      </c>
    </row>
    <row r="1475" spans="1:6" ht="12.75" customHeight="1" x14ac:dyDescent="0.25">
      <c r="A1475" s="39"/>
      <c r="B1475" s="37" t="s">
        <v>2185</v>
      </c>
    </row>
    <row r="1476" spans="1:6" x14ac:dyDescent="0.25">
      <c r="B1476" s="75" t="s">
        <v>53</v>
      </c>
      <c r="C1476" s="76" t="s">
        <v>39</v>
      </c>
      <c r="D1476" s="40">
        <v>55</v>
      </c>
      <c r="E1476" s="77">
        <v>180</v>
      </c>
      <c r="F1476" s="78">
        <f t="shared" ref="F1476:F1482" si="11">ROUND(D1476*E1476,2)</f>
        <v>9900</v>
      </c>
    </row>
    <row r="1477" spans="1:6" x14ac:dyDescent="0.25">
      <c r="B1477" s="75" t="s">
        <v>54</v>
      </c>
      <c r="C1477" s="76" t="s">
        <v>38</v>
      </c>
      <c r="D1477" s="40">
        <v>55</v>
      </c>
      <c r="E1477" s="77">
        <v>40</v>
      </c>
      <c r="F1477" s="78">
        <f t="shared" si="11"/>
        <v>2200</v>
      </c>
    </row>
    <row r="1478" spans="1:6" x14ac:dyDescent="0.25">
      <c r="B1478" s="75" t="s">
        <v>55</v>
      </c>
      <c r="C1478" s="76" t="s">
        <v>56</v>
      </c>
      <c r="D1478" s="40">
        <v>7150</v>
      </c>
      <c r="E1478" s="77">
        <v>1.6</v>
      </c>
      <c r="F1478" s="78">
        <f t="shared" si="11"/>
        <v>11440</v>
      </c>
    </row>
    <row r="1479" spans="1:6" x14ac:dyDescent="0.25">
      <c r="B1479" s="75" t="s">
        <v>2184</v>
      </c>
      <c r="D1479" s="40"/>
      <c r="E1479" s="77"/>
      <c r="F1479" s="78"/>
    </row>
    <row r="1480" spans="1:6" x14ac:dyDescent="0.25">
      <c r="B1480" s="75" t="s">
        <v>53</v>
      </c>
      <c r="C1480" s="76" t="s">
        <v>39</v>
      </c>
      <c r="D1480" s="40">
        <v>19.5</v>
      </c>
      <c r="E1480" s="77">
        <v>180</v>
      </c>
      <c r="F1480" s="78">
        <f t="shared" si="11"/>
        <v>3510</v>
      </c>
    </row>
    <row r="1481" spans="1:6" x14ac:dyDescent="0.25">
      <c r="B1481" s="75" t="s">
        <v>54</v>
      </c>
      <c r="C1481" s="76" t="s">
        <v>38</v>
      </c>
      <c r="D1481" s="40">
        <v>25</v>
      </c>
      <c r="E1481" s="77">
        <v>50</v>
      </c>
      <c r="F1481" s="78">
        <f t="shared" si="11"/>
        <v>1250</v>
      </c>
    </row>
    <row r="1482" spans="1:6" x14ac:dyDescent="0.25">
      <c r="B1482" s="75" t="s">
        <v>55</v>
      </c>
      <c r="C1482" s="76" t="s">
        <v>56</v>
      </c>
      <c r="D1482" s="40">
        <v>2600</v>
      </c>
      <c r="E1482" s="77">
        <v>1.6</v>
      </c>
      <c r="F1482" s="78">
        <f t="shared" si="11"/>
        <v>4160</v>
      </c>
    </row>
    <row r="1484" spans="1:6" x14ac:dyDescent="0.25">
      <c r="A1484" s="39" t="s">
        <v>1900</v>
      </c>
      <c r="B1484" s="81" t="s">
        <v>2647</v>
      </c>
    </row>
    <row r="1485" spans="1:6" ht="99" customHeight="1" x14ac:dyDescent="0.25">
      <c r="B1485" s="37" t="s">
        <v>258</v>
      </c>
    </row>
    <row r="1486" spans="1:6" x14ac:dyDescent="0.25">
      <c r="B1486" s="75" t="s">
        <v>53</v>
      </c>
      <c r="C1486" s="76" t="s">
        <v>39</v>
      </c>
      <c r="D1486" s="40">
        <v>22</v>
      </c>
      <c r="E1486" s="77">
        <v>180</v>
      </c>
      <c r="F1486" s="78">
        <f>ROUND(D1486*E1486,2)</f>
        <v>3960</v>
      </c>
    </row>
    <row r="1487" spans="1:6" x14ac:dyDescent="0.25">
      <c r="B1487" s="75" t="s">
        <v>54</v>
      </c>
      <c r="C1487" s="76" t="s">
        <v>38</v>
      </c>
      <c r="D1487" s="40">
        <v>15</v>
      </c>
      <c r="E1487" s="77">
        <v>50</v>
      </c>
      <c r="F1487" s="78">
        <f>ROUND(D1487*E1487,2)</f>
        <v>750</v>
      </c>
    </row>
    <row r="1488" spans="1:6" x14ac:dyDescent="0.25">
      <c r="B1488" s="75" t="s">
        <v>55</v>
      </c>
      <c r="C1488" s="76" t="s">
        <v>56</v>
      </c>
      <c r="D1488" s="40">
        <v>2900</v>
      </c>
      <c r="E1488" s="77">
        <v>1.6</v>
      </c>
      <c r="F1488" s="78">
        <f>ROUND(D1488*E1488,2)</f>
        <v>4640</v>
      </c>
    </row>
    <row r="1490" spans="1:6" x14ac:dyDescent="0.25">
      <c r="A1490" s="39" t="s">
        <v>1901</v>
      </c>
      <c r="B1490" s="81" t="s">
        <v>2647</v>
      </c>
    </row>
    <row r="1491" spans="1:6" ht="75.75" customHeight="1" x14ac:dyDescent="0.25">
      <c r="B1491" s="37" t="s">
        <v>2186</v>
      </c>
    </row>
    <row r="1492" spans="1:6" x14ac:dyDescent="0.25">
      <c r="B1492" s="75" t="s">
        <v>53</v>
      </c>
      <c r="C1492" s="76" t="s">
        <v>39</v>
      </c>
      <c r="D1492" s="40">
        <v>7</v>
      </c>
      <c r="E1492" s="77">
        <v>200</v>
      </c>
      <c r="F1492" s="78">
        <f>ROUND(D1492*E1492,2)</f>
        <v>1400</v>
      </c>
    </row>
    <row r="1493" spans="1:6" x14ac:dyDescent="0.25">
      <c r="B1493" s="75" t="s">
        <v>54</v>
      </c>
      <c r="C1493" s="76" t="s">
        <v>38</v>
      </c>
      <c r="D1493" s="40">
        <v>30</v>
      </c>
      <c r="E1493" s="77">
        <v>50</v>
      </c>
      <c r="F1493" s="78">
        <f>ROUND(D1493*E1493,2)</f>
        <v>1500</v>
      </c>
    </row>
    <row r="1494" spans="1:6" x14ac:dyDescent="0.25">
      <c r="B1494" s="75" t="s">
        <v>55</v>
      </c>
      <c r="C1494" s="76" t="s">
        <v>56</v>
      </c>
      <c r="D1494" s="40">
        <v>1100</v>
      </c>
      <c r="E1494" s="77">
        <v>1.6</v>
      </c>
      <c r="F1494" s="78">
        <f>ROUND(D1494*E1494,2)</f>
        <v>1760</v>
      </c>
    </row>
    <row r="1496" spans="1:6" x14ac:dyDescent="0.25">
      <c r="A1496" s="39" t="s">
        <v>1902</v>
      </c>
      <c r="B1496" s="81" t="s">
        <v>2647</v>
      </c>
    </row>
    <row r="1497" spans="1:6" ht="63.75" customHeight="1" x14ac:dyDescent="0.25">
      <c r="B1497" s="37" t="s">
        <v>2842</v>
      </c>
    </row>
    <row r="1498" spans="1:6" ht="75" customHeight="1" x14ac:dyDescent="0.25">
      <c r="B1498" s="37" t="s">
        <v>3383</v>
      </c>
    </row>
    <row r="1499" spans="1:6" ht="76.5" customHeight="1" x14ac:dyDescent="0.25">
      <c r="B1499" s="37" t="s">
        <v>2846</v>
      </c>
    </row>
    <row r="1500" spans="1:6" ht="13.5" customHeight="1" x14ac:dyDescent="0.25">
      <c r="B1500" s="37" t="s">
        <v>2843</v>
      </c>
    </row>
    <row r="1501" spans="1:6" ht="13.5" customHeight="1" x14ac:dyDescent="0.25">
      <c r="B1501" s="37" t="s">
        <v>2841</v>
      </c>
    </row>
    <row r="1502" spans="1:6" x14ac:dyDescent="0.25">
      <c r="B1502" s="75" t="s">
        <v>53</v>
      </c>
      <c r="C1502" s="76" t="s">
        <v>39</v>
      </c>
      <c r="D1502" s="40">
        <v>24</v>
      </c>
      <c r="E1502" s="77">
        <v>180</v>
      </c>
      <c r="F1502" s="78">
        <f>ROUND(D1502*E1502,2)</f>
        <v>4320</v>
      </c>
    </row>
    <row r="1503" spans="1:6" x14ac:dyDescent="0.25">
      <c r="B1503" s="75" t="s">
        <v>54</v>
      </c>
      <c r="C1503" s="76" t="s">
        <v>38</v>
      </c>
      <c r="D1503" s="40">
        <v>225</v>
      </c>
      <c r="E1503" s="77">
        <v>50</v>
      </c>
      <c r="F1503" s="78">
        <f>ROUND(D1503*E1503,2)</f>
        <v>11250</v>
      </c>
    </row>
    <row r="1504" spans="1:6" x14ac:dyDescent="0.25">
      <c r="B1504" s="75" t="s">
        <v>55</v>
      </c>
      <c r="C1504" s="76" t="s">
        <v>56</v>
      </c>
      <c r="D1504" s="40">
        <v>3400</v>
      </c>
      <c r="E1504" s="77">
        <v>1.6</v>
      </c>
      <c r="F1504" s="78">
        <f>ROUND(D1504*E1504,2)</f>
        <v>5440</v>
      </c>
    </row>
    <row r="1506" spans="1:6" x14ac:dyDescent="0.25">
      <c r="A1506" s="39" t="s">
        <v>1903</v>
      </c>
      <c r="B1506" s="81" t="s">
        <v>2647</v>
      </c>
    </row>
    <row r="1507" spans="1:6" ht="64.5" customHeight="1" x14ac:dyDescent="0.25">
      <c r="B1507" s="37" t="s">
        <v>2847</v>
      </c>
    </row>
    <row r="1508" spans="1:6" ht="52.5" customHeight="1" x14ac:dyDescent="0.25">
      <c r="B1508" s="37" t="s">
        <v>2845</v>
      </c>
    </row>
    <row r="1509" spans="1:6" ht="12.75" customHeight="1" x14ac:dyDescent="0.25">
      <c r="B1509" s="37" t="s">
        <v>2841</v>
      </c>
    </row>
    <row r="1510" spans="1:6" x14ac:dyDescent="0.25">
      <c r="B1510" s="75" t="s">
        <v>53</v>
      </c>
      <c r="C1510" s="76" t="s">
        <v>39</v>
      </c>
      <c r="D1510" s="40">
        <v>11</v>
      </c>
      <c r="E1510" s="77">
        <v>180</v>
      </c>
      <c r="F1510" s="78">
        <f>ROUND(D1510*E1510,2)</f>
        <v>1980</v>
      </c>
    </row>
    <row r="1511" spans="1:6" x14ac:dyDescent="0.25">
      <c r="B1511" s="75" t="s">
        <v>54</v>
      </c>
      <c r="C1511" s="76" t="s">
        <v>38</v>
      </c>
      <c r="D1511" s="40">
        <v>60</v>
      </c>
      <c r="E1511" s="77">
        <v>50</v>
      </c>
      <c r="F1511" s="78">
        <f>ROUND(D1511*E1511,2)</f>
        <v>3000</v>
      </c>
    </row>
    <row r="1512" spans="1:6" x14ac:dyDescent="0.25">
      <c r="B1512" s="75" t="s">
        <v>55</v>
      </c>
      <c r="C1512" s="76" t="s">
        <v>56</v>
      </c>
      <c r="D1512" s="40">
        <v>1300</v>
      </c>
      <c r="E1512" s="77">
        <v>1.6</v>
      </c>
      <c r="F1512" s="78">
        <f>ROUND(D1512*E1512,2)</f>
        <v>2080</v>
      </c>
    </row>
    <row r="1514" spans="1:6" x14ac:dyDescent="0.25">
      <c r="A1514" s="39" t="s">
        <v>1904</v>
      </c>
      <c r="B1514" s="81" t="s">
        <v>2647</v>
      </c>
    </row>
    <row r="1515" spans="1:6" ht="76.5" customHeight="1" x14ac:dyDescent="0.25">
      <c r="B1515" s="37" t="s">
        <v>259</v>
      </c>
    </row>
    <row r="1516" spans="1:6" x14ac:dyDescent="0.25">
      <c r="B1516" s="75" t="s">
        <v>53</v>
      </c>
      <c r="C1516" s="76" t="s">
        <v>39</v>
      </c>
      <c r="D1516" s="40">
        <v>1</v>
      </c>
      <c r="E1516" s="77">
        <v>300</v>
      </c>
      <c r="F1516" s="78">
        <f>ROUND(D1516*E1516,2)</f>
        <v>300</v>
      </c>
    </row>
    <row r="1517" spans="1:6" x14ac:dyDescent="0.25">
      <c r="B1517" s="75" t="s">
        <v>54</v>
      </c>
      <c r="C1517" s="76" t="s">
        <v>38</v>
      </c>
      <c r="D1517" s="40">
        <v>3</v>
      </c>
      <c r="E1517" s="77">
        <v>80</v>
      </c>
      <c r="F1517" s="78">
        <f>ROUND(D1517*E1517,2)</f>
        <v>240</v>
      </c>
    </row>
    <row r="1518" spans="1:6" x14ac:dyDescent="0.25">
      <c r="B1518" s="75" t="s">
        <v>55</v>
      </c>
      <c r="C1518" s="76" t="s">
        <v>56</v>
      </c>
      <c r="D1518" s="40">
        <v>70</v>
      </c>
      <c r="E1518" s="77">
        <v>1.6</v>
      </c>
      <c r="F1518" s="78">
        <f>ROUND(D1518*E1518,2)</f>
        <v>112</v>
      </c>
    </row>
    <row r="1520" spans="1:6" x14ac:dyDescent="0.25">
      <c r="A1520" s="39" t="s">
        <v>1905</v>
      </c>
      <c r="B1520" s="81" t="s">
        <v>2647</v>
      </c>
    </row>
    <row r="1521" spans="1:6" ht="64.5" customHeight="1" x14ac:dyDescent="0.25">
      <c r="B1521" s="37" t="s">
        <v>260</v>
      </c>
    </row>
    <row r="1522" spans="1:6" x14ac:dyDescent="0.25">
      <c r="B1522" s="75" t="s">
        <v>53</v>
      </c>
      <c r="C1522" s="76" t="s">
        <v>39</v>
      </c>
      <c r="D1522" s="40">
        <v>1</v>
      </c>
      <c r="E1522" s="77">
        <v>200</v>
      </c>
      <c r="F1522" s="78">
        <f>ROUND(D1522*E1522,2)</f>
        <v>200</v>
      </c>
    </row>
    <row r="1523" spans="1:6" x14ac:dyDescent="0.25">
      <c r="B1523" s="75" t="s">
        <v>55</v>
      </c>
      <c r="C1523" s="76" t="s">
        <v>56</v>
      </c>
      <c r="D1523" s="40">
        <v>70</v>
      </c>
      <c r="E1523" s="77">
        <v>1.6</v>
      </c>
      <c r="F1523" s="78">
        <f>ROUND(D1523*E1523,2)</f>
        <v>112</v>
      </c>
    </row>
    <row r="1525" spans="1:6" x14ac:dyDescent="0.25">
      <c r="A1525" s="39" t="s">
        <v>1906</v>
      </c>
      <c r="B1525" s="81" t="s">
        <v>2672</v>
      </c>
    </row>
    <row r="1526" spans="1:6" ht="48" x14ac:dyDescent="0.25">
      <c r="B1526" s="37" t="s">
        <v>261</v>
      </c>
    </row>
    <row r="1527" spans="1:6" x14ac:dyDescent="0.25">
      <c r="B1527" s="75" t="s">
        <v>53</v>
      </c>
      <c r="C1527" s="76" t="s">
        <v>38</v>
      </c>
      <c r="D1527" s="40">
        <v>50.2</v>
      </c>
      <c r="E1527" s="77">
        <v>30</v>
      </c>
      <c r="F1527" s="78">
        <f>ROUND(D1527*E1527,2)</f>
        <v>1506</v>
      </c>
    </row>
    <row r="1528" spans="1:6" x14ac:dyDescent="0.25">
      <c r="B1528" s="75" t="s">
        <v>58</v>
      </c>
      <c r="C1528" s="76" t="s">
        <v>38</v>
      </c>
      <c r="D1528" s="40">
        <v>3</v>
      </c>
      <c r="E1528" s="77">
        <v>50</v>
      </c>
      <c r="F1528" s="78">
        <f>ROUND(D1528*E1528,2)</f>
        <v>150</v>
      </c>
    </row>
    <row r="1530" spans="1:6" x14ac:dyDescent="0.25">
      <c r="A1530" s="39" t="s">
        <v>1907</v>
      </c>
      <c r="B1530" s="81" t="s">
        <v>2647</v>
      </c>
    </row>
    <row r="1531" spans="1:6" ht="72" x14ac:dyDescent="0.25">
      <c r="B1531" s="37" t="s">
        <v>2187</v>
      </c>
    </row>
    <row r="1532" spans="1:6" x14ac:dyDescent="0.25">
      <c r="B1532" s="75" t="s">
        <v>53</v>
      </c>
      <c r="C1532" s="76" t="s">
        <v>38</v>
      </c>
      <c r="D1532" s="40">
        <v>3</v>
      </c>
      <c r="E1532" s="77">
        <v>180</v>
      </c>
      <c r="F1532" s="78">
        <f>ROUND(D1532*E1532,2)</f>
        <v>540</v>
      </c>
    </row>
    <row r="1533" spans="1:6" x14ac:dyDescent="0.25">
      <c r="B1533" s="75" t="s">
        <v>58</v>
      </c>
      <c r="C1533" s="76" t="s">
        <v>38</v>
      </c>
      <c r="D1533" s="40">
        <v>9</v>
      </c>
      <c r="E1533" s="77">
        <v>40</v>
      </c>
      <c r="F1533" s="78">
        <f>ROUND(D1533*E1533,2)</f>
        <v>360</v>
      </c>
    </row>
    <row r="1534" spans="1:6" x14ac:dyDescent="0.25">
      <c r="B1534" s="75" t="s">
        <v>55</v>
      </c>
      <c r="C1534" s="76" t="s">
        <v>56</v>
      </c>
      <c r="D1534" s="40">
        <v>390</v>
      </c>
      <c r="E1534" s="77">
        <v>1.6</v>
      </c>
      <c r="F1534" s="78">
        <f>ROUND(D1534*E1534,2)</f>
        <v>624</v>
      </c>
    </row>
    <row r="1536" spans="1:6" x14ac:dyDescent="0.25">
      <c r="A1536" s="39" t="s">
        <v>1908</v>
      </c>
      <c r="B1536" s="81" t="s">
        <v>2647</v>
      </c>
    </row>
    <row r="1537" spans="1:6" ht="63.75" customHeight="1" x14ac:dyDescent="0.25">
      <c r="B1537" s="37" t="s">
        <v>57</v>
      </c>
    </row>
    <row r="1538" spans="1:6" x14ac:dyDescent="0.25">
      <c r="B1538" s="75" t="s">
        <v>53</v>
      </c>
      <c r="C1538" s="76" t="s">
        <v>39</v>
      </c>
      <c r="D1538" s="40">
        <v>5</v>
      </c>
      <c r="E1538" s="77">
        <v>200</v>
      </c>
      <c r="F1538" s="78">
        <f>ROUND(D1538*E1538,2)</f>
        <v>1000</v>
      </c>
    </row>
    <row r="1539" spans="1:6" x14ac:dyDescent="0.25">
      <c r="B1539" s="75" t="s">
        <v>54</v>
      </c>
      <c r="C1539" s="76" t="s">
        <v>38</v>
      </c>
      <c r="D1539" s="40">
        <v>30</v>
      </c>
      <c r="E1539" s="77">
        <v>50</v>
      </c>
      <c r="F1539" s="78">
        <f>ROUND(D1539*E1539,2)</f>
        <v>1500</v>
      </c>
    </row>
    <row r="1540" spans="1:6" x14ac:dyDescent="0.25">
      <c r="B1540" s="75" t="s">
        <v>55</v>
      </c>
      <c r="C1540" s="76" t="s">
        <v>56</v>
      </c>
      <c r="D1540" s="40">
        <v>750</v>
      </c>
      <c r="E1540" s="77">
        <v>1.6</v>
      </c>
      <c r="F1540" s="78">
        <f>ROUND(D1540*E1540,2)</f>
        <v>1200</v>
      </c>
    </row>
    <row r="1542" spans="1:6" x14ac:dyDescent="0.25">
      <c r="A1542" s="39" t="s">
        <v>1909</v>
      </c>
      <c r="B1542" s="81" t="s">
        <v>2647</v>
      </c>
    </row>
    <row r="1543" spans="1:6" ht="62.25" customHeight="1" x14ac:dyDescent="0.25">
      <c r="B1543" s="37" t="s">
        <v>262</v>
      </c>
    </row>
    <row r="1544" spans="1:6" x14ac:dyDescent="0.25">
      <c r="B1544" s="75" t="s">
        <v>53</v>
      </c>
      <c r="C1544" s="76" t="s">
        <v>39</v>
      </c>
      <c r="D1544" s="40">
        <v>2.5</v>
      </c>
      <c r="E1544" s="77">
        <v>300</v>
      </c>
      <c r="F1544" s="78">
        <f>ROUND(D1544*E1544,2)</f>
        <v>750</v>
      </c>
    </row>
    <row r="1545" spans="1:6" x14ac:dyDescent="0.25">
      <c r="B1545" s="75" t="s">
        <v>54</v>
      </c>
      <c r="C1545" s="76" t="s">
        <v>38</v>
      </c>
      <c r="D1545" s="40">
        <v>6</v>
      </c>
      <c r="E1545" s="77">
        <v>80</v>
      </c>
      <c r="F1545" s="78">
        <f>ROUND(D1545*E1545,2)</f>
        <v>480</v>
      </c>
    </row>
    <row r="1546" spans="1:6" x14ac:dyDescent="0.25">
      <c r="B1546" s="75" t="s">
        <v>55</v>
      </c>
      <c r="C1546" s="76" t="s">
        <v>56</v>
      </c>
      <c r="D1546" s="40">
        <v>300</v>
      </c>
      <c r="E1546" s="77">
        <v>1.6</v>
      </c>
      <c r="F1546" s="78">
        <f>ROUND(D1546*E1546,2)</f>
        <v>480</v>
      </c>
    </row>
    <row r="1548" spans="1:6" x14ac:dyDescent="0.25">
      <c r="A1548" s="91" t="s">
        <v>1896</v>
      </c>
      <c r="B1548" s="92" t="s">
        <v>263</v>
      </c>
      <c r="C1548" s="91"/>
      <c r="D1548" s="91"/>
      <c r="E1548" s="122"/>
      <c r="F1548" s="96">
        <f>SUM(F1460:F1546)</f>
        <v>87242</v>
      </c>
    </row>
    <row r="1549" spans="1:6" x14ac:dyDescent="0.25">
      <c r="A1549" s="95"/>
      <c r="B1549" s="81"/>
      <c r="C1549" s="107"/>
      <c r="D1549" s="95"/>
      <c r="E1549" s="125"/>
      <c r="F1549" s="108"/>
    </row>
    <row r="1551" spans="1:6" x14ac:dyDescent="0.25">
      <c r="A1551" s="91" t="s">
        <v>1910</v>
      </c>
      <c r="B1551" s="92" t="s">
        <v>62</v>
      </c>
      <c r="C1551" s="91"/>
      <c r="D1551" s="91"/>
      <c r="E1551" s="122"/>
      <c r="F1551" s="91"/>
    </row>
    <row r="1553" spans="1:6" x14ac:dyDescent="0.25">
      <c r="A1553" s="91"/>
      <c r="B1553" s="92" t="s">
        <v>0</v>
      </c>
      <c r="C1553" s="97"/>
      <c r="D1553" s="91"/>
      <c r="E1553" s="122"/>
      <c r="F1553" s="91"/>
    </row>
    <row r="1555" spans="1:6" ht="261.60000000000002" customHeight="1" x14ac:dyDescent="0.25">
      <c r="B1555" s="37" t="s">
        <v>2160</v>
      </c>
    </row>
    <row r="1556" spans="1:6" ht="181.5" customHeight="1" x14ac:dyDescent="0.25">
      <c r="B1556" s="37" t="s">
        <v>63</v>
      </c>
    </row>
    <row r="1557" spans="1:6" ht="27.75" customHeight="1" x14ac:dyDescent="0.25">
      <c r="B1557" s="99" t="s">
        <v>2690</v>
      </c>
    </row>
    <row r="1560" spans="1:6" x14ac:dyDescent="0.25">
      <c r="A1560" s="39" t="s">
        <v>1911</v>
      </c>
      <c r="B1560" s="100" t="s">
        <v>2689</v>
      </c>
    </row>
    <row r="1561" spans="1:6" ht="25.5" customHeight="1" x14ac:dyDescent="0.25">
      <c r="B1561" s="37" t="s">
        <v>264</v>
      </c>
      <c r="C1561" s="76" t="s">
        <v>38</v>
      </c>
      <c r="D1561" s="40">
        <v>38.4</v>
      </c>
      <c r="E1561" s="77">
        <v>10</v>
      </c>
      <c r="F1561" s="78">
        <f>ROUND(D1561*E1561,2)</f>
        <v>384</v>
      </c>
    </row>
    <row r="1562" spans="1:6" x14ac:dyDescent="0.25">
      <c r="B1562" s="75"/>
      <c r="C1562" s="38"/>
    </row>
    <row r="1563" spans="1:6" x14ac:dyDescent="0.25">
      <c r="A1563" s="39" t="s">
        <v>1912</v>
      </c>
      <c r="B1563" s="100" t="s">
        <v>2689</v>
      </c>
      <c r="C1563" s="38"/>
    </row>
    <row r="1564" spans="1:6" ht="36" x14ac:dyDescent="0.25">
      <c r="B1564" s="37" t="s">
        <v>265</v>
      </c>
      <c r="C1564" s="76" t="s">
        <v>38</v>
      </c>
      <c r="D1564" s="40">
        <v>220</v>
      </c>
      <c r="E1564" s="77">
        <v>5</v>
      </c>
      <c r="F1564" s="78">
        <f>ROUND(D1564*E1564,2)</f>
        <v>1100</v>
      </c>
    </row>
    <row r="1565" spans="1:6" x14ac:dyDescent="0.25">
      <c r="B1565" s="75"/>
      <c r="C1565" s="38"/>
    </row>
    <row r="1566" spans="1:6" ht="27" customHeight="1" x14ac:dyDescent="0.25">
      <c r="A1566" s="39" t="s">
        <v>1913</v>
      </c>
      <c r="B1566" s="37" t="s">
        <v>2768</v>
      </c>
      <c r="C1566" s="76" t="s">
        <v>13</v>
      </c>
      <c r="D1566" s="40">
        <v>30</v>
      </c>
      <c r="E1566" s="77">
        <v>20</v>
      </c>
      <c r="F1566" s="78">
        <f>ROUND(D1566*E1566,2)</f>
        <v>600</v>
      </c>
    </row>
    <row r="1567" spans="1:6" x14ac:dyDescent="0.25">
      <c r="B1567" s="75"/>
      <c r="C1567" s="38"/>
    </row>
    <row r="1568" spans="1:6" x14ac:dyDescent="0.25">
      <c r="A1568" s="39" t="s">
        <v>1914</v>
      </c>
      <c r="B1568" s="100" t="s">
        <v>2689</v>
      </c>
      <c r="C1568" s="38"/>
    </row>
    <row r="1569" spans="1:6" ht="62.25" customHeight="1" x14ac:dyDescent="0.25">
      <c r="B1569" s="37" t="s">
        <v>266</v>
      </c>
    </row>
    <row r="1570" spans="1:6" x14ac:dyDescent="0.25">
      <c r="B1570" s="75" t="s">
        <v>267</v>
      </c>
      <c r="C1570" s="76" t="s">
        <v>15</v>
      </c>
      <c r="D1570" s="40">
        <v>2</v>
      </c>
      <c r="E1570" s="77">
        <v>50</v>
      </c>
      <c r="F1570" s="78">
        <f>ROUND(D1570*E1570,2)</f>
        <v>100</v>
      </c>
    </row>
    <row r="1571" spans="1:6" x14ac:dyDescent="0.25">
      <c r="B1571" s="75" t="s">
        <v>268</v>
      </c>
      <c r="C1571" s="76" t="s">
        <v>15</v>
      </c>
      <c r="D1571" s="40">
        <v>2</v>
      </c>
      <c r="E1571" s="77">
        <v>70</v>
      </c>
      <c r="F1571" s="78">
        <f>ROUND(D1571*E1571,2)</f>
        <v>140</v>
      </c>
    </row>
    <row r="1573" spans="1:6" x14ac:dyDescent="0.25">
      <c r="A1573" s="39" t="s">
        <v>1915</v>
      </c>
      <c r="B1573" s="81" t="s">
        <v>2769</v>
      </c>
    </row>
    <row r="1574" spans="1:6" ht="60" x14ac:dyDescent="0.25">
      <c r="B1574" s="37" t="s">
        <v>2863</v>
      </c>
      <c r="C1574" s="76" t="s">
        <v>38</v>
      </c>
      <c r="D1574" s="40">
        <v>300</v>
      </c>
      <c r="E1574" s="77">
        <v>5</v>
      </c>
      <c r="F1574" s="78">
        <f>ROUND(D1574*E1574,2)</f>
        <v>1500</v>
      </c>
    </row>
    <row r="1576" spans="1:6" x14ac:dyDescent="0.25">
      <c r="A1576" s="39" t="s">
        <v>1916</v>
      </c>
      <c r="B1576" s="100" t="s">
        <v>2770</v>
      </c>
    </row>
    <row r="1577" spans="1:6" ht="39" customHeight="1" x14ac:dyDescent="0.25">
      <c r="B1577" s="37" t="s">
        <v>269</v>
      </c>
      <c r="C1577" s="76" t="s">
        <v>38</v>
      </c>
      <c r="D1577" s="40">
        <v>300</v>
      </c>
      <c r="E1577" s="77">
        <v>5</v>
      </c>
      <c r="F1577" s="78">
        <f>ROUND(D1577*E1577,2)</f>
        <v>1500</v>
      </c>
    </row>
    <row r="1578" spans="1:6" x14ac:dyDescent="0.25">
      <c r="B1578" s="75"/>
      <c r="C1578" s="38"/>
    </row>
    <row r="1579" spans="1:6" x14ac:dyDescent="0.25">
      <c r="A1579" s="91" t="s">
        <v>1910</v>
      </c>
      <c r="B1579" s="92" t="s">
        <v>75</v>
      </c>
      <c r="C1579" s="91"/>
      <c r="D1579" s="91"/>
      <c r="E1579" s="122"/>
      <c r="F1579" s="96">
        <f>SUM(F1561:F1577)</f>
        <v>5324</v>
      </c>
    </row>
    <row r="1582" spans="1:6" x14ac:dyDescent="0.25">
      <c r="A1582" s="91" t="s">
        <v>1917</v>
      </c>
      <c r="B1582" s="92" t="s">
        <v>76</v>
      </c>
      <c r="C1582" s="91"/>
      <c r="D1582" s="91"/>
      <c r="E1582" s="122"/>
      <c r="F1582" s="91"/>
    </row>
    <row r="1584" spans="1:6" x14ac:dyDescent="0.25">
      <c r="A1584" s="91"/>
      <c r="B1584" s="92" t="s">
        <v>0</v>
      </c>
      <c r="C1584" s="97"/>
      <c r="D1584" s="91"/>
      <c r="E1584" s="122"/>
      <c r="F1584" s="91"/>
    </row>
    <row r="1586" spans="1:6" ht="87" customHeight="1" x14ac:dyDescent="0.25">
      <c r="B1586" s="37" t="s">
        <v>77</v>
      </c>
    </row>
    <row r="1587" spans="1:6" ht="39.75" customHeight="1" x14ac:dyDescent="0.25">
      <c r="B1587" s="48" t="s">
        <v>3039</v>
      </c>
    </row>
    <row r="1590" spans="1:6" ht="140.25" customHeight="1" x14ac:dyDescent="0.25">
      <c r="A1590" s="39" t="s">
        <v>1918</v>
      </c>
      <c r="B1590" s="37" t="s">
        <v>3336</v>
      </c>
    </row>
    <row r="1591" spans="1:6" ht="150" customHeight="1" x14ac:dyDescent="0.25">
      <c r="A1591" s="39"/>
      <c r="B1591" s="37" t="s">
        <v>3073</v>
      </c>
    </row>
    <row r="1592" spans="1:6" x14ac:dyDescent="0.25">
      <c r="B1592" s="75" t="s">
        <v>2822</v>
      </c>
      <c r="C1592" s="76" t="s">
        <v>15</v>
      </c>
      <c r="D1592" s="40">
        <v>2</v>
      </c>
      <c r="E1592" s="77">
        <v>1300</v>
      </c>
      <c r="F1592" s="78">
        <f t="shared" ref="F1592:F1601" si="12">ROUND(D1592*E1592,2)</f>
        <v>2600</v>
      </c>
    </row>
    <row r="1593" spans="1:6" x14ac:dyDescent="0.25">
      <c r="B1593" s="75" t="s">
        <v>2834</v>
      </c>
      <c r="C1593" s="76" t="s">
        <v>15</v>
      </c>
      <c r="D1593" s="40">
        <v>4</v>
      </c>
      <c r="E1593" s="77">
        <v>1300</v>
      </c>
      <c r="F1593" s="78">
        <f t="shared" si="12"/>
        <v>5200</v>
      </c>
    </row>
    <row r="1594" spans="1:6" x14ac:dyDescent="0.25">
      <c r="B1594" s="75" t="s">
        <v>2823</v>
      </c>
      <c r="C1594" s="76" t="s">
        <v>15</v>
      </c>
      <c r="D1594" s="40">
        <v>2</v>
      </c>
      <c r="E1594" s="77">
        <v>1300</v>
      </c>
      <c r="F1594" s="78">
        <f t="shared" si="12"/>
        <v>2600</v>
      </c>
    </row>
    <row r="1595" spans="1:6" x14ac:dyDescent="0.25">
      <c r="B1595" s="75" t="s">
        <v>2835</v>
      </c>
      <c r="C1595" s="76" t="s">
        <v>15</v>
      </c>
      <c r="D1595" s="40">
        <v>4</v>
      </c>
      <c r="E1595" s="77">
        <v>1300</v>
      </c>
      <c r="F1595" s="78">
        <f t="shared" si="12"/>
        <v>5200</v>
      </c>
    </row>
    <row r="1596" spans="1:6" x14ac:dyDescent="0.25">
      <c r="B1596" s="75" t="s">
        <v>2824</v>
      </c>
      <c r="C1596" s="76" t="s">
        <v>15</v>
      </c>
      <c r="D1596" s="40">
        <v>3</v>
      </c>
      <c r="E1596" s="77">
        <v>500</v>
      </c>
      <c r="F1596" s="78">
        <f t="shared" si="12"/>
        <v>1500</v>
      </c>
    </row>
    <row r="1597" spans="1:6" x14ac:dyDescent="0.25">
      <c r="B1597" s="75" t="s">
        <v>2825</v>
      </c>
      <c r="C1597" s="76" t="s">
        <v>15</v>
      </c>
      <c r="D1597" s="40">
        <v>4</v>
      </c>
      <c r="E1597" s="77">
        <v>260</v>
      </c>
      <c r="F1597" s="78">
        <f t="shared" si="12"/>
        <v>1040</v>
      </c>
    </row>
    <row r="1598" spans="1:6" x14ac:dyDescent="0.25">
      <c r="B1598" s="75" t="s">
        <v>2826</v>
      </c>
      <c r="C1598" s="76" t="s">
        <v>15</v>
      </c>
      <c r="D1598" s="40">
        <v>2</v>
      </c>
      <c r="E1598" s="77">
        <v>200</v>
      </c>
      <c r="F1598" s="78">
        <f t="shared" si="12"/>
        <v>400</v>
      </c>
    </row>
    <row r="1599" spans="1:6" x14ac:dyDescent="0.25">
      <c r="B1599" s="75" t="s">
        <v>2827</v>
      </c>
      <c r="C1599" s="76" t="s">
        <v>15</v>
      </c>
      <c r="D1599" s="40">
        <v>2</v>
      </c>
      <c r="E1599" s="77">
        <v>100</v>
      </c>
      <c r="F1599" s="78">
        <f t="shared" ref="F1599" si="13">ROUND(D1599*E1599,2)</f>
        <v>200</v>
      </c>
    </row>
    <row r="1600" spans="1:6" x14ac:dyDescent="0.25">
      <c r="B1600" s="75" t="s">
        <v>2832</v>
      </c>
      <c r="C1600" s="76" t="s">
        <v>15</v>
      </c>
      <c r="D1600" s="40">
        <v>15</v>
      </c>
      <c r="E1600" s="77">
        <v>40</v>
      </c>
      <c r="F1600" s="78">
        <f t="shared" ref="F1600" si="14">ROUND(D1600*E1600,2)</f>
        <v>600</v>
      </c>
    </row>
    <row r="1601" spans="1:6" x14ac:dyDescent="0.25">
      <c r="B1601" s="75" t="s">
        <v>2023</v>
      </c>
      <c r="C1601" s="76" t="s">
        <v>15</v>
      </c>
      <c r="D1601" s="40">
        <v>64</v>
      </c>
      <c r="E1601" s="77">
        <v>20</v>
      </c>
      <c r="F1601" s="78">
        <f t="shared" si="12"/>
        <v>1280</v>
      </c>
    </row>
    <row r="1602" spans="1:6" x14ac:dyDescent="0.25">
      <c r="B1602" s="75" t="s">
        <v>2024</v>
      </c>
      <c r="C1602" s="76" t="s">
        <v>15</v>
      </c>
      <c r="D1602" s="40">
        <v>20</v>
      </c>
      <c r="E1602" s="77">
        <v>15</v>
      </c>
      <c r="F1602" s="78">
        <f t="shared" ref="F1602" si="15">ROUND(D1602*E1602,2)</f>
        <v>300</v>
      </c>
    </row>
    <row r="1603" spans="1:6" x14ac:dyDescent="0.25">
      <c r="B1603" s="75" t="s">
        <v>2833</v>
      </c>
      <c r="C1603" s="76" t="s">
        <v>38</v>
      </c>
      <c r="D1603" s="40">
        <v>16</v>
      </c>
      <c r="E1603" s="77">
        <v>60</v>
      </c>
      <c r="F1603" s="78">
        <f t="shared" ref="F1603:F1604" si="16">ROUND(D1603*E1603,2)</f>
        <v>960</v>
      </c>
    </row>
    <row r="1604" spans="1:6" x14ac:dyDescent="0.25">
      <c r="B1604" s="74" t="s">
        <v>3076</v>
      </c>
      <c r="C1604" s="76" t="s">
        <v>2007</v>
      </c>
      <c r="D1604" s="40">
        <v>230</v>
      </c>
      <c r="E1604" s="120">
        <v>1</v>
      </c>
      <c r="F1604" s="78">
        <f t="shared" si="16"/>
        <v>230</v>
      </c>
    </row>
    <row r="1606" spans="1:6" ht="137.25" customHeight="1" x14ac:dyDescent="0.25">
      <c r="A1606" s="39" t="s">
        <v>1919</v>
      </c>
      <c r="B1606" s="37" t="s">
        <v>3337</v>
      </c>
    </row>
    <row r="1607" spans="1:6" ht="147.6" customHeight="1" x14ac:dyDescent="0.25">
      <c r="A1607" s="39"/>
      <c r="B1607" s="37" t="s">
        <v>3073</v>
      </c>
    </row>
    <row r="1608" spans="1:6" x14ac:dyDescent="0.25">
      <c r="B1608" s="75" t="s">
        <v>3086</v>
      </c>
      <c r="C1608" s="76" t="s">
        <v>15</v>
      </c>
      <c r="D1608" s="40">
        <v>4</v>
      </c>
      <c r="E1608" s="77">
        <v>150</v>
      </c>
      <c r="F1608" s="78">
        <f>ROUND(D1608*E1608,2)</f>
        <v>600</v>
      </c>
    </row>
    <row r="1609" spans="1:6" x14ac:dyDescent="0.25">
      <c r="B1609" s="75" t="s">
        <v>3087</v>
      </c>
      <c r="C1609" s="76" t="s">
        <v>15</v>
      </c>
      <c r="D1609" s="40">
        <v>4</v>
      </c>
      <c r="E1609" s="77">
        <v>150</v>
      </c>
      <c r="F1609" s="78">
        <f>ROUND(D1609*E1609,2)</f>
        <v>600</v>
      </c>
    </row>
    <row r="1610" spans="1:6" x14ac:dyDescent="0.25">
      <c r="B1610" s="75" t="s">
        <v>3088</v>
      </c>
      <c r="C1610" s="76" t="s">
        <v>15</v>
      </c>
      <c r="D1610" s="40">
        <v>4</v>
      </c>
      <c r="E1610" s="77">
        <v>150</v>
      </c>
      <c r="F1610" s="78">
        <f>ROUND(D1610*E1610,2)</f>
        <v>600</v>
      </c>
    </row>
    <row r="1611" spans="1:6" x14ac:dyDescent="0.25">
      <c r="B1611" s="75" t="s">
        <v>3089</v>
      </c>
      <c r="C1611" s="76" t="s">
        <v>15</v>
      </c>
      <c r="D1611" s="40">
        <v>2</v>
      </c>
      <c r="E1611" s="77">
        <v>250</v>
      </c>
      <c r="F1611" s="78">
        <f>ROUND(D1611*E1611,2)</f>
        <v>500</v>
      </c>
    </row>
    <row r="1612" spans="1:6" x14ac:dyDescent="0.25">
      <c r="B1612" s="74" t="s">
        <v>3076</v>
      </c>
      <c r="C1612" s="76" t="s">
        <v>2007</v>
      </c>
      <c r="D1612" s="40">
        <v>35</v>
      </c>
      <c r="E1612" s="120">
        <v>1</v>
      </c>
      <c r="F1612" s="78">
        <f t="shared" ref="F1612" si="17">ROUND(D1612*E1612,2)</f>
        <v>35</v>
      </c>
    </row>
    <row r="1614" spans="1:6" ht="120" customHeight="1" x14ac:dyDescent="0.25">
      <c r="A1614" s="39" t="s">
        <v>1920</v>
      </c>
      <c r="B1614" s="37" t="s">
        <v>3338</v>
      </c>
    </row>
    <row r="1615" spans="1:6" ht="144" x14ac:dyDescent="0.25">
      <c r="A1615" s="39"/>
      <c r="B1615" s="37" t="s">
        <v>3073</v>
      </c>
    </row>
    <row r="1616" spans="1:6" x14ac:dyDescent="0.25">
      <c r="B1616" s="75" t="s">
        <v>3090</v>
      </c>
      <c r="C1616" s="76" t="s">
        <v>15</v>
      </c>
      <c r="D1616" s="40">
        <v>2</v>
      </c>
      <c r="E1616" s="77">
        <v>170</v>
      </c>
      <c r="F1616" s="78">
        <f>ROUND(D1616*E1616,2)</f>
        <v>340</v>
      </c>
    </row>
    <row r="1617" spans="1:6" x14ac:dyDescent="0.25">
      <c r="B1617" s="75" t="s">
        <v>3091</v>
      </c>
      <c r="C1617" s="76" t="s">
        <v>15</v>
      </c>
      <c r="D1617" s="40">
        <v>4</v>
      </c>
      <c r="E1617" s="77">
        <v>170</v>
      </c>
      <c r="F1617" s="78">
        <f>ROUND(D1617*E1617,2)</f>
        <v>680</v>
      </c>
    </row>
    <row r="1618" spans="1:6" x14ac:dyDescent="0.25">
      <c r="B1618" s="75" t="s">
        <v>3092</v>
      </c>
      <c r="C1618" s="76" t="s">
        <v>15</v>
      </c>
      <c r="D1618" s="40">
        <v>17</v>
      </c>
      <c r="E1618" s="77">
        <v>150</v>
      </c>
      <c r="F1618" s="78">
        <f>ROUND(D1618*E1618,2)</f>
        <v>2550</v>
      </c>
    </row>
    <row r="1619" spans="1:6" x14ac:dyDescent="0.25">
      <c r="B1619" s="74" t="s">
        <v>3076</v>
      </c>
      <c r="C1619" s="76" t="s">
        <v>2007</v>
      </c>
      <c r="D1619" s="40">
        <v>35</v>
      </c>
      <c r="E1619" s="120">
        <v>1</v>
      </c>
      <c r="F1619" s="78">
        <f t="shared" ref="F1619" si="18">ROUND(D1619*E1619,2)</f>
        <v>35</v>
      </c>
    </row>
    <row r="1621" spans="1:6" ht="39" customHeight="1" x14ac:dyDescent="0.25">
      <c r="A1621" s="39" t="s">
        <v>1921</v>
      </c>
      <c r="B1621" s="37" t="s">
        <v>270</v>
      </c>
      <c r="C1621" s="76" t="s">
        <v>38</v>
      </c>
      <c r="D1621" s="40">
        <v>60.5</v>
      </c>
      <c r="E1621" s="77">
        <v>20</v>
      </c>
      <c r="F1621" s="78">
        <f>ROUND(D1621*E1621,2)</f>
        <v>1210</v>
      </c>
    </row>
    <row r="1622" spans="1:6" x14ac:dyDescent="0.25">
      <c r="B1622" s="75"/>
      <c r="C1622" s="38"/>
    </row>
    <row r="1623" spans="1:6" ht="99" customHeight="1" x14ac:dyDescent="0.25">
      <c r="A1623" s="39" t="s">
        <v>1922</v>
      </c>
      <c r="B1623" s="37" t="s">
        <v>2691</v>
      </c>
    </row>
    <row r="1624" spans="1:6" x14ac:dyDescent="0.25">
      <c r="B1624" s="75" t="s">
        <v>87</v>
      </c>
      <c r="C1624" s="76" t="s">
        <v>38</v>
      </c>
      <c r="D1624" s="40">
        <v>100</v>
      </c>
      <c r="E1624" s="77">
        <v>15</v>
      </c>
      <c r="F1624" s="78">
        <f>ROUND(D1624*E1624,2)</f>
        <v>1500</v>
      </c>
    </row>
    <row r="1626" spans="1:6" x14ac:dyDescent="0.25">
      <c r="A1626" s="39" t="s">
        <v>1923</v>
      </c>
      <c r="B1626" s="37" t="s">
        <v>88</v>
      </c>
    </row>
    <row r="1627" spans="1:6" x14ac:dyDescent="0.25">
      <c r="B1627" s="75" t="s">
        <v>89</v>
      </c>
      <c r="C1627" s="76" t="s">
        <v>15</v>
      </c>
      <c r="D1627" s="40">
        <v>2</v>
      </c>
      <c r="E1627" s="77">
        <v>50</v>
      </c>
      <c r="F1627" s="78">
        <f>ROUND(D1627*E1627,2)</f>
        <v>100</v>
      </c>
    </row>
    <row r="1628" spans="1:6" x14ac:dyDescent="0.25">
      <c r="B1628" s="75" t="s">
        <v>90</v>
      </c>
      <c r="C1628" s="76" t="s">
        <v>15</v>
      </c>
      <c r="D1628" s="40">
        <v>4</v>
      </c>
      <c r="E1628" s="77">
        <v>100</v>
      </c>
      <c r="F1628" s="78">
        <f>ROUND(D1628*E1628,2)</f>
        <v>400</v>
      </c>
    </row>
    <row r="1629" spans="1:6" x14ac:dyDescent="0.25">
      <c r="E1629" s="124"/>
      <c r="F1629" s="78"/>
    </row>
    <row r="1630" spans="1:6" ht="213" customHeight="1" x14ac:dyDescent="0.25">
      <c r="A1630" s="39" t="s">
        <v>2192</v>
      </c>
      <c r="B1630" s="37" t="s">
        <v>3143</v>
      </c>
      <c r="C1630" s="76" t="s">
        <v>19</v>
      </c>
      <c r="D1630" s="40">
        <v>1</v>
      </c>
      <c r="E1630" s="77">
        <v>30000</v>
      </c>
      <c r="F1630" s="78">
        <f>ROUND(D1630*E1630,2)</f>
        <v>30000</v>
      </c>
    </row>
    <row r="1631" spans="1:6" x14ac:dyDescent="0.25">
      <c r="E1631" s="124"/>
      <c r="F1631" s="78"/>
    </row>
    <row r="1632" spans="1:6" x14ac:dyDescent="0.25">
      <c r="A1632" s="91" t="s">
        <v>1917</v>
      </c>
      <c r="B1632" s="92" t="s">
        <v>91</v>
      </c>
      <c r="C1632" s="91"/>
      <c r="D1632" s="91"/>
      <c r="E1632" s="122"/>
      <c r="F1632" s="96">
        <f>SUM(F1590:F1630)</f>
        <v>61260</v>
      </c>
    </row>
    <row r="1635" spans="1:6" x14ac:dyDescent="0.25">
      <c r="A1635" s="91" t="s">
        <v>1879</v>
      </c>
      <c r="B1635" s="92" t="s">
        <v>26</v>
      </c>
      <c r="C1635" s="91"/>
      <c r="D1635" s="91"/>
      <c r="E1635" s="122"/>
      <c r="F1635" s="96">
        <f>SUM(F1632,F1579,F1548,F1453)</f>
        <v>174861.2</v>
      </c>
    </row>
    <row r="1638" spans="1:6" x14ac:dyDescent="0.25">
      <c r="A1638" s="91" t="s">
        <v>1924</v>
      </c>
      <c r="B1638" s="92" t="s">
        <v>92</v>
      </c>
      <c r="C1638" s="91"/>
      <c r="D1638" s="91"/>
      <c r="E1638" s="122"/>
      <c r="F1638" s="91"/>
    </row>
    <row r="1640" spans="1:6" x14ac:dyDescent="0.25">
      <c r="A1640" s="91" t="s">
        <v>1925</v>
      </c>
      <c r="B1640" s="92" t="s">
        <v>93</v>
      </c>
      <c r="C1640" s="91"/>
      <c r="D1640" s="91"/>
      <c r="E1640" s="122"/>
      <c r="F1640" s="91"/>
    </row>
    <row r="1642" spans="1:6" x14ac:dyDescent="0.25">
      <c r="A1642" s="91"/>
      <c r="B1642" s="92" t="s">
        <v>0</v>
      </c>
      <c r="C1642" s="97"/>
      <c r="D1642" s="91"/>
      <c r="E1642" s="122"/>
      <c r="F1642" s="91"/>
    </row>
    <row r="1644" spans="1:6" ht="194.25" customHeight="1" x14ac:dyDescent="0.25">
      <c r="B1644" s="37" t="s">
        <v>2157</v>
      </c>
    </row>
    <row r="1647" spans="1:6" ht="62.25" customHeight="1" x14ac:dyDescent="0.25">
      <c r="A1647" s="39" t="s">
        <v>1926</v>
      </c>
      <c r="B1647" s="37" t="s">
        <v>2026</v>
      </c>
    </row>
    <row r="1648" spans="1:6" ht="36" x14ac:dyDescent="0.25">
      <c r="B1648" s="75" t="s">
        <v>2027</v>
      </c>
      <c r="C1648" s="76" t="s">
        <v>38</v>
      </c>
      <c r="D1648" s="40">
        <v>53.2</v>
      </c>
      <c r="E1648" s="77">
        <v>28</v>
      </c>
      <c r="F1648" s="78">
        <f>ROUND(D1648*E1648,2)</f>
        <v>1489.6</v>
      </c>
    </row>
    <row r="1650" spans="1:6" ht="62.25" customHeight="1" x14ac:dyDescent="0.25">
      <c r="A1650" s="39" t="s">
        <v>1927</v>
      </c>
      <c r="B1650" s="37" t="s">
        <v>2028</v>
      </c>
    </row>
    <row r="1651" spans="1:6" ht="36" x14ac:dyDescent="0.25">
      <c r="B1651" s="75" t="s">
        <v>2027</v>
      </c>
      <c r="C1651" s="76" t="s">
        <v>38</v>
      </c>
      <c r="D1651" s="40">
        <v>167.7</v>
      </c>
      <c r="E1651" s="77">
        <v>32</v>
      </c>
      <c r="F1651" s="78">
        <f>ROUND(D1651*E1651,2)</f>
        <v>5366.4</v>
      </c>
    </row>
    <row r="1653" spans="1:6" ht="72" x14ac:dyDescent="0.25">
      <c r="A1653" s="39" t="s">
        <v>1928</v>
      </c>
      <c r="B1653" s="37" t="s">
        <v>2853</v>
      </c>
    </row>
    <row r="1654" spans="1:6" x14ac:dyDescent="0.25">
      <c r="B1654" s="75" t="s">
        <v>271</v>
      </c>
      <c r="C1654" s="76" t="s">
        <v>38</v>
      </c>
      <c r="D1654" s="40">
        <v>58</v>
      </c>
      <c r="E1654" s="77">
        <v>35</v>
      </c>
      <c r="F1654" s="78">
        <f>ROUND(D1654*E1654,2)</f>
        <v>2030</v>
      </c>
    </row>
    <row r="1656" spans="1:6" ht="195" customHeight="1" x14ac:dyDescent="0.25">
      <c r="A1656" s="39" t="s">
        <v>1929</v>
      </c>
      <c r="B1656" s="37" t="s">
        <v>1998</v>
      </c>
      <c r="C1656" s="76" t="s">
        <v>38</v>
      </c>
      <c r="D1656" s="40">
        <v>221</v>
      </c>
      <c r="E1656" s="77">
        <v>20</v>
      </c>
      <c r="F1656" s="78">
        <f>ROUND(D1656*E1656,2)</f>
        <v>4420</v>
      </c>
    </row>
    <row r="1658" spans="1:6" ht="60" customHeight="1" x14ac:dyDescent="0.25">
      <c r="A1658" s="39" t="s">
        <v>1930</v>
      </c>
      <c r="B1658" s="37" t="s">
        <v>272</v>
      </c>
      <c r="C1658" s="76" t="s">
        <v>38</v>
      </c>
      <c r="D1658" s="40">
        <v>167.7</v>
      </c>
      <c r="E1658" s="77">
        <v>22</v>
      </c>
      <c r="F1658" s="78">
        <f>ROUND(D1658*E1658,2)</f>
        <v>3689.4</v>
      </c>
    </row>
    <row r="1660" spans="1:6" ht="36" x14ac:dyDescent="0.25">
      <c r="A1660" s="39" t="s">
        <v>1931</v>
      </c>
      <c r="B1660" s="37" t="s">
        <v>273</v>
      </c>
      <c r="C1660" s="76" t="s">
        <v>38</v>
      </c>
      <c r="D1660" s="40">
        <v>71.3</v>
      </c>
      <c r="E1660" s="77">
        <v>20</v>
      </c>
      <c r="F1660" s="78">
        <f>ROUND(D1660*E1660,2)</f>
        <v>1426</v>
      </c>
    </row>
    <row r="1662" spans="1:6" ht="63.6" customHeight="1" x14ac:dyDescent="0.25">
      <c r="A1662" s="39" t="s">
        <v>1932</v>
      </c>
      <c r="B1662" s="37" t="s">
        <v>274</v>
      </c>
      <c r="C1662" s="76" t="s">
        <v>38</v>
      </c>
      <c r="D1662" s="40">
        <v>17</v>
      </c>
      <c r="E1662" s="77">
        <v>40</v>
      </c>
      <c r="F1662" s="78">
        <f>ROUND(D1662*E1662,2)</f>
        <v>680</v>
      </c>
    </row>
    <row r="1664" spans="1:6" x14ac:dyDescent="0.25">
      <c r="A1664" s="91" t="s">
        <v>1933</v>
      </c>
      <c r="B1664" s="92" t="s">
        <v>97</v>
      </c>
      <c r="C1664" s="91"/>
      <c r="D1664" s="91"/>
      <c r="E1664" s="122"/>
      <c r="F1664" s="96">
        <f>SUM(F1648:F1662)</f>
        <v>19101.400000000001</v>
      </c>
    </row>
    <row r="1667" spans="1:6" x14ac:dyDescent="0.25">
      <c r="A1667" s="91" t="s">
        <v>1934</v>
      </c>
      <c r="B1667" s="92" t="s">
        <v>98</v>
      </c>
      <c r="C1667" s="91"/>
      <c r="D1667" s="91"/>
      <c r="E1667" s="122"/>
      <c r="F1667" s="91"/>
    </row>
    <row r="1669" spans="1:6" x14ac:dyDescent="0.25">
      <c r="A1669" s="91"/>
      <c r="B1669" s="92" t="s">
        <v>0</v>
      </c>
      <c r="C1669" s="97"/>
      <c r="D1669" s="91"/>
      <c r="E1669" s="122"/>
      <c r="F1669" s="91"/>
    </row>
    <row r="1671" spans="1:6" ht="276.75" customHeight="1" x14ac:dyDescent="0.25">
      <c r="B1671" s="37" t="s">
        <v>2161</v>
      </c>
    </row>
    <row r="1672" spans="1:6" ht="99" customHeight="1" x14ac:dyDescent="0.25">
      <c r="B1672" s="37" t="s">
        <v>1935</v>
      </c>
    </row>
    <row r="1675" spans="1:6" ht="171" customHeight="1" x14ac:dyDescent="0.25">
      <c r="A1675" s="39" t="s">
        <v>1936</v>
      </c>
      <c r="B1675" s="37" t="s">
        <v>3384</v>
      </c>
    </row>
    <row r="1676" spans="1:6" x14ac:dyDescent="0.25">
      <c r="B1676" s="75" t="s">
        <v>99</v>
      </c>
      <c r="C1676" s="76" t="s">
        <v>38</v>
      </c>
      <c r="D1676" s="40">
        <v>71.3</v>
      </c>
      <c r="E1676" s="77">
        <v>65</v>
      </c>
      <c r="F1676" s="78">
        <f>ROUND(D1676*E1676,2)</f>
        <v>4634.5</v>
      </c>
    </row>
    <row r="1678" spans="1:6" ht="78.75" customHeight="1" x14ac:dyDescent="0.25">
      <c r="A1678" s="39" t="s">
        <v>1937</v>
      </c>
      <c r="B1678" s="37" t="s">
        <v>2880</v>
      </c>
      <c r="C1678" s="76" t="s">
        <v>13</v>
      </c>
      <c r="D1678" s="40">
        <v>12.6</v>
      </c>
      <c r="E1678" s="77">
        <v>60</v>
      </c>
      <c r="F1678" s="78">
        <f>ROUND(D1678*E1678,2)</f>
        <v>756</v>
      </c>
    </row>
    <row r="1679" spans="1:6" x14ac:dyDescent="0.25">
      <c r="B1679" s="75"/>
      <c r="C1679" s="38"/>
    </row>
    <row r="1680" spans="1:6" ht="36" x14ac:dyDescent="0.25">
      <c r="A1680" s="39" t="s">
        <v>1938</v>
      </c>
      <c r="B1680" s="37" t="s">
        <v>275</v>
      </c>
    </row>
    <row r="1681" spans="1:6" x14ac:dyDescent="0.25">
      <c r="B1681" s="75" t="s">
        <v>100</v>
      </c>
      <c r="C1681" s="76" t="s">
        <v>13</v>
      </c>
      <c r="D1681" s="40">
        <v>12.6</v>
      </c>
      <c r="E1681" s="77">
        <v>27</v>
      </c>
      <c r="F1681" s="78">
        <f>ROUND(D1681*E1681,2)</f>
        <v>340.2</v>
      </c>
    </row>
    <row r="1683" spans="1:6" ht="63" customHeight="1" x14ac:dyDescent="0.25">
      <c r="A1683" s="39" t="s">
        <v>1939</v>
      </c>
      <c r="B1683" s="37" t="s">
        <v>2029</v>
      </c>
    </row>
    <row r="1684" spans="1:6" x14ac:dyDescent="0.25">
      <c r="B1684" s="75" t="s">
        <v>100</v>
      </c>
      <c r="C1684" s="76" t="s">
        <v>13</v>
      </c>
      <c r="D1684" s="40">
        <v>10</v>
      </c>
      <c r="E1684" s="77">
        <v>35</v>
      </c>
      <c r="F1684" s="78">
        <f>ROUND(D1684*E1684,2)</f>
        <v>350</v>
      </c>
    </row>
    <row r="1686" spans="1:6" ht="36" x14ac:dyDescent="0.25">
      <c r="A1686" s="39" t="s">
        <v>1940</v>
      </c>
      <c r="B1686" s="37" t="s">
        <v>276</v>
      </c>
    </row>
    <row r="1687" spans="1:6" x14ac:dyDescent="0.25">
      <c r="B1687" s="75" t="s">
        <v>277</v>
      </c>
      <c r="C1687" s="76" t="s">
        <v>13</v>
      </c>
      <c r="D1687" s="40">
        <v>7</v>
      </c>
      <c r="E1687" s="77">
        <v>35</v>
      </c>
      <c r="F1687" s="78">
        <f>ROUND(D1687*E1687,2)</f>
        <v>245</v>
      </c>
    </row>
    <row r="1689" spans="1:6" ht="74.25" customHeight="1" x14ac:dyDescent="0.25">
      <c r="A1689" s="39" t="s">
        <v>1941</v>
      </c>
      <c r="B1689" s="37" t="s">
        <v>278</v>
      </c>
    </row>
    <row r="1690" spans="1:6" x14ac:dyDescent="0.25">
      <c r="B1690" s="75" t="s">
        <v>279</v>
      </c>
      <c r="C1690" s="76" t="s">
        <v>15</v>
      </c>
      <c r="D1690" s="40">
        <v>8</v>
      </c>
      <c r="E1690" s="77">
        <v>28</v>
      </c>
      <c r="F1690" s="78">
        <f>ROUND(D1690*E1690,2)</f>
        <v>224</v>
      </c>
    </row>
    <row r="1691" spans="1:6" x14ac:dyDescent="0.25">
      <c r="B1691" s="75" t="s">
        <v>280</v>
      </c>
      <c r="C1691" s="76" t="s">
        <v>13</v>
      </c>
      <c r="D1691" s="40">
        <v>35</v>
      </c>
      <c r="E1691" s="77">
        <v>35</v>
      </c>
      <c r="F1691" s="78">
        <f>ROUND(D1691*E1691,2)</f>
        <v>1225</v>
      </c>
    </row>
    <row r="1693" spans="1:6" x14ac:dyDescent="0.25">
      <c r="A1693" s="91" t="s">
        <v>1934</v>
      </c>
      <c r="B1693" s="92" t="s">
        <v>108</v>
      </c>
      <c r="C1693" s="91"/>
      <c r="D1693" s="91"/>
      <c r="E1693" s="122"/>
      <c r="F1693" s="96">
        <f>SUM(F1671:F1691)</f>
        <v>7774.7</v>
      </c>
    </row>
    <row r="1696" spans="1:6" x14ac:dyDescent="0.25">
      <c r="A1696" s="91" t="s">
        <v>1942</v>
      </c>
      <c r="B1696" s="92" t="s">
        <v>281</v>
      </c>
      <c r="C1696" s="91"/>
      <c r="D1696" s="91"/>
      <c r="E1696" s="122"/>
      <c r="F1696" s="91"/>
    </row>
    <row r="1698" spans="1:6" x14ac:dyDescent="0.25">
      <c r="A1698" s="91"/>
      <c r="B1698" s="92" t="s">
        <v>0</v>
      </c>
      <c r="C1698" s="97"/>
      <c r="D1698" s="91"/>
      <c r="E1698" s="122"/>
      <c r="F1698" s="91"/>
    </row>
    <row r="1700" spans="1:6" ht="183" customHeight="1" x14ac:dyDescent="0.25">
      <c r="B1700" s="37" t="s">
        <v>110</v>
      </c>
    </row>
    <row r="1703" spans="1:6" ht="99.75" customHeight="1" x14ac:dyDescent="0.25">
      <c r="A1703" s="39" t="s">
        <v>1943</v>
      </c>
      <c r="B1703" s="37" t="s">
        <v>2188</v>
      </c>
      <c r="C1703" s="76" t="s">
        <v>38</v>
      </c>
      <c r="D1703" s="40">
        <v>55.7</v>
      </c>
      <c r="E1703" s="77">
        <v>70</v>
      </c>
      <c r="F1703" s="78">
        <f>ROUND(D1703*E1703,2)</f>
        <v>3899</v>
      </c>
    </row>
    <row r="1705" spans="1:6" x14ac:dyDescent="0.25">
      <c r="A1705" s="91" t="s">
        <v>1942</v>
      </c>
      <c r="B1705" s="92" t="s">
        <v>282</v>
      </c>
      <c r="C1705" s="91"/>
      <c r="D1705" s="91"/>
      <c r="E1705" s="122"/>
      <c r="F1705" s="96">
        <f>SUM(F1703:F1704)</f>
        <v>3899</v>
      </c>
    </row>
    <row r="1708" spans="1:6" x14ac:dyDescent="0.25">
      <c r="A1708" s="91" t="s">
        <v>1944</v>
      </c>
      <c r="B1708" s="92" t="s">
        <v>149</v>
      </c>
      <c r="C1708" s="91"/>
      <c r="D1708" s="91"/>
      <c r="E1708" s="122"/>
      <c r="F1708" s="91"/>
    </row>
    <row r="1710" spans="1:6" x14ac:dyDescent="0.25">
      <c r="A1710" s="91"/>
      <c r="B1710" s="92" t="s">
        <v>0</v>
      </c>
      <c r="C1710" s="97"/>
      <c r="D1710" s="91"/>
      <c r="E1710" s="122"/>
      <c r="F1710" s="91"/>
    </row>
    <row r="1712" spans="1:6" ht="283.8" customHeight="1" x14ac:dyDescent="0.25">
      <c r="B1712" s="37" t="s">
        <v>3040</v>
      </c>
    </row>
    <row r="1715" spans="1:6" ht="172.8" customHeight="1" x14ac:dyDescent="0.25">
      <c r="A1715" s="39" t="s">
        <v>1945</v>
      </c>
      <c r="B1715" s="37" t="s">
        <v>3339</v>
      </c>
    </row>
    <row r="1716" spans="1:6" ht="113.4" customHeight="1" x14ac:dyDescent="0.25">
      <c r="B1716" s="37" t="s">
        <v>3340</v>
      </c>
    </row>
    <row r="1717" spans="1:6" ht="48" x14ac:dyDescent="0.25">
      <c r="B1717" s="37" t="s">
        <v>283</v>
      </c>
    </row>
    <row r="1718" spans="1:6" ht="28.5" customHeight="1" x14ac:dyDescent="0.25">
      <c r="B1718" s="37" t="s">
        <v>3041</v>
      </c>
    </row>
    <row r="1719" spans="1:6" x14ac:dyDescent="0.25">
      <c r="B1719" s="75" t="s">
        <v>150</v>
      </c>
      <c r="C1719" s="76" t="s">
        <v>56</v>
      </c>
      <c r="D1719" s="40">
        <v>2000</v>
      </c>
      <c r="E1719" s="77">
        <v>6</v>
      </c>
      <c r="F1719" s="78">
        <f>ROUND(D1719*E1719,2)</f>
        <v>12000</v>
      </c>
    </row>
    <row r="1720" spans="1:6" x14ac:dyDescent="0.25">
      <c r="B1720" s="75" t="s">
        <v>151</v>
      </c>
      <c r="C1720" s="76" t="s">
        <v>38</v>
      </c>
      <c r="D1720" s="40">
        <v>90</v>
      </c>
      <c r="E1720" s="77">
        <v>250</v>
      </c>
      <c r="F1720" s="78">
        <f>ROUND(D1720*E1720,2)</f>
        <v>22500</v>
      </c>
    </row>
    <row r="1721" spans="1:6" x14ac:dyDescent="0.25">
      <c r="B1721" s="75" t="s">
        <v>152</v>
      </c>
      <c r="C1721" s="76" t="s">
        <v>13</v>
      </c>
      <c r="D1721" s="40">
        <v>85</v>
      </c>
      <c r="E1721" s="77">
        <v>220</v>
      </c>
      <c r="F1721" s="78">
        <f>ROUND(D1721*E1721,2)</f>
        <v>18700</v>
      </c>
    </row>
    <row r="1722" spans="1:6" x14ac:dyDescent="0.25">
      <c r="B1722" s="75" t="s">
        <v>2031</v>
      </c>
      <c r="C1722" s="76" t="s">
        <v>13</v>
      </c>
      <c r="D1722" s="40">
        <v>85</v>
      </c>
      <c r="E1722" s="77">
        <v>200</v>
      </c>
      <c r="F1722" s="78">
        <f>ROUND(D1722*E1722,2)</f>
        <v>17000</v>
      </c>
    </row>
    <row r="1724" spans="1:6" ht="86.25" customHeight="1" x14ac:dyDescent="0.25">
      <c r="A1724" s="39" t="s">
        <v>1946</v>
      </c>
      <c r="B1724" s="37" t="s">
        <v>2828</v>
      </c>
    </row>
    <row r="1725" spans="1:6" x14ac:dyDescent="0.25">
      <c r="B1725" s="75" t="s">
        <v>284</v>
      </c>
      <c r="C1725" s="76" t="s">
        <v>38</v>
      </c>
      <c r="D1725" s="40">
        <v>27</v>
      </c>
      <c r="E1725" s="77">
        <v>290</v>
      </c>
      <c r="F1725" s="78">
        <f>ROUND(D1725*E1725,2)</f>
        <v>7830</v>
      </c>
    </row>
    <row r="1726" spans="1:6" x14ac:dyDescent="0.25">
      <c r="B1726" s="75" t="s">
        <v>285</v>
      </c>
      <c r="C1726" s="76" t="s">
        <v>15</v>
      </c>
      <c r="D1726" s="40">
        <v>1</v>
      </c>
      <c r="E1726" s="77">
        <v>600</v>
      </c>
      <c r="F1726" s="78">
        <f>ROUND(D1726*E1726,2)</f>
        <v>600</v>
      </c>
    </row>
    <row r="1728" spans="1:6" ht="54" customHeight="1" x14ac:dyDescent="0.25">
      <c r="A1728" s="39" t="s">
        <v>1947</v>
      </c>
      <c r="B1728" s="37" t="s">
        <v>2829</v>
      </c>
    </row>
    <row r="1729" spans="1:6" ht="24" x14ac:dyDescent="0.25">
      <c r="B1729" s="75" t="s">
        <v>286</v>
      </c>
      <c r="C1729" s="76" t="s">
        <v>13</v>
      </c>
      <c r="D1729" s="40">
        <v>25.3</v>
      </c>
      <c r="E1729" s="77">
        <v>600</v>
      </c>
      <c r="F1729" s="78">
        <f>ROUND(D1729*E1729,2)</f>
        <v>15180</v>
      </c>
    </row>
    <row r="1731" spans="1:6" ht="48" x14ac:dyDescent="0.25">
      <c r="A1731" s="39" t="s">
        <v>1948</v>
      </c>
      <c r="B1731" s="37" t="s">
        <v>2030</v>
      </c>
      <c r="C1731" s="76" t="s">
        <v>15</v>
      </c>
      <c r="D1731" s="40">
        <v>2</v>
      </c>
      <c r="E1731" s="77">
        <v>1000</v>
      </c>
      <c r="F1731" s="78">
        <f>ROUND(D1731*E1731,2)</f>
        <v>2000</v>
      </c>
    </row>
    <row r="1733" spans="1:6" x14ac:dyDescent="0.25">
      <c r="A1733" s="91" t="s">
        <v>1944</v>
      </c>
      <c r="B1733" s="92" t="s">
        <v>158</v>
      </c>
      <c r="C1733" s="91"/>
      <c r="D1733" s="91"/>
      <c r="E1733" s="122"/>
      <c r="F1733" s="96">
        <f>SUM(F1712:F1731)</f>
        <v>95810</v>
      </c>
    </row>
    <row r="1736" spans="1:6" x14ac:dyDescent="0.25">
      <c r="A1736" s="91" t="s">
        <v>1949</v>
      </c>
      <c r="B1736" s="92" t="s">
        <v>287</v>
      </c>
      <c r="C1736" s="91"/>
      <c r="D1736" s="91"/>
      <c r="E1736" s="122"/>
      <c r="F1736" s="91"/>
    </row>
    <row r="1738" spans="1:6" x14ac:dyDescent="0.25">
      <c r="A1738" s="91"/>
      <c r="B1738" s="92" t="s">
        <v>0</v>
      </c>
      <c r="C1738" s="97"/>
      <c r="D1738" s="91"/>
      <c r="E1738" s="122"/>
      <c r="F1738" s="91"/>
    </row>
    <row r="1740" spans="1:6" ht="292.5" customHeight="1" x14ac:dyDescent="0.25">
      <c r="B1740" s="37" t="s">
        <v>2155</v>
      </c>
    </row>
    <row r="1741" spans="1:6" ht="246" customHeight="1" x14ac:dyDescent="0.25">
      <c r="B1741" s="37" t="s">
        <v>2158</v>
      </c>
    </row>
    <row r="1742" spans="1:6" ht="241.5" customHeight="1" x14ac:dyDescent="0.25">
      <c r="B1742" s="37" t="s">
        <v>2771</v>
      </c>
    </row>
    <row r="1745" spans="1:6" ht="97.5" customHeight="1" x14ac:dyDescent="0.25">
      <c r="A1745" s="39" t="s">
        <v>1950</v>
      </c>
      <c r="B1745" s="37" t="s">
        <v>2189</v>
      </c>
      <c r="C1745" s="76" t="s">
        <v>38</v>
      </c>
      <c r="D1745" s="40">
        <v>55.7</v>
      </c>
      <c r="E1745" s="77">
        <v>230</v>
      </c>
      <c r="F1745" s="78">
        <f>ROUND(D1745*E1745,2)</f>
        <v>12811</v>
      </c>
    </row>
    <row r="1746" spans="1:6" x14ac:dyDescent="0.25">
      <c r="B1746" s="75"/>
      <c r="C1746" s="38"/>
    </row>
    <row r="1747" spans="1:6" ht="15.75" customHeight="1" x14ac:dyDescent="0.25">
      <c r="A1747" s="39" t="s">
        <v>1951</v>
      </c>
      <c r="B1747" s="37" t="s">
        <v>288</v>
      </c>
      <c r="C1747" s="76" t="s">
        <v>38</v>
      </c>
      <c r="D1747" s="40">
        <v>25</v>
      </c>
      <c r="E1747" s="77">
        <v>230</v>
      </c>
      <c r="F1747" s="78">
        <f>ROUND(D1747*E1747,2)</f>
        <v>5750</v>
      </c>
    </row>
    <row r="1749" spans="1:6" x14ac:dyDescent="0.25">
      <c r="A1749" s="91" t="s">
        <v>1949</v>
      </c>
      <c r="B1749" s="92" t="s">
        <v>289</v>
      </c>
      <c r="C1749" s="91"/>
      <c r="D1749" s="91"/>
      <c r="E1749" s="122"/>
      <c r="F1749" s="96">
        <f>SUM(F1745:F1747)</f>
        <v>18561</v>
      </c>
    </row>
    <row r="1752" spans="1:6" x14ac:dyDescent="0.25">
      <c r="A1752" s="91" t="s">
        <v>1952</v>
      </c>
      <c r="B1752" s="92" t="s">
        <v>191</v>
      </c>
      <c r="C1752" s="91"/>
      <c r="D1752" s="91"/>
      <c r="E1752" s="122"/>
      <c r="F1752" s="91"/>
    </row>
    <row r="1754" spans="1:6" ht="54.6" customHeight="1" x14ac:dyDescent="0.25">
      <c r="A1754" s="39" t="s">
        <v>1953</v>
      </c>
      <c r="B1754" s="37" t="s">
        <v>3341</v>
      </c>
      <c r="C1754" s="76" t="s">
        <v>15</v>
      </c>
      <c r="D1754" s="40">
        <v>2</v>
      </c>
      <c r="E1754" s="77">
        <v>300</v>
      </c>
      <c r="F1754" s="78">
        <f>ROUND(D1754*E1754,2)</f>
        <v>600</v>
      </c>
    </row>
    <row r="1756" spans="1:6" ht="24" x14ac:dyDescent="0.25">
      <c r="A1756" s="39" t="s">
        <v>1954</v>
      </c>
      <c r="B1756" s="74" t="s">
        <v>2025</v>
      </c>
    </row>
    <row r="1757" spans="1:6" ht="277.5" customHeight="1" x14ac:dyDescent="0.25">
      <c r="B1757" s="37" t="s">
        <v>2190</v>
      </c>
    </row>
    <row r="1758" spans="1:6" ht="76.5" customHeight="1" x14ac:dyDescent="0.25">
      <c r="B1758" s="82" t="s">
        <v>2836</v>
      </c>
    </row>
    <row r="1759" spans="1:6" ht="28.5" customHeight="1" x14ac:dyDescent="0.25">
      <c r="B1759" s="82" t="s">
        <v>3042</v>
      </c>
      <c r="C1759" s="76" t="s">
        <v>19</v>
      </c>
      <c r="D1759" s="40">
        <v>1</v>
      </c>
      <c r="E1759" s="77">
        <v>20000</v>
      </c>
      <c r="F1759" s="78">
        <f>ROUND(D1759*E1759,2)</f>
        <v>20000</v>
      </c>
    </row>
    <row r="1761" spans="1:6" ht="85.5" customHeight="1" x14ac:dyDescent="0.25">
      <c r="A1761" s="39" t="s">
        <v>1955</v>
      </c>
      <c r="B1761" s="37" t="s">
        <v>2032</v>
      </c>
      <c r="C1761" s="38"/>
    </row>
    <row r="1762" spans="1:6" ht="28.5" customHeight="1" x14ac:dyDescent="0.25">
      <c r="A1762" s="39"/>
      <c r="B1762" s="82" t="s">
        <v>3042</v>
      </c>
      <c r="C1762" s="76" t="s">
        <v>38</v>
      </c>
      <c r="D1762" s="40">
        <v>50</v>
      </c>
      <c r="E1762" s="77">
        <v>300</v>
      </c>
      <c r="F1762" s="78">
        <f>ROUND(D1762*E1762,2)</f>
        <v>15000</v>
      </c>
    </row>
    <row r="1763" spans="1:6" x14ac:dyDescent="0.25">
      <c r="B1763" s="75"/>
      <c r="C1763" s="38"/>
    </row>
    <row r="1764" spans="1:6" ht="36" x14ac:dyDescent="0.25">
      <c r="A1764" s="39" t="s">
        <v>1956</v>
      </c>
      <c r="B1764" s="37" t="s">
        <v>290</v>
      </c>
      <c r="C1764" s="76" t="s">
        <v>38</v>
      </c>
      <c r="D1764" s="40">
        <v>40</v>
      </c>
      <c r="E1764" s="77">
        <v>200</v>
      </c>
      <c r="F1764" s="78">
        <f>ROUND(D1764*E1764,2)</f>
        <v>8000</v>
      </c>
    </row>
    <row r="1766" spans="1:6" ht="27" customHeight="1" x14ac:dyDescent="0.25">
      <c r="A1766" s="39" t="s">
        <v>2831</v>
      </c>
      <c r="B1766" s="82" t="s">
        <v>2830</v>
      </c>
      <c r="C1766" s="76" t="s">
        <v>15</v>
      </c>
      <c r="D1766" s="40">
        <v>1</v>
      </c>
      <c r="E1766" s="77">
        <v>2000</v>
      </c>
      <c r="F1766" s="78">
        <f>ROUND(D1766*E1766,2)</f>
        <v>2000</v>
      </c>
    </row>
    <row r="1768" spans="1:6" x14ac:dyDescent="0.25">
      <c r="A1768" s="91" t="s">
        <v>1952</v>
      </c>
      <c r="B1768" s="92" t="s">
        <v>219</v>
      </c>
      <c r="C1768" s="91"/>
      <c r="D1768" s="91"/>
      <c r="E1768" s="122"/>
      <c r="F1768" s="96">
        <f>SUM(F1754:F1766)</f>
        <v>45600</v>
      </c>
    </row>
    <row r="1771" spans="1:6" x14ac:dyDescent="0.25">
      <c r="A1771" s="91" t="s">
        <v>1924</v>
      </c>
      <c r="B1771" s="92" t="s">
        <v>244</v>
      </c>
      <c r="C1771" s="91"/>
      <c r="D1771" s="91"/>
      <c r="E1771" s="122"/>
      <c r="F1771" s="96">
        <f>SUM(F1768,F1749,F1733,F1705,F1693,F1664)</f>
        <v>190746.1</v>
      </c>
    </row>
    <row r="1774" spans="1:6" x14ac:dyDescent="0.25">
      <c r="A1774" s="91" t="s">
        <v>1879</v>
      </c>
      <c r="B1774" s="92" t="s">
        <v>26</v>
      </c>
      <c r="C1774" s="91"/>
      <c r="D1774" s="91"/>
      <c r="E1774" s="122"/>
      <c r="F1774" s="96">
        <f>SUM(F1635)</f>
        <v>174861.2</v>
      </c>
    </row>
    <row r="1775" spans="1:6" x14ac:dyDescent="0.25">
      <c r="A1775" s="91" t="s">
        <v>1924</v>
      </c>
      <c r="B1775" s="92" t="s">
        <v>244</v>
      </c>
      <c r="C1775" s="91"/>
      <c r="D1775" s="91"/>
      <c r="E1775" s="122"/>
      <c r="F1775" s="96">
        <f>SUM(F1771)</f>
        <v>190746.1</v>
      </c>
    </row>
    <row r="1776" spans="1:6" x14ac:dyDescent="0.25">
      <c r="A1776" s="91" t="s">
        <v>1574</v>
      </c>
      <c r="B1776" s="92" t="s">
        <v>291</v>
      </c>
      <c r="C1776" s="91"/>
      <c r="D1776" s="91"/>
      <c r="E1776" s="122"/>
      <c r="F1776" s="96">
        <f>SUM(F1774:F1775)</f>
        <v>365607.30000000005</v>
      </c>
    </row>
    <row r="1780" spans="1:6" ht="18" x14ac:dyDescent="0.35">
      <c r="A1780" s="109" t="s">
        <v>1575</v>
      </c>
      <c r="B1780" s="88" t="s">
        <v>1971</v>
      </c>
      <c r="C1780" s="109"/>
      <c r="D1780" s="109"/>
      <c r="E1780" s="126"/>
      <c r="F1780" s="109"/>
    </row>
    <row r="1782" spans="1:6" x14ac:dyDescent="0.25">
      <c r="A1782" s="110" t="s">
        <v>1957</v>
      </c>
      <c r="B1782" s="111" t="s">
        <v>10</v>
      </c>
      <c r="C1782" s="110"/>
      <c r="D1782" s="110"/>
      <c r="E1782" s="127"/>
      <c r="F1782" s="110"/>
    </row>
    <row r="1784" spans="1:6" x14ac:dyDescent="0.25">
      <c r="A1784" s="110"/>
      <c r="B1784" s="111" t="s">
        <v>0</v>
      </c>
      <c r="C1784" s="112"/>
      <c r="D1784" s="110"/>
      <c r="E1784" s="127"/>
      <c r="F1784" s="110"/>
    </row>
    <row r="1786" spans="1:6" ht="255" customHeight="1" x14ac:dyDescent="0.25">
      <c r="B1786" s="37" t="s">
        <v>30</v>
      </c>
    </row>
    <row r="1789" spans="1:6" x14ac:dyDescent="0.25">
      <c r="A1789" s="91" t="s">
        <v>1958</v>
      </c>
      <c r="B1789" s="92" t="s">
        <v>31</v>
      </c>
      <c r="C1789" s="91"/>
      <c r="D1789" s="91"/>
      <c r="E1789" s="122"/>
      <c r="F1789" s="91"/>
    </row>
    <row r="1791" spans="1:6" ht="36" x14ac:dyDescent="0.25">
      <c r="A1791" s="39" t="s">
        <v>1959</v>
      </c>
      <c r="B1791" s="37" t="s">
        <v>32</v>
      </c>
      <c r="C1791" s="76" t="s">
        <v>13</v>
      </c>
      <c r="D1791" s="40">
        <v>200</v>
      </c>
      <c r="E1791" s="77">
        <v>5</v>
      </c>
      <c r="F1791" s="78">
        <f>ROUND(D1791*E1791,2)</f>
        <v>1000</v>
      </c>
    </row>
    <row r="1792" spans="1:6" x14ac:dyDescent="0.25">
      <c r="B1792" s="75"/>
      <c r="C1792" s="38"/>
    </row>
    <row r="1793" spans="1:6" x14ac:dyDescent="0.25">
      <c r="A1793" s="39" t="s">
        <v>1960</v>
      </c>
      <c r="B1793" s="37" t="s">
        <v>33</v>
      </c>
      <c r="C1793" s="76" t="s">
        <v>15</v>
      </c>
      <c r="D1793" s="40">
        <v>1</v>
      </c>
      <c r="E1793" s="77">
        <v>100</v>
      </c>
      <c r="F1793" s="78">
        <f>ROUND(D1793*E1793,2)</f>
        <v>100</v>
      </c>
    </row>
    <row r="1794" spans="1:6" x14ac:dyDescent="0.25">
      <c r="B1794" s="75"/>
      <c r="C1794" s="38"/>
    </row>
    <row r="1795" spans="1:6" x14ac:dyDescent="0.25">
      <c r="A1795" s="39" t="s">
        <v>1961</v>
      </c>
      <c r="B1795" s="37" t="s">
        <v>17</v>
      </c>
      <c r="C1795" s="76" t="s">
        <v>15</v>
      </c>
      <c r="D1795" s="40">
        <v>1</v>
      </c>
      <c r="E1795" s="77">
        <v>500</v>
      </c>
      <c r="F1795" s="78">
        <f>ROUND(D1795*E1795,2)</f>
        <v>500</v>
      </c>
    </row>
    <row r="1796" spans="1:6" x14ac:dyDescent="0.25">
      <c r="B1796" s="75"/>
      <c r="C1796" s="38"/>
    </row>
    <row r="1797" spans="1:6" ht="84" customHeight="1" x14ac:dyDescent="0.25">
      <c r="A1797" s="39" t="s">
        <v>1962</v>
      </c>
      <c r="B1797" s="37" t="s">
        <v>34</v>
      </c>
      <c r="C1797" s="76" t="s">
        <v>25</v>
      </c>
      <c r="D1797" s="40">
        <v>1</v>
      </c>
      <c r="E1797" s="77">
        <v>1000</v>
      </c>
      <c r="F1797" s="78">
        <f>ROUND(D1797*E1797,2)</f>
        <v>1000</v>
      </c>
    </row>
    <row r="1799" spans="1:6" x14ac:dyDescent="0.25">
      <c r="A1799" s="39" t="s">
        <v>1963</v>
      </c>
      <c r="B1799" s="37" t="s">
        <v>35</v>
      </c>
      <c r="C1799" s="76" t="s">
        <v>13</v>
      </c>
      <c r="D1799" s="40">
        <v>24</v>
      </c>
      <c r="E1799" s="77">
        <v>10</v>
      </c>
      <c r="F1799" s="78">
        <f>ROUND(D1799*E1799,2)</f>
        <v>240</v>
      </c>
    </row>
    <row r="1801" spans="1:6" x14ac:dyDescent="0.25">
      <c r="A1801" s="91" t="s">
        <v>1958</v>
      </c>
      <c r="B1801" s="92" t="s">
        <v>36</v>
      </c>
      <c r="C1801" s="91"/>
      <c r="D1801" s="91"/>
      <c r="E1801" s="122"/>
      <c r="F1801" s="96">
        <f>SUM(F1791:F1799)</f>
        <v>2840</v>
      </c>
    </row>
    <row r="1804" spans="1:6" x14ac:dyDescent="0.25">
      <c r="A1804" s="91" t="s">
        <v>1964</v>
      </c>
      <c r="B1804" s="92" t="s">
        <v>37</v>
      </c>
      <c r="C1804" s="91"/>
      <c r="D1804" s="91"/>
      <c r="E1804" s="122"/>
      <c r="F1804" s="91"/>
    </row>
    <row r="1806" spans="1:6" x14ac:dyDescent="0.25">
      <c r="A1806" s="91"/>
      <c r="B1806" s="92" t="s">
        <v>0</v>
      </c>
      <c r="C1806" s="97"/>
      <c r="D1806" s="91"/>
      <c r="E1806" s="122"/>
      <c r="F1806" s="91"/>
    </row>
    <row r="1808" spans="1:6" ht="290.25" customHeight="1" x14ac:dyDescent="0.25">
      <c r="B1808" s="37" t="s">
        <v>2870</v>
      </c>
    </row>
    <row r="1811" spans="1:6" ht="39" customHeight="1" x14ac:dyDescent="0.25">
      <c r="A1811" s="39" t="s">
        <v>1965</v>
      </c>
      <c r="B1811" s="37" t="s">
        <v>2871</v>
      </c>
      <c r="C1811" s="76" t="s">
        <v>38</v>
      </c>
      <c r="D1811" s="40">
        <v>2800</v>
      </c>
      <c r="E1811" s="77">
        <v>1</v>
      </c>
      <c r="F1811" s="78">
        <f>ROUND(D1811*E1811,2)</f>
        <v>2800</v>
      </c>
    </row>
    <row r="1812" spans="1:6" x14ac:dyDescent="0.25">
      <c r="B1812" s="75"/>
      <c r="C1812" s="38"/>
    </row>
    <row r="1813" spans="1:6" ht="40.5" customHeight="1" x14ac:dyDescent="0.25">
      <c r="A1813" s="39" t="s">
        <v>1966</v>
      </c>
      <c r="B1813" s="37" t="s">
        <v>2866</v>
      </c>
      <c r="C1813" s="76" t="s">
        <v>39</v>
      </c>
      <c r="D1813" s="40">
        <v>45</v>
      </c>
      <c r="E1813" s="77">
        <v>20</v>
      </c>
      <c r="F1813" s="78">
        <f>ROUND(D1813*E1813,2)</f>
        <v>900</v>
      </c>
    </row>
    <row r="1814" spans="1:6" x14ac:dyDescent="0.25">
      <c r="B1814" s="75"/>
      <c r="C1814" s="38"/>
    </row>
    <row r="1815" spans="1:6" ht="48" x14ac:dyDescent="0.25">
      <c r="A1815" s="39" t="s">
        <v>1967</v>
      </c>
      <c r="B1815" s="37" t="s">
        <v>2867</v>
      </c>
      <c r="C1815" s="76" t="s">
        <v>39</v>
      </c>
      <c r="D1815" s="40">
        <v>45</v>
      </c>
      <c r="E1815" s="77">
        <v>25</v>
      </c>
      <c r="F1815" s="78">
        <f>ROUND(D1815*E1815,2)</f>
        <v>1125</v>
      </c>
    </row>
    <row r="1817" spans="1:6" x14ac:dyDescent="0.25">
      <c r="A1817" s="39" t="s">
        <v>1974</v>
      </c>
      <c r="B1817" s="37" t="s">
        <v>292</v>
      </c>
      <c r="C1817" s="76" t="s">
        <v>38</v>
      </c>
      <c r="D1817" s="40">
        <v>150</v>
      </c>
      <c r="E1817" s="77">
        <v>5</v>
      </c>
      <c r="F1817" s="78">
        <f>ROUND(D1817*E1817,2)</f>
        <v>750</v>
      </c>
    </row>
    <row r="1819" spans="1:6" x14ac:dyDescent="0.25">
      <c r="A1819" s="39" t="s">
        <v>1975</v>
      </c>
      <c r="B1819" s="37" t="s">
        <v>2852</v>
      </c>
      <c r="C1819" s="76" t="s">
        <v>38</v>
      </c>
      <c r="D1819" s="40">
        <v>150</v>
      </c>
      <c r="E1819" s="77">
        <v>5</v>
      </c>
      <c r="F1819" s="78">
        <f>ROUND(D1819*E1819,2)</f>
        <v>750</v>
      </c>
    </row>
    <row r="1820" spans="1:6" x14ac:dyDescent="0.25">
      <c r="B1820" s="75"/>
      <c r="C1820" s="38"/>
    </row>
    <row r="1821" spans="1:6" ht="24" x14ac:dyDescent="0.25">
      <c r="A1821" s="39" t="s">
        <v>1976</v>
      </c>
      <c r="B1821" s="37" t="s">
        <v>2865</v>
      </c>
      <c r="C1821" s="76" t="s">
        <v>39</v>
      </c>
      <c r="D1821" s="40">
        <v>35</v>
      </c>
      <c r="E1821" s="77">
        <v>30</v>
      </c>
      <c r="F1821" s="78">
        <f>ROUND(D1821*E1821,2)</f>
        <v>1050</v>
      </c>
    </row>
    <row r="1822" spans="1:6" x14ac:dyDescent="0.25">
      <c r="B1822" s="75"/>
      <c r="C1822" s="38"/>
    </row>
    <row r="1823" spans="1:6" ht="63" customHeight="1" x14ac:dyDescent="0.25">
      <c r="A1823" s="39" t="s">
        <v>1977</v>
      </c>
      <c r="B1823" s="37" t="s">
        <v>293</v>
      </c>
      <c r="C1823" s="76" t="s">
        <v>38</v>
      </c>
      <c r="D1823" s="40">
        <v>150</v>
      </c>
      <c r="E1823" s="77">
        <v>5</v>
      </c>
      <c r="F1823" s="78">
        <f>ROUND(D1823*E1823,2)</f>
        <v>750</v>
      </c>
    </row>
    <row r="1824" spans="1:6" x14ac:dyDescent="0.25">
      <c r="B1824" s="75"/>
      <c r="C1824" s="38"/>
    </row>
    <row r="1825" spans="1:6" ht="41.25" customHeight="1" x14ac:dyDescent="0.25">
      <c r="A1825" s="39" t="s">
        <v>1978</v>
      </c>
      <c r="B1825" s="37" t="s">
        <v>294</v>
      </c>
      <c r="C1825" s="76" t="s">
        <v>39</v>
      </c>
      <c r="D1825" s="40">
        <v>22.5</v>
      </c>
      <c r="E1825" s="77">
        <v>45</v>
      </c>
      <c r="F1825" s="78">
        <f>ROUND(D1825*E1825,2)</f>
        <v>1012.5</v>
      </c>
    </row>
    <row r="1827" spans="1:6" ht="24" x14ac:dyDescent="0.25">
      <c r="A1827" s="39" t="s">
        <v>1979</v>
      </c>
      <c r="B1827" s="37" t="s">
        <v>48</v>
      </c>
      <c r="C1827" s="76" t="s">
        <v>39</v>
      </c>
      <c r="D1827" s="40">
        <v>250</v>
      </c>
      <c r="E1827" s="77">
        <v>20</v>
      </c>
      <c r="F1827" s="78">
        <f>ROUND(D1827*E1827,2)</f>
        <v>5000</v>
      </c>
    </row>
    <row r="1829" spans="1:6" x14ac:dyDescent="0.25">
      <c r="A1829" s="91" t="s">
        <v>1964</v>
      </c>
      <c r="B1829" s="92" t="s">
        <v>50</v>
      </c>
      <c r="C1829" s="91"/>
      <c r="D1829" s="91"/>
      <c r="E1829" s="122"/>
      <c r="F1829" s="96">
        <f>SUM(F1808:F1827)</f>
        <v>14137.5</v>
      </c>
    </row>
    <row r="1832" spans="1:6" x14ac:dyDescent="0.25">
      <c r="A1832" s="91" t="s">
        <v>1980</v>
      </c>
      <c r="B1832" s="92" t="s">
        <v>253</v>
      </c>
      <c r="C1832" s="91"/>
      <c r="D1832" s="91"/>
      <c r="E1832" s="122"/>
      <c r="F1832" s="91"/>
    </row>
    <row r="1834" spans="1:6" x14ac:dyDescent="0.25">
      <c r="A1834" s="91"/>
      <c r="B1834" s="92" t="s">
        <v>0</v>
      </c>
      <c r="C1834" s="97"/>
      <c r="D1834" s="91"/>
      <c r="E1834" s="122"/>
      <c r="F1834" s="91"/>
    </row>
    <row r="1836" spans="1:6" ht="303.75" customHeight="1" x14ac:dyDescent="0.25">
      <c r="B1836" s="37" t="s">
        <v>2635</v>
      </c>
    </row>
    <row r="1837" spans="1:6" ht="123" customHeight="1" x14ac:dyDescent="0.25">
      <c r="B1837" s="37" t="s">
        <v>1968</v>
      </c>
    </row>
    <row r="1840" spans="1:6" ht="48" x14ac:dyDescent="0.25">
      <c r="A1840" s="39" t="s">
        <v>1981</v>
      </c>
      <c r="B1840" s="37" t="s">
        <v>2772</v>
      </c>
    </row>
    <row r="1841" spans="1:6" x14ac:dyDescent="0.25">
      <c r="B1841" s="75" t="s">
        <v>295</v>
      </c>
      <c r="C1841" s="76" t="s">
        <v>15</v>
      </c>
      <c r="D1841" s="40">
        <v>16</v>
      </c>
      <c r="E1841" s="77">
        <v>30</v>
      </c>
      <c r="F1841" s="78">
        <f>ROUND(D1841*E1841,2)</f>
        <v>480</v>
      </c>
    </row>
    <row r="1842" spans="1:6" x14ac:dyDescent="0.25">
      <c r="B1842" s="75" t="s">
        <v>296</v>
      </c>
      <c r="C1842" s="76" t="s">
        <v>15</v>
      </c>
      <c r="D1842" s="40">
        <v>16</v>
      </c>
      <c r="E1842" s="77">
        <v>20</v>
      </c>
      <c r="F1842" s="78">
        <f>ROUND(D1842*E1842,2)</f>
        <v>320</v>
      </c>
    </row>
    <row r="1843" spans="1:6" x14ac:dyDescent="0.25">
      <c r="B1843" s="75" t="s">
        <v>297</v>
      </c>
      <c r="C1843" s="76" t="s">
        <v>15</v>
      </c>
      <c r="D1843" s="40">
        <v>16</v>
      </c>
      <c r="E1843" s="77">
        <v>20</v>
      </c>
      <c r="F1843" s="78">
        <f>ROUND(D1843*E1843,2)</f>
        <v>320</v>
      </c>
    </row>
    <row r="1844" spans="1:6" x14ac:dyDescent="0.25">
      <c r="B1844" s="75" t="s">
        <v>298</v>
      </c>
      <c r="C1844" s="76" t="s">
        <v>15</v>
      </c>
      <c r="D1844" s="40">
        <v>1</v>
      </c>
      <c r="E1844" s="77">
        <v>100</v>
      </c>
      <c r="F1844" s="78">
        <f>ROUND(D1844*E1844,2)</f>
        <v>100</v>
      </c>
    </row>
    <row r="1846" spans="1:6" ht="51" customHeight="1" x14ac:dyDescent="0.25">
      <c r="A1846" s="39" t="s">
        <v>1982</v>
      </c>
      <c r="B1846" s="37" t="s">
        <v>3342</v>
      </c>
      <c r="C1846" s="38"/>
    </row>
    <row r="1847" spans="1:6" x14ac:dyDescent="0.25">
      <c r="B1847" s="74" t="s">
        <v>3094</v>
      </c>
      <c r="C1847" s="76" t="s">
        <v>15</v>
      </c>
      <c r="D1847" s="40">
        <v>76</v>
      </c>
      <c r="E1847" s="77">
        <v>50</v>
      </c>
      <c r="F1847" s="78">
        <f>ROUND(D1847*E1847,2)</f>
        <v>3800</v>
      </c>
    </row>
    <row r="1848" spans="1:6" x14ac:dyDescent="0.25">
      <c r="B1848" s="74" t="s">
        <v>3093</v>
      </c>
      <c r="C1848" s="76" t="s">
        <v>15</v>
      </c>
      <c r="D1848" s="40">
        <v>8</v>
      </c>
      <c r="E1848" s="77">
        <v>100</v>
      </c>
      <c r="F1848" s="78">
        <f>ROUND(D1848*E1848,2)</f>
        <v>800</v>
      </c>
    </row>
    <row r="1850" spans="1:6" ht="65.25" customHeight="1" x14ac:dyDescent="0.25">
      <c r="A1850" s="39" t="s">
        <v>1983</v>
      </c>
      <c r="B1850" s="37" t="s">
        <v>299</v>
      </c>
    </row>
    <row r="1851" spans="1:6" x14ac:dyDescent="0.25">
      <c r="B1851" s="75" t="s">
        <v>300</v>
      </c>
      <c r="C1851" s="76" t="s">
        <v>15</v>
      </c>
      <c r="D1851" s="40">
        <v>12</v>
      </c>
      <c r="E1851" s="77">
        <v>400</v>
      </c>
      <c r="F1851" s="78">
        <f>ROUND(D1851*E1851,2)</f>
        <v>4800</v>
      </c>
    </row>
    <row r="1853" spans="1:6" ht="36.75" customHeight="1" x14ac:dyDescent="0.25">
      <c r="A1853" s="39" t="s">
        <v>1984</v>
      </c>
      <c r="B1853" s="37" t="s">
        <v>2033</v>
      </c>
    </row>
    <row r="1854" spans="1:6" x14ac:dyDescent="0.25">
      <c r="B1854" s="75" t="s">
        <v>53</v>
      </c>
      <c r="C1854" s="76" t="s">
        <v>39</v>
      </c>
      <c r="D1854" s="40">
        <v>2</v>
      </c>
      <c r="E1854" s="77">
        <v>400</v>
      </c>
      <c r="F1854" s="78">
        <f>ROUND(D1854*E1854,2)</f>
        <v>800</v>
      </c>
    </row>
    <row r="1855" spans="1:6" x14ac:dyDescent="0.25">
      <c r="B1855" s="75" t="s">
        <v>54</v>
      </c>
      <c r="C1855" s="76" t="s">
        <v>38</v>
      </c>
      <c r="D1855" s="40">
        <v>7</v>
      </c>
      <c r="E1855" s="77">
        <v>100</v>
      </c>
      <c r="F1855" s="78">
        <f>ROUND(D1855*E1855,2)</f>
        <v>700</v>
      </c>
    </row>
    <row r="1856" spans="1:6" x14ac:dyDescent="0.25">
      <c r="B1856" s="75" t="s">
        <v>55</v>
      </c>
      <c r="C1856" s="76" t="s">
        <v>56</v>
      </c>
      <c r="D1856" s="40">
        <v>100</v>
      </c>
      <c r="E1856" s="77">
        <v>2</v>
      </c>
      <c r="F1856" s="78">
        <f>ROUND(D1856*E1856,2)</f>
        <v>200</v>
      </c>
    </row>
    <row r="1858" spans="1:6" x14ac:dyDescent="0.25">
      <c r="A1858" s="91" t="s">
        <v>1980</v>
      </c>
      <c r="B1858" s="92" t="s">
        <v>263</v>
      </c>
      <c r="C1858" s="91"/>
      <c r="D1858" s="91"/>
      <c r="E1858" s="122"/>
      <c r="F1858" s="96">
        <f>SUM(F1836:F1856)</f>
        <v>12320</v>
      </c>
    </row>
    <row r="1861" spans="1:6" x14ac:dyDescent="0.25">
      <c r="A1861" s="91" t="s">
        <v>1957</v>
      </c>
      <c r="B1861" s="92" t="s">
        <v>26</v>
      </c>
      <c r="C1861" s="91"/>
      <c r="D1861" s="91"/>
      <c r="E1861" s="122"/>
      <c r="F1861" s="96">
        <f>SUM(F1858,F1829,F1801)</f>
        <v>29297.5</v>
      </c>
    </row>
    <row r="1864" spans="1:6" x14ac:dyDescent="0.25">
      <c r="A1864" s="91" t="s">
        <v>1985</v>
      </c>
      <c r="B1864" s="92" t="s">
        <v>92</v>
      </c>
      <c r="C1864" s="91"/>
      <c r="D1864" s="91"/>
      <c r="E1864" s="122"/>
      <c r="F1864" s="91"/>
    </row>
    <row r="1866" spans="1:6" x14ac:dyDescent="0.25">
      <c r="A1866" s="91" t="s">
        <v>1986</v>
      </c>
      <c r="B1866" s="92" t="s">
        <v>149</v>
      </c>
      <c r="C1866" s="91"/>
      <c r="D1866" s="91"/>
      <c r="E1866" s="122"/>
      <c r="F1866" s="91"/>
    </row>
    <row r="1868" spans="1:6" x14ac:dyDescent="0.25">
      <c r="A1868" s="91"/>
      <c r="B1868" s="92" t="s">
        <v>0</v>
      </c>
      <c r="C1868" s="97"/>
      <c r="D1868" s="91"/>
      <c r="E1868" s="122"/>
      <c r="F1868" s="91"/>
    </row>
    <row r="1870" spans="1:6" ht="266.25" customHeight="1" x14ac:dyDescent="0.25">
      <c r="B1870" s="37" t="s">
        <v>2848</v>
      </c>
    </row>
    <row r="1873" spans="1:6" ht="41.25" customHeight="1" x14ac:dyDescent="0.25">
      <c r="A1873" s="39" t="s">
        <v>1987</v>
      </c>
      <c r="B1873" s="37" t="s">
        <v>301</v>
      </c>
    </row>
    <row r="1874" spans="1:6" x14ac:dyDescent="0.25">
      <c r="B1874" s="75" t="s">
        <v>302</v>
      </c>
      <c r="C1874" s="76" t="s">
        <v>19</v>
      </c>
      <c r="D1874" s="40">
        <v>1</v>
      </c>
      <c r="E1874" s="77">
        <v>10000</v>
      </c>
      <c r="F1874" s="78">
        <f>ROUND(D1874*E1874,2)</f>
        <v>10000</v>
      </c>
    </row>
    <row r="1876" spans="1:6" x14ac:dyDescent="0.25">
      <c r="A1876" s="91" t="s">
        <v>1986</v>
      </c>
      <c r="B1876" s="92" t="s">
        <v>158</v>
      </c>
      <c r="C1876" s="91"/>
      <c r="D1876" s="91"/>
      <c r="E1876" s="122"/>
      <c r="F1876" s="96">
        <f>SUM(F1874:F1875)</f>
        <v>10000</v>
      </c>
    </row>
    <row r="1879" spans="1:6" x14ac:dyDescent="0.25">
      <c r="A1879" s="91" t="s">
        <v>1985</v>
      </c>
      <c r="B1879" s="92" t="s">
        <v>244</v>
      </c>
      <c r="C1879" s="91"/>
      <c r="D1879" s="91"/>
      <c r="E1879" s="122"/>
      <c r="F1879" s="96">
        <f>SUM(F1876)</f>
        <v>10000</v>
      </c>
    </row>
    <row r="1882" spans="1:6" x14ac:dyDescent="0.25">
      <c r="A1882" s="91" t="s">
        <v>1957</v>
      </c>
      <c r="B1882" s="92" t="s">
        <v>26</v>
      </c>
      <c r="C1882" s="91"/>
      <c r="D1882" s="91"/>
      <c r="E1882" s="122"/>
      <c r="F1882" s="96">
        <f>SUM(F1861)</f>
        <v>29297.5</v>
      </c>
    </row>
    <row r="1883" spans="1:6" x14ac:dyDescent="0.25">
      <c r="A1883" s="91" t="s">
        <v>1985</v>
      </c>
      <c r="B1883" s="92" t="s">
        <v>244</v>
      </c>
      <c r="C1883" s="91"/>
      <c r="D1883" s="91"/>
      <c r="E1883" s="122"/>
      <c r="F1883" s="96">
        <f>SUM(F1879)</f>
        <v>10000</v>
      </c>
    </row>
    <row r="1884" spans="1:6" x14ac:dyDescent="0.25">
      <c r="A1884" s="91" t="s">
        <v>1988</v>
      </c>
      <c r="B1884" s="92" t="s">
        <v>303</v>
      </c>
      <c r="C1884" s="91"/>
      <c r="D1884" s="91"/>
      <c r="E1884" s="122"/>
      <c r="F1884" s="96">
        <f>SUM(F1882:F1883)</f>
        <v>39297.5</v>
      </c>
    </row>
    <row r="1887" spans="1:6" x14ac:dyDescent="0.25">
      <c r="A1887" s="113" t="s">
        <v>1</v>
      </c>
      <c r="B1887" s="116" t="s">
        <v>304</v>
      </c>
      <c r="C1887" s="113"/>
      <c r="D1887" s="113"/>
      <c r="E1887" s="128"/>
      <c r="F1887" s="114">
        <f>SUM(F1884,F1776,F1377)</f>
        <v>1736565.52</v>
      </c>
    </row>
  </sheetData>
  <sheetProtection algorithmName="SHA-512" hashValue="Dr44g6+uxZFHa5lw9k9xICsxu9oaFzB6QO/OHgVm2ow8NCMq8OhLRf5JmiJghyuBx5Sagfc+xprN26HO7Eoa0A==" saltValue="/iRN7OTqOuNcC1W1G5qBTA==" spinCount="100000" sheet="1" objects="1" scenarios="1"/>
  <pageMargins left="0.6" right="0.6"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94"/>
  <sheetViews>
    <sheetView topLeftCell="A23" zoomScale="85" zoomScaleNormal="85" workbookViewId="0">
      <selection activeCell="E137" sqref="E137"/>
    </sheetView>
  </sheetViews>
  <sheetFormatPr defaultColWidth="9.109375" defaultRowHeight="12" x14ac:dyDescent="0.25"/>
  <cols>
    <col min="1" max="1" width="10.6640625" style="3" customWidth="1"/>
    <col min="2" max="2" width="60.6640625" style="6" customWidth="1"/>
    <col min="3" max="3" width="10.6640625" style="7" customWidth="1"/>
    <col min="4" max="4" width="10.6640625" style="3" customWidth="1"/>
    <col min="5" max="5" width="15.6640625" style="133" customWidth="1"/>
    <col min="6" max="6" width="20.6640625" style="3" customWidth="1"/>
    <col min="7" max="7" width="9.109375" style="3" customWidth="1"/>
    <col min="8" max="16384" width="9.109375" style="3"/>
  </cols>
  <sheetData>
    <row r="1" spans="1:6" ht="18" x14ac:dyDescent="0.35">
      <c r="A1" s="51" t="s">
        <v>305</v>
      </c>
      <c r="B1" s="72" t="s">
        <v>306</v>
      </c>
      <c r="C1" s="51"/>
      <c r="D1" s="51"/>
      <c r="E1" s="129"/>
      <c r="F1" s="51"/>
    </row>
    <row r="3" spans="1:6" ht="24" x14ac:dyDescent="0.25">
      <c r="A3" s="41" t="s">
        <v>3</v>
      </c>
      <c r="B3" s="30" t="s">
        <v>4</v>
      </c>
      <c r="C3" s="30" t="s">
        <v>5</v>
      </c>
      <c r="D3" s="30" t="s">
        <v>6</v>
      </c>
      <c r="E3" s="130" t="s">
        <v>7</v>
      </c>
      <c r="F3" s="30" t="s">
        <v>8</v>
      </c>
    </row>
    <row r="5" spans="1:6" x14ac:dyDescent="0.25">
      <c r="A5" s="31" t="s">
        <v>2035</v>
      </c>
      <c r="B5" s="73" t="s">
        <v>307</v>
      </c>
      <c r="C5" s="31"/>
      <c r="D5" s="31"/>
      <c r="E5" s="131"/>
      <c r="F5" s="31"/>
    </row>
    <row r="7" spans="1:6" x14ac:dyDescent="0.25">
      <c r="A7" s="1"/>
      <c r="B7" s="2" t="s">
        <v>0</v>
      </c>
      <c r="C7" s="1"/>
      <c r="D7" s="1"/>
      <c r="E7" s="132"/>
      <c r="F7" s="1"/>
    </row>
    <row r="9" spans="1:6" ht="24" x14ac:dyDescent="0.25">
      <c r="B9" s="8" t="s">
        <v>2036</v>
      </c>
    </row>
    <row r="10" spans="1:6" x14ac:dyDescent="0.25">
      <c r="B10" s="8" t="s">
        <v>2037</v>
      </c>
    </row>
    <row r="11" spans="1:6" ht="24" x14ac:dyDescent="0.25">
      <c r="B11" s="8" t="s">
        <v>2038</v>
      </c>
    </row>
    <row r="12" spans="1:6" ht="24" x14ac:dyDescent="0.25">
      <c r="B12" s="8" t="s">
        <v>2039</v>
      </c>
    </row>
    <row r="13" spans="1:6" x14ac:dyDescent="0.25">
      <c r="B13" s="8" t="s">
        <v>2040</v>
      </c>
    </row>
    <row r="14" spans="1:6" ht="24" x14ac:dyDescent="0.25">
      <c r="B14" s="8" t="s">
        <v>2041</v>
      </c>
    </row>
    <row r="15" spans="1:6" x14ac:dyDescent="0.25">
      <c r="B15" s="8" t="s">
        <v>2042</v>
      </c>
    </row>
    <row r="16" spans="1:6" x14ac:dyDescent="0.25">
      <c r="B16" s="8" t="s">
        <v>2043</v>
      </c>
    </row>
    <row r="17" spans="2:2" ht="24" x14ac:dyDescent="0.25">
      <c r="B17" s="8" t="s">
        <v>2044</v>
      </c>
    </row>
    <row r="18" spans="2:2" x14ac:dyDescent="0.25">
      <c r="B18" s="8" t="s">
        <v>2045</v>
      </c>
    </row>
    <row r="19" spans="2:2" ht="25.5" customHeight="1" x14ac:dyDescent="0.25">
      <c r="B19" s="8" t="s">
        <v>2046</v>
      </c>
    </row>
    <row r="20" spans="2:2" x14ac:dyDescent="0.25">
      <c r="B20" s="8" t="s">
        <v>2047</v>
      </c>
    </row>
    <row r="21" spans="2:2" ht="48" x14ac:dyDescent="0.25">
      <c r="B21" s="8" t="s">
        <v>2048</v>
      </c>
    </row>
    <row r="22" spans="2:2" ht="24" x14ac:dyDescent="0.25">
      <c r="B22" s="8" t="s">
        <v>2049</v>
      </c>
    </row>
    <row r="23" spans="2:2" x14ac:dyDescent="0.25">
      <c r="B23" s="8" t="s">
        <v>2050</v>
      </c>
    </row>
    <row r="24" spans="2:2" x14ac:dyDescent="0.25">
      <c r="B24" s="8" t="s">
        <v>2051</v>
      </c>
    </row>
    <row r="25" spans="2:2" x14ac:dyDescent="0.25">
      <c r="B25" s="8"/>
    </row>
    <row r="26" spans="2:2" ht="15.75" customHeight="1" x14ac:dyDescent="0.25">
      <c r="B26" s="8" t="s">
        <v>2052</v>
      </c>
    </row>
    <row r="27" spans="2:2" ht="24" x14ac:dyDescent="0.25">
      <c r="B27" s="8" t="s">
        <v>2053</v>
      </c>
    </row>
    <row r="28" spans="2:2" ht="27" customHeight="1" x14ac:dyDescent="0.25">
      <c r="B28" s="8" t="s">
        <v>2054</v>
      </c>
    </row>
    <row r="29" spans="2:2" ht="36" x14ac:dyDescent="0.25">
      <c r="B29" s="8" t="s">
        <v>2055</v>
      </c>
    </row>
    <row r="30" spans="2:2" ht="24" x14ac:dyDescent="0.25">
      <c r="B30" s="8" t="s">
        <v>2056</v>
      </c>
    </row>
    <row r="31" spans="2:2" x14ac:dyDescent="0.25">
      <c r="B31" s="8"/>
    </row>
    <row r="33" spans="1:6" x14ac:dyDescent="0.25">
      <c r="A33" s="24" t="s">
        <v>2057</v>
      </c>
      <c r="B33" s="22" t="s">
        <v>308</v>
      </c>
      <c r="C33" s="26"/>
      <c r="D33" s="24"/>
      <c r="E33" s="134"/>
      <c r="F33" s="23"/>
    </row>
    <row r="35" spans="1:6" x14ac:dyDescent="0.25">
      <c r="B35" s="80" t="s">
        <v>2888</v>
      </c>
    </row>
    <row r="36" spans="1:6" ht="24" x14ac:dyDescent="0.25">
      <c r="B36" s="70" t="s">
        <v>3275</v>
      </c>
    </row>
    <row r="38" spans="1:6" ht="51" customHeight="1" x14ac:dyDescent="0.25">
      <c r="A38" s="79" t="s">
        <v>3286</v>
      </c>
      <c r="B38" s="8" t="s">
        <v>2600</v>
      </c>
      <c r="C38" s="7" t="s">
        <v>15</v>
      </c>
      <c r="D38" s="12">
        <v>1</v>
      </c>
      <c r="E38" s="13">
        <v>3000</v>
      </c>
      <c r="F38" s="14">
        <f>ROUND(D38*E38,2)</f>
        <v>3000</v>
      </c>
    </row>
    <row r="39" spans="1:6" x14ac:dyDescent="0.25">
      <c r="A39" s="21"/>
      <c r="B39" s="11"/>
      <c r="C39" s="3"/>
    </row>
    <row r="40" spans="1:6" ht="24" x14ac:dyDescent="0.25">
      <c r="A40" s="79" t="s">
        <v>3287</v>
      </c>
      <c r="B40" s="8" t="s">
        <v>309</v>
      </c>
      <c r="C40" s="7" t="s">
        <v>15</v>
      </c>
      <c r="D40" s="12">
        <v>8</v>
      </c>
      <c r="E40" s="13">
        <v>5.88</v>
      </c>
      <c r="F40" s="14">
        <f>ROUND(D40*E40,2)</f>
        <v>47.04</v>
      </c>
    </row>
    <row r="41" spans="1:6" x14ac:dyDescent="0.25">
      <c r="A41" s="21"/>
      <c r="B41" s="11"/>
      <c r="C41" s="3"/>
    </row>
    <row r="42" spans="1:6" x14ac:dyDescent="0.25">
      <c r="A42" s="79" t="s">
        <v>2394</v>
      </c>
      <c r="B42" s="10" t="s">
        <v>310</v>
      </c>
    </row>
    <row r="43" spans="1:6" ht="24" x14ac:dyDescent="0.25">
      <c r="B43" s="8" t="s">
        <v>311</v>
      </c>
    </row>
    <row r="44" spans="1:6" x14ac:dyDescent="0.25">
      <c r="B44" s="11" t="s">
        <v>312</v>
      </c>
      <c r="C44" s="7" t="s">
        <v>15</v>
      </c>
      <c r="D44" s="12">
        <v>1</v>
      </c>
      <c r="E44" s="13">
        <v>146</v>
      </c>
      <c r="F44" s="14">
        <f t="shared" ref="F44:F56" si="0">ROUND(D44*E44,2)</f>
        <v>146</v>
      </c>
    </row>
    <row r="45" spans="1:6" x14ac:dyDescent="0.25">
      <c r="B45" s="11" t="s">
        <v>313</v>
      </c>
      <c r="C45" s="7" t="s">
        <v>15</v>
      </c>
      <c r="D45" s="12">
        <v>1</v>
      </c>
      <c r="E45" s="13">
        <v>20</v>
      </c>
      <c r="F45" s="14">
        <f t="shared" si="0"/>
        <v>20</v>
      </c>
    </row>
    <row r="46" spans="1:6" x14ac:dyDescent="0.25">
      <c r="B46" s="11" t="s">
        <v>314</v>
      </c>
      <c r="C46" s="7" t="s">
        <v>15</v>
      </c>
      <c r="D46" s="12">
        <v>1</v>
      </c>
      <c r="E46" s="13">
        <v>20</v>
      </c>
      <c r="F46" s="14">
        <f t="shared" si="0"/>
        <v>20</v>
      </c>
    </row>
    <row r="47" spans="1:6" x14ac:dyDescent="0.25">
      <c r="B47" s="11" t="s">
        <v>315</v>
      </c>
      <c r="C47" s="7" t="s">
        <v>15</v>
      </c>
      <c r="D47" s="12">
        <v>1</v>
      </c>
      <c r="E47" s="13">
        <v>20</v>
      </c>
      <c r="F47" s="14">
        <f t="shared" si="0"/>
        <v>20</v>
      </c>
    </row>
    <row r="48" spans="1:6" ht="13.5" customHeight="1" x14ac:dyDescent="0.25">
      <c r="B48" s="8" t="s">
        <v>316</v>
      </c>
      <c r="C48" s="7" t="s">
        <v>15</v>
      </c>
      <c r="D48" s="12">
        <v>2</v>
      </c>
      <c r="E48" s="13">
        <v>20</v>
      </c>
      <c r="F48" s="14">
        <f t="shared" si="0"/>
        <v>40</v>
      </c>
    </row>
    <row r="49" spans="1:6" ht="24" x14ac:dyDescent="0.25">
      <c r="B49" s="8" t="s">
        <v>317</v>
      </c>
      <c r="C49" s="7" t="s">
        <v>15</v>
      </c>
      <c r="D49" s="12">
        <v>3</v>
      </c>
      <c r="E49" s="13">
        <v>20</v>
      </c>
      <c r="F49" s="14">
        <f t="shared" si="0"/>
        <v>60</v>
      </c>
    </row>
    <row r="50" spans="1:6" ht="24" x14ac:dyDescent="0.25">
      <c r="B50" s="8" t="s">
        <v>318</v>
      </c>
      <c r="C50" s="7" t="s">
        <v>15</v>
      </c>
      <c r="D50" s="12">
        <v>3</v>
      </c>
      <c r="E50" s="13">
        <v>20</v>
      </c>
      <c r="F50" s="14">
        <f t="shared" si="0"/>
        <v>60</v>
      </c>
    </row>
    <row r="51" spans="1:6" x14ac:dyDescent="0.25">
      <c r="B51" s="8" t="s">
        <v>319</v>
      </c>
      <c r="C51" s="7" t="s">
        <v>15</v>
      </c>
      <c r="D51" s="12">
        <v>1</v>
      </c>
      <c r="E51" s="13">
        <v>39</v>
      </c>
      <c r="F51" s="14">
        <f t="shared" si="0"/>
        <v>39</v>
      </c>
    </row>
    <row r="52" spans="1:6" x14ac:dyDescent="0.25">
      <c r="B52" s="8" t="s">
        <v>320</v>
      </c>
      <c r="C52" s="7" t="s">
        <v>15</v>
      </c>
      <c r="D52" s="12">
        <v>1</v>
      </c>
      <c r="E52" s="13">
        <v>20</v>
      </c>
      <c r="F52" s="14">
        <f t="shared" si="0"/>
        <v>20</v>
      </c>
    </row>
    <row r="53" spans="1:6" x14ac:dyDescent="0.25">
      <c r="B53" s="8" t="s">
        <v>321</v>
      </c>
      <c r="C53" s="7" t="s">
        <v>15</v>
      </c>
      <c r="D53" s="12">
        <v>1</v>
      </c>
      <c r="E53" s="13">
        <v>20</v>
      </c>
      <c r="F53" s="14">
        <f t="shared" si="0"/>
        <v>20</v>
      </c>
    </row>
    <row r="54" spans="1:6" x14ac:dyDescent="0.25">
      <c r="B54" s="8" t="s">
        <v>322</v>
      </c>
      <c r="C54" s="7" t="s">
        <v>15</v>
      </c>
      <c r="D54" s="12">
        <v>1</v>
      </c>
      <c r="E54" s="13">
        <v>20</v>
      </c>
      <c r="F54" s="14">
        <f t="shared" si="0"/>
        <v>20</v>
      </c>
    </row>
    <row r="55" spans="1:6" ht="24" x14ac:dyDescent="0.25">
      <c r="B55" s="8" t="s">
        <v>323</v>
      </c>
      <c r="C55" s="7" t="s">
        <v>15</v>
      </c>
      <c r="D55" s="12">
        <v>1</v>
      </c>
      <c r="E55" s="13">
        <v>20</v>
      </c>
      <c r="F55" s="14">
        <f t="shared" si="0"/>
        <v>20</v>
      </c>
    </row>
    <row r="56" spans="1:6" ht="39" customHeight="1" x14ac:dyDescent="0.25">
      <c r="B56" s="8" t="s">
        <v>324</v>
      </c>
      <c r="C56" s="7" t="s">
        <v>15</v>
      </c>
      <c r="D56" s="12">
        <v>1</v>
      </c>
      <c r="E56" s="13">
        <v>20</v>
      </c>
      <c r="F56" s="14">
        <f t="shared" si="0"/>
        <v>20</v>
      </c>
    </row>
    <row r="58" spans="1:6" ht="24" x14ac:dyDescent="0.25">
      <c r="A58" s="79" t="s">
        <v>2395</v>
      </c>
      <c r="B58" s="11" t="s">
        <v>325</v>
      </c>
    </row>
    <row r="59" spans="1:6" x14ac:dyDescent="0.25">
      <c r="A59" s="21"/>
      <c r="B59" s="11" t="s">
        <v>326</v>
      </c>
      <c r="C59" s="7" t="s">
        <v>15</v>
      </c>
      <c r="D59" s="12">
        <v>1</v>
      </c>
      <c r="E59" s="13">
        <v>100</v>
      </c>
      <c r="F59" s="14">
        <f t="shared" ref="F59:F66" si="1">ROUND(D59*E59,2)</f>
        <v>100</v>
      </c>
    </row>
    <row r="60" spans="1:6" x14ac:dyDescent="0.25">
      <c r="A60" s="21"/>
      <c r="B60" s="11" t="s">
        <v>313</v>
      </c>
      <c r="C60" s="7" t="s">
        <v>15</v>
      </c>
      <c r="D60" s="12">
        <v>1</v>
      </c>
      <c r="E60" s="13">
        <v>10</v>
      </c>
      <c r="F60" s="14">
        <f t="shared" si="1"/>
        <v>10</v>
      </c>
    </row>
    <row r="61" spans="1:6" ht="13.5" customHeight="1" x14ac:dyDescent="0.25">
      <c r="A61" s="21"/>
      <c r="B61" s="8" t="s">
        <v>327</v>
      </c>
      <c r="C61" s="7" t="s">
        <v>15</v>
      </c>
      <c r="D61" s="12">
        <v>2</v>
      </c>
      <c r="E61" s="13">
        <v>50</v>
      </c>
      <c r="F61" s="14">
        <f t="shared" si="1"/>
        <v>100</v>
      </c>
    </row>
    <row r="62" spans="1:6" ht="24" x14ac:dyDescent="0.25">
      <c r="A62" s="21"/>
      <c r="B62" s="11" t="s">
        <v>328</v>
      </c>
      <c r="C62" s="7" t="s">
        <v>15</v>
      </c>
      <c r="D62" s="12">
        <v>4</v>
      </c>
      <c r="E62" s="13">
        <v>50</v>
      </c>
      <c r="F62" s="14">
        <f t="shared" si="1"/>
        <v>200</v>
      </c>
    </row>
    <row r="63" spans="1:6" x14ac:dyDescent="0.25">
      <c r="A63" s="21"/>
      <c r="B63" s="11" t="s">
        <v>329</v>
      </c>
      <c r="C63" s="7" t="s">
        <v>15</v>
      </c>
      <c r="D63" s="12">
        <v>2</v>
      </c>
      <c r="E63" s="13">
        <v>50</v>
      </c>
      <c r="F63" s="14">
        <f t="shared" si="1"/>
        <v>100</v>
      </c>
    </row>
    <row r="64" spans="1:6" x14ac:dyDescent="0.25">
      <c r="A64" s="21"/>
      <c r="B64" s="11" t="s">
        <v>330</v>
      </c>
      <c r="C64" s="7" t="s">
        <v>15</v>
      </c>
      <c r="D64" s="12">
        <v>1</v>
      </c>
      <c r="E64" s="13">
        <v>40</v>
      </c>
      <c r="F64" s="14">
        <f t="shared" si="1"/>
        <v>40</v>
      </c>
    </row>
    <row r="65" spans="1:6" ht="24" x14ac:dyDescent="0.25">
      <c r="A65" s="21"/>
      <c r="B65" s="11" t="s">
        <v>331</v>
      </c>
      <c r="C65" s="7" t="s">
        <v>15</v>
      </c>
      <c r="D65" s="12">
        <v>1</v>
      </c>
      <c r="E65" s="13">
        <v>40</v>
      </c>
      <c r="F65" s="14">
        <f t="shared" si="1"/>
        <v>40</v>
      </c>
    </row>
    <row r="66" spans="1:6" ht="39" customHeight="1" x14ac:dyDescent="0.25">
      <c r="A66" s="21"/>
      <c r="B66" s="8" t="s">
        <v>332</v>
      </c>
      <c r="C66" s="7" t="s">
        <v>15</v>
      </c>
      <c r="D66" s="12">
        <v>1</v>
      </c>
      <c r="E66" s="13">
        <v>40</v>
      </c>
      <c r="F66" s="14">
        <f t="shared" si="1"/>
        <v>40</v>
      </c>
    </row>
    <row r="67" spans="1:6" x14ac:dyDescent="0.25">
      <c r="A67" s="21"/>
    </row>
    <row r="68" spans="1:6" x14ac:dyDescent="0.25">
      <c r="A68" s="79" t="s">
        <v>2396</v>
      </c>
      <c r="B68" s="10" t="s">
        <v>333</v>
      </c>
    </row>
    <row r="69" spans="1:6" ht="36" x14ac:dyDescent="0.25">
      <c r="B69" s="8" t="s">
        <v>334</v>
      </c>
    </row>
    <row r="70" spans="1:6" x14ac:dyDescent="0.25">
      <c r="B70" s="11" t="s">
        <v>335</v>
      </c>
      <c r="C70" s="7" t="s">
        <v>13</v>
      </c>
      <c r="D70" s="12">
        <v>60</v>
      </c>
      <c r="E70" s="13">
        <v>2.2000000000000002</v>
      </c>
      <c r="F70" s="14">
        <f>ROUND(D70*E70,2)</f>
        <v>132</v>
      </c>
    </row>
    <row r="71" spans="1:6" x14ac:dyDescent="0.25">
      <c r="B71" s="11" t="s">
        <v>336</v>
      </c>
      <c r="C71" s="7" t="s">
        <v>13</v>
      </c>
      <c r="D71" s="12">
        <v>60</v>
      </c>
      <c r="E71" s="13">
        <v>2.2000000000000002</v>
      </c>
      <c r="F71" s="14">
        <f>ROUND(D71*E71,2)</f>
        <v>132</v>
      </c>
    </row>
    <row r="72" spans="1:6" x14ac:dyDescent="0.25">
      <c r="B72" s="11" t="s">
        <v>337</v>
      </c>
      <c r="C72" s="7" t="s">
        <v>13</v>
      </c>
      <c r="D72" s="12">
        <v>100</v>
      </c>
      <c r="E72" s="13">
        <v>2.2000000000000002</v>
      </c>
      <c r="F72" s="14">
        <f>ROUND(D72*E72,2)</f>
        <v>220</v>
      </c>
    </row>
    <row r="74" spans="1:6" ht="27" customHeight="1" x14ac:dyDescent="0.25">
      <c r="A74" s="79" t="s">
        <v>2397</v>
      </c>
      <c r="B74" s="8" t="s">
        <v>338</v>
      </c>
    </row>
    <row r="75" spans="1:6" x14ac:dyDescent="0.25">
      <c r="A75" s="21"/>
      <c r="B75" s="11" t="s">
        <v>335</v>
      </c>
      <c r="C75" s="7" t="s">
        <v>13</v>
      </c>
      <c r="D75" s="12">
        <v>10</v>
      </c>
      <c r="E75" s="13">
        <v>2.2000000000000002</v>
      </c>
      <c r="F75" s="14">
        <f>ROUND(D75*E75,2)</f>
        <v>22</v>
      </c>
    </row>
    <row r="76" spans="1:6" x14ac:dyDescent="0.25">
      <c r="A76" s="21"/>
      <c r="B76" s="11" t="s">
        <v>336</v>
      </c>
      <c r="C76" s="7" t="s">
        <v>13</v>
      </c>
      <c r="D76" s="12">
        <v>10</v>
      </c>
      <c r="E76" s="13">
        <v>2.2000000000000002</v>
      </c>
      <c r="F76" s="14">
        <f>ROUND(D76*E76,2)</f>
        <v>22</v>
      </c>
    </row>
    <row r="77" spans="1:6" x14ac:dyDescent="0.25">
      <c r="A77" s="21"/>
      <c r="B77" s="11" t="s">
        <v>337</v>
      </c>
      <c r="C77" s="7" t="s">
        <v>13</v>
      </c>
      <c r="D77" s="12">
        <v>18</v>
      </c>
      <c r="E77" s="13">
        <v>2.2000000000000002</v>
      </c>
      <c r="F77" s="14">
        <f>ROUND(D77*E77,2)</f>
        <v>39.6</v>
      </c>
    </row>
    <row r="78" spans="1:6" x14ac:dyDescent="0.25">
      <c r="A78" s="21"/>
    </row>
    <row r="79" spans="1:6" ht="26.25" customHeight="1" x14ac:dyDescent="0.25">
      <c r="A79" s="79" t="s">
        <v>2398</v>
      </c>
      <c r="B79" s="8" t="s">
        <v>339</v>
      </c>
    </row>
    <row r="80" spans="1:6" x14ac:dyDescent="0.25">
      <c r="A80" s="21"/>
      <c r="B80" s="11" t="s">
        <v>340</v>
      </c>
      <c r="C80" s="7" t="s">
        <v>13</v>
      </c>
      <c r="D80" s="12">
        <v>5</v>
      </c>
      <c r="E80" s="13">
        <v>9.35</v>
      </c>
      <c r="F80" s="14">
        <f>ROUND(D80*E80,2)</f>
        <v>46.75</v>
      </c>
    </row>
    <row r="81" spans="1:6" x14ac:dyDescent="0.25">
      <c r="A81" s="21"/>
      <c r="B81" s="11" t="s">
        <v>337</v>
      </c>
      <c r="C81" s="7" t="s">
        <v>13</v>
      </c>
      <c r="D81" s="12">
        <v>4</v>
      </c>
      <c r="E81" s="13">
        <v>2.2000000000000002</v>
      </c>
      <c r="F81" s="14">
        <f>ROUND(D81*E81,2)</f>
        <v>8.8000000000000007</v>
      </c>
    </row>
    <row r="82" spans="1:6" x14ac:dyDescent="0.25">
      <c r="A82" s="21"/>
    </row>
    <row r="83" spans="1:6" ht="25.5" customHeight="1" x14ac:dyDescent="0.25">
      <c r="A83" s="79" t="s">
        <v>2399</v>
      </c>
      <c r="B83" s="8" t="s">
        <v>341</v>
      </c>
    </row>
    <row r="84" spans="1:6" x14ac:dyDescent="0.25">
      <c r="B84" s="11" t="s">
        <v>340</v>
      </c>
      <c r="C84" s="7" t="s">
        <v>13</v>
      </c>
      <c r="D84" s="12">
        <v>10</v>
      </c>
      <c r="E84" s="13">
        <v>9.35</v>
      </c>
      <c r="F84" s="14">
        <f>ROUND(D84*E84,2)</f>
        <v>93.5</v>
      </c>
    </row>
    <row r="85" spans="1:6" x14ac:dyDescent="0.25">
      <c r="B85" s="11" t="s">
        <v>337</v>
      </c>
      <c r="C85" s="7" t="s">
        <v>13</v>
      </c>
      <c r="D85" s="12">
        <v>8</v>
      </c>
      <c r="E85" s="13">
        <v>2.2000000000000002</v>
      </c>
      <c r="F85" s="14">
        <f>ROUND(D85*E85,2)</f>
        <v>17.600000000000001</v>
      </c>
    </row>
    <row r="87" spans="1:6" ht="28.5" customHeight="1" x14ac:dyDescent="0.25">
      <c r="A87" s="79" t="s">
        <v>2400</v>
      </c>
      <c r="B87" s="8" t="s">
        <v>342</v>
      </c>
    </row>
    <row r="88" spans="1:6" x14ac:dyDescent="0.25">
      <c r="A88" s="21"/>
      <c r="B88" s="11" t="s">
        <v>343</v>
      </c>
      <c r="C88" s="7" t="s">
        <v>13</v>
      </c>
      <c r="D88" s="12">
        <v>35</v>
      </c>
      <c r="E88" s="13">
        <v>4.4000000000000004</v>
      </c>
      <c r="F88" s="14">
        <f>ROUND(D88*E88,2)</f>
        <v>154</v>
      </c>
    </row>
    <row r="89" spans="1:6" x14ac:dyDescent="0.25">
      <c r="A89" s="21"/>
      <c r="B89" s="11" t="s">
        <v>337</v>
      </c>
      <c r="C89" s="7" t="s">
        <v>13</v>
      </c>
      <c r="D89" s="12">
        <v>32</v>
      </c>
      <c r="E89" s="13">
        <v>2.2000000000000002</v>
      </c>
      <c r="F89" s="14">
        <f>ROUND(D89*E89,2)</f>
        <v>70.400000000000006</v>
      </c>
    </row>
    <row r="90" spans="1:6" x14ac:dyDescent="0.25">
      <c r="A90" s="21"/>
    </row>
    <row r="91" spans="1:6" x14ac:dyDescent="0.25">
      <c r="A91" s="79" t="s">
        <v>2401</v>
      </c>
      <c r="B91" s="10" t="s">
        <v>344</v>
      </c>
    </row>
    <row r="92" spans="1:6" ht="24" x14ac:dyDescent="0.25">
      <c r="A92" s="21"/>
      <c r="B92" s="8" t="s">
        <v>345</v>
      </c>
      <c r="C92" s="7" t="s">
        <v>15</v>
      </c>
      <c r="D92" s="12">
        <v>1</v>
      </c>
      <c r="E92" s="13">
        <v>60.5</v>
      </c>
      <c r="F92" s="14">
        <f>ROUND(D92*E92,2)</f>
        <v>60.5</v>
      </c>
    </row>
    <row r="93" spans="1:6" x14ac:dyDescent="0.25">
      <c r="A93" s="21"/>
      <c r="B93" s="11"/>
      <c r="C93" s="3"/>
    </row>
    <row r="94" spans="1:6" ht="24" x14ac:dyDescent="0.25">
      <c r="A94" s="79" t="s">
        <v>3288</v>
      </c>
      <c r="B94" s="8" t="s">
        <v>346</v>
      </c>
      <c r="C94" s="7" t="s">
        <v>15</v>
      </c>
      <c r="D94" s="12">
        <v>2</v>
      </c>
      <c r="E94" s="13">
        <v>11</v>
      </c>
      <c r="F94" s="14">
        <f>ROUND(D94*E94,2)</f>
        <v>22</v>
      </c>
    </row>
    <row r="95" spans="1:6" x14ac:dyDescent="0.25">
      <c r="A95" s="21"/>
      <c r="B95" s="11"/>
      <c r="C95" s="3"/>
    </row>
    <row r="96" spans="1:6" x14ac:dyDescent="0.25">
      <c r="A96" s="79" t="s">
        <v>2402</v>
      </c>
      <c r="B96" s="10" t="s">
        <v>347</v>
      </c>
    </row>
    <row r="97" spans="1:6" ht="28.5" customHeight="1" x14ac:dyDescent="0.25">
      <c r="B97" s="8" t="s">
        <v>348</v>
      </c>
      <c r="C97" s="7" t="s">
        <v>13</v>
      </c>
      <c r="D97" s="12">
        <v>18</v>
      </c>
      <c r="E97" s="13">
        <v>19.8</v>
      </c>
      <c r="F97" s="14">
        <f>ROUND(D97*E97,2)</f>
        <v>356.4</v>
      </c>
    </row>
    <row r="98" spans="1:6" x14ac:dyDescent="0.25">
      <c r="B98" s="11"/>
      <c r="C98" s="3"/>
    </row>
    <row r="99" spans="1:6" x14ac:dyDescent="0.25">
      <c r="A99" s="79" t="s">
        <v>3289</v>
      </c>
      <c r="B99" s="10" t="s">
        <v>349</v>
      </c>
    </row>
    <row r="100" spans="1:6" ht="36" x14ac:dyDescent="0.25">
      <c r="A100" s="21"/>
      <c r="B100" s="8" t="s">
        <v>350</v>
      </c>
    </row>
    <row r="101" spans="1:6" x14ac:dyDescent="0.25">
      <c r="A101" s="21"/>
      <c r="B101" s="11" t="s">
        <v>351</v>
      </c>
      <c r="C101" s="7" t="s">
        <v>13</v>
      </c>
      <c r="D101" s="12">
        <v>60</v>
      </c>
      <c r="E101" s="13">
        <v>4.4000000000000004</v>
      </c>
      <c r="F101" s="14">
        <f>ROUND(D101*E101,2)</f>
        <v>264</v>
      </c>
    </row>
    <row r="102" spans="1:6" ht="24" x14ac:dyDescent="0.25">
      <c r="A102" s="21"/>
      <c r="B102" s="11" t="s">
        <v>352</v>
      </c>
      <c r="C102" s="7" t="s">
        <v>15</v>
      </c>
      <c r="D102" s="12">
        <v>28</v>
      </c>
      <c r="E102" s="13">
        <v>5.5</v>
      </c>
      <c r="F102" s="14">
        <f>ROUND(D102*E102,2)</f>
        <v>154</v>
      </c>
    </row>
    <row r="103" spans="1:6" x14ac:dyDescent="0.25">
      <c r="A103" s="21"/>
    </row>
    <row r="104" spans="1:6" ht="36" x14ac:dyDescent="0.25">
      <c r="A104" s="79" t="s">
        <v>2403</v>
      </c>
      <c r="B104" s="8" t="s">
        <v>353</v>
      </c>
    </row>
    <row r="105" spans="1:6" x14ac:dyDescent="0.25">
      <c r="A105" s="21"/>
      <c r="B105" s="11" t="s">
        <v>351</v>
      </c>
      <c r="C105" s="7" t="s">
        <v>13</v>
      </c>
      <c r="D105" s="12">
        <v>5</v>
      </c>
      <c r="E105" s="13">
        <v>4.4000000000000004</v>
      </c>
      <c r="F105" s="14">
        <f>ROUND(D105*E105,2)</f>
        <v>22</v>
      </c>
    </row>
    <row r="106" spans="1:6" ht="24" x14ac:dyDescent="0.25">
      <c r="A106" s="21"/>
      <c r="B106" s="11" t="s">
        <v>354</v>
      </c>
      <c r="C106" s="7" t="s">
        <v>13</v>
      </c>
      <c r="D106" s="12">
        <v>4</v>
      </c>
      <c r="E106" s="13">
        <v>4.4000000000000004</v>
      </c>
      <c r="F106" s="14">
        <f>ROUND(D106*E106,2)</f>
        <v>17.600000000000001</v>
      </c>
    </row>
    <row r="107" spans="1:6" x14ac:dyDescent="0.25">
      <c r="A107" s="21"/>
    </row>
    <row r="108" spans="1:6" ht="36" x14ac:dyDescent="0.25">
      <c r="A108" s="79" t="s">
        <v>2404</v>
      </c>
      <c r="B108" s="8" t="s">
        <v>355</v>
      </c>
    </row>
    <row r="109" spans="1:6" x14ac:dyDescent="0.25">
      <c r="B109" s="11" t="s">
        <v>351</v>
      </c>
      <c r="C109" s="7" t="s">
        <v>13</v>
      </c>
      <c r="D109" s="12">
        <v>7</v>
      </c>
      <c r="E109" s="13">
        <v>4.4000000000000004</v>
      </c>
      <c r="F109" s="14">
        <f>ROUND(D109*E109,2)</f>
        <v>30.8</v>
      </c>
    </row>
    <row r="110" spans="1:6" ht="24" x14ac:dyDescent="0.25">
      <c r="B110" s="11" t="s">
        <v>354</v>
      </c>
      <c r="C110" s="7" t="s">
        <v>13</v>
      </c>
      <c r="D110" s="12">
        <v>6</v>
      </c>
      <c r="E110" s="13">
        <v>4.4000000000000004</v>
      </c>
      <c r="F110" s="14">
        <f>ROUND(D110*E110,2)</f>
        <v>26.4</v>
      </c>
    </row>
    <row r="111" spans="1:6" x14ac:dyDescent="0.25">
      <c r="E111" s="135"/>
      <c r="F111" s="14"/>
    </row>
    <row r="112" spans="1:6" s="19" customFormat="1" x14ac:dyDescent="0.25">
      <c r="A112" s="79" t="s">
        <v>2405</v>
      </c>
      <c r="B112" s="10" t="s">
        <v>356</v>
      </c>
      <c r="C112" s="25"/>
      <c r="E112" s="136"/>
    </row>
    <row r="113" spans="1:6" x14ac:dyDescent="0.25">
      <c r="A113" s="21"/>
      <c r="B113" s="8" t="s">
        <v>357</v>
      </c>
    </row>
    <row r="114" spans="1:6" x14ac:dyDescent="0.25">
      <c r="A114" s="21"/>
      <c r="B114" s="11" t="s">
        <v>358</v>
      </c>
      <c r="C114" s="7" t="s">
        <v>15</v>
      </c>
      <c r="D114" s="12">
        <v>1</v>
      </c>
      <c r="E114" s="13">
        <v>33</v>
      </c>
      <c r="F114" s="14">
        <f>ROUND(D114*E114,2)</f>
        <v>33</v>
      </c>
    </row>
    <row r="115" spans="1:6" x14ac:dyDescent="0.25">
      <c r="A115" s="21"/>
      <c r="B115" s="11" t="s">
        <v>359</v>
      </c>
      <c r="C115" s="7" t="s">
        <v>15</v>
      </c>
      <c r="D115" s="12">
        <v>5</v>
      </c>
      <c r="E115" s="13">
        <v>33</v>
      </c>
      <c r="F115" s="14">
        <f>ROUND(D115*E115,2)</f>
        <v>165</v>
      </c>
    </row>
    <row r="116" spans="1:6" x14ac:dyDescent="0.25">
      <c r="A116" s="21"/>
    </row>
    <row r="117" spans="1:6" x14ac:dyDescent="0.25">
      <c r="A117" s="79" t="s">
        <v>2406</v>
      </c>
      <c r="B117" s="8" t="s">
        <v>360</v>
      </c>
    </row>
    <row r="118" spans="1:6" ht="24" x14ac:dyDescent="0.25">
      <c r="B118" s="11" t="s">
        <v>361</v>
      </c>
      <c r="C118" s="7" t="s">
        <v>15</v>
      </c>
      <c r="D118" s="12">
        <v>1</v>
      </c>
      <c r="E118" s="13">
        <v>132</v>
      </c>
      <c r="F118" s="14">
        <f>ROUND(D118*E118,2)</f>
        <v>132</v>
      </c>
    </row>
    <row r="119" spans="1:6" ht="24" x14ac:dyDescent="0.25">
      <c r="B119" s="11" t="s">
        <v>362</v>
      </c>
      <c r="C119" s="7" t="s">
        <v>15</v>
      </c>
      <c r="D119" s="12">
        <v>5</v>
      </c>
      <c r="E119" s="13">
        <v>55</v>
      </c>
      <c r="F119" s="14">
        <f>ROUND(D119*E119,2)</f>
        <v>275</v>
      </c>
    </row>
    <row r="121" spans="1:6" x14ac:dyDescent="0.25">
      <c r="A121" s="24"/>
      <c r="B121" s="22" t="s">
        <v>363</v>
      </c>
      <c r="C121" s="24"/>
      <c r="D121" s="24"/>
      <c r="E121" s="134"/>
      <c r="F121" s="28">
        <f>SUM(F38:F119)</f>
        <v>6699.39</v>
      </c>
    </row>
    <row r="124" spans="1:6" x14ac:dyDescent="0.25">
      <c r="A124" s="24" t="s">
        <v>2058</v>
      </c>
      <c r="B124" s="22" t="s">
        <v>364</v>
      </c>
      <c r="C124" s="24"/>
      <c r="D124" s="24"/>
      <c r="E124" s="134"/>
      <c r="F124" s="24"/>
    </row>
    <row r="126" spans="1:6" x14ac:dyDescent="0.25">
      <c r="A126" s="9" t="s">
        <v>2407</v>
      </c>
      <c r="B126" s="8" t="s">
        <v>365</v>
      </c>
      <c r="C126" s="7" t="s">
        <v>15</v>
      </c>
      <c r="D126" s="12">
        <v>1</v>
      </c>
      <c r="E126" s="13">
        <v>332</v>
      </c>
      <c r="F126" s="14">
        <f>ROUND(D126*E126,2)</f>
        <v>332</v>
      </c>
    </row>
    <row r="127" spans="1:6" x14ac:dyDescent="0.25">
      <c r="B127" s="11"/>
      <c r="C127" s="3"/>
      <c r="E127" s="133" t="s">
        <v>3386</v>
      </c>
    </row>
    <row r="128" spans="1:6" x14ac:dyDescent="0.25">
      <c r="A128" s="9" t="s">
        <v>2408</v>
      </c>
      <c r="B128" s="8" t="s">
        <v>366</v>
      </c>
      <c r="C128" s="7" t="s">
        <v>15</v>
      </c>
      <c r="D128" s="12">
        <v>1</v>
      </c>
      <c r="E128" s="13">
        <v>210</v>
      </c>
      <c r="F128" s="14">
        <f>ROUND(D128*E128,2)</f>
        <v>210</v>
      </c>
    </row>
    <row r="129" spans="1:6" x14ac:dyDescent="0.25">
      <c r="B129" s="11"/>
      <c r="C129" s="3"/>
      <c r="E129" s="133" t="s">
        <v>3386</v>
      </c>
    </row>
    <row r="130" spans="1:6" ht="40.5" customHeight="1" x14ac:dyDescent="0.25">
      <c r="A130" s="9" t="s">
        <v>2059</v>
      </c>
      <c r="B130" s="8" t="s">
        <v>3043</v>
      </c>
      <c r="C130" s="7" t="s">
        <v>19</v>
      </c>
      <c r="D130" s="12">
        <v>1</v>
      </c>
      <c r="E130" s="13">
        <v>1000</v>
      </c>
      <c r="F130" s="14">
        <f>ROUND(D130*E130,2)</f>
        <v>1000</v>
      </c>
    </row>
    <row r="131" spans="1:6" x14ac:dyDescent="0.25">
      <c r="B131" s="11"/>
      <c r="C131" s="3"/>
      <c r="E131" s="133" t="s">
        <v>3386</v>
      </c>
    </row>
    <row r="132" spans="1:6" ht="48" x14ac:dyDescent="0.25">
      <c r="A132" s="9" t="s">
        <v>2393</v>
      </c>
      <c r="B132" s="8" t="s">
        <v>3023</v>
      </c>
      <c r="C132" s="7" t="s">
        <v>19</v>
      </c>
      <c r="D132" s="12">
        <v>1</v>
      </c>
      <c r="E132" s="13">
        <v>5000</v>
      </c>
      <c r="F132" s="14">
        <f>ROUND(D132*E132,2)</f>
        <v>5000</v>
      </c>
    </row>
    <row r="133" spans="1:6" x14ac:dyDescent="0.25">
      <c r="B133" s="11"/>
      <c r="C133" s="3"/>
    </row>
    <row r="134" spans="1:6" ht="48" x14ac:dyDescent="0.25">
      <c r="A134" s="9" t="s">
        <v>2409</v>
      </c>
      <c r="B134" s="8" t="s">
        <v>3024</v>
      </c>
      <c r="C134" s="7" t="s">
        <v>19</v>
      </c>
      <c r="D134" s="12">
        <v>1</v>
      </c>
      <c r="E134" s="13">
        <v>2000</v>
      </c>
      <c r="F134" s="14">
        <f>ROUND(D134*E134,2)</f>
        <v>2000</v>
      </c>
    </row>
    <row r="135" spans="1:6" x14ac:dyDescent="0.25">
      <c r="B135" s="11"/>
      <c r="C135" s="3"/>
      <c r="E135" s="133" t="s">
        <v>3386</v>
      </c>
    </row>
    <row r="136" spans="1:6" ht="36" x14ac:dyDescent="0.25">
      <c r="A136" s="9" t="s">
        <v>2410</v>
      </c>
      <c r="B136" s="8" t="s">
        <v>367</v>
      </c>
      <c r="C136" s="7" t="s">
        <v>19</v>
      </c>
      <c r="D136" s="12">
        <v>1</v>
      </c>
      <c r="E136" s="13">
        <v>200</v>
      </c>
      <c r="F136" s="14">
        <f>ROUND(D136*E136,2)</f>
        <v>200</v>
      </c>
    </row>
    <row r="137" spans="1:6" x14ac:dyDescent="0.25">
      <c r="B137" s="11"/>
      <c r="C137" s="3"/>
    </row>
    <row r="138" spans="1:6" x14ac:dyDescent="0.25">
      <c r="A138" s="24" t="s">
        <v>2058</v>
      </c>
      <c r="B138" s="22" t="s">
        <v>368</v>
      </c>
      <c r="C138" s="24"/>
      <c r="D138" s="24"/>
      <c r="E138" s="134"/>
      <c r="F138" s="28">
        <f>SUM(F126:F136)</f>
        <v>8742</v>
      </c>
    </row>
    <row r="141" spans="1:6" x14ac:dyDescent="0.25">
      <c r="A141" s="24" t="s">
        <v>2060</v>
      </c>
      <c r="B141" s="22" t="s">
        <v>369</v>
      </c>
      <c r="C141" s="24"/>
      <c r="D141" s="24"/>
      <c r="E141" s="134"/>
      <c r="F141" s="24"/>
    </row>
    <row r="143" spans="1:6" ht="15" customHeight="1" x14ac:dyDescent="0.25">
      <c r="A143" s="9" t="s">
        <v>2061</v>
      </c>
      <c r="B143" s="8" t="s">
        <v>370</v>
      </c>
      <c r="C143" s="7" t="s">
        <v>19</v>
      </c>
      <c r="D143" s="12">
        <v>1</v>
      </c>
      <c r="E143" s="13">
        <v>330</v>
      </c>
      <c r="F143" s="14">
        <f>ROUND(D143*E143,2)</f>
        <v>330</v>
      </c>
    </row>
    <row r="144" spans="1:6" x14ac:dyDescent="0.25">
      <c r="B144" s="11"/>
      <c r="C144" s="3"/>
    </row>
    <row r="145" spans="1:6" x14ac:dyDescent="0.25">
      <c r="A145" s="24" t="s">
        <v>2060</v>
      </c>
      <c r="B145" s="22" t="s">
        <v>371</v>
      </c>
      <c r="C145" s="24"/>
      <c r="D145" s="24"/>
      <c r="E145" s="134"/>
      <c r="F145" s="28">
        <f>SUM(F143:F144)</f>
        <v>330</v>
      </c>
    </row>
    <row r="148" spans="1:6" x14ac:dyDescent="0.25">
      <c r="A148" s="24" t="s">
        <v>2035</v>
      </c>
      <c r="B148" s="22" t="s">
        <v>372</v>
      </c>
      <c r="C148" s="24"/>
      <c r="D148" s="24"/>
      <c r="E148" s="134"/>
      <c r="F148" s="28">
        <f>SUM(F145,F138,F121)</f>
        <v>15771.39</v>
      </c>
    </row>
    <row r="151" spans="1:6" x14ac:dyDescent="0.25">
      <c r="A151" s="31" t="s">
        <v>2062</v>
      </c>
      <c r="B151" s="73" t="s">
        <v>373</v>
      </c>
      <c r="C151" s="31"/>
      <c r="D151" s="31"/>
      <c r="E151" s="131"/>
      <c r="F151" s="31"/>
    </row>
    <row r="153" spans="1:6" x14ac:dyDescent="0.25">
      <c r="A153" s="24"/>
      <c r="B153" s="22" t="s">
        <v>0</v>
      </c>
      <c r="C153" s="24"/>
      <c r="D153" s="24"/>
      <c r="E153" s="134"/>
      <c r="F153" s="24"/>
    </row>
    <row r="155" spans="1:6" ht="27" customHeight="1" x14ac:dyDescent="0.25">
      <c r="B155" s="8" t="s">
        <v>2036</v>
      </c>
    </row>
    <row r="156" spans="1:6" x14ac:dyDescent="0.25">
      <c r="B156" s="8" t="s">
        <v>2037</v>
      </c>
    </row>
    <row r="157" spans="1:6" ht="24" x14ac:dyDescent="0.25">
      <c r="B157" s="8" t="s">
        <v>2038</v>
      </c>
    </row>
    <row r="158" spans="1:6" ht="24.75" customHeight="1" x14ac:dyDescent="0.25">
      <c r="B158" s="8" t="s">
        <v>2039</v>
      </c>
    </row>
    <row r="159" spans="1:6" x14ac:dyDescent="0.25">
      <c r="B159" s="8" t="s">
        <v>2040</v>
      </c>
    </row>
    <row r="160" spans="1:6" ht="24" x14ac:dyDescent="0.25">
      <c r="B160" s="8" t="s">
        <v>2041</v>
      </c>
    </row>
    <row r="161" spans="2:2" x14ac:dyDescent="0.25">
      <c r="B161" s="8" t="s">
        <v>2042</v>
      </c>
    </row>
    <row r="162" spans="2:2" x14ac:dyDescent="0.25">
      <c r="B162" s="8" t="s">
        <v>2043</v>
      </c>
    </row>
    <row r="163" spans="2:2" ht="24" x14ac:dyDescent="0.25">
      <c r="B163" s="8" t="s">
        <v>2044</v>
      </c>
    </row>
    <row r="164" spans="2:2" x14ac:dyDescent="0.25">
      <c r="B164" s="8" t="s">
        <v>2045</v>
      </c>
    </row>
    <row r="165" spans="2:2" ht="25.5" customHeight="1" x14ac:dyDescent="0.25">
      <c r="B165" s="8" t="s">
        <v>2046</v>
      </c>
    </row>
    <row r="166" spans="2:2" x14ac:dyDescent="0.25">
      <c r="B166" s="8" t="s">
        <v>2047</v>
      </c>
    </row>
    <row r="167" spans="2:2" ht="48" x14ac:dyDescent="0.25">
      <c r="B167" s="8" t="s">
        <v>2048</v>
      </c>
    </row>
    <row r="168" spans="2:2" ht="24" x14ac:dyDescent="0.25">
      <c r="B168" s="8" t="s">
        <v>2049</v>
      </c>
    </row>
    <row r="169" spans="2:2" x14ac:dyDescent="0.25">
      <c r="B169" s="8" t="s">
        <v>2050</v>
      </c>
    </row>
    <row r="170" spans="2:2" x14ac:dyDescent="0.25">
      <c r="B170" s="8" t="s">
        <v>2051</v>
      </c>
    </row>
    <row r="171" spans="2:2" x14ac:dyDescent="0.25">
      <c r="B171" s="35"/>
    </row>
    <row r="172" spans="2:2" ht="14.25" customHeight="1" x14ac:dyDescent="0.25">
      <c r="B172" s="8" t="s">
        <v>2052</v>
      </c>
    </row>
    <row r="173" spans="2:2" ht="24" x14ac:dyDescent="0.25">
      <c r="B173" s="8" t="s">
        <v>2053</v>
      </c>
    </row>
    <row r="174" spans="2:2" ht="27.75" customHeight="1" x14ac:dyDescent="0.25">
      <c r="B174" s="8" t="s">
        <v>2054</v>
      </c>
    </row>
    <row r="175" spans="2:2" ht="36" x14ac:dyDescent="0.25">
      <c r="B175" s="8" t="s">
        <v>2055</v>
      </c>
    </row>
    <row r="176" spans="2:2" ht="26.25" customHeight="1" x14ac:dyDescent="0.25">
      <c r="B176" s="8" t="s">
        <v>2056</v>
      </c>
    </row>
    <row r="178" spans="1:6" x14ac:dyDescent="0.25">
      <c r="B178" s="6" t="s">
        <v>2064</v>
      </c>
    </row>
    <row r="180" spans="1:6" ht="13.5" customHeight="1" x14ac:dyDescent="0.25">
      <c r="B180" s="35" t="s">
        <v>2065</v>
      </c>
    </row>
    <row r="181" spans="1:6" ht="227.25" customHeight="1" x14ac:dyDescent="0.25">
      <c r="B181" s="8" t="s">
        <v>2066</v>
      </c>
    </row>
    <row r="183" spans="1:6" x14ac:dyDescent="0.25">
      <c r="B183" s="6" t="s">
        <v>2067</v>
      </c>
    </row>
    <row r="184" spans="1:6" ht="132" customHeight="1" x14ac:dyDescent="0.25">
      <c r="B184" s="8" t="s">
        <v>2068</v>
      </c>
    </row>
    <row r="187" spans="1:6" x14ac:dyDescent="0.25">
      <c r="A187" s="24" t="s">
        <v>2063</v>
      </c>
      <c r="B187" s="22" t="s">
        <v>374</v>
      </c>
      <c r="C187" s="24"/>
      <c r="D187" s="24"/>
      <c r="E187" s="134"/>
      <c r="F187" s="24"/>
    </row>
    <row r="189" spans="1:6" x14ac:dyDescent="0.25">
      <c r="A189" s="9" t="s">
        <v>2074</v>
      </c>
      <c r="B189" s="8" t="s">
        <v>375</v>
      </c>
      <c r="C189" s="7" t="s">
        <v>39</v>
      </c>
      <c r="D189" s="12">
        <v>102.6</v>
      </c>
      <c r="E189" s="13">
        <v>20</v>
      </c>
      <c r="F189" s="14">
        <f>ROUND(D189*E189,2)</f>
        <v>2052</v>
      </c>
    </row>
    <row r="190" spans="1:6" x14ac:dyDescent="0.25">
      <c r="B190" s="11"/>
      <c r="C190" s="3"/>
    </row>
    <row r="191" spans="1:6" ht="14.25" customHeight="1" x14ac:dyDescent="0.25">
      <c r="A191" s="9" t="s">
        <v>2075</v>
      </c>
      <c r="B191" s="8" t="s">
        <v>376</v>
      </c>
      <c r="C191" s="7" t="s">
        <v>39</v>
      </c>
      <c r="D191" s="12">
        <v>11.4</v>
      </c>
      <c r="E191" s="13">
        <v>50</v>
      </c>
      <c r="F191" s="14">
        <f>ROUND(D191*E191,2)</f>
        <v>570</v>
      </c>
    </row>
    <row r="192" spans="1:6" x14ac:dyDescent="0.25">
      <c r="B192" s="11"/>
      <c r="C192" s="3"/>
    </row>
    <row r="193" spans="1:6" x14ac:dyDescent="0.25">
      <c r="A193" s="9" t="s">
        <v>2076</v>
      </c>
      <c r="B193" s="8" t="s">
        <v>377</v>
      </c>
    </row>
    <row r="194" spans="1:6" x14ac:dyDescent="0.25">
      <c r="B194" s="11" t="s">
        <v>378</v>
      </c>
      <c r="C194" s="7" t="s">
        <v>13</v>
      </c>
      <c r="D194" s="12">
        <v>320</v>
      </c>
      <c r="E194" s="13">
        <v>4.5</v>
      </c>
      <c r="F194" s="14">
        <f>ROUND(D194*E194,2)</f>
        <v>1440</v>
      </c>
    </row>
    <row r="195" spans="1:6" x14ac:dyDescent="0.25">
      <c r="B195" s="11" t="s">
        <v>379</v>
      </c>
      <c r="C195" s="7" t="s">
        <v>13</v>
      </c>
      <c r="D195" s="12">
        <v>160</v>
      </c>
      <c r="E195" s="13">
        <v>6</v>
      </c>
      <c r="F195" s="14">
        <f>ROUND(D195*E195,2)</f>
        <v>960</v>
      </c>
    </row>
    <row r="196" spans="1:6" x14ac:dyDescent="0.25">
      <c r="B196" s="11" t="s">
        <v>380</v>
      </c>
      <c r="C196" s="7" t="s">
        <v>13</v>
      </c>
      <c r="D196" s="12">
        <v>60</v>
      </c>
      <c r="E196" s="13">
        <v>7</v>
      </c>
      <c r="F196" s="14">
        <f>ROUND(D196*E196,2)</f>
        <v>420</v>
      </c>
    </row>
    <row r="197" spans="1:6" x14ac:dyDescent="0.25">
      <c r="B197" s="11" t="s">
        <v>381</v>
      </c>
      <c r="C197" s="7" t="s">
        <v>13</v>
      </c>
      <c r="D197" s="12">
        <v>130</v>
      </c>
      <c r="E197" s="13">
        <v>10</v>
      </c>
      <c r="F197" s="14">
        <f>ROUND(D197*E197,2)</f>
        <v>1300</v>
      </c>
    </row>
    <row r="199" spans="1:6" ht="52.5" customHeight="1" x14ac:dyDescent="0.25">
      <c r="A199" s="9" t="s">
        <v>2077</v>
      </c>
      <c r="B199" s="8" t="s">
        <v>382</v>
      </c>
      <c r="C199" s="7" t="s">
        <v>15</v>
      </c>
      <c r="D199" s="12">
        <v>4</v>
      </c>
      <c r="E199" s="13">
        <v>1000</v>
      </c>
      <c r="F199" s="14">
        <f>ROUND(D199*E199,2)</f>
        <v>4000</v>
      </c>
    </row>
    <row r="200" spans="1:6" x14ac:dyDescent="0.25">
      <c r="B200" s="11"/>
      <c r="C200" s="3"/>
    </row>
    <row r="201" spans="1:6" ht="27.75" customHeight="1" x14ac:dyDescent="0.25">
      <c r="A201" s="9" t="s">
        <v>2078</v>
      </c>
      <c r="B201" s="8" t="s">
        <v>3052</v>
      </c>
      <c r="C201" s="7" t="s">
        <v>39</v>
      </c>
      <c r="D201" s="12">
        <v>11.4</v>
      </c>
      <c r="E201" s="13">
        <v>50</v>
      </c>
      <c r="F201" s="14">
        <f>ROUND(D201*E201,2)</f>
        <v>570</v>
      </c>
    </row>
    <row r="202" spans="1:6" x14ac:dyDescent="0.25">
      <c r="B202" s="11"/>
      <c r="C202" s="3"/>
    </row>
    <row r="203" spans="1:6" x14ac:dyDescent="0.25">
      <c r="A203" s="9" t="s">
        <v>2079</v>
      </c>
      <c r="B203" s="8" t="s">
        <v>383</v>
      </c>
      <c r="C203" s="7" t="s">
        <v>39</v>
      </c>
      <c r="D203" s="12">
        <v>79.8</v>
      </c>
      <c r="E203" s="13">
        <v>20</v>
      </c>
      <c r="F203" s="14">
        <f>ROUND(D203*E203,2)</f>
        <v>1596</v>
      </c>
    </row>
    <row r="204" spans="1:6" x14ac:dyDescent="0.25">
      <c r="B204" s="11"/>
      <c r="C204" s="3"/>
    </row>
    <row r="205" spans="1:6" x14ac:dyDescent="0.25">
      <c r="A205" s="9" t="s">
        <v>2080</v>
      </c>
      <c r="B205" s="8" t="s">
        <v>2857</v>
      </c>
      <c r="C205" s="7" t="s">
        <v>39</v>
      </c>
      <c r="D205" s="12">
        <v>22.8</v>
      </c>
      <c r="E205" s="13">
        <v>50</v>
      </c>
      <c r="F205" s="14">
        <f>ROUND(D205*E205,2)</f>
        <v>1140</v>
      </c>
    </row>
    <row r="206" spans="1:6" x14ac:dyDescent="0.25">
      <c r="B206" s="11"/>
      <c r="C206" s="3"/>
    </row>
    <row r="207" spans="1:6" x14ac:dyDescent="0.25">
      <c r="A207" s="9" t="s">
        <v>2081</v>
      </c>
      <c r="B207" s="8" t="s">
        <v>384</v>
      </c>
      <c r="C207" s="7" t="s">
        <v>13</v>
      </c>
      <c r="D207" s="12">
        <v>285</v>
      </c>
      <c r="E207" s="13">
        <v>1.5</v>
      </c>
      <c r="F207" s="14">
        <f>ROUND(D207*E207,2)</f>
        <v>427.5</v>
      </c>
    </row>
    <row r="208" spans="1:6" x14ac:dyDescent="0.25">
      <c r="B208" s="11"/>
      <c r="C208" s="3"/>
    </row>
    <row r="209" spans="1:6" x14ac:dyDescent="0.25">
      <c r="A209" s="9" t="s">
        <v>2082</v>
      </c>
      <c r="B209" s="8" t="s">
        <v>385</v>
      </c>
      <c r="C209" s="7" t="s">
        <v>19</v>
      </c>
      <c r="D209" s="12">
        <v>1</v>
      </c>
      <c r="E209" s="13">
        <v>1000</v>
      </c>
      <c r="F209" s="14">
        <f>ROUND(D209*E209,2)</f>
        <v>1000</v>
      </c>
    </row>
    <row r="211" spans="1:6" x14ac:dyDescent="0.25">
      <c r="B211" s="6" t="s">
        <v>386</v>
      </c>
    </row>
    <row r="212" spans="1:6" ht="24" x14ac:dyDescent="0.25">
      <c r="A212" s="9" t="s">
        <v>2193</v>
      </c>
      <c r="B212" s="8" t="s">
        <v>387</v>
      </c>
    </row>
    <row r="213" spans="1:6" x14ac:dyDescent="0.25">
      <c r="B213" s="11" t="s">
        <v>388</v>
      </c>
      <c r="C213" s="7" t="s">
        <v>15</v>
      </c>
      <c r="D213" s="12">
        <v>1</v>
      </c>
      <c r="E213" s="13"/>
      <c r="F213" s="14">
        <f t="shared" ref="F213:F225" si="2">ROUND(D213*E213,2)</f>
        <v>0</v>
      </c>
    </row>
    <row r="214" spans="1:6" x14ac:dyDescent="0.25">
      <c r="B214" s="11" t="s">
        <v>389</v>
      </c>
      <c r="C214" s="7" t="s">
        <v>15</v>
      </c>
      <c r="D214" s="12">
        <v>1</v>
      </c>
      <c r="E214" s="13"/>
      <c r="F214" s="14">
        <f t="shared" si="2"/>
        <v>0</v>
      </c>
    </row>
    <row r="215" spans="1:6" x14ac:dyDescent="0.25">
      <c r="B215" s="11" t="s">
        <v>313</v>
      </c>
      <c r="C215" s="7" t="s">
        <v>15</v>
      </c>
      <c r="D215" s="12">
        <v>1</v>
      </c>
      <c r="E215" s="13"/>
      <c r="F215" s="14">
        <f t="shared" si="2"/>
        <v>0</v>
      </c>
    </row>
    <row r="216" spans="1:6" x14ac:dyDescent="0.25">
      <c r="B216" s="11" t="s">
        <v>390</v>
      </c>
      <c r="C216" s="7" t="s">
        <v>15</v>
      </c>
      <c r="D216" s="12">
        <v>2</v>
      </c>
      <c r="E216" s="13"/>
      <c r="F216" s="14">
        <f t="shared" si="2"/>
        <v>0</v>
      </c>
    </row>
    <row r="217" spans="1:6" x14ac:dyDescent="0.25">
      <c r="B217" s="11" t="s">
        <v>391</v>
      </c>
      <c r="C217" s="7" t="s">
        <v>15</v>
      </c>
      <c r="D217" s="12">
        <v>1</v>
      </c>
      <c r="E217" s="13"/>
      <c r="F217" s="14">
        <f t="shared" si="2"/>
        <v>0</v>
      </c>
    </row>
    <row r="218" spans="1:6" x14ac:dyDescent="0.25">
      <c r="B218" s="11" t="s">
        <v>392</v>
      </c>
      <c r="C218" s="7" t="s">
        <v>15</v>
      </c>
      <c r="D218" s="12">
        <v>3</v>
      </c>
      <c r="E218" s="13"/>
      <c r="F218" s="14">
        <f t="shared" si="2"/>
        <v>0</v>
      </c>
    </row>
    <row r="219" spans="1:6" x14ac:dyDescent="0.25">
      <c r="B219" s="11" t="s">
        <v>393</v>
      </c>
      <c r="C219" s="7" t="s">
        <v>15</v>
      </c>
      <c r="D219" s="12">
        <v>4</v>
      </c>
      <c r="E219" s="13"/>
      <c r="F219" s="14">
        <f t="shared" si="2"/>
        <v>0</v>
      </c>
    </row>
    <row r="220" spans="1:6" x14ac:dyDescent="0.25">
      <c r="B220" s="11" t="s">
        <v>394</v>
      </c>
      <c r="C220" s="7" t="s">
        <v>15</v>
      </c>
      <c r="D220" s="12">
        <v>3</v>
      </c>
      <c r="E220" s="13"/>
      <c r="F220" s="14">
        <f t="shared" si="2"/>
        <v>0</v>
      </c>
    </row>
    <row r="221" spans="1:6" x14ac:dyDescent="0.25">
      <c r="B221" s="11" t="s">
        <v>395</v>
      </c>
      <c r="C221" s="7" t="s">
        <v>15</v>
      </c>
      <c r="D221" s="12">
        <v>1</v>
      </c>
      <c r="E221" s="13"/>
      <c r="F221" s="14">
        <f t="shared" si="2"/>
        <v>0</v>
      </c>
    </row>
    <row r="222" spans="1:6" x14ac:dyDescent="0.25">
      <c r="B222" s="11" t="s">
        <v>396</v>
      </c>
      <c r="C222" s="7" t="s">
        <v>15</v>
      </c>
      <c r="D222" s="12">
        <v>1</v>
      </c>
      <c r="E222" s="13"/>
      <c r="F222" s="14">
        <f t="shared" si="2"/>
        <v>0</v>
      </c>
    </row>
    <row r="223" spans="1:6" x14ac:dyDescent="0.25">
      <c r="B223" s="11" t="s">
        <v>397</v>
      </c>
      <c r="C223" s="7" t="s">
        <v>15</v>
      </c>
      <c r="D223" s="12">
        <v>1</v>
      </c>
      <c r="E223" s="13"/>
      <c r="F223" s="14">
        <f t="shared" si="2"/>
        <v>0</v>
      </c>
    </row>
    <row r="224" spans="1:6" ht="24" x14ac:dyDescent="0.25">
      <c r="B224" s="11" t="s">
        <v>398</v>
      </c>
      <c r="C224" s="7" t="s">
        <v>15</v>
      </c>
      <c r="D224" s="12">
        <v>1</v>
      </c>
      <c r="E224" s="13"/>
      <c r="F224" s="14">
        <f t="shared" si="2"/>
        <v>0</v>
      </c>
    </row>
    <row r="225" spans="1:6" ht="40.5" customHeight="1" x14ac:dyDescent="0.25">
      <c r="B225" s="8" t="s">
        <v>399</v>
      </c>
      <c r="C225" s="7" t="s">
        <v>19</v>
      </c>
      <c r="D225" s="12">
        <v>1</v>
      </c>
      <c r="E225" s="13">
        <v>2340</v>
      </c>
      <c r="F225" s="14">
        <f t="shared" si="2"/>
        <v>2340</v>
      </c>
    </row>
    <row r="227" spans="1:6" ht="24" x14ac:dyDescent="0.25">
      <c r="A227" s="9" t="s">
        <v>2194</v>
      </c>
      <c r="B227" s="8" t="s">
        <v>400</v>
      </c>
    </row>
    <row r="228" spans="1:6" x14ac:dyDescent="0.25">
      <c r="B228" s="11" t="s">
        <v>401</v>
      </c>
      <c r="C228" s="7" t="s">
        <v>15</v>
      </c>
      <c r="D228" s="12">
        <v>2</v>
      </c>
      <c r="E228" s="13"/>
      <c r="F228" s="14">
        <f t="shared" ref="F228:F270" si="3">ROUND(D228*E228,2)</f>
        <v>0</v>
      </c>
    </row>
    <row r="229" spans="1:6" x14ac:dyDescent="0.25">
      <c r="B229" s="11" t="s">
        <v>402</v>
      </c>
      <c r="C229" s="7" t="s">
        <v>15</v>
      </c>
      <c r="D229" s="12">
        <v>1</v>
      </c>
      <c r="E229" s="13"/>
      <c r="F229" s="14">
        <f t="shared" si="3"/>
        <v>0</v>
      </c>
    </row>
    <row r="230" spans="1:6" x14ac:dyDescent="0.25">
      <c r="B230" s="11" t="s">
        <v>403</v>
      </c>
      <c r="C230" s="7" t="s">
        <v>15</v>
      </c>
      <c r="D230" s="12">
        <v>1</v>
      </c>
      <c r="E230" s="13"/>
      <c r="F230" s="14">
        <f t="shared" si="3"/>
        <v>0</v>
      </c>
    </row>
    <row r="231" spans="1:6" x14ac:dyDescent="0.25">
      <c r="B231" s="11" t="s">
        <v>313</v>
      </c>
      <c r="C231" s="7" t="s">
        <v>15</v>
      </c>
      <c r="D231" s="12">
        <v>1</v>
      </c>
      <c r="E231" s="13"/>
      <c r="F231" s="14">
        <f t="shared" si="3"/>
        <v>0</v>
      </c>
    </row>
    <row r="232" spans="1:6" x14ac:dyDescent="0.25">
      <c r="B232" s="11" t="s">
        <v>404</v>
      </c>
      <c r="C232" s="7" t="s">
        <v>15</v>
      </c>
      <c r="D232" s="12">
        <v>1</v>
      </c>
      <c r="E232" s="13"/>
      <c r="F232" s="14">
        <f t="shared" si="3"/>
        <v>0</v>
      </c>
    </row>
    <row r="233" spans="1:6" x14ac:dyDescent="0.25">
      <c r="B233" s="11" t="s">
        <v>405</v>
      </c>
      <c r="C233" s="7" t="s">
        <v>15</v>
      </c>
      <c r="D233" s="12">
        <v>1</v>
      </c>
      <c r="E233" s="13"/>
      <c r="F233" s="14">
        <f t="shared" si="3"/>
        <v>0</v>
      </c>
    </row>
    <row r="234" spans="1:6" x14ac:dyDescent="0.25">
      <c r="B234" s="11" t="s">
        <v>406</v>
      </c>
      <c r="C234" s="7" t="s">
        <v>15</v>
      </c>
      <c r="D234" s="12">
        <v>1</v>
      </c>
      <c r="E234" s="13"/>
      <c r="F234" s="14">
        <f t="shared" si="3"/>
        <v>0</v>
      </c>
    </row>
    <row r="235" spans="1:6" x14ac:dyDescent="0.25">
      <c r="B235" s="11" t="s">
        <v>407</v>
      </c>
      <c r="C235" s="7" t="s">
        <v>15</v>
      </c>
      <c r="D235" s="12">
        <v>1</v>
      </c>
      <c r="E235" s="13"/>
      <c r="F235" s="14">
        <f t="shared" si="3"/>
        <v>0</v>
      </c>
    </row>
    <row r="236" spans="1:6" ht="39" customHeight="1" x14ac:dyDescent="0.25">
      <c r="B236" s="8" t="s">
        <v>408</v>
      </c>
      <c r="C236" s="7" t="s">
        <v>15</v>
      </c>
      <c r="D236" s="12">
        <v>1</v>
      </c>
      <c r="E236" s="13"/>
      <c r="F236" s="14">
        <f t="shared" si="3"/>
        <v>0</v>
      </c>
    </row>
    <row r="237" spans="1:6" x14ac:dyDescent="0.25">
      <c r="B237" s="11" t="s">
        <v>409</v>
      </c>
      <c r="C237" s="7" t="s">
        <v>15</v>
      </c>
      <c r="D237" s="12">
        <v>3</v>
      </c>
      <c r="E237" s="13"/>
      <c r="F237" s="14">
        <f t="shared" si="3"/>
        <v>0</v>
      </c>
    </row>
    <row r="238" spans="1:6" x14ac:dyDescent="0.25">
      <c r="B238" s="11" t="s">
        <v>410</v>
      </c>
      <c r="C238" s="7" t="s">
        <v>15</v>
      </c>
      <c r="D238" s="12">
        <v>1</v>
      </c>
      <c r="E238" s="13"/>
      <c r="F238" s="14">
        <f t="shared" si="3"/>
        <v>0</v>
      </c>
    </row>
    <row r="239" spans="1:6" x14ac:dyDescent="0.25">
      <c r="B239" s="11" t="s">
        <v>411</v>
      </c>
      <c r="C239" s="7" t="s">
        <v>15</v>
      </c>
      <c r="D239" s="12">
        <v>3</v>
      </c>
      <c r="E239" s="13"/>
      <c r="F239" s="14">
        <f t="shared" si="3"/>
        <v>0</v>
      </c>
    </row>
    <row r="240" spans="1:6" x14ac:dyDescent="0.25">
      <c r="B240" s="11" t="s">
        <v>412</v>
      </c>
      <c r="C240" s="7" t="s">
        <v>15</v>
      </c>
      <c r="D240" s="12">
        <v>1</v>
      </c>
      <c r="E240" s="13"/>
      <c r="F240" s="14">
        <f t="shared" si="3"/>
        <v>0</v>
      </c>
    </row>
    <row r="241" spans="2:6" x14ac:dyDescent="0.25">
      <c r="B241" s="11" t="s">
        <v>413</v>
      </c>
      <c r="C241" s="7" t="s">
        <v>15</v>
      </c>
      <c r="D241" s="12">
        <v>2</v>
      </c>
      <c r="E241" s="13"/>
      <c r="F241" s="14">
        <f t="shared" si="3"/>
        <v>0</v>
      </c>
    </row>
    <row r="242" spans="2:6" x14ac:dyDescent="0.25">
      <c r="B242" s="11" t="s">
        <v>413</v>
      </c>
      <c r="C242" s="7" t="s">
        <v>15</v>
      </c>
      <c r="D242" s="12">
        <v>1</v>
      </c>
      <c r="E242" s="13"/>
      <c r="F242" s="14">
        <f t="shared" si="3"/>
        <v>0</v>
      </c>
    </row>
    <row r="243" spans="2:6" x14ac:dyDescent="0.25">
      <c r="B243" s="11" t="s">
        <v>414</v>
      </c>
      <c r="C243" s="7" t="s">
        <v>15</v>
      </c>
      <c r="D243" s="12">
        <v>7</v>
      </c>
      <c r="E243" s="13"/>
      <c r="F243" s="14">
        <f t="shared" si="3"/>
        <v>0</v>
      </c>
    </row>
    <row r="244" spans="2:6" x14ac:dyDescent="0.25">
      <c r="B244" s="11" t="s">
        <v>415</v>
      </c>
      <c r="C244" s="7" t="s">
        <v>15</v>
      </c>
      <c r="D244" s="12">
        <v>12</v>
      </c>
      <c r="E244" s="13"/>
      <c r="F244" s="14">
        <f t="shared" si="3"/>
        <v>0</v>
      </c>
    </row>
    <row r="245" spans="2:6" x14ac:dyDescent="0.25">
      <c r="B245" s="11" t="s">
        <v>414</v>
      </c>
      <c r="C245" s="7" t="s">
        <v>15</v>
      </c>
      <c r="D245" s="12">
        <v>9</v>
      </c>
      <c r="E245" s="13"/>
      <c r="F245" s="14">
        <f t="shared" si="3"/>
        <v>0</v>
      </c>
    </row>
    <row r="246" spans="2:6" x14ac:dyDescent="0.25">
      <c r="B246" s="11" t="s">
        <v>416</v>
      </c>
      <c r="C246" s="7" t="s">
        <v>15</v>
      </c>
      <c r="D246" s="12">
        <v>9</v>
      </c>
      <c r="E246" s="13"/>
      <c r="F246" s="14">
        <f t="shared" si="3"/>
        <v>0</v>
      </c>
    </row>
    <row r="247" spans="2:6" x14ac:dyDescent="0.25">
      <c r="B247" s="11" t="s">
        <v>417</v>
      </c>
      <c r="C247" s="7" t="s">
        <v>15</v>
      </c>
      <c r="D247" s="12">
        <v>3</v>
      </c>
      <c r="E247" s="13"/>
      <c r="F247" s="14">
        <f t="shared" si="3"/>
        <v>0</v>
      </c>
    </row>
    <row r="248" spans="2:6" x14ac:dyDescent="0.25">
      <c r="B248" s="11" t="s">
        <v>418</v>
      </c>
      <c r="C248" s="7" t="s">
        <v>15</v>
      </c>
      <c r="D248" s="12">
        <v>3</v>
      </c>
      <c r="E248" s="13"/>
      <c r="F248" s="14">
        <f t="shared" si="3"/>
        <v>0</v>
      </c>
    </row>
    <row r="249" spans="2:6" x14ac:dyDescent="0.25">
      <c r="B249" s="11" t="s">
        <v>419</v>
      </c>
      <c r="C249" s="7" t="s">
        <v>15</v>
      </c>
      <c r="D249" s="12">
        <v>2</v>
      </c>
      <c r="E249" s="13"/>
      <c r="F249" s="14">
        <f t="shared" si="3"/>
        <v>0</v>
      </c>
    </row>
    <row r="250" spans="2:6" x14ac:dyDescent="0.25">
      <c r="B250" s="11" t="s">
        <v>420</v>
      </c>
      <c r="C250" s="7" t="s">
        <v>15</v>
      </c>
      <c r="D250" s="12">
        <v>2</v>
      </c>
      <c r="E250" s="13"/>
      <c r="F250" s="14">
        <f t="shared" si="3"/>
        <v>0</v>
      </c>
    </row>
    <row r="251" spans="2:6" x14ac:dyDescent="0.25">
      <c r="B251" s="11" t="s">
        <v>421</v>
      </c>
      <c r="C251" s="7" t="s">
        <v>15</v>
      </c>
      <c r="D251" s="12">
        <v>2</v>
      </c>
      <c r="E251" s="13"/>
      <c r="F251" s="14">
        <f t="shared" si="3"/>
        <v>0</v>
      </c>
    </row>
    <row r="252" spans="2:6" x14ac:dyDescent="0.25">
      <c r="B252" s="11" t="s">
        <v>422</v>
      </c>
      <c r="C252" s="7" t="s">
        <v>15</v>
      </c>
      <c r="D252" s="12">
        <v>9</v>
      </c>
      <c r="E252" s="13"/>
      <c r="F252" s="14">
        <f t="shared" si="3"/>
        <v>0</v>
      </c>
    </row>
    <row r="253" spans="2:6" x14ac:dyDescent="0.25">
      <c r="B253" s="11" t="s">
        <v>423</v>
      </c>
      <c r="C253" s="7" t="s">
        <v>15</v>
      </c>
      <c r="D253" s="12">
        <v>6</v>
      </c>
      <c r="E253" s="13"/>
      <c r="F253" s="14">
        <f t="shared" si="3"/>
        <v>0</v>
      </c>
    </row>
    <row r="254" spans="2:6" x14ac:dyDescent="0.25">
      <c r="B254" s="11" t="s">
        <v>424</v>
      </c>
      <c r="C254" s="7" t="s">
        <v>15</v>
      </c>
      <c r="D254" s="12">
        <v>2</v>
      </c>
      <c r="E254" s="13"/>
      <c r="F254" s="14">
        <f t="shared" si="3"/>
        <v>0</v>
      </c>
    </row>
    <row r="255" spans="2:6" x14ac:dyDescent="0.25">
      <c r="B255" s="11" t="s">
        <v>425</v>
      </c>
      <c r="C255" s="7" t="s">
        <v>15</v>
      </c>
      <c r="D255" s="12">
        <v>5</v>
      </c>
      <c r="E255" s="13"/>
      <c r="F255" s="14">
        <f t="shared" si="3"/>
        <v>0</v>
      </c>
    </row>
    <row r="256" spans="2:6" x14ac:dyDescent="0.25">
      <c r="B256" s="11" t="s">
        <v>426</v>
      </c>
      <c r="C256" s="7" t="s">
        <v>15</v>
      </c>
      <c r="D256" s="12">
        <v>4</v>
      </c>
      <c r="E256" s="13"/>
      <c r="F256" s="14">
        <f t="shared" si="3"/>
        <v>0</v>
      </c>
    </row>
    <row r="257" spans="1:6" x14ac:dyDescent="0.25">
      <c r="B257" s="11" t="s">
        <v>427</v>
      </c>
      <c r="C257" s="7" t="s">
        <v>15</v>
      </c>
      <c r="D257" s="12">
        <v>12</v>
      </c>
      <c r="E257" s="13"/>
      <c r="F257" s="14">
        <f t="shared" si="3"/>
        <v>0</v>
      </c>
    </row>
    <row r="258" spans="1:6" x14ac:dyDescent="0.25">
      <c r="B258" s="11" t="s">
        <v>428</v>
      </c>
      <c r="C258" s="7" t="s">
        <v>15</v>
      </c>
      <c r="D258" s="12">
        <v>4</v>
      </c>
      <c r="E258" s="13"/>
      <c r="F258" s="14">
        <f t="shared" si="3"/>
        <v>0</v>
      </c>
    </row>
    <row r="259" spans="1:6" x14ac:dyDescent="0.25">
      <c r="B259" s="11" t="s">
        <v>429</v>
      </c>
      <c r="C259" s="7" t="s">
        <v>15</v>
      </c>
      <c r="D259" s="12">
        <v>8</v>
      </c>
      <c r="E259" s="13"/>
      <c r="F259" s="14">
        <f t="shared" si="3"/>
        <v>0</v>
      </c>
    </row>
    <row r="260" spans="1:6" x14ac:dyDescent="0.25">
      <c r="B260" s="11" t="s">
        <v>430</v>
      </c>
      <c r="C260" s="7" t="s">
        <v>15</v>
      </c>
      <c r="D260" s="12">
        <v>8</v>
      </c>
      <c r="E260" s="13"/>
      <c r="F260" s="14">
        <f t="shared" si="3"/>
        <v>0</v>
      </c>
    </row>
    <row r="261" spans="1:6" x14ac:dyDescent="0.25">
      <c r="B261" s="11" t="s">
        <v>431</v>
      </c>
      <c r="C261" s="7" t="s">
        <v>15</v>
      </c>
      <c r="D261" s="12">
        <v>24</v>
      </c>
      <c r="E261" s="13"/>
      <c r="F261" s="14">
        <f t="shared" si="3"/>
        <v>0</v>
      </c>
    </row>
    <row r="262" spans="1:6" x14ac:dyDescent="0.25">
      <c r="B262" s="11" t="s">
        <v>432</v>
      </c>
      <c r="C262" s="7" t="s">
        <v>15</v>
      </c>
      <c r="D262" s="12">
        <v>1</v>
      </c>
      <c r="E262" s="13"/>
      <c r="F262" s="14">
        <f t="shared" si="3"/>
        <v>0</v>
      </c>
    </row>
    <row r="263" spans="1:6" x14ac:dyDescent="0.25">
      <c r="B263" s="11" t="s">
        <v>433</v>
      </c>
      <c r="C263" s="7" t="s">
        <v>15</v>
      </c>
      <c r="D263" s="12">
        <v>1</v>
      </c>
      <c r="E263" s="13"/>
      <c r="F263" s="14">
        <f t="shared" si="3"/>
        <v>0</v>
      </c>
    </row>
    <row r="264" spans="1:6" x14ac:dyDescent="0.25">
      <c r="B264" s="11" t="s">
        <v>434</v>
      </c>
      <c r="C264" s="7" t="s">
        <v>15</v>
      </c>
      <c r="D264" s="12">
        <v>1</v>
      </c>
      <c r="E264" s="13"/>
      <c r="F264" s="14">
        <f t="shared" si="3"/>
        <v>0</v>
      </c>
    </row>
    <row r="265" spans="1:6" x14ac:dyDescent="0.25">
      <c r="B265" s="11" t="s">
        <v>435</v>
      </c>
      <c r="C265" s="7" t="s">
        <v>15</v>
      </c>
      <c r="D265" s="12">
        <v>1</v>
      </c>
      <c r="E265" s="13"/>
      <c r="F265" s="14">
        <f t="shared" si="3"/>
        <v>0</v>
      </c>
    </row>
    <row r="266" spans="1:6" x14ac:dyDescent="0.25">
      <c r="B266" s="11" t="s">
        <v>436</v>
      </c>
      <c r="C266" s="7" t="s">
        <v>15</v>
      </c>
      <c r="D266" s="12">
        <v>1</v>
      </c>
      <c r="E266" s="13"/>
      <c r="F266" s="14">
        <f t="shared" si="3"/>
        <v>0</v>
      </c>
    </row>
    <row r="267" spans="1:6" x14ac:dyDescent="0.25">
      <c r="B267" s="11" t="s">
        <v>437</v>
      </c>
      <c r="C267" s="7" t="s">
        <v>15</v>
      </c>
      <c r="D267" s="12">
        <v>6</v>
      </c>
      <c r="E267" s="13"/>
      <c r="F267" s="14">
        <f t="shared" si="3"/>
        <v>0</v>
      </c>
    </row>
    <row r="268" spans="1:6" x14ac:dyDescent="0.25">
      <c r="B268" s="11" t="s">
        <v>438</v>
      </c>
      <c r="C268" s="7" t="s">
        <v>15</v>
      </c>
      <c r="D268" s="12">
        <v>1</v>
      </c>
      <c r="E268" s="13"/>
      <c r="F268" s="14">
        <f t="shared" si="3"/>
        <v>0</v>
      </c>
    </row>
    <row r="269" spans="1:6" ht="24" x14ac:dyDescent="0.25">
      <c r="B269" s="11" t="s">
        <v>439</v>
      </c>
      <c r="C269" s="7" t="s">
        <v>15</v>
      </c>
      <c r="D269" s="12">
        <v>1</v>
      </c>
      <c r="E269" s="13"/>
      <c r="F269" s="14">
        <f t="shared" si="3"/>
        <v>0</v>
      </c>
    </row>
    <row r="270" spans="1:6" ht="39" customHeight="1" x14ac:dyDescent="0.25">
      <c r="B270" s="8" t="s">
        <v>324</v>
      </c>
      <c r="C270" s="7" t="s">
        <v>19</v>
      </c>
      <c r="D270" s="12">
        <v>1</v>
      </c>
      <c r="E270" s="13">
        <v>8340</v>
      </c>
      <c r="F270" s="14">
        <f t="shared" si="3"/>
        <v>8340</v>
      </c>
    </row>
    <row r="272" spans="1:6" ht="24" x14ac:dyDescent="0.25">
      <c r="A272" s="9" t="s">
        <v>2195</v>
      </c>
      <c r="B272" s="8" t="s">
        <v>440</v>
      </c>
    </row>
    <row r="273" spans="2:6" x14ac:dyDescent="0.25">
      <c r="B273" s="11" t="s">
        <v>441</v>
      </c>
      <c r="C273" s="7" t="s">
        <v>15</v>
      </c>
      <c r="D273" s="12">
        <v>1</v>
      </c>
      <c r="E273" s="13"/>
      <c r="F273" s="14">
        <f t="shared" ref="F273:F287" si="4">ROUND(D273*E273,2)</f>
        <v>0</v>
      </c>
    </row>
    <row r="274" spans="2:6" x14ac:dyDescent="0.25">
      <c r="B274" s="11" t="s">
        <v>313</v>
      </c>
      <c r="C274" s="7" t="s">
        <v>15</v>
      </c>
      <c r="D274" s="12">
        <v>1</v>
      </c>
      <c r="E274" s="13"/>
      <c r="F274" s="14">
        <f t="shared" si="4"/>
        <v>0</v>
      </c>
    </row>
    <row r="275" spans="2:6" x14ac:dyDescent="0.25">
      <c r="B275" s="11" t="s">
        <v>442</v>
      </c>
      <c r="C275" s="7" t="s">
        <v>15</v>
      </c>
      <c r="D275" s="12">
        <v>1</v>
      </c>
      <c r="E275" s="13"/>
      <c r="F275" s="14">
        <f t="shared" si="4"/>
        <v>0</v>
      </c>
    </row>
    <row r="276" spans="2:6" x14ac:dyDescent="0.25">
      <c r="B276" s="11" t="s">
        <v>426</v>
      </c>
      <c r="C276" s="7" t="s">
        <v>15</v>
      </c>
      <c r="D276" s="12">
        <v>1</v>
      </c>
      <c r="E276" s="13"/>
      <c r="F276" s="14">
        <f t="shared" si="4"/>
        <v>0</v>
      </c>
    </row>
    <row r="277" spans="2:6" x14ac:dyDescent="0.25">
      <c r="B277" s="11" t="s">
        <v>443</v>
      </c>
      <c r="C277" s="7" t="s">
        <v>15</v>
      </c>
      <c r="D277" s="12">
        <v>3</v>
      </c>
      <c r="E277" s="13"/>
      <c r="F277" s="14">
        <f t="shared" si="4"/>
        <v>0</v>
      </c>
    </row>
    <row r="278" spans="2:6" x14ac:dyDescent="0.25">
      <c r="B278" s="11" t="s">
        <v>444</v>
      </c>
      <c r="C278" s="7" t="s">
        <v>15</v>
      </c>
      <c r="D278" s="12">
        <v>1</v>
      </c>
      <c r="E278" s="13"/>
      <c r="F278" s="14">
        <f t="shared" si="4"/>
        <v>0</v>
      </c>
    </row>
    <row r="279" spans="2:6" x14ac:dyDescent="0.25">
      <c r="B279" s="11" t="s">
        <v>445</v>
      </c>
      <c r="C279" s="7" t="s">
        <v>15</v>
      </c>
      <c r="D279" s="12">
        <v>3</v>
      </c>
      <c r="E279" s="13"/>
      <c r="F279" s="14">
        <f t="shared" si="4"/>
        <v>0</v>
      </c>
    </row>
    <row r="280" spans="2:6" x14ac:dyDescent="0.25">
      <c r="B280" s="11" t="s">
        <v>446</v>
      </c>
      <c r="C280" s="7" t="s">
        <v>15</v>
      </c>
      <c r="D280" s="12">
        <v>1</v>
      </c>
      <c r="E280" s="13"/>
      <c r="F280" s="14">
        <f t="shared" si="4"/>
        <v>0</v>
      </c>
    </row>
    <row r="281" spans="2:6" x14ac:dyDescent="0.25">
      <c r="B281" s="11" t="s">
        <v>428</v>
      </c>
      <c r="C281" s="7" t="s">
        <v>15</v>
      </c>
      <c r="D281" s="12">
        <v>1</v>
      </c>
      <c r="E281" s="13"/>
      <c r="F281" s="14">
        <f t="shared" si="4"/>
        <v>0</v>
      </c>
    </row>
    <row r="282" spans="2:6" x14ac:dyDescent="0.25">
      <c r="B282" s="11" t="s">
        <v>447</v>
      </c>
      <c r="C282" s="7" t="s">
        <v>15</v>
      </c>
      <c r="D282" s="12">
        <v>1</v>
      </c>
      <c r="E282" s="13"/>
      <c r="F282" s="14">
        <f t="shared" si="4"/>
        <v>0</v>
      </c>
    </row>
    <row r="283" spans="2:6" x14ac:dyDescent="0.25">
      <c r="B283" s="11" t="s">
        <v>430</v>
      </c>
      <c r="C283" s="7" t="s">
        <v>15</v>
      </c>
      <c r="D283" s="12">
        <v>3</v>
      </c>
      <c r="E283" s="13"/>
      <c r="F283" s="14">
        <f t="shared" si="4"/>
        <v>0</v>
      </c>
    </row>
    <row r="284" spans="2:6" x14ac:dyDescent="0.25">
      <c r="B284" s="11" t="s">
        <v>431</v>
      </c>
      <c r="C284" s="7" t="s">
        <v>15</v>
      </c>
      <c r="D284" s="12">
        <v>7</v>
      </c>
      <c r="E284" s="13"/>
      <c r="F284" s="14">
        <f t="shared" si="4"/>
        <v>0</v>
      </c>
    </row>
    <row r="285" spans="2:6" x14ac:dyDescent="0.25">
      <c r="B285" s="11" t="s">
        <v>448</v>
      </c>
      <c r="C285" s="7" t="s">
        <v>15</v>
      </c>
      <c r="D285" s="12">
        <v>1</v>
      </c>
      <c r="E285" s="13"/>
      <c r="F285" s="14">
        <f t="shared" si="4"/>
        <v>0</v>
      </c>
    </row>
    <row r="286" spans="2:6" ht="16.5" customHeight="1" x14ac:dyDescent="0.25">
      <c r="B286" s="8" t="s">
        <v>449</v>
      </c>
      <c r="C286" s="7" t="s">
        <v>15</v>
      </c>
      <c r="D286" s="12">
        <v>1</v>
      </c>
      <c r="E286" s="13"/>
      <c r="F286" s="14">
        <f t="shared" si="4"/>
        <v>0</v>
      </c>
    </row>
    <row r="287" spans="2:6" ht="42" customHeight="1" x14ac:dyDescent="0.25">
      <c r="B287" s="8" t="s">
        <v>324</v>
      </c>
      <c r="C287" s="7" t="s">
        <v>19</v>
      </c>
      <c r="D287" s="12">
        <v>1</v>
      </c>
      <c r="E287" s="13">
        <v>1290</v>
      </c>
      <c r="F287" s="14">
        <f t="shared" si="4"/>
        <v>1290</v>
      </c>
    </row>
    <row r="289" spans="1:6" ht="24" x14ac:dyDescent="0.25">
      <c r="A289" s="9" t="s">
        <v>2196</v>
      </c>
      <c r="B289" s="8" t="s">
        <v>450</v>
      </c>
    </row>
    <row r="290" spans="1:6" x14ac:dyDescent="0.25">
      <c r="B290" s="11" t="s">
        <v>451</v>
      </c>
      <c r="C290" s="7" t="s">
        <v>15</v>
      </c>
      <c r="D290" s="12">
        <v>1</v>
      </c>
      <c r="E290" s="13"/>
      <c r="F290" s="14">
        <f t="shared" ref="F290:F306" si="5">ROUND(D290*E290,2)</f>
        <v>0</v>
      </c>
    </row>
    <row r="291" spans="1:6" x14ac:dyDescent="0.25">
      <c r="B291" s="11" t="s">
        <v>313</v>
      </c>
      <c r="C291" s="7" t="s">
        <v>15</v>
      </c>
      <c r="D291" s="12">
        <v>1</v>
      </c>
      <c r="E291" s="13"/>
      <c r="F291" s="14">
        <f t="shared" si="5"/>
        <v>0</v>
      </c>
    </row>
    <row r="292" spans="1:6" x14ac:dyDescent="0.25">
      <c r="B292" s="11" t="s">
        <v>442</v>
      </c>
      <c r="C292" s="7" t="s">
        <v>15</v>
      </c>
      <c r="D292" s="12">
        <v>1</v>
      </c>
      <c r="E292" s="13"/>
      <c r="F292" s="14">
        <f t="shared" si="5"/>
        <v>0</v>
      </c>
    </row>
    <row r="293" spans="1:6" x14ac:dyDescent="0.25">
      <c r="B293" s="11" t="s">
        <v>426</v>
      </c>
      <c r="C293" s="7" t="s">
        <v>15</v>
      </c>
      <c r="D293" s="12">
        <v>1</v>
      </c>
      <c r="E293" s="13"/>
      <c r="F293" s="14">
        <f t="shared" si="5"/>
        <v>0</v>
      </c>
    </row>
    <row r="294" spans="1:6" x14ac:dyDescent="0.25">
      <c r="B294" s="11" t="s">
        <v>443</v>
      </c>
      <c r="C294" s="7" t="s">
        <v>15</v>
      </c>
      <c r="D294" s="12">
        <v>3</v>
      </c>
      <c r="E294" s="13"/>
      <c r="F294" s="14">
        <f t="shared" si="5"/>
        <v>0</v>
      </c>
    </row>
    <row r="295" spans="1:6" x14ac:dyDescent="0.25">
      <c r="B295" s="11" t="s">
        <v>444</v>
      </c>
      <c r="C295" s="7" t="s">
        <v>15</v>
      </c>
      <c r="D295" s="12">
        <v>2</v>
      </c>
      <c r="E295" s="13"/>
      <c r="F295" s="14">
        <f t="shared" si="5"/>
        <v>0</v>
      </c>
    </row>
    <row r="296" spans="1:6" x14ac:dyDescent="0.25">
      <c r="B296" s="11" t="s">
        <v>445</v>
      </c>
      <c r="C296" s="7" t="s">
        <v>15</v>
      </c>
      <c r="D296" s="12">
        <v>6</v>
      </c>
      <c r="E296" s="13"/>
      <c r="F296" s="14">
        <f t="shared" si="5"/>
        <v>0</v>
      </c>
    </row>
    <row r="297" spans="1:6" x14ac:dyDescent="0.25">
      <c r="B297" s="11" t="s">
        <v>446</v>
      </c>
      <c r="C297" s="7" t="s">
        <v>15</v>
      </c>
      <c r="D297" s="12">
        <v>1</v>
      </c>
      <c r="E297" s="13"/>
      <c r="F297" s="14">
        <f t="shared" si="5"/>
        <v>0</v>
      </c>
    </row>
    <row r="298" spans="1:6" x14ac:dyDescent="0.25">
      <c r="B298" s="11" t="s">
        <v>428</v>
      </c>
      <c r="C298" s="7" t="s">
        <v>15</v>
      </c>
      <c r="D298" s="12">
        <v>2</v>
      </c>
      <c r="E298" s="13"/>
      <c r="F298" s="14">
        <f t="shared" si="5"/>
        <v>0</v>
      </c>
    </row>
    <row r="299" spans="1:6" x14ac:dyDescent="0.25">
      <c r="B299" s="11" t="s">
        <v>425</v>
      </c>
      <c r="C299" s="7" t="s">
        <v>15</v>
      </c>
      <c r="D299" s="12">
        <v>1</v>
      </c>
      <c r="E299" s="13"/>
      <c r="F299" s="14">
        <f t="shared" si="5"/>
        <v>0</v>
      </c>
    </row>
    <row r="300" spans="1:6" x14ac:dyDescent="0.25">
      <c r="B300" s="11" t="s">
        <v>429</v>
      </c>
      <c r="C300" s="7" t="s">
        <v>15</v>
      </c>
      <c r="D300" s="12">
        <v>2</v>
      </c>
      <c r="E300" s="13"/>
      <c r="F300" s="14">
        <f t="shared" si="5"/>
        <v>0</v>
      </c>
    </row>
    <row r="301" spans="1:6" x14ac:dyDescent="0.25">
      <c r="B301" s="11" t="s">
        <v>430</v>
      </c>
      <c r="C301" s="7" t="s">
        <v>15</v>
      </c>
      <c r="D301" s="12">
        <v>3</v>
      </c>
      <c r="E301" s="13"/>
      <c r="F301" s="14">
        <f t="shared" si="5"/>
        <v>0</v>
      </c>
    </row>
    <row r="302" spans="1:6" x14ac:dyDescent="0.25">
      <c r="B302" s="11" t="s">
        <v>431</v>
      </c>
      <c r="C302" s="7" t="s">
        <v>15</v>
      </c>
      <c r="D302" s="12">
        <v>9</v>
      </c>
      <c r="E302" s="13"/>
      <c r="F302" s="14">
        <f t="shared" si="5"/>
        <v>0</v>
      </c>
    </row>
    <row r="303" spans="1:6" x14ac:dyDescent="0.25">
      <c r="B303" s="11" t="s">
        <v>433</v>
      </c>
      <c r="C303" s="7" t="s">
        <v>15</v>
      </c>
      <c r="D303" s="12">
        <v>1</v>
      </c>
      <c r="E303" s="13"/>
      <c r="F303" s="14">
        <f t="shared" si="5"/>
        <v>0</v>
      </c>
    </row>
    <row r="304" spans="1:6" x14ac:dyDescent="0.25">
      <c r="B304" s="11" t="s">
        <v>452</v>
      </c>
      <c r="C304" s="7" t="s">
        <v>15</v>
      </c>
      <c r="D304" s="12">
        <v>1</v>
      </c>
      <c r="E304" s="13"/>
      <c r="F304" s="14">
        <f t="shared" si="5"/>
        <v>0</v>
      </c>
    </row>
    <row r="305" spans="1:6" ht="10.5" customHeight="1" x14ac:dyDescent="0.25">
      <c r="B305" s="8" t="s">
        <v>453</v>
      </c>
      <c r="C305" s="7" t="s">
        <v>15</v>
      </c>
      <c r="D305" s="12">
        <v>1</v>
      </c>
      <c r="E305" s="13"/>
      <c r="F305" s="14">
        <f t="shared" si="5"/>
        <v>0</v>
      </c>
    </row>
    <row r="306" spans="1:6" ht="39" customHeight="1" x14ac:dyDescent="0.25">
      <c r="B306" s="8" t="s">
        <v>324</v>
      </c>
      <c r="C306" s="7" t="s">
        <v>19</v>
      </c>
      <c r="D306" s="12">
        <v>1</v>
      </c>
      <c r="E306" s="13">
        <v>1194</v>
      </c>
      <c r="F306" s="14">
        <f t="shared" si="5"/>
        <v>1194</v>
      </c>
    </row>
    <row r="308" spans="1:6" ht="24" x14ac:dyDescent="0.25">
      <c r="A308" s="9" t="s">
        <v>2197</v>
      </c>
      <c r="B308" s="8" t="s">
        <v>454</v>
      </c>
    </row>
    <row r="309" spans="1:6" x14ac:dyDescent="0.25">
      <c r="B309" s="11" t="s">
        <v>455</v>
      </c>
      <c r="C309" s="7" t="s">
        <v>15</v>
      </c>
      <c r="D309" s="12">
        <v>1</v>
      </c>
      <c r="E309" s="13"/>
      <c r="F309" s="14">
        <f t="shared" ref="F309:F333" si="6">ROUND(D309*E309,2)</f>
        <v>0</v>
      </c>
    </row>
    <row r="310" spans="1:6" x14ac:dyDescent="0.25">
      <c r="B310" s="11" t="s">
        <v>456</v>
      </c>
      <c r="C310" s="7" t="s">
        <v>15</v>
      </c>
      <c r="D310" s="12">
        <v>1</v>
      </c>
      <c r="E310" s="13"/>
      <c r="F310" s="14">
        <f t="shared" si="6"/>
        <v>0</v>
      </c>
    </row>
    <row r="311" spans="1:6" x14ac:dyDescent="0.25">
      <c r="B311" s="11" t="s">
        <v>313</v>
      </c>
      <c r="C311" s="7" t="s">
        <v>15</v>
      </c>
      <c r="D311" s="12">
        <v>1</v>
      </c>
      <c r="E311" s="13"/>
      <c r="F311" s="14">
        <f t="shared" si="6"/>
        <v>0</v>
      </c>
    </row>
    <row r="312" spans="1:6" x14ac:dyDescent="0.25">
      <c r="B312" s="11" t="s">
        <v>457</v>
      </c>
      <c r="C312" s="7" t="s">
        <v>15</v>
      </c>
      <c r="D312" s="12">
        <v>1</v>
      </c>
      <c r="E312" s="13"/>
      <c r="F312" s="14">
        <f t="shared" si="6"/>
        <v>0</v>
      </c>
    </row>
    <row r="313" spans="1:6" x14ac:dyDescent="0.25">
      <c r="B313" s="11" t="s">
        <v>405</v>
      </c>
      <c r="C313" s="7" t="s">
        <v>15</v>
      </c>
      <c r="D313" s="12">
        <v>1</v>
      </c>
      <c r="E313" s="13"/>
      <c r="F313" s="14">
        <f t="shared" si="6"/>
        <v>0</v>
      </c>
    </row>
    <row r="314" spans="1:6" x14ac:dyDescent="0.25">
      <c r="B314" s="11" t="s">
        <v>406</v>
      </c>
      <c r="C314" s="7" t="s">
        <v>15</v>
      </c>
      <c r="D314" s="12">
        <v>1</v>
      </c>
      <c r="E314" s="13"/>
      <c r="F314" s="14">
        <f t="shared" si="6"/>
        <v>0</v>
      </c>
    </row>
    <row r="315" spans="1:6" x14ac:dyDescent="0.25">
      <c r="B315" s="11" t="s">
        <v>407</v>
      </c>
      <c r="C315" s="7" t="s">
        <v>15</v>
      </c>
      <c r="D315" s="12">
        <v>1</v>
      </c>
      <c r="E315" s="13"/>
      <c r="F315" s="14">
        <f t="shared" si="6"/>
        <v>0</v>
      </c>
    </row>
    <row r="316" spans="1:6" x14ac:dyDescent="0.25">
      <c r="B316" s="11" t="s">
        <v>410</v>
      </c>
      <c r="C316" s="7" t="s">
        <v>15</v>
      </c>
      <c r="D316" s="12">
        <v>1</v>
      </c>
      <c r="E316" s="13"/>
      <c r="F316" s="14">
        <f t="shared" si="6"/>
        <v>0</v>
      </c>
    </row>
    <row r="317" spans="1:6" x14ac:dyDescent="0.25">
      <c r="B317" s="11" t="s">
        <v>458</v>
      </c>
      <c r="C317" s="7" t="s">
        <v>15</v>
      </c>
      <c r="D317" s="12">
        <v>3</v>
      </c>
      <c r="E317" s="13"/>
      <c r="F317" s="14">
        <f t="shared" si="6"/>
        <v>0</v>
      </c>
    </row>
    <row r="318" spans="1:6" x14ac:dyDescent="0.25">
      <c r="B318" s="11" t="s">
        <v>426</v>
      </c>
      <c r="C318" s="7" t="s">
        <v>15</v>
      </c>
      <c r="D318" s="12">
        <v>2</v>
      </c>
      <c r="E318" s="13"/>
      <c r="F318" s="14">
        <f t="shared" si="6"/>
        <v>0</v>
      </c>
    </row>
    <row r="319" spans="1:6" x14ac:dyDescent="0.25">
      <c r="B319" s="11" t="s">
        <v>427</v>
      </c>
      <c r="C319" s="7" t="s">
        <v>15</v>
      </c>
      <c r="D319" s="12">
        <v>6</v>
      </c>
      <c r="E319" s="13"/>
      <c r="F319" s="14">
        <f t="shared" si="6"/>
        <v>0</v>
      </c>
    </row>
    <row r="320" spans="1:6" x14ac:dyDescent="0.25">
      <c r="B320" s="11" t="s">
        <v>446</v>
      </c>
      <c r="C320" s="7" t="s">
        <v>15</v>
      </c>
      <c r="D320" s="12">
        <v>1</v>
      </c>
      <c r="E320" s="13"/>
      <c r="F320" s="14">
        <f t="shared" si="6"/>
        <v>0</v>
      </c>
    </row>
    <row r="321" spans="1:6" x14ac:dyDescent="0.25">
      <c r="B321" s="11" t="s">
        <v>428</v>
      </c>
      <c r="C321" s="7" t="s">
        <v>15</v>
      </c>
      <c r="D321" s="12">
        <v>2</v>
      </c>
      <c r="E321" s="13"/>
      <c r="F321" s="14">
        <f t="shared" si="6"/>
        <v>0</v>
      </c>
    </row>
    <row r="322" spans="1:6" x14ac:dyDescent="0.25">
      <c r="B322" s="11" t="s">
        <v>425</v>
      </c>
      <c r="C322" s="7" t="s">
        <v>15</v>
      </c>
      <c r="D322" s="12">
        <v>5</v>
      </c>
      <c r="E322" s="13"/>
      <c r="F322" s="14">
        <f t="shared" si="6"/>
        <v>0</v>
      </c>
    </row>
    <row r="323" spans="1:6" x14ac:dyDescent="0.25">
      <c r="B323" s="11" t="s">
        <v>425</v>
      </c>
      <c r="C323" s="7" t="s">
        <v>15</v>
      </c>
      <c r="D323" s="12">
        <v>5</v>
      </c>
      <c r="E323" s="13"/>
      <c r="F323" s="14">
        <f t="shared" si="6"/>
        <v>0</v>
      </c>
    </row>
    <row r="324" spans="1:6" x14ac:dyDescent="0.25">
      <c r="B324" s="11" t="s">
        <v>429</v>
      </c>
      <c r="C324" s="7" t="s">
        <v>15</v>
      </c>
      <c r="D324" s="12">
        <v>12</v>
      </c>
      <c r="E324" s="13"/>
      <c r="F324" s="14">
        <f t="shared" si="6"/>
        <v>0</v>
      </c>
    </row>
    <row r="325" spans="1:6" x14ac:dyDescent="0.25">
      <c r="B325" s="11" t="s">
        <v>430</v>
      </c>
      <c r="C325" s="7" t="s">
        <v>15</v>
      </c>
      <c r="D325" s="12">
        <v>4</v>
      </c>
      <c r="E325" s="13"/>
      <c r="F325" s="14">
        <f t="shared" si="6"/>
        <v>0</v>
      </c>
    </row>
    <row r="326" spans="1:6" x14ac:dyDescent="0.25">
      <c r="B326" s="11" t="s">
        <v>431</v>
      </c>
      <c r="C326" s="7" t="s">
        <v>15</v>
      </c>
      <c r="D326" s="12">
        <v>5</v>
      </c>
      <c r="E326" s="13"/>
      <c r="F326" s="14">
        <f t="shared" si="6"/>
        <v>0</v>
      </c>
    </row>
    <row r="327" spans="1:6" x14ac:dyDescent="0.25">
      <c r="B327" s="11" t="s">
        <v>433</v>
      </c>
      <c r="C327" s="7" t="s">
        <v>15</v>
      </c>
      <c r="D327" s="12">
        <v>3</v>
      </c>
      <c r="E327" s="13"/>
      <c r="F327" s="14">
        <f t="shared" si="6"/>
        <v>0</v>
      </c>
    </row>
    <row r="328" spans="1:6" x14ac:dyDescent="0.25">
      <c r="B328" s="11" t="s">
        <v>459</v>
      </c>
      <c r="C328" s="7" t="s">
        <v>15</v>
      </c>
      <c r="D328" s="12">
        <v>3</v>
      </c>
      <c r="E328" s="13"/>
      <c r="F328" s="14">
        <f t="shared" si="6"/>
        <v>0</v>
      </c>
    </row>
    <row r="329" spans="1:6" x14ac:dyDescent="0.25">
      <c r="B329" s="11" t="s">
        <v>460</v>
      </c>
      <c r="C329" s="7" t="s">
        <v>15</v>
      </c>
      <c r="D329" s="12">
        <v>2</v>
      </c>
      <c r="E329" s="13"/>
      <c r="F329" s="14">
        <f t="shared" si="6"/>
        <v>0</v>
      </c>
    </row>
    <row r="330" spans="1:6" x14ac:dyDescent="0.25">
      <c r="B330" s="11" t="s">
        <v>461</v>
      </c>
      <c r="C330" s="7" t="s">
        <v>15</v>
      </c>
      <c r="D330" s="12">
        <v>2</v>
      </c>
      <c r="E330" s="13"/>
      <c r="F330" s="14">
        <f t="shared" si="6"/>
        <v>0</v>
      </c>
    </row>
    <row r="331" spans="1:6" x14ac:dyDescent="0.25">
      <c r="B331" s="11" t="s">
        <v>462</v>
      </c>
      <c r="C331" s="7" t="s">
        <v>15</v>
      </c>
      <c r="D331" s="12">
        <v>1</v>
      </c>
      <c r="E331" s="13"/>
      <c r="F331" s="14">
        <f t="shared" si="6"/>
        <v>0</v>
      </c>
    </row>
    <row r="332" spans="1:6" ht="16.5" customHeight="1" x14ac:dyDescent="0.25">
      <c r="B332" s="8" t="s">
        <v>463</v>
      </c>
      <c r="C332" s="7" t="s">
        <v>15</v>
      </c>
      <c r="D332" s="12">
        <v>1</v>
      </c>
      <c r="E332" s="13"/>
      <c r="F332" s="14">
        <f t="shared" si="6"/>
        <v>0</v>
      </c>
    </row>
    <row r="333" spans="1:6" ht="37.5" customHeight="1" x14ac:dyDescent="0.25">
      <c r="B333" s="8" t="s">
        <v>2083</v>
      </c>
      <c r="C333" s="7" t="s">
        <v>19</v>
      </c>
      <c r="D333" s="12">
        <v>1</v>
      </c>
      <c r="E333" s="13">
        <v>3260</v>
      </c>
      <c r="F333" s="14">
        <f t="shared" si="6"/>
        <v>3260</v>
      </c>
    </row>
    <row r="335" spans="1:6" ht="24" x14ac:dyDescent="0.25">
      <c r="A335" s="9" t="s">
        <v>2198</v>
      </c>
      <c r="B335" s="8" t="s">
        <v>464</v>
      </c>
    </row>
    <row r="336" spans="1:6" x14ac:dyDescent="0.25">
      <c r="B336" s="11" t="s">
        <v>451</v>
      </c>
      <c r="C336" s="7" t="s">
        <v>15</v>
      </c>
      <c r="D336" s="12">
        <v>1</v>
      </c>
      <c r="E336" s="13"/>
      <c r="F336" s="14">
        <f t="shared" ref="F336:F353" si="7">ROUND(D336*E336,2)</f>
        <v>0</v>
      </c>
    </row>
    <row r="337" spans="2:6" x14ac:dyDescent="0.25">
      <c r="B337" s="11" t="s">
        <v>313</v>
      </c>
      <c r="C337" s="7" t="s">
        <v>15</v>
      </c>
      <c r="D337" s="12">
        <v>1</v>
      </c>
      <c r="E337" s="13"/>
      <c r="F337" s="14">
        <f t="shared" si="7"/>
        <v>0</v>
      </c>
    </row>
    <row r="338" spans="2:6" x14ac:dyDescent="0.25">
      <c r="B338" s="11" t="s">
        <v>442</v>
      </c>
      <c r="C338" s="7" t="s">
        <v>15</v>
      </c>
      <c r="D338" s="12">
        <v>1</v>
      </c>
      <c r="E338" s="13"/>
      <c r="F338" s="14">
        <f t="shared" si="7"/>
        <v>0</v>
      </c>
    </row>
    <row r="339" spans="2:6" x14ac:dyDescent="0.25">
      <c r="B339" s="11" t="s">
        <v>426</v>
      </c>
      <c r="C339" s="7" t="s">
        <v>15</v>
      </c>
      <c r="D339" s="12">
        <v>1</v>
      </c>
      <c r="E339" s="13"/>
      <c r="F339" s="14">
        <f t="shared" si="7"/>
        <v>0</v>
      </c>
    </row>
    <row r="340" spans="2:6" x14ac:dyDescent="0.25">
      <c r="B340" s="11" t="s">
        <v>443</v>
      </c>
      <c r="C340" s="7" t="s">
        <v>15</v>
      </c>
      <c r="D340" s="12">
        <v>3</v>
      </c>
      <c r="E340" s="13"/>
      <c r="F340" s="14">
        <f t="shared" si="7"/>
        <v>0</v>
      </c>
    </row>
    <row r="341" spans="2:6" x14ac:dyDescent="0.25">
      <c r="B341" s="11" t="s">
        <v>444</v>
      </c>
      <c r="C341" s="7" t="s">
        <v>15</v>
      </c>
      <c r="D341" s="12">
        <v>1</v>
      </c>
      <c r="E341" s="13"/>
      <c r="F341" s="14">
        <f t="shared" si="7"/>
        <v>0</v>
      </c>
    </row>
    <row r="342" spans="2:6" x14ac:dyDescent="0.25">
      <c r="B342" s="11" t="s">
        <v>445</v>
      </c>
      <c r="C342" s="7" t="s">
        <v>15</v>
      </c>
      <c r="D342" s="12">
        <v>3</v>
      </c>
      <c r="E342" s="13"/>
      <c r="F342" s="14">
        <f t="shared" si="7"/>
        <v>0</v>
      </c>
    </row>
    <row r="343" spans="2:6" x14ac:dyDescent="0.25">
      <c r="B343" s="11" t="s">
        <v>446</v>
      </c>
      <c r="C343" s="7" t="s">
        <v>15</v>
      </c>
      <c r="D343" s="12">
        <v>1</v>
      </c>
      <c r="E343" s="13"/>
      <c r="F343" s="14">
        <f t="shared" si="7"/>
        <v>0</v>
      </c>
    </row>
    <row r="344" spans="2:6" x14ac:dyDescent="0.25">
      <c r="B344" s="11" t="s">
        <v>428</v>
      </c>
      <c r="C344" s="7" t="s">
        <v>15</v>
      </c>
      <c r="D344" s="12">
        <v>1</v>
      </c>
      <c r="E344" s="13"/>
      <c r="F344" s="14">
        <f t="shared" si="7"/>
        <v>0</v>
      </c>
    </row>
    <row r="345" spans="2:6" x14ac:dyDescent="0.25">
      <c r="B345" s="11" t="s">
        <v>465</v>
      </c>
      <c r="C345" s="7" t="s">
        <v>15</v>
      </c>
      <c r="D345" s="12">
        <v>1</v>
      </c>
      <c r="E345" s="13"/>
      <c r="F345" s="14">
        <f t="shared" si="7"/>
        <v>0</v>
      </c>
    </row>
    <row r="346" spans="2:6" x14ac:dyDescent="0.25">
      <c r="B346" s="11" t="s">
        <v>429</v>
      </c>
      <c r="C346" s="7" t="s">
        <v>15</v>
      </c>
      <c r="D346" s="12">
        <v>1</v>
      </c>
      <c r="E346" s="13"/>
      <c r="F346" s="14">
        <f t="shared" si="7"/>
        <v>0</v>
      </c>
    </row>
    <row r="347" spans="2:6" x14ac:dyDescent="0.25">
      <c r="B347" s="11" t="s">
        <v>430</v>
      </c>
      <c r="C347" s="7" t="s">
        <v>15</v>
      </c>
      <c r="D347" s="12">
        <v>3</v>
      </c>
      <c r="E347" s="13"/>
      <c r="F347" s="14">
        <f t="shared" si="7"/>
        <v>0</v>
      </c>
    </row>
    <row r="348" spans="2:6" x14ac:dyDescent="0.25">
      <c r="B348" s="11" t="s">
        <v>431</v>
      </c>
      <c r="C348" s="7" t="s">
        <v>15</v>
      </c>
      <c r="D348" s="12">
        <v>5</v>
      </c>
      <c r="E348" s="13"/>
      <c r="F348" s="14">
        <f t="shared" si="7"/>
        <v>0</v>
      </c>
    </row>
    <row r="349" spans="2:6" x14ac:dyDescent="0.25">
      <c r="B349" s="11" t="s">
        <v>433</v>
      </c>
      <c r="C349" s="7" t="s">
        <v>15</v>
      </c>
      <c r="D349" s="12">
        <v>1</v>
      </c>
      <c r="E349" s="13"/>
      <c r="F349" s="14">
        <f t="shared" si="7"/>
        <v>0</v>
      </c>
    </row>
    <row r="350" spans="2:6" x14ac:dyDescent="0.25">
      <c r="B350" s="11" t="s">
        <v>459</v>
      </c>
      <c r="C350" s="7" t="s">
        <v>15</v>
      </c>
      <c r="D350" s="12">
        <v>1</v>
      </c>
      <c r="E350" s="13"/>
      <c r="F350" s="14">
        <f t="shared" si="7"/>
        <v>0</v>
      </c>
    </row>
    <row r="351" spans="2:6" x14ac:dyDescent="0.25">
      <c r="B351" s="11" t="s">
        <v>466</v>
      </c>
      <c r="C351" s="7" t="s">
        <v>15</v>
      </c>
      <c r="D351" s="12">
        <v>1</v>
      </c>
      <c r="E351" s="13"/>
      <c r="F351" s="14">
        <f t="shared" si="7"/>
        <v>0</v>
      </c>
    </row>
    <row r="352" spans="2:6" ht="15" customHeight="1" x14ac:dyDescent="0.25">
      <c r="B352" s="8" t="s">
        <v>467</v>
      </c>
      <c r="C352" s="7" t="s">
        <v>15</v>
      </c>
      <c r="D352" s="12">
        <v>1</v>
      </c>
      <c r="E352" s="13"/>
      <c r="F352" s="14">
        <f t="shared" si="7"/>
        <v>0</v>
      </c>
    </row>
    <row r="353" spans="1:6" ht="39" customHeight="1" x14ac:dyDescent="0.25">
      <c r="B353" s="8" t="s">
        <v>324</v>
      </c>
      <c r="C353" s="7" t="s">
        <v>19</v>
      </c>
      <c r="D353" s="12">
        <v>1</v>
      </c>
      <c r="E353" s="13">
        <v>1041</v>
      </c>
      <c r="F353" s="14">
        <f t="shared" si="7"/>
        <v>1041</v>
      </c>
    </row>
    <row r="355" spans="1:6" ht="24" x14ac:dyDescent="0.25">
      <c r="A355" s="9" t="s">
        <v>2199</v>
      </c>
      <c r="B355" s="8" t="s">
        <v>468</v>
      </c>
    </row>
    <row r="356" spans="1:6" x14ac:dyDescent="0.25">
      <c r="B356" s="11" t="s">
        <v>469</v>
      </c>
      <c r="C356" s="7" t="s">
        <v>15</v>
      </c>
      <c r="D356" s="12">
        <v>1</v>
      </c>
      <c r="E356" s="13"/>
      <c r="F356" s="14">
        <f t="shared" ref="F356:F380" si="8">ROUND(D356*E356,2)</f>
        <v>0</v>
      </c>
    </row>
    <row r="357" spans="1:6" x14ac:dyDescent="0.25">
      <c r="B357" s="11" t="s">
        <v>456</v>
      </c>
      <c r="C357" s="7" t="s">
        <v>15</v>
      </c>
      <c r="D357" s="12">
        <v>1</v>
      </c>
      <c r="E357" s="13"/>
      <c r="F357" s="14">
        <f t="shared" si="8"/>
        <v>0</v>
      </c>
    </row>
    <row r="358" spans="1:6" x14ac:dyDescent="0.25">
      <c r="B358" s="11" t="s">
        <v>313</v>
      </c>
      <c r="C358" s="7" t="s">
        <v>15</v>
      </c>
      <c r="D358" s="12">
        <v>1</v>
      </c>
      <c r="E358" s="13"/>
      <c r="F358" s="14">
        <f t="shared" si="8"/>
        <v>0</v>
      </c>
    </row>
    <row r="359" spans="1:6" x14ac:dyDescent="0.25">
      <c r="B359" s="11" t="s">
        <v>470</v>
      </c>
      <c r="C359" s="7" t="s">
        <v>15</v>
      </c>
      <c r="D359" s="12">
        <v>1</v>
      </c>
      <c r="E359" s="13"/>
      <c r="F359" s="14">
        <f t="shared" si="8"/>
        <v>0</v>
      </c>
    </row>
    <row r="360" spans="1:6" x14ac:dyDescent="0.25">
      <c r="B360" s="11" t="s">
        <v>410</v>
      </c>
      <c r="C360" s="7" t="s">
        <v>15</v>
      </c>
      <c r="D360" s="12">
        <v>1</v>
      </c>
      <c r="E360" s="13"/>
      <c r="F360" s="14">
        <f t="shared" si="8"/>
        <v>0</v>
      </c>
    </row>
    <row r="361" spans="1:6" x14ac:dyDescent="0.25">
      <c r="B361" s="11" t="s">
        <v>471</v>
      </c>
      <c r="C361" s="7" t="s">
        <v>15</v>
      </c>
      <c r="D361" s="12">
        <v>3</v>
      </c>
      <c r="E361" s="13"/>
      <c r="F361" s="14">
        <f t="shared" si="8"/>
        <v>0</v>
      </c>
    </row>
    <row r="362" spans="1:6" x14ac:dyDescent="0.25">
      <c r="B362" s="11" t="s">
        <v>426</v>
      </c>
      <c r="C362" s="7" t="s">
        <v>15</v>
      </c>
      <c r="D362" s="12">
        <v>3</v>
      </c>
      <c r="E362" s="13"/>
      <c r="F362" s="14">
        <f t="shared" si="8"/>
        <v>0</v>
      </c>
    </row>
    <row r="363" spans="1:6" x14ac:dyDescent="0.25">
      <c r="B363" s="11" t="s">
        <v>427</v>
      </c>
      <c r="C363" s="7" t="s">
        <v>15</v>
      </c>
      <c r="D363" s="12">
        <v>3</v>
      </c>
      <c r="E363" s="13"/>
      <c r="F363" s="14">
        <f t="shared" si="8"/>
        <v>0</v>
      </c>
    </row>
    <row r="364" spans="1:6" x14ac:dyDescent="0.25">
      <c r="B364" s="11" t="s">
        <v>472</v>
      </c>
      <c r="C364" s="7" t="s">
        <v>15</v>
      </c>
      <c r="D364" s="12">
        <v>6</v>
      </c>
      <c r="E364" s="13"/>
      <c r="F364" s="14">
        <f t="shared" si="8"/>
        <v>0</v>
      </c>
    </row>
    <row r="365" spans="1:6" x14ac:dyDescent="0.25">
      <c r="B365" s="11" t="s">
        <v>446</v>
      </c>
      <c r="C365" s="7" t="s">
        <v>15</v>
      </c>
      <c r="D365" s="12">
        <v>1</v>
      </c>
      <c r="E365" s="13"/>
      <c r="F365" s="14">
        <f t="shared" si="8"/>
        <v>0</v>
      </c>
    </row>
    <row r="366" spans="1:6" x14ac:dyDescent="0.25">
      <c r="B366" s="11" t="s">
        <v>428</v>
      </c>
      <c r="C366" s="7" t="s">
        <v>15</v>
      </c>
      <c r="D366" s="12">
        <v>1</v>
      </c>
      <c r="E366" s="13"/>
      <c r="F366" s="14">
        <f t="shared" si="8"/>
        <v>0</v>
      </c>
    </row>
    <row r="367" spans="1:6" x14ac:dyDescent="0.25">
      <c r="B367" s="11" t="s">
        <v>473</v>
      </c>
      <c r="C367" s="7" t="s">
        <v>15</v>
      </c>
      <c r="D367" s="12">
        <v>2</v>
      </c>
      <c r="E367" s="13"/>
      <c r="F367" s="14">
        <f t="shared" si="8"/>
        <v>0</v>
      </c>
    </row>
    <row r="368" spans="1:6" x14ac:dyDescent="0.25">
      <c r="B368" s="11" t="s">
        <v>425</v>
      </c>
      <c r="C368" s="7" t="s">
        <v>15</v>
      </c>
      <c r="D368" s="12">
        <v>1</v>
      </c>
      <c r="E368" s="13"/>
      <c r="F368" s="14">
        <f t="shared" si="8"/>
        <v>0</v>
      </c>
    </row>
    <row r="369" spans="1:6" x14ac:dyDescent="0.25">
      <c r="B369" s="11" t="s">
        <v>474</v>
      </c>
      <c r="C369" s="7" t="s">
        <v>15</v>
      </c>
      <c r="D369" s="12">
        <v>4</v>
      </c>
      <c r="E369" s="13"/>
      <c r="F369" s="14">
        <f t="shared" si="8"/>
        <v>0</v>
      </c>
    </row>
    <row r="370" spans="1:6" x14ac:dyDescent="0.25">
      <c r="B370" s="11" t="s">
        <v>447</v>
      </c>
      <c r="C370" s="7" t="s">
        <v>15</v>
      </c>
      <c r="D370" s="12">
        <v>1</v>
      </c>
      <c r="E370" s="13"/>
      <c r="F370" s="14">
        <f t="shared" si="8"/>
        <v>0</v>
      </c>
    </row>
    <row r="371" spans="1:6" x14ac:dyDescent="0.25">
      <c r="B371" s="11" t="s">
        <v>475</v>
      </c>
      <c r="C371" s="7" t="s">
        <v>15</v>
      </c>
      <c r="D371" s="12">
        <v>3</v>
      </c>
      <c r="E371" s="13"/>
      <c r="F371" s="14">
        <f t="shared" si="8"/>
        <v>0</v>
      </c>
    </row>
    <row r="372" spans="1:6" x14ac:dyDescent="0.25">
      <c r="B372" s="11" t="s">
        <v>429</v>
      </c>
      <c r="C372" s="7" t="s">
        <v>15</v>
      </c>
      <c r="D372" s="12">
        <v>1</v>
      </c>
      <c r="E372" s="13"/>
      <c r="F372" s="14">
        <f t="shared" si="8"/>
        <v>0</v>
      </c>
    </row>
    <row r="373" spans="1:6" x14ac:dyDescent="0.25">
      <c r="B373" s="11" t="s">
        <v>430</v>
      </c>
      <c r="C373" s="7" t="s">
        <v>15</v>
      </c>
      <c r="D373" s="12">
        <v>13</v>
      </c>
      <c r="E373" s="13"/>
      <c r="F373" s="14">
        <f t="shared" si="8"/>
        <v>0</v>
      </c>
    </row>
    <row r="374" spans="1:6" x14ac:dyDescent="0.25">
      <c r="B374" s="11" t="s">
        <v>431</v>
      </c>
      <c r="C374" s="7" t="s">
        <v>15</v>
      </c>
      <c r="D374" s="12">
        <v>9</v>
      </c>
      <c r="E374" s="13"/>
      <c r="F374" s="14">
        <f t="shared" si="8"/>
        <v>0</v>
      </c>
    </row>
    <row r="375" spans="1:6" x14ac:dyDescent="0.25">
      <c r="B375" s="11" t="s">
        <v>433</v>
      </c>
      <c r="C375" s="7" t="s">
        <v>15</v>
      </c>
      <c r="D375" s="12">
        <v>1</v>
      </c>
      <c r="E375" s="13"/>
      <c r="F375" s="14">
        <f t="shared" si="8"/>
        <v>0</v>
      </c>
    </row>
    <row r="376" spans="1:6" x14ac:dyDescent="0.25">
      <c r="B376" s="11" t="s">
        <v>460</v>
      </c>
      <c r="C376" s="7" t="s">
        <v>15</v>
      </c>
      <c r="D376" s="12">
        <v>2</v>
      </c>
      <c r="E376" s="13"/>
      <c r="F376" s="14">
        <f t="shared" si="8"/>
        <v>0</v>
      </c>
    </row>
    <row r="377" spans="1:6" x14ac:dyDescent="0.25">
      <c r="B377" s="11" t="s">
        <v>461</v>
      </c>
      <c r="C377" s="7" t="s">
        <v>15</v>
      </c>
      <c r="D377" s="12">
        <v>2</v>
      </c>
      <c r="E377" s="13"/>
      <c r="F377" s="14">
        <f t="shared" si="8"/>
        <v>0</v>
      </c>
    </row>
    <row r="378" spans="1:6" x14ac:dyDescent="0.25">
      <c r="B378" s="11" t="s">
        <v>476</v>
      </c>
      <c r="C378" s="7" t="s">
        <v>15</v>
      </c>
      <c r="D378" s="12">
        <v>1</v>
      </c>
      <c r="E378" s="13"/>
      <c r="F378" s="14">
        <f t="shared" si="8"/>
        <v>0</v>
      </c>
    </row>
    <row r="379" spans="1:6" ht="12" customHeight="1" x14ac:dyDescent="0.25">
      <c r="B379" s="8" t="s">
        <v>477</v>
      </c>
      <c r="C379" s="43" t="s">
        <v>15</v>
      </c>
      <c r="D379" s="44">
        <v>1</v>
      </c>
      <c r="E379" s="45"/>
      <c r="F379" s="46">
        <f t="shared" si="8"/>
        <v>0</v>
      </c>
    </row>
    <row r="380" spans="1:6" ht="40.5" customHeight="1" x14ac:dyDescent="0.25">
      <c r="B380" s="8" t="s">
        <v>2858</v>
      </c>
      <c r="C380" s="7" t="s">
        <v>19</v>
      </c>
      <c r="D380" s="12">
        <v>1</v>
      </c>
      <c r="E380" s="13">
        <v>3727</v>
      </c>
      <c r="F380" s="14">
        <f t="shared" si="8"/>
        <v>3727</v>
      </c>
    </row>
    <row r="382" spans="1:6" ht="24" x14ac:dyDescent="0.25">
      <c r="A382" s="9" t="s">
        <v>2200</v>
      </c>
      <c r="B382" s="8" t="s">
        <v>478</v>
      </c>
    </row>
    <row r="383" spans="1:6" x14ac:dyDescent="0.25">
      <c r="B383" s="11" t="s">
        <v>479</v>
      </c>
      <c r="C383" s="7" t="s">
        <v>15</v>
      </c>
      <c r="D383" s="12">
        <v>1</v>
      </c>
      <c r="E383" s="13"/>
      <c r="F383" s="14">
        <f t="shared" ref="F383:F395" si="9">ROUND(D383*E383,2)</f>
        <v>0</v>
      </c>
    </row>
    <row r="384" spans="1:6" x14ac:dyDescent="0.25">
      <c r="B384" s="11" t="s">
        <v>313</v>
      </c>
      <c r="C384" s="7" t="s">
        <v>15</v>
      </c>
      <c r="D384" s="12">
        <v>1</v>
      </c>
      <c r="E384" s="13"/>
      <c r="F384" s="14">
        <f t="shared" si="9"/>
        <v>0</v>
      </c>
    </row>
    <row r="385" spans="1:6" x14ac:dyDescent="0.25">
      <c r="B385" s="11" t="s">
        <v>480</v>
      </c>
      <c r="C385" s="7" t="s">
        <v>15</v>
      </c>
      <c r="D385" s="12">
        <v>1</v>
      </c>
      <c r="E385" s="13"/>
      <c r="F385" s="14">
        <f t="shared" si="9"/>
        <v>0</v>
      </c>
    </row>
    <row r="386" spans="1:6" x14ac:dyDescent="0.25">
      <c r="B386" s="11" t="s">
        <v>426</v>
      </c>
      <c r="C386" s="7" t="s">
        <v>15</v>
      </c>
      <c r="D386" s="12">
        <v>1</v>
      </c>
      <c r="E386" s="13"/>
      <c r="F386" s="14">
        <f t="shared" si="9"/>
        <v>0</v>
      </c>
    </row>
    <row r="387" spans="1:6" x14ac:dyDescent="0.25">
      <c r="B387" s="11" t="s">
        <v>481</v>
      </c>
      <c r="C387" s="7" t="s">
        <v>15</v>
      </c>
      <c r="D387" s="12">
        <v>3</v>
      </c>
      <c r="E387" s="13"/>
      <c r="F387" s="14">
        <f t="shared" si="9"/>
        <v>0</v>
      </c>
    </row>
    <row r="388" spans="1:6" x14ac:dyDescent="0.25">
      <c r="B388" s="11" t="s">
        <v>446</v>
      </c>
      <c r="C388" s="7" t="s">
        <v>15</v>
      </c>
      <c r="D388" s="12">
        <v>1</v>
      </c>
      <c r="E388" s="13"/>
      <c r="F388" s="14">
        <f t="shared" si="9"/>
        <v>0</v>
      </c>
    </row>
    <row r="389" spans="1:6" x14ac:dyDescent="0.25">
      <c r="B389" s="11" t="s">
        <v>428</v>
      </c>
      <c r="C389" s="7" t="s">
        <v>15</v>
      </c>
      <c r="D389" s="12">
        <v>2</v>
      </c>
      <c r="E389" s="13"/>
      <c r="F389" s="14">
        <f t="shared" si="9"/>
        <v>0</v>
      </c>
    </row>
    <row r="390" spans="1:6" x14ac:dyDescent="0.25">
      <c r="B390" s="11" t="s">
        <v>429</v>
      </c>
      <c r="C390" s="7" t="s">
        <v>15</v>
      </c>
      <c r="D390" s="12">
        <v>1</v>
      </c>
      <c r="E390" s="13"/>
      <c r="F390" s="14">
        <f t="shared" si="9"/>
        <v>0</v>
      </c>
    </row>
    <row r="391" spans="1:6" x14ac:dyDescent="0.25">
      <c r="B391" s="11" t="s">
        <v>430</v>
      </c>
      <c r="C391" s="7" t="s">
        <v>15</v>
      </c>
      <c r="D391" s="12">
        <v>8</v>
      </c>
      <c r="E391" s="13"/>
      <c r="F391" s="14">
        <f t="shared" si="9"/>
        <v>0</v>
      </c>
    </row>
    <row r="392" spans="1:6" x14ac:dyDescent="0.25">
      <c r="B392" s="11" t="s">
        <v>431</v>
      </c>
      <c r="C392" s="7" t="s">
        <v>15</v>
      </c>
      <c r="D392" s="12">
        <v>8</v>
      </c>
      <c r="E392" s="13"/>
      <c r="F392" s="14">
        <f t="shared" si="9"/>
        <v>0</v>
      </c>
    </row>
    <row r="393" spans="1:6" x14ac:dyDescent="0.25">
      <c r="B393" s="11" t="s">
        <v>482</v>
      </c>
      <c r="C393" s="7" t="s">
        <v>15</v>
      </c>
      <c r="D393" s="12">
        <v>1</v>
      </c>
      <c r="E393" s="13"/>
      <c r="F393" s="14">
        <f t="shared" si="9"/>
        <v>0</v>
      </c>
    </row>
    <row r="394" spans="1:6" ht="16.5" customHeight="1" x14ac:dyDescent="0.25">
      <c r="B394" s="8" t="s">
        <v>483</v>
      </c>
      <c r="C394" s="7" t="s">
        <v>15</v>
      </c>
      <c r="D394" s="12">
        <v>1</v>
      </c>
      <c r="E394" s="13"/>
      <c r="F394" s="14">
        <f t="shared" si="9"/>
        <v>0</v>
      </c>
    </row>
    <row r="395" spans="1:6" ht="37.5" customHeight="1" x14ac:dyDescent="0.25">
      <c r="B395" s="8" t="s">
        <v>2858</v>
      </c>
      <c r="C395" s="7" t="s">
        <v>19</v>
      </c>
      <c r="D395" s="12">
        <v>1</v>
      </c>
      <c r="E395" s="13">
        <v>976</v>
      </c>
      <c r="F395" s="14">
        <f t="shared" si="9"/>
        <v>976</v>
      </c>
    </row>
    <row r="397" spans="1:6" ht="24" x14ac:dyDescent="0.25">
      <c r="A397" s="9" t="s">
        <v>2201</v>
      </c>
      <c r="B397" s="8" t="s">
        <v>484</v>
      </c>
    </row>
    <row r="398" spans="1:6" x14ac:dyDescent="0.25">
      <c r="B398" s="11" t="s">
        <v>485</v>
      </c>
      <c r="C398" s="7" t="s">
        <v>15</v>
      </c>
      <c r="D398" s="12">
        <v>1</v>
      </c>
      <c r="E398" s="13"/>
      <c r="F398" s="14">
        <f t="shared" ref="F398:F412" si="10">ROUND(D398*E398,2)</f>
        <v>0</v>
      </c>
    </row>
    <row r="399" spans="1:6" x14ac:dyDescent="0.25">
      <c r="B399" s="11" t="s">
        <v>313</v>
      </c>
      <c r="C399" s="7" t="s">
        <v>15</v>
      </c>
      <c r="D399" s="12">
        <v>1</v>
      </c>
      <c r="E399" s="13"/>
      <c r="F399" s="14">
        <f t="shared" si="10"/>
        <v>0</v>
      </c>
    </row>
    <row r="400" spans="1:6" x14ac:dyDescent="0.25">
      <c r="B400" s="11" t="s">
        <v>480</v>
      </c>
      <c r="C400" s="7" t="s">
        <v>15</v>
      </c>
      <c r="D400" s="12">
        <v>1</v>
      </c>
      <c r="E400" s="13"/>
      <c r="F400" s="14">
        <f t="shared" si="10"/>
        <v>0</v>
      </c>
    </row>
    <row r="401" spans="1:6" x14ac:dyDescent="0.25">
      <c r="B401" s="11" t="s">
        <v>426</v>
      </c>
      <c r="C401" s="7" t="s">
        <v>15</v>
      </c>
      <c r="D401" s="12">
        <v>1</v>
      </c>
      <c r="E401" s="13"/>
      <c r="F401" s="14">
        <f t="shared" si="10"/>
        <v>0</v>
      </c>
    </row>
    <row r="402" spans="1:6" x14ac:dyDescent="0.25">
      <c r="B402" s="11" t="s">
        <v>481</v>
      </c>
      <c r="C402" s="7" t="s">
        <v>15</v>
      </c>
      <c r="D402" s="12">
        <v>3</v>
      </c>
      <c r="E402" s="13"/>
      <c r="F402" s="14">
        <f t="shared" si="10"/>
        <v>0</v>
      </c>
    </row>
    <row r="403" spans="1:6" x14ac:dyDescent="0.25">
      <c r="B403" s="11" t="s">
        <v>446</v>
      </c>
      <c r="C403" s="7" t="s">
        <v>15</v>
      </c>
      <c r="D403" s="12">
        <v>1</v>
      </c>
      <c r="E403" s="13"/>
      <c r="F403" s="14">
        <f t="shared" si="10"/>
        <v>0</v>
      </c>
    </row>
    <row r="404" spans="1:6" x14ac:dyDescent="0.25">
      <c r="B404" s="11" t="s">
        <v>428</v>
      </c>
      <c r="C404" s="7" t="s">
        <v>15</v>
      </c>
      <c r="D404" s="12">
        <v>3</v>
      </c>
      <c r="E404" s="13"/>
      <c r="F404" s="14">
        <f t="shared" si="10"/>
        <v>0</v>
      </c>
    </row>
    <row r="405" spans="1:6" x14ac:dyDescent="0.25">
      <c r="B405" s="11" t="s">
        <v>429</v>
      </c>
      <c r="C405" s="7" t="s">
        <v>15</v>
      </c>
      <c r="D405" s="12">
        <v>2</v>
      </c>
      <c r="E405" s="13"/>
      <c r="F405" s="14">
        <f t="shared" si="10"/>
        <v>0</v>
      </c>
    </row>
    <row r="406" spans="1:6" x14ac:dyDescent="0.25">
      <c r="B406" s="11" t="s">
        <v>430</v>
      </c>
      <c r="C406" s="7" t="s">
        <v>15</v>
      </c>
      <c r="D406" s="12">
        <v>6</v>
      </c>
      <c r="E406" s="13"/>
      <c r="F406" s="14">
        <f t="shared" si="10"/>
        <v>0</v>
      </c>
    </row>
    <row r="407" spans="1:6" x14ac:dyDescent="0.25">
      <c r="B407" s="11" t="s">
        <v>431</v>
      </c>
      <c r="C407" s="7" t="s">
        <v>15</v>
      </c>
      <c r="D407" s="12">
        <v>16</v>
      </c>
      <c r="E407" s="13"/>
      <c r="F407" s="14">
        <f t="shared" si="10"/>
        <v>0</v>
      </c>
    </row>
    <row r="408" spans="1:6" x14ac:dyDescent="0.25">
      <c r="B408" s="11" t="s">
        <v>486</v>
      </c>
      <c r="C408" s="7" t="s">
        <v>15</v>
      </c>
      <c r="D408" s="12">
        <v>1</v>
      </c>
      <c r="E408" s="13"/>
      <c r="F408" s="14">
        <f t="shared" si="10"/>
        <v>0</v>
      </c>
    </row>
    <row r="409" spans="1:6" ht="24" x14ac:dyDescent="0.25">
      <c r="B409" s="11" t="s">
        <v>487</v>
      </c>
      <c r="C409" s="7" t="s">
        <v>15</v>
      </c>
      <c r="D409" s="12">
        <v>1</v>
      </c>
      <c r="E409" s="13"/>
      <c r="F409" s="14">
        <f t="shared" si="10"/>
        <v>0</v>
      </c>
    </row>
    <row r="410" spans="1:6" x14ac:dyDescent="0.25">
      <c r="B410" s="11" t="s">
        <v>488</v>
      </c>
      <c r="C410" s="7" t="s">
        <v>15</v>
      </c>
      <c r="D410" s="12">
        <v>1</v>
      </c>
      <c r="E410" s="13"/>
      <c r="F410" s="14">
        <f t="shared" si="10"/>
        <v>0</v>
      </c>
    </row>
    <row r="411" spans="1:6" ht="16.5" customHeight="1" x14ac:dyDescent="0.25">
      <c r="B411" s="8" t="s">
        <v>489</v>
      </c>
      <c r="C411" s="7" t="s">
        <v>15</v>
      </c>
      <c r="D411" s="12">
        <v>1</v>
      </c>
      <c r="E411" s="13"/>
      <c r="F411" s="14">
        <f t="shared" si="10"/>
        <v>0</v>
      </c>
    </row>
    <row r="412" spans="1:6" ht="39.75" customHeight="1" x14ac:dyDescent="0.25">
      <c r="B412" s="8" t="s">
        <v>2858</v>
      </c>
      <c r="C412" s="7" t="s">
        <v>19</v>
      </c>
      <c r="D412" s="12">
        <v>1</v>
      </c>
      <c r="E412" s="13">
        <v>1356</v>
      </c>
      <c r="F412" s="14">
        <f t="shared" si="10"/>
        <v>1356</v>
      </c>
    </row>
    <row r="414" spans="1:6" ht="24" x14ac:dyDescent="0.25">
      <c r="A414" s="9" t="s">
        <v>2202</v>
      </c>
      <c r="B414" s="8" t="s">
        <v>490</v>
      </c>
    </row>
    <row r="415" spans="1:6" x14ac:dyDescent="0.25">
      <c r="B415" s="11" t="s">
        <v>491</v>
      </c>
      <c r="C415" s="7" t="s">
        <v>15</v>
      </c>
      <c r="D415" s="12">
        <v>1</v>
      </c>
      <c r="E415" s="13"/>
      <c r="F415" s="14">
        <f t="shared" ref="F415:F435" si="11">ROUND(D415*E415,2)</f>
        <v>0</v>
      </c>
    </row>
    <row r="416" spans="1:6" x14ac:dyDescent="0.25">
      <c r="B416" s="11" t="s">
        <v>313</v>
      </c>
      <c r="C416" s="7" t="s">
        <v>15</v>
      </c>
      <c r="D416" s="12">
        <v>1</v>
      </c>
      <c r="E416" s="13"/>
      <c r="F416" s="14">
        <f t="shared" si="11"/>
        <v>0</v>
      </c>
    </row>
    <row r="417" spans="2:6" x14ac:dyDescent="0.25">
      <c r="B417" s="11" t="s">
        <v>480</v>
      </c>
      <c r="C417" s="7" t="s">
        <v>15</v>
      </c>
      <c r="D417" s="12">
        <v>1</v>
      </c>
      <c r="E417" s="13"/>
      <c r="F417" s="14">
        <f t="shared" si="11"/>
        <v>0</v>
      </c>
    </row>
    <row r="418" spans="2:6" x14ac:dyDescent="0.25">
      <c r="B418" s="11" t="s">
        <v>426</v>
      </c>
      <c r="C418" s="7" t="s">
        <v>15</v>
      </c>
      <c r="D418" s="12">
        <v>1</v>
      </c>
      <c r="E418" s="13"/>
      <c r="F418" s="14">
        <f t="shared" si="11"/>
        <v>0</v>
      </c>
    </row>
    <row r="419" spans="2:6" x14ac:dyDescent="0.25">
      <c r="B419" s="11" t="s">
        <v>481</v>
      </c>
      <c r="C419" s="7" t="s">
        <v>15</v>
      </c>
      <c r="D419" s="12">
        <v>3</v>
      </c>
      <c r="E419" s="13"/>
      <c r="F419" s="14">
        <f t="shared" si="11"/>
        <v>0</v>
      </c>
    </row>
    <row r="420" spans="2:6" x14ac:dyDescent="0.25">
      <c r="B420" s="11" t="s">
        <v>446</v>
      </c>
      <c r="C420" s="7" t="s">
        <v>15</v>
      </c>
      <c r="D420" s="12">
        <v>1</v>
      </c>
      <c r="E420" s="13"/>
      <c r="F420" s="14">
        <f t="shared" si="11"/>
        <v>0</v>
      </c>
    </row>
    <row r="421" spans="2:6" x14ac:dyDescent="0.25">
      <c r="B421" s="11" t="s">
        <v>428</v>
      </c>
      <c r="C421" s="7" t="s">
        <v>15</v>
      </c>
      <c r="D421" s="12">
        <v>4</v>
      </c>
      <c r="E421" s="13"/>
      <c r="F421" s="14">
        <f t="shared" si="11"/>
        <v>0</v>
      </c>
    </row>
    <row r="422" spans="2:6" x14ac:dyDescent="0.25">
      <c r="B422" s="11" t="s">
        <v>429</v>
      </c>
      <c r="C422" s="7" t="s">
        <v>15</v>
      </c>
      <c r="D422" s="12">
        <v>1</v>
      </c>
      <c r="E422" s="13"/>
      <c r="F422" s="14">
        <f t="shared" si="11"/>
        <v>0</v>
      </c>
    </row>
    <row r="423" spans="2:6" x14ac:dyDescent="0.25">
      <c r="B423" s="11" t="s">
        <v>430</v>
      </c>
      <c r="C423" s="7" t="s">
        <v>15</v>
      </c>
      <c r="D423" s="12">
        <v>17</v>
      </c>
      <c r="E423" s="13"/>
      <c r="F423" s="14">
        <f t="shared" si="11"/>
        <v>0</v>
      </c>
    </row>
    <row r="424" spans="2:6" x14ac:dyDescent="0.25">
      <c r="B424" s="11" t="s">
        <v>431</v>
      </c>
      <c r="C424" s="7" t="s">
        <v>15</v>
      </c>
      <c r="D424" s="12">
        <v>14</v>
      </c>
      <c r="E424" s="13"/>
      <c r="F424" s="14">
        <f t="shared" si="11"/>
        <v>0</v>
      </c>
    </row>
    <row r="425" spans="2:6" x14ac:dyDescent="0.25">
      <c r="B425" s="11" t="s">
        <v>486</v>
      </c>
      <c r="C425" s="7" t="s">
        <v>15</v>
      </c>
      <c r="D425" s="12">
        <v>1</v>
      </c>
      <c r="E425" s="13"/>
      <c r="F425" s="14">
        <f t="shared" si="11"/>
        <v>0</v>
      </c>
    </row>
    <row r="426" spans="2:6" ht="24" x14ac:dyDescent="0.25">
      <c r="B426" s="11" t="s">
        <v>487</v>
      </c>
      <c r="C426" s="7" t="s">
        <v>15</v>
      </c>
      <c r="D426" s="12">
        <v>1</v>
      </c>
      <c r="E426" s="13"/>
      <c r="F426" s="14">
        <f t="shared" si="11"/>
        <v>0</v>
      </c>
    </row>
    <row r="427" spans="2:6" ht="24" x14ac:dyDescent="0.25">
      <c r="B427" s="11" t="s">
        <v>492</v>
      </c>
      <c r="C427" s="7" t="s">
        <v>15</v>
      </c>
      <c r="D427" s="12">
        <v>1</v>
      </c>
      <c r="E427" s="13"/>
      <c r="F427" s="14">
        <f t="shared" si="11"/>
        <v>0</v>
      </c>
    </row>
    <row r="428" spans="2:6" x14ac:dyDescent="0.25">
      <c r="B428" s="11" t="s">
        <v>493</v>
      </c>
      <c r="C428" s="7" t="s">
        <v>15</v>
      </c>
      <c r="D428" s="12">
        <v>1</v>
      </c>
      <c r="E428" s="13"/>
      <c r="F428" s="14">
        <f t="shared" si="11"/>
        <v>0</v>
      </c>
    </row>
    <row r="429" spans="2:6" x14ac:dyDescent="0.25">
      <c r="B429" s="11" t="s">
        <v>494</v>
      </c>
      <c r="C429" s="7" t="s">
        <v>15</v>
      </c>
      <c r="D429" s="12">
        <v>1</v>
      </c>
      <c r="E429" s="13"/>
      <c r="F429" s="14">
        <f t="shared" si="11"/>
        <v>0</v>
      </c>
    </row>
    <row r="430" spans="2:6" x14ac:dyDescent="0.25">
      <c r="B430" s="11" t="s">
        <v>495</v>
      </c>
      <c r="C430" s="7" t="s">
        <v>15</v>
      </c>
      <c r="D430" s="12">
        <v>12</v>
      </c>
      <c r="E430" s="13"/>
      <c r="F430" s="14">
        <f t="shared" si="11"/>
        <v>0</v>
      </c>
    </row>
    <row r="431" spans="2:6" x14ac:dyDescent="0.25">
      <c r="B431" s="11" t="s">
        <v>496</v>
      </c>
      <c r="C431" s="7" t="s">
        <v>15</v>
      </c>
      <c r="D431" s="12">
        <v>1</v>
      </c>
      <c r="E431" s="13"/>
      <c r="F431" s="14">
        <f t="shared" si="11"/>
        <v>0</v>
      </c>
    </row>
    <row r="432" spans="2:6" ht="36" x14ac:dyDescent="0.25">
      <c r="B432" s="11" t="s">
        <v>497</v>
      </c>
      <c r="C432" s="7" t="s">
        <v>15</v>
      </c>
      <c r="D432" s="12">
        <v>1</v>
      </c>
      <c r="E432" s="13"/>
      <c r="F432" s="14">
        <f t="shared" si="11"/>
        <v>0</v>
      </c>
    </row>
    <row r="433" spans="1:6" x14ac:dyDescent="0.25">
      <c r="B433" s="11" t="s">
        <v>498</v>
      </c>
      <c r="C433" s="7" t="s">
        <v>15</v>
      </c>
      <c r="D433" s="12">
        <v>1</v>
      </c>
      <c r="E433" s="13"/>
      <c r="F433" s="14">
        <f t="shared" si="11"/>
        <v>0</v>
      </c>
    </row>
    <row r="434" spans="1:6" ht="14.25" customHeight="1" x14ac:dyDescent="0.25">
      <c r="B434" s="8" t="s">
        <v>499</v>
      </c>
      <c r="C434" s="7" t="s">
        <v>15</v>
      </c>
      <c r="D434" s="12">
        <v>1</v>
      </c>
      <c r="E434" s="13"/>
      <c r="F434" s="14">
        <f t="shared" si="11"/>
        <v>0</v>
      </c>
    </row>
    <row r="435" spans="1:6" ht="39" customHeight="1" x14ac:dyDescent="0.25">
      <c r="B435" s="8" t="s">
        <v>2859</v>
      </c>
      <c r="C435" s="7" t="s">
        <v>19</v>
      </c>
      <c r="D435" s="12">
        <v>1</v>
      </c>
      <c r="E435" s="13">
        <v>2500</v>
      </c>
      <c r="F435" s="14">
        <f t="shared" si="11"/>
        <v>2500</v>
      </c>
    </row>
    <row r="437" spans="1:6" ht="38.25" customHeight="1" x14ac:dyDescent="0.25">
      <c r="A437" s="9" t="s">
        <v>2203</v>
      </c>
      <c r="B437" s="8" t="s">
        <v>500</v>
      </c>
    </row>
    <row r="438" spans="1:6" x14ac:dyDescent="0.25">
      <c r="B438" s="11" t="s">
        <v>501</v>
      </c>
      <c r="C438" s="7" t="s">
        <v>13</v>
      </c>
      <c r="D438" s="12">
        <v>90</v>
      </c>
      <c r="E438" s="13">
        <v>57</v>
      </c>
      <c r="F438" s="14">
        <f>ROUND(D438*E438,2)</f>
        <v>5130</v>
      </c>
    </row>
    <row r="439" spans="1:6" x14ac:dyDescent="0.25">
      <c r="B439" s="11" t="s">
        <v>502</v>
      </c>
      <c r="C439" s="7" t="s">
        <v>13</v>
      </c>
      <c r="D439" s="12">
        <v>90</v>
      </c>
      <c r="E439" s="13">
        <v>8.8000000000000007</v>
      </c>
      <c r="F439" s="14">
        <f>ROUND(D439*E439,2)</f>
        <v>792</v>
      </c>
    </row>
    <row r="441" spans="1:6" ht="36" x14ac:dyDescent="0.25">
      <c r="A441" s="9" t="s">
        <v>2204</v>
      </c>
      <c r="B441" s="8" t="s">
        <v>503</v>
      </c>
    </row>
    <row r="442" spans="1:6" x14ac:dyDescent="0.25">
      <c r="B442" s="11" t="s">
        <v>504</v>
      </c>
      <c r="C442" s="7" t="s">
        <v>13</v>
      </c>
      <c r="D442" s="12">
        <v>35</v>
      </c>
      <c r="E442" s="13">
        <v>43</v>
      </c>
      <c r="F442" s="14">
        <f>ROUND(D442*E442,2)</f>
        <v>1505</v>
      </c>
    </row>
    <row r="444" spans="1:6" ht="36" x14ac:dyDescent="0.25">
      <c r="A444" s="9" t="s">
        <v>2205</v>
      </c>
      <c r="B444" s="8" t="s">
        <v>505</v>
      </c>
    </row>
    <row r="445" spans="1:6" x14ac:dyDescent="0.25">
      <c r="B445" s="11" t="s">
        <v>506</v>
      </c>
      <c r="C445" s="7" t="s">
        <v>13</v>
      </c>
      <c r="D445" s="12">
        <v>30</v>
      </c>
      <c r="E445" s="13">
        <v>30</v>
      </c>
      <c r="F445" s="14">
        <f>ROUND(D445*E445,2)</f>
        <v>900</v>
      </c>
    </row>
    <row r="447" spans="1:6" ht="36" x14ac:dyDescent="0.25">
      <c r="A447" s="9" t="s">
        <v>2206</v>
      </c>
      <c r="B447" s="8" t="s">
        <v>507</v>
      </c>
    </row>
    <row r="448" spans="1:6" x14ac:dyDescent="0.25">
      <c r="B448" s="11" t="s">
        <v>508</v>
      </c>
      <c r="C448" s="7" t="s">
        <v>13</v>
      </c>
      <c r="D448" s="12">
        <v>16</v>
      </c>
      <c r="E448" s="13">
        <v>12.65</v>
      </c>
      <c r="F448" s="14">
        <f>ROUND(D448*E448,2)</f>
        <v>202.4</v>
      </c>
    </row>
    <row r="450" spans="1:6" ht="39" customHeight="1" x14ac:dyDescent="0.25">
      <c r="A450" s="9" t="s">
        <v>2207</v>
      </c>
      <c r="B450" s="8" t="s">
        <v>509</v>
      </c>
    </row>
    <row r="451" spans="1:6" x14ac:dyDescent="0.25">
      <c r="B451" s="11" t="s">
        <v>510</v>
      </c>
      <c r="C451" s="7" t="s">
        <v>13</v>
      </c>
      <c r="D451" s="12">
        <v>125</v>
      </c>
      <c r="E451" s="13">
        <v>9.4600000000000009</v>
      </c>
      <c r="F451" s="14">
        <f>ROUND(D451*E451,2)</f>
        <v>1182.5</v>
      </c>
    </row>
    <row r="453" spans="1:6" ht="48" x14ac:dyDescent="0.25">
      <c r="A453" s="9" t="s">
        <v>2208</v>
      </c>
      <c r="B453" s="8" t="s">
        <v>511</v>
      </c>
    </row>
    <row r="454" spans="1:6" x14ac:dyDescent="0.25">
      <c r="B454" s="11" t="s">
        <v>512</v>
      </c>
      <c r="C454" s="7" t="s">
        <v>13</v>
      </c>
      <c r="D454" s="12">
        <v>125</v>
      </c>
      <c r="E454" s="13">
        <v>12</v>
      </c>
      <c r="F454" s="14">
        <f>ROUND(D454*E454,2)</f>
        <v>1500</v>
      </c>
    </row>
    <row r="456" spans="1:6" ht="39.75" customHeight="1" x14ac:dyDescent="0.25">
      <c r="A456" s="9" t="s">
        <v>2209</v>
      </c>
      <c r="B456" s="8" t="s">
        <v>513</v>
      </c>
    </row>
    <row r="457" spans="1:6" x14ac:dyDescent="0.25">
      <c r="B457" s="11" t="s">
        <v>514</v>
      </c>
      <c r="C457" s="7" t="s">
        <v>13</v>
      </c>
      <c r="D457" s="12">
        <v>60</v>
      </c>
      <c r="E457" s="13">
        <v>4.8</v>
      </c>
      <c r="F457" s="14">
        <f>ROUND(D457*E457,2)</f>
        <v>288</v>
      </c>
    </row>
    <row r="459" spans="1:6" ht="36" x14ac:dyDescent="0.25">
      <c r="A459" s="9" t="s">
        <v>2210</v>
      </c>
      <c r="B459" s="8" t="s">
        <v>515</v>
      </c>
      <c r="C459" s="7" t="s">
        <v>13</v>
      </c>
      <c r="D459" s="12">
        <v>90</v>
      </c>
      <c r="E459" s="13">
        <v>3.82</v>
      </c>
      <c r="F459" s="14">
        <f>ROUND(D459*E459,2)</f>
        <v>343.8</v>
      </c>
    </row>
    <row r="460" spans="1:6" x14ac:dyDescent="0.25">
      <c r="B460" s="11"/>
    </row>
    <row r="461" spans="1:6" ht="36" x14ac:dyDescent="0.25">
      <c r="A461" s="9" t="s">
        <v>2211</v>
      </c>
      <c r="B461" s="8" t="s">
        <v>516</v>
      </c>
    </row>
    <row r="462" spans="1:6" x14ac:dyDescent="0.25">
      <c r="B462" s="11" t="s">
        <v>517</v>
      </c>
      <c r="C462" s="7" t="s">
        <v>13</v>
      </c>
      <c r="D462" s="12">
        <v>15</v>
      </c>
      <c r="E462" s="13">
        <v>4.7</v>
      </c>
      <c r="F462" s="14">
        <f>ROUND(D462*E462,2)</f>
        <v>70.5</v>
      </c>
    </row>
    <row r="463" spans="1:6" ht="15" customHeight="1" x14ac:dyDescent="0.25">
      <c r="B463" s="8" t="s">
        <v>518</v>
      </c>
      <c r="C463" s="7" t="s">
        <v>15</v>
      </c>
      <c r="D463" s="12">
        <v>15</v>
      </c>
      <c r="E463" s="13">
        <v>2</v>
      </c>
      <c r="F463" s="14">
        <f>ROUND(D463*E463,2)</f>
        <v>30</v>
      </c>
    </row>
    <row r="464" spans="1:6" ht="42" customHeight="1" x14ac:dyDescent="0.25">
      <c r="B464" s="8" t="s">
        <v>519</v>
      </c>
      <c r="C464" s="7" t="s">
        <v>15</v>
      </c>
      <c r="D464" s="12">
        <v>15</v>
      </c>
      <c r="E464" s="13">
        <v>2</v>
      </c>
      <c r="F464" s="14">
        <f>ROUND(D464*E464,2)</f>
        <v>30</v>
      </c>
    </row>
    <row r="466" spans="1:6" ht="41.25" customHeight="1" x14ac:dyDescent="0.25">
      <c r="A466" s="9" t="s">
        <v>2212</v>
      </c>
      <c r="B466" s="8" t="s">
        <v>520</v>
      </c>
    </row>
    <row r="467" spans="1:6" x14ac:dyDescent="0.25">
      <c r="B467" s="11" t="s">
        <v>521</v>
      </c>
      <c r="C467" s="7" t="s">
        <v>13</v>
      </c>
      <c r="D467" s="12">
        <v>100</v>
      </c>
      <c r="E467" s="13">
        <v>10.73</v>
      </c>
      <c r="F467" s="14">
        <f>ROUND(D467*E467,2)</f>
        <v>1073</v>
      </c>
    </row>
    <row r="468" spans="1:6" ht="15" customHeight="1" x14ac:dyDescent="0.25">
      <c r="B468" s="11" t="s">
        <v>518</v>
      </c>
      <c r="C468" s="7" t="s">
        <v>15</v>
      </c>
      <c r="D468" s="12">
        <v>35</v>
      </c>
      <c r="E468" s="13">
        <v>2.5</v>
      </c>
      <c r="F468" s="14">
        <f>ROUND(D468*E468,2)</f>
        <v>87.5</v>
      </c>
    </row>
    <row r="469" spans="1:6" ht="40.5" customHeight="1" x14ac:dyDescent="0.25">
      <c r="B469" s="8" t="s">
        <v>2601</v>
      </c>
      <c r="C469" s="7" t="s">
        <v>15</v>
      </c>
      <c r="D469" s="12">
        <v>35</v>
      </c>
      <c r="E469" s="13">
        <v>2</v>
      </c>
      <c r="F469" s="14">
        <f>ROUND(D469*E469,2)</f>
        <v>70</v>
      </c>
    </row>
    <row r="471" spans="1:6" ht="15" customHeight="1" x14ac:dyDescent="0.25">
      <c r="A471" s="9" t="s">
        <v>2213</v>
      </c>
      <c r="B471" s="8" t="s">
        <v>522</v>
      </c>
    </row>
    <row r="472" spans="1:6" x14ac:dyDescent="0.25">
      <c r="B472" s="11" t="s">
        <v>523</v>
      </c>
      <c r="C472" s="7" t="s">
        <v>13</v>
      </c>
      <c r="D472" s="12">
        <v>80</v>
      </c>
      <c r="E472" s="13">
        <v>3.15</v>
      </c>
      <c r="F472" s="14">
        <f>ROUND(D472*E472,2)</f>
        <v>252</v>
      </c>
    </row>
    <row r="473" spans="1:6" ht="15" customHeight="1" x14ac:dyDescent="0.25">
      <c r="B473" s="8" t="s">
        <v>518</v>
      </c>
      <c r="C473" s="7" t="s">
        <v>15</v>
      </c>
      <c r="D473" s="12">
        <v>80</v>
      </c>
      <c r="E473" s="13">
        <v>2</v>
      </c>
      <c r="F473" s="14">
        <f>ROUND(D473*E473,2)</f>
        <v>160</v>
      </c>
    </row>
    <row r="474" spans="1:6" ht="39" customHeight="1" x14ac:dyDescent="0.25">
      <c r="B474" s="8" t="s">
        <v>2601</v>
      </c>
      <c r="C474" s="7" t="s">
        <v>15</v>
      </c>
      <c r="D474" s="12">
        <v>80</v>
      </c>
      <c r="E474" s="13">
        <v>2</v>
      </c>
      <c r="F474" s="14">
        <f>ROUND(D474*E474,2)</f>
        <v>160</v>
      </c>
    </row>
    <row r="476" spans="1:6" ht="24" x14ac:dyDescent="0.25">
      <c r="A476" s="9" t="s">
        <v>2214</v>
      </c>
      <c r="B476" s="8" t="s">
        <v>524</v>
      </c>
    </row>
    <row r="477" spans="1:6" x14ac:dyDescent="0.25">
      <c r="B477" s="11" t="s">
        <v>525</v>
      </c>
      <c r="C477" s="7" t="s">
        <v>13</v>
      </c>
      <c r="D477" s="12">
        <v>425</v>
      </c>
      <c r="E477" s="13">
        <v>2.5299999999999998</v>
      </c>
      <c r="F477" s="14">
        <f t="shared" ref="F477:F489" si="12">ROUND(D477*E477,2)</f>
        <v>1075.25</v>
      </c>
    </row>
    <row r="478" spans="1:6" x14ac:dyDescent="0.25">
      <c r="B478" s="11" t="s">
        <v>526</v>
      </c>
      <c r="C478" s="7" t="s">
        <v>13</v>
      </c>
      <c r="D478" s="12">
        <v>10</v>
      </c>
      <c r="E478" s="13">
        <v>2.93</v>
      </c>
      <c r="F478" s="14">
        <f t="shared" si="12"/>
        <v>29.3</v>
      </c>
    </row>
    <row r="479" spans="1:6" x14ac:dyDescent="0.25">
      <c r="B479" s="11" t="s">
        <v>527</v>
      </c>
      <c r="C479" s="7" t="s">
        <v>13</v>
      </c>
      <c r="D479" s="12">
        <v>40</v>
      </c>
      <c r="E479" s="13">
        <v>3.17</v>
      </c>
      <c r="F479" s="14">
        <f t="shared" si="12"/>
        <v>126.8</v>
      </c>
    </row>
    <row r="480" spans="1:6" x14ac:dyDescent="0.25">
      <c r="B480" s="11" t="s">
        <v>528</v>
      </c>
      <c r="C480" s="7" t="s">
        <v>13</v>
      </c>
      <c r="D480" s="12">
        <v>175</v>
      </c>
      <c r="E480" s="13">
        <v>3.62</v>
      </c>
      <c r="F480" s="14">
        <f t="shared" si="12"/>
        <v>633.5</v>
      </c>
    </row>
    <row r="481" spans="1:6" x14ac:dyDescent="0.25">
      <c r="B481" s="11" t="s">
        <v>529</v>
      </c>
      <c r="C481" s="7" t="s">
        <v>13</v>
      </c>
      <c r="D481" s="12">
        <v>425</v>
      </c>
      <c r="E481" s="13">
        <v>3.1</v>
      </c>
      <c r="F481" s="14">
        <f t="shared" si="12"/>
        <v>1317.5</v>
      </c>
    </row>
    <row r="482" spans="1:6" x14ac:dyDescent="0.25">
      <c r="B482" s="11" t="s">
        <v>530</v>
      </c>
      <c r="C482" s="7" t="s">
        <v>13</v>
      </c>
      <c r="D482" s="12">
        <v>75</v>
      </c>
      <c r="E482" s="13">
        <v>2.93</v>
      </c>
      <c r="F482" s="14">
        <f t="shared" si="12"/>
        <v>219.75</v>
      </c>
    </row>
    <row r="483" spans="1:6" x14ac:dyDescent="0.25">
      <c r="B483" s="11" t="s">
        <v>531</v>
      </c>
      <c r="C483" s="7" t="s">
        <v>13</v>
      </c>
      <c r="D483" s="12">
        <v>150</v>
      </c>
      <c r="E483" s="13">
        <v>3.5</v>
      </c>
      <c r="F483" s="14">
        <f t="shared" si="12"/>
        <v>525</v>
      </c>
    </row>
    <row r="484" spans="1:6" x14ac:dyDescent="0.25">
      <c r="B484" s="11" t="s">
        <v>514</v>
      </c>
      <c r="C484" s="7" t="s">
        <v>13</v>
      </c>
      <c r="D484" s="12">
        <v>30</v>
      </c>
      <c r="E484" s="13">
        <v>4.8</v>
      </c>
      <c r="F484" s="14">
        <f t="shared" si="12"/>
        <v>144</v>
      </c>
    </row>
    <row r="485" spans="1:6" x14ac:dyDescent="0.25">
      <c r="B485" s="11" t="s">
        <v>532</v>
      </c>
      <c r="C485" s="7" t="s">
        <v>13</v>
      </c>
      <c r="D485" s="12">
        <v>750</v>
      </c>
      <c r="E485" s="13">
        <v>2.2000000000000002</v>
      </c>
      <c r="F485" s="14">
        <f t="shared" si="12"/>
        <v>1650</v>
      </c>
    </row>
    <row r="486" spans="1:6" x14ac:dyDescent="0.25">
      <c r="B486" s="11" t="s">
        <v>337</v>
      </c>
      <c r="C486" s="7" t="s">
        <v>13</v>
      </c>
      <c r="D486" s="12">
        <v>180</v>
      </c>
      <c r="E486" s="13">
        <v>2.2999999999999998</v>
      </c>
      <c r="F486" s="14">
        <f t="shared" si="12"/>
        <v>414</v>
      </c>
    </row>
    <row r="487" spans="1:6" x14ac:dyDescent="0.25">
      <c r="B487" s="11" t="s">
        <v>533</v>
      </c>
      <c r="C487" s="7" t="s">
        <v>13</v>
      </c>
      <c r="D487" s="12">
        <v>50</v>
      </c>
      <c r="E487" s="13">
        <v>2.8</v>
      </c>
      <c r="F487" s="14">
        <f t="shared" si="12"/>
        <v>140</v>
      </c>
    </row>
    <row r="488" spans="1:6" x14ac:dyDescent="0.25">
      <c r="B488" s="11" t="s">
        <v>534</v>
      </c>
      <c r="C488" s="7" t="s">
        <v>13</v>
      </c>
      <c r="D488" s="12">
        <v>50</v>
      </c>
      <c r="E488" s="13">
        <v>3</v>
      </c>
      <c r="F488" s="14">
        <f t="shared" si="12"/>
        <v>150</v>
      </c>
    </row>
    <row r="489" spans="1:6" x14ac:dyDescent="0.25">
      <c r="B489" s="11" t="s">
        <v>535</v>
      </c>
      <c r="C489" s="7" t="s">
        <v>13</v>
      </c>
      <c r="D489" s="12">
        <v>50</v>
      </c>
      <c r="E489" s="13">
        <v>3.5</v>
      </c>
      <c r="F489" s="14">
        <f t="shared" si="12"/>
        <v>175</v>
      </c>
    </row>
    <row r="491" spans="1:6" ht="24" x14ac:dyDescent="0.25">
      <c r="A491" s="9" t="s">
        <v>2215</v>
      </c>
      <c r="B491" s="8" t="s">
        <v>536</v>
      </c>
    </row>
    <row r="492" spans="1:6" x14ac:dyDescent="0.25">
      <c r="B492" s="11" t="s">
        <v>530</v>
      </c>
      <c r="C492" s="7" t="s">
        <v>13</v>
      </c>
      <c r="D492" s="12">
        <v>20</v>
      </c>
      <c r="E492" s="13">
        <v>2.93</v>
      </c>
      <c r="F492" s="14">
        <f>ROUND(D492*E492,2)</f>
        <v>58.6</v>
      </c>
    </row>
    <row r="493" spans="1:6" x14ac:dyDescent="0.25">
      <c r="B493" s="11" t="s">
        <v>531</v>
      </c>
      <c r="C493" s="7" t="s">
        <v>13</v>
      </c>
      <c r="D493" s="12">
        <v>450</v>
      </c>
      <c r="E493" s="13">
        <v>3.5</v>
      </c>
      <c r="F493" s="14">
        <f>ROUND(D493*E493,2)</f>
        <v>1575</v>
      </c>
    </row>
    <row r="494" spans="1:6" x14ac:dyDescent="0.25">
      <c r="B494" s="11" t="s">
        <v>537</v>
      </c>
      <c r="C494" s="7" t="s">
        <v>13</v>
      </c>
      <c r="D494" s="12">
        <v>30</v>
      </c>
      <c r="E494" s="13">
        <v>4.5</v>
      </c>
      <c r="F494" s="14">
        <f>ROUND(D494*E494,2)</f>
        <v>135</v>
      </c>
    </row>
    <row r="496" spans="1:6" ht="24" x14ac:dyDescent="0.25">
      <c r="A496" s="9" t="s">
        <v>2216</v>
      </c>
      <c r="B496" s="8" t="s">
        <v>538</v>
      </c>
    </row>
    <row r="497" spans="1:6" x14ac:dyDescent="0.25">
      <c r="B497" s="11" t="s">
        <v>530</v>
      </c>
      <c r="C497" s="7" t="s">
        <v>13</v>
      </c>
      <c r="D497" s="12">
        <v>60</v>
      </c>
      <c r="E497" s="13">
        <v>2.93</v>
      </c>
      <c r="F497" s="14">
        <f>ROUND(D497*E497,2)</f>
        <v>175.8</v>
      </c>
    </row>
    <row r="498" spans="1:6" x14ac:dyDescent="0.25">
      <c r="B498" s="11" t="s">
        <v>531</v>
      </c>
      <c r="C498" s="7" t="s">
        <v>13</v>
      </c>
      <c r="D498" s="12">
        <v>125</v>
      </c>
      <c r="E498" s="13">
        <v>3.5</v>
      </c>
      <c r="F498" s="14">
        <f>ROUND(D498*E498,2)</f>
        <v>437.5</v>
      </c>
    </row>
    <row r="499" spans="1:6" x14ac:dyDescent="0.25">
      <c r="B499" s="11" t="s">
        <v>514</v>
      </c>
      <c r="C499" s="7" t="s">
        <v>13</v>
      </c>
      <c r="D499" s="12">
        <v>15</v>
      </c>
      <c r="E499" s="13">
        <v>4.8</v>
      </c>
      <c r="F499" s="14">
        <f>ROUND(D499*E499,2)</f>
        <v>72</v>
      </c>
    </row>
    <row r="500" spans="1:6" x14ac:dyDescent="0.25">
      <c r="B500" s="11" t="s">
        <v>537</v>
      </c>
      <c r="C500" s="7" t="s">
        <v>13</v>
      </c>
      <c r="D500" s="12">
        <v>150</v>
      </c>
      <c r="E500" s="13">
        <v>3</v>
      </c>
      <c r="F500" s="14">
        <f>ROUND(D500*E500,2)</f>
        <v>450</v>
      </c>
    </row>
    <row r="501" spans="1:6" x14ac:dyDescent="0.25">
      <c r="B501" s="11" t="s">
        <v>539</v>
      </c>
      <c r="C501" s="7" t="s">
        <v>13</v>
      </c>
      <c r="D501" s="12">
        <v>10</v>
      </c>
      <c r="E501" s="13">
        <v>3.15</v>
      </c>
      <c r="F501" s="14">
        <f>ROUND(D501*E501,2)</f>
        <v>31.5</v>
      </c>
    </row>
    <row r="503" spans="1:6" ht="24" x14ac:dyDescent="0.25">
      <c r="A503" s="9" t="s">
        <v>2217</v>
      </c>
      <c r="B503" s="8" t="s">
        <v>540</v>
      </c>
    </row>
    <row r="504" spans="1:6" x14ac:dyDescent="0.25">
      <c r="B504" s="11" t="s">
        <v>541</v>
      </c>
      <c r="C504" s="7" t="s">
        <v>13</v>
      </c>
      <c r="D504" s="12">
        <v>50</v>
      </c>
      <c r="E504" s="13">
        <v>2.25</v>
      </c>
      <c r="F504" s="14">
        <f t="shared" ref="F504:F512" si="13">ROUND(D504*E504,2)</f>
        <v>112.5</v>
      </c>
    </row>
    <row r="505" spans="1:6" x14ac:dyDescent="0.25">
      <c r="B505" s="11" t="s">
        <v>530</v>
      </c>
      <c r="C505" s="7" t="s">
        <v>13</v>
      </c>
      <c r="D505" s="12">
        <v>100</v>
      </c>
      <c r="E505" s="13">
        <v>2.93</v>
      </c>
      <c r="F505" s="14">
        <f t="shared" si="13"/>
        <v>293</v>
      </c>
    </row>
    <row r="506" spans="1:6" x14ac:dyDescent="0.25">
      <c r="B506" s="11" t="s">
        <v>542</v>
      </c>
      <c r="C506" s="7" t="s">
        <v>13</v>
      </c>
      <c r="D506" s="12">
        <v>35</v>
      </c>
      <c r="E506" s="13">
        <v>3.45</v>
      </c>
      <c r="F506" s="14">
        <f t="shared" si="13"/>
        <v>120.75</v>
      </c>
    </row>
    <row r="507" spans="1:6" x14ac:dyDescent="0.25">
      <c r="B507" s="11" t="s">
        <v>531</v>
      </c>
      <c r="C507" s="7" t="s">
        <v>13</v>
      </c>
      <c r="D507" s="12">
        <v>75</v>
      </c>
      <c r="E507" s="13">
        <v>3.55</v>
      </c>
      <c r="F507" s="14">
        <f t="shared" si="13"/>
        <v>266.25</v>
      </c>
    </row>
    <row r="508" spans="1:6" x14ac:dyDescent="0.25">
      <c r="B508" s="11" t="s">
        <v>514</v>
      </c>
      <c r="C508" s="7" t="s">
        <v>13</v>
      </c>
      <c r="D508" s="12">
        <v>120</v>
      </c>
      <c r="E508" s="13">
        <v>4.8</v>
      </c>
      <c r="F508" s="14">
        <f t="shared" si="13"/>
        <v>576</v>
      </c>
    </row>
    <row r="509" spans="1:6" x14ac:dyDescent="0.25">
      <c r="B509" s="11" t="s">
        <v>543</v>
      </c>
      <c r="C509" s="7" t="s">
        <v>13</v>
      </c>
      <c r="D509" s="12">
        <v>100</v>
      </c>
      <c r="E509" s="13">
        <v>5.63</v>
      </c>
      <c r="F509" s="14">
        <f t="shared" si="13"/>
        <v>563</v>
      </c>
    </row>
    <row r="510" spans="1:6" x14ac:dyDescent="0.25">
      <c r="B510" s="11" t="s">
        <v>537</v>
      </c>
      <c r="C510" s="7" t="s">
        <v>13</v>
      </c>
      <c r="D510" s="12">
        <v>200</v>
      </c>
      <c r="E510" s="13">
        <v>3</v>
      </c>
      <c r="F510" s="14">
        <f t="shared" si="13"/>
        <v>600</v>
      </c>
    </row>
    <row r="511" spans="1:6" x14ac:dyDescent="0.25">
      <c r="B511" s="11" t="s">
        <v>539</v>
      </c>
      <c r="C511" s="7" t="s">
        <v>13</v>
      </c>
      <c r="D511" s="12">
        <v>125</v>
      </c>
      <c r="E511" s="13">
        <v>3.15</v>
      </c>
      <c r="F511" s="14">
        <f t="shared" si="13"/>
        <v>393.75</v>
      </c>
    </row>
    <row r="512" spans="1:6" x14ac:dyDescent="0.25">
      <c r="B512" s="11" t="s">
        <v>544</v>
      </c>
      <c r="C512" s="7" t="s">
        <v>13</v>
      </c>
      <c r="D512" s="12">
        <v>75</v>
      </c>
      <c r="E512" s="13">
        <v>3.3</v>
      </c>
      <c r="F512" s="14">
        <f t="shared" si="13"/>
        <v>247.5</v>
      </c>
    </row>
    <row r="514" spans="1:6" ht="24" x14ac:dyDescent="0.25">
      <c r="A514" s="9" t="s">
        <v>2218</v>
      </c>
      <c r="B514" s="8" t="s">
        <v>545</v>
      </c>
    </row>
    <row r="515" spans="1:6" x14ac:dyDescent="0.25">
      <c r="B515" s="11" t="s">
        <v>530</v>
      </c>
      <c r="C515" s="7" t="s">
        <v>13</v>
      </c>
      <c r="D515" s="12">
        <v>30</v>
      </c>
      <c r="E515" s="13">
        <v>2.93</v>
      </c>
      <c r="F515" s="14">
        <f t="shared" ref="F515:F522" si="14">ROUND(D515*E515,2)</f>
        <v>87.9</v>
      </c>
    </row>
    <row r="516" spans="1:6" x14ac:dyDescent="0.25">
      <c r="B516" s="11" t="s">
        <v>542</v>
      </c>
      <c r="C516" s="7" t="s">
        <v>13</v>
      </c>
      <c r="D516" s="12">
        <v>10</v>
      </c>
      <c r="E516" s="13">
        <v>2.71</v>
      </c>
      <c r="F516" s="14">
        <f t="shared" si="14"/>
        <v>27.1</v>
      </c>
    </row>
    <row r="517" spans="1:6" x14ac:dyDescent="0.25">
      <c r="B517" s="11" t="s">
        <v>531</v>
      </c>
      <c r="C517" s="7" t="s">
        <v>13</v>
      </c>
      <c r="D517" s="12">
        <v>75</v>
      </c>
      <c r="E517" s="13">
        <v>3.5</v>
      </c>
      <c r="F517" s="14">
        <f t="shared" si="14"/>
        <v>262.5</v>
      </c>
    </row>
    <row r="518" spans="1:6" x14ac:dyDescent="0.25">
      <c r="B518" s="11" t="s">
        <v>514</v>
      </c>
      <c r="C518" s="7" t="s">
        <v>13</v>
      </c>
      <c r="D518" s="12">
        <v>15</v>
      </c>
      <c r="E518" s="13">
        <v>4.8</v>
      </c>
      <c r="F518" s="14">
        <f t="shared" si="14"/>
        <v>72</v>
      </c>
    </row>
    <row r="519" spans="1:6" x14ac:dyDescent="0.25">
      <c r="B519" s="11" t="s">
        <v>510</v>
      </c>
      <c r="C519" s="7" t="s">
        <v>13</v>
      </c>
      <c r="D519" s="12">
        <v>20</v>
      </c>
      <c r="E519" s="13">
        <v>8.36</v>
      </c>
      <c r="F519" s="14">
        <f t="shared" si="14"/>
        <v>167.2</v>
      </c>
    </row>
    <row r="520" spans="1:6" x14ac:dyDescent="0.25">
      <c r="B520" s="11" t="s">
        <v>537</v>
      </c>
      <c r="C520" s="7" t="s">
        <v>13</v>
      </c>
      <c r="D520" s="12">
        <v>75</v>
      </c>
      <c r="E520" s="13">
        <v>3</v>
      </c>
      <c r="F520" s="14">
        <f t="shared" si="14"/>
        <v>225</v>
      </c>
    </row>
    <row r="521" spans="1:6" x14ac:dyDescent="0.25">
      <c r="B521" s="11" t="s">
        <v>539</v>
      </c>
      <c r="C521" s="7" t="s">
        <v>13</v>
      </c>
      <c r="D521" s="12">
        <v>10</v>
      </c>
      <c r="E521" s="13">
        <v>3.15</v>
      </c>
      <c r="F521" s="14">
        <f t="shared" si="14"/>
        <v>31.5</v>
      </c>
    </row>
    <row r="522" spans="1:6" x14ac:dyDescent="0.25">
      <c r="B522" s="11" t="s">
        <v>544</v>
      </c>
      <c r="C522" s="7" t="s">
        <v>13</v>
      </c>
      <c r="D522" s="12">
        <v>15</v>
      </c>
      <c r="E522" s="13">
        <v>3.3</v>
      </c>
      <c r="F522" s="14">
        <f t="shared" si="14"/>
        <v>49.5</v>
      </c>
    </row>
    <row r="524" spans="1:6" ht="24" x14ac:dyDescent="0.25">
      <c r="A524" s="9" t="s">
        <v>2219</v>
      </c>
      <c r="B524" s="8" t="s">
        <v>546</v>
      </c>
    </row>
    <row r="525" spans="1:6" x14ac:dyDescent="0.25">
      <c r="B525" s="11" t="s">
        <v>525</v>
      </c>
      <c r="C525" s="7" t="s">
        <v>13</v>
      </c>
      <c r="D525" s="12">
        <v>150</v>
      </c>
      <c r="E525" s="13">
        <v>2.5299999999999998</v>
      </c>
      <c r="F525" s="14">
        <f t="shared" ref="F525:F537" si="15">ROUND(D525*E525,2)</f>
        <v>379.5</v>
      </c>
    </row>
    <row r="526" spans="1:6" x14ac:dyDescent="0.25">
      <c r="B526" s="11" t="s">
        <v>529</v>
      </c>
      <c r="C526" s="7" t="s">
        <v>13</v>
      </c>
      <c r="D526" s="12">
        <v>225</v>
      </c>
      <c r="E526" s="13">
        <v>3.1</v>
      </c>
      <c r="F526" s="14">
        <f t="shared" si="15"/>
        <v>697.5</v>
      </c>
    </row>
    <row r="527" spans="1:6" x14ac:dyDescent="0.25">
      <c r="B527" s="11" t="s">
        <v>530</v>
      </c>
      <c r="C527" s="7" t="s">
        <v>13</v>
      </c>
      <c r="D527" s="12">
        <v>15</v>
      </c>
      <c r="E527" s="13">
        <v>2.93</v>
      </c>
      <c r="F527" s="14">
        <f t="shared" si="15"/>
        <v>43.95</v>
      </c>
    </row>
    <row r="528" spans="1:6" x14ac:dyDescent="0.25">
      <c r="B528" s="11" t="s">
        <v>531</v>
      </c>
      <c r="C528" s="7" t="s">
        <v>13</v>
      </c>
      <c r="D528" s="12">
        <v>225</v>
      </c>
      <c r="E528" s="13">
        <v>3.5</v>
      </c>
      <c r="F528" s="14">
        <f t="shared" si="15"/>
        <v>787.5</v>
      </c>
    </row>
    <row r="529" spans="1:6" x14ac:dyDescent="0.25">
      <c r="B529" s="11" t="s">
        <v>514</v>
      </c>
      <c r="C529" s="7" t="s">
        <v>13</v>
      </c>
      <c r="D529" s="12">
        <v>25</v>
      </c>
      <c r="E529" s="13">
        <v>4.8</v>
      </c>
      <c r="F529" s="14">
        <f t="shared" si="15"/>
        <v>120</v>
      </c>
    </row>
    <row r="530" spans="1:6" x14ac:dyDescent="0.25">
      <c r="B530" s="11" t="s">
        <v>547</v>
      </c>
      <c r="C530" s="7" t="s">
        <v>13</v>
      </c>
      <c r="D530" s="12">
        <v>40</v>
      </c>
      <c r="E530" s="13">
        <v>6.22</v>
      </c>
      <c r="F530" s="14">
        <f t="shared" si="15"/>
        <v>248.8</v>
      </c>
    </row>
    <row r="531" spans="1:6" x14ac:dyDescent="0.25">
      <c r="B531" s="11" t="s">
        <v>510</v>
      </c>
      <c r="C531" s="7" t="s">
        <v>13</v>
      </c>
      <c r="D531" s="12">
        <v>30</v>
      </c>
      <c r="E531" s="13">
        <v>8.36</v>
      </c>
      <c r="F531" s="14">
        <f t="shared" si="15"/>
        <v>250.8</v>
      </c>
    </row>
    <row r="532" spans="1:6" x14ac:dyDescent="0.25">
      <c r="B532" s="11" t="s">
        <v>508</v>
      </c>
      <c r="C532" s="7" t="s">
        <v>13</v>
      </c>
      <c r="D532" s="12">
        <v>50</v>
      </c>
      <c r="E532" s="13">
        <v>14</v>
      </c>
      <c r="F532" s="14">
        <f t="shared" si="15"/>
        <v>700</v>
      </c>
    </row>
    <row r="533" spans="1:6" x14ac:dyDescent="0.25">
      <c r="B533" s="11" t="s">
        <v>532</v>
      </c>
      <c r="C533" s="7" t="s">
        <v>13</v>
      </c>
      <c r="D533" s="12">
        <v>450</v>
      </c>
      <c r="E533" s="13">
        <v>2.2000000000000002</v>
      </c>
      <c r="F533" s="14">
        <f t="shared" si="15"/>
        <v>990</v>
      </c>
    </row>
    <row r="534" spans="1:6" x14ac:dyDescent="0.25">
      <c r="B534" s="11" t="s">
        <v>337</v>
      </c>
      <c r="C534" s="7" t="s">
        <v>13</v>
      </c>
      <c r="D534" s="12">
        <v>20</v>
      </c>
      <c r="E534" s="13">
        <v>2.2000000000000002</v>
      </c>
      <c r="F534" s="14">
        <f t="shared" si="15"/>
        <v>44</v>
      </c>
    </row>
    <row r="535" spans="1:6" x14ac:dyDescent="0.25">
      <c r="B535" s="11" t="s">
        <v>533</v>
      </c>
      <c r="C535" s="7" t="s">
        <v>13</v>
      </c>
      <c r="D535" s="12">
        <v>50</v>
      </c>
      <c r="E535" s="13">
        <v>2.4</v>
      </c>
      <c r="F535" s="14">
        <f t="shared" si="15"/>
        <v>120</v>
      </c>
    </row>
    <row r="536" spans="1:6" x14ac:dyDescent="0.25">
      <c r="B536" s="11" t="s">
        <v>534</v>
      </c>
      <c r="C536" s="7" t="s">
        <v>13</v>
      </c>
      <c r="D536" s="12">
        <v>50</v>
      </c>
      <c r="E536" s="13">
        <v>3</v>
      </c>
      <c r="F536" s="14">
        <f t="shared" si="15"/>
        <v>150</v>
      </c>
    </row>
    <row r="537" spans="1:6" x14ac:dyDescent="0.25">
      <c r="B537" s="11" t="s">
        <v>535</v>
      </c>
      <c r="C537" s="7" t="s">
        <v>13</v>
      </c>
      <c r="D537" s="12">
        <v>50</v>
      </c>
      <c r="E537" s="13">
        <v>3.5</v>
      </c>
      <c r="F537" s="14">
        <f t="shared" si="15"/>
        <v>175</v>
      </c>
    </row>
    <row r="539" spans="1:6" ht="24" x14ac:dyDescent="0.25">
      <c r="A539" s="9" t="s">
        <v>2220</v>
      </c>
      <c r="B539" s="8" t="s">
        <v>548</v>
      </c>
    </row>
    <row r="540" spans="1:6" x14ac:dyDescent="0.25">
      <c r="B540" s="11" t="s">
        <v>525</v>
      </c>
      <c r="C540" s="7" t="s">
        <v>13</v>
      </c>
      <c r="D540" s="12">
        <v>500</v>
      </c>
      <c r="E540" s="13">
        <v>2.5299999999999998</v>
      </c>
      <c r="F540" s="14">
        <f t="shared" ref="F540:F547" si="16">ROUND(D540*E540,2)</f>
        <v>1265</v>
      </c>
    </row>
    <row r="541" spans="1:6" x14ac:dyDescent="0.25">
      <c r="B541" s="11" t="s">
        <v>526</v>
      </c>
      <c r="C541" s="7" t="s">
        <v>13</v>
      </c>
      <c r="D541" s="12">
        <v>150</v>
      </c>
      <c r="E541" s="13">
        <v>2.93</v>
      </c>
      <c r="F541" s="14">
        <f t="shared" si="16"/>
        <v>439.5</v>
      </c>
    </row>
    <row r="542" spans="1:6" x14ac:dyDescent="0.25">
      <c r="B542" s="11" t="s">
        <v>527</v>
      </c>
      <c r="C542" s="7" t="s">
        <v>13</v>
      </c>
      <c r="D542" s="12">
        <v>50</v>
      </c>
      <c r="E542" s="13">
        <v>3.17</v>
      </c>
      <c r="F542" s="14">
        <f t="shared" si="16"/>
        <v>158.5</v>
      </c>
    </row>
    <row r="543" spans="1:6" x14ac:dyDescent="0.25">
      <c r="B543" s="11" t="s">
        <v>529</v>
      </c>
      <c r="C543" s="7" t="s">
        <v>13</v>
      </c>
      <c r="D543" s="12">
        <v>150</v>
      </c>
      <c r="E543" s="13">
        <v>3.1</v>
      </c>
      <c r="F543" s="14">
        <f t="shared" si="16"/>
        <v>465</v>
      </c>
    </row>
    <row r="544" spans="1:6" x14ac:dyDescent="0.25">
      <c r="B544" s="11" t="s">
        <v>549</v>
      </c>
      <c r="C544" s="7" t="s">
        <v>13</v>
      </c>
      <c r="D544" s="12">
        <v>25</v>
      </c>
      <c r="E544" s="13">
        <v>1.7</v>
      </c>
      <c r="F544" s="14">
        <f t="shared" si="16"/>
        <v>42.5</v>
      </c>
    </row>
    <row r="545" spans="1:6" x14ac:dyDescent="0.25">
      <c r="B545" s="11" t="s">
        <v>532</v>
      </c>
      <c r="C545" s="7" t="s">
        <v>13</v>
      </c>
      <c r="D545" s="12">
        <v>500</v>
      </c>
      <c r="E545" s="13">
        <v>2</v>
      </c>
      <c r="F545" s="14">
        <f t="shared" si="16"/>
        <v>1000</v>
      </c>
    </row>
    <row r="546" spans="1:6" x14ac:dyDescent="0.25">
      <c r="B546" s="11" t="s">
        <v>337</v>
      </c>
      <c r="C546" s="7" t="s">
        <v>13</v>
      </c>
      <c r="D546" s="12">
        <v>50</v>
      </c>
      <c r="E546" s="13">
        <v>2.2000000000000002</v>
      </c>
      <c r="F546" s="14">
        <f t="shared" si="16"/>
        <v>110</v>
      </c>
    </row>
    <row r="547" spans="1:6" x14ac:dyDescent="0.25">
      <c r="B547" s="11" t="s">
        <v>533</v>
      </c>
      <c r="C547" s="7" t="s">
        <v>13</v>
      </c>
      <c r="D547" s="12">
        <v>50</v>
      </c>
      <c r="E547" s="13">
        <v>2.4</v>
      </c>
      <c r="F547" s="14">
        <f t="shared" si="16"/>
        <v>120</v>
      </c>
    </row>
    <row r="549" spans="1:6" ht="24" x14ac:dyDescent="0.25">
      <c r="A549" s="9" t="s">
        <v>2221</v>
      </c>
      <c r="B549" s="8" t="s">
        <v>550</v>
      </c>
    </row>
    <row r="550" spans="1:6" x14ac:dyDescent="0.25">
      <c r="B550" s="11" t="s">
        <v>525</v>
      </c>
      <c r="C550" s="7" t="s">
        <v>13</v>
      </c>
      <c r="D550" s="12">
        <v>475</v>
      </c>
      <c r="E550" s="13">
        <v>2.5299999999999998</v>
      </c>
      <c r="F550" s="14">
        <f t="shared" ref="F550:F558" si="17">ROUND(D550*E550,2)</f>
        <v>1201.75</v>
      </c>
    </row>
    <row r="551" spans="1:6" x14ac:dyDescent="0.25">
      <c r="B551" s="11" t="s">
        <v>526</v>
      </c>
      <c r="C551" s="7" t="s">
        <v>13</v>
      </c>
      <c r="D551" s="12">
        <v>75</v>
      </c>
      <c r="E551" s="13">
        <v>2.93</v>
      </c>
      <c r="F551" s="14">
        <f t="shared" si="17"/>
        <v>219.75</v>
      </c>
    </row>
    <row r="552" spans="1:6" x14ac:dyDescent="0.25">
      <c r="B552" s="11" t="s">
        <v>527</v>
      </c>
      <c r="C552" s="7" t="s">
        <v>13</v>
      </c>
      <c r="D552" s="12">
        <v>50</v>
      </c>
      <c r="E552" s="13">
        <v>3.17</v>
      </c>
      <c r="F552" s="14">
        <f t="shared" si="17"/>
        <v>158.5</v>
      </c>
    </row>
    <row r="553" spans="1:6" x14ac:dyDescent="0.25">
      <c r="B553" s="11" t="s">
        <v>529</v>
      </c>
      <c r="C553" s="7" t="s">
        <v>13</v>
      </c>
      <c r="D553" s="12">
        <v>415</v>
      </c>
      <c r="E553" s="13">
        <v>3.1</v>
      </c>
      <c r="F553" s="14">
        <f t="shared" si="17"/>
        <v>1286.5</v>
      </c>
    </row>
    <row r="554" spans="1:6" x14ac:dyDescent="0.25">
      <c r="B554" s="11" t="s">
        <v>551</v>
      </c>
      <c r="C554" s="7" t="s">
        <v>13</v>
      </c>
      <c r="D554" s="12">
        <v>25</v>
      </c>
      <c r="E554" s="13">
        <v>1.7</v>
      </c>
      <c r="F554" s="14">
        <f t="shared" si="17"/>
        <v>42.5</v>
      </c>
    </row>
    <row r="555" spans="1:6" x14ac:dyDescent="0.25">
      <c r="B555" s="11" t="s">
        <v>531</v>
      </c>
      <c r="C555" s="7" t="s">
        <v>13</v>
      </c>
      <c r="D555" s="12">
        <v>50</v>
      </c>
      <c r="E555" s="13">
        <v>3.5</v>
      </c>
      <c r="F555" s="14">
        <f t="shared" si="17"/>
        <v>175</v>
      </c>
    </row>
    <row r="556" spans="1:6" x14ac:dyDescent="0.25">
      <c r="B556" s="11" t="s">
        <v>532</v>
      </c>
      <c r="C556" s="7" t="s">
        <v>13</v>
      </c>
      <c r="D556" s="12">
        <v>750</v>
      </c>
      <c r="E556" s="13">
        <v>2</v>
      </c>
      <c r="F556" s="14">
        <f t="shared" si="17"/>
        <v>1500</v>
      </c>
    </row>
    <row r="557" spans="1:6" x14ac:dyDescent="0.25">
      <c r="B557" s="11" t="s">
        <v>337</v>
      </c>
      <c r="C557" s="7" t="s">
        <v>13</v>
      </c>
      <c r="D557" s="12">
        <v>50</v>
      </c>
      <c r="E557" s="13">
        <v>2.2000000000000002</v>
      </c>
      <c r="F557" s="14">
        <f t="shared" si="17"/>
        <v>110</v>
      </c>
    </row>
    <row r="558" spans="1:6" x14ac:dyDescent="0.25">
      <c r="B558" s="11" t="s">
        <v>533</v>
      </c>
      <c r="C558" s="7" t="s">
        <v>13</v>
      </c>
      <c r="D558" s="12">
        <v>50</v>
      </c>
      <c r="E558" s="13">
        <v>2.4</v>
      </c>
      <c r="F558" s="14">
        <f t="shared" si="17"/>
        <v>120</v>
      </c>
    </row>
    <row r="560" spans="1:6" ht="24" x14ac:dyDescent="0.25">
      <c r="A560" s="9" t="s">
        <v>2222</v>
      </c>
      <c r="B560" s="8" t="s">
        <v>552</v>
      </c>
    </row>
    <row r="561" spans="1:6" x14ac:dyDescent="0.25">
      <c r="B561" s="11" t="s">
        <v>525</v>
      </c>
      <c r="C561" s="7" t="s">
        <v>13</v>
      </c>
      <c r="D561" s="12">
        <v>125</v>
      </c>
      <c r="E561" s="13">
        <v>2.5299999999999998</v>
      </c>
      <c r="F561" s="14">
        <f t="shared" ref="F561:F566" si="18">ROUND(D561*E561,2)</f>
        <v>316.25</v>
      </c>
    </row>
    <row r="562" spans="1:6" x14ac:dyDescent="0.25">
      <c r="B562" s="11" t="s">
        <v>526</v>
      </c>
      <c r="C562" s="7" t="s">
        <v>13</v>
      </c>
      <c r="D562" s="12">
        <v>1050</v>
      </c>
      <c r="E562" s="13">
        <v>2.93</v>
      </c>
      <c r="F562" s="14">
        <f t="shared" si="18"/>
        <v>3076.5</v>
      </c>
    </row>
    <row r="563" spans="1:6" x14ac:dyDescent="0.25">
      <c r="B563" s="11" t="s">
        <v>529</v>
      </c>
      <c r="C563" s="7" t="s">
        <v>13</v>
      </c>
      <c r="D563" s="12">
        <v>325</v>
      </c>
      <c r="E563" s="13">
        <v>3.1</v>
      </c>
      <c r="F563" s="14">
        <f t="shared" si="18"/>
        <v>1007.5</v>
      </c>
    </row>
    <row r="564" spans="1:6" x14ac:dyDescent="0.25">
      <c r="B564" s="11" t="s">
        <v>532</v>
      </c>
      <c r="C564" s="7" t="s">
        <v>13</v>
      </c>
      <c r="D564" s="12">
        <v>400</v>
      </c>
      <c r="E564" s="13">
        <v>2</v>
      </c>
      <c r="F564" s="14">
        <f t="shared" si="18"/>
        <v>800</v>
      </c>
    </row>
    <row r="565" spans="1:6" x14ac:dyDescent="0.25">
      <c r="B565" s="11" t="s">
        <v>337</v>
      </c>
      <c r="C565" s="7" t="s">
        <v>13</v>
      </c>
      <c r="D565" s="12">
        <v>75</v>
      </c>
      <c r="E565" s="13">
        <v>2.2000000000000002</v>
      </c>
      <c r="F565" s="14">
        <f t="shared" si="18"/>
        <v>165</v>
      </c>
    </row>
    <row r="566" spans="1:6" x14ac:dyDescent="0.25">
      <c r="B566" s="11" t="s">
        <v>533</v>
      </c>
      <c r="C566" s="7" t="s">
        <v>13</v>
      </c>
      <c r="D566" s="12">
        <v>75</v>
      </c>
      <c r="E566" s="13">
        <v>2.4</v>
      </c>
      <c r="F566" s="14">
        <f t="shared" si="18"/>
        <v>180</v>
      </c>
    </row>
    <row r="568" spans="1:6" ht="24" x14ac:dyDescent="0.25">
      <c r="A568" s="9" t="s">
        <v>2223</v>
      </c>
      <c r="B568" s="8" t="s">
        <v>553</v>
      </c>
    </row>
    <row r="569" spans="1:6" x14ac:dyDescent="0.25">
      <c r="B569" s="11" t="s">
        <v>554</v>
      </c>
      <c r="C569" s="7" t="s">
        <v>13</v>
      </c>
      <c r="D569" s="12">
        <v>750</v>
      </c>
      <c r="E569" s="13">
        <v>1.7</v>
      </c>
      <c r="F569" s="14">
        <f>ROUND(D569*E569,2)</f>
        <v>1275</v>
      </c>
    </row>
    <row r="570" spans="1:6" x14ac:dyDescent="0.25">
      <c r="B570" s="11" t="s">
        <v>532</v>
      </c>
      <c r="C570" s="7" t="s">
        <v>13</v>
      </c>
      <c r="D570" s="12">
        <v>250</v>
      </c>
      <c r="E570" s="13">
        <v>2</v>
      </c>
      <c r="F570" s="14">
        <f>ROUND(D570*E570,2)</f>
        <v>500</v>
      </c>
    </row>
    <row r="571" spans="1:6" x14ac:dyDescent="0.25">
      <c r="B571" s="11" t="s">
        <v>537</v>
      </c>
      <c r="C571" s="7" t="s">
        <v>13</v>
      </c>
      <c r="D571" s="12">
        <v>200</v>
      </c>
      <c r="E571" s="13">
        <v>3</v>
      </c>
      <c r="F571" s="14">
        <f>ROUND(D571*E571,2)</f>
        <v>600</v>
      </c>
    </row>
    <row r="573" spans="1:6" ht="24" x14ac:dyDescent="0.25">
      <c r="A573" s="9" t="s">
        <v>2224</v>
      </c>
      <c r="B573" s="8" t="s">
        <v>555</v>
      </c>
    </row>
    <row r="574" spans="1:6" x14ac:dyDescent="0.25">
      <c r="B574" s="11" t="s">
        <v>556</v>
      </c>
      <c r="C574" s="7" t="s">
        <v>13</v>
      </c>
      <c r="D574" s="12">
        <v>50</v>
      </c>
      <c r="E574" s="13">
        <v>5.36</v>
      </c>
      <c r="F574" s="14">
        <f>ROUND(D574*E574,2)</f>
        <v>268</v>
      </c>
    </row>
    <row r="575" spans="1:6" x14ac:dyDescent="0.25">
      <c r="B575" s="11" t="s">
        <v>532</v>
      </c>
      <c r="C575" s="7" t="s">
        <v>13</v>
      </c>
      <c r="D575" s="12">
        <v>10</v>
      </c>
      <c r="E575" s="13">
        <v>2</v>
      </c>
      <c r="F575" s="14">
        <f>ROUND(D575*E575,2)</f>
        <v>20</v>
      </c>
    </row>
    <row r="576" spans="1:6" x14ac:dyDescent="0.25">
      <c r="B576" s="11" t="s">
        <v>537</v>
      </c>
      <c r="C576" s="7" t="s">
        <v>13</v>
      </c>
      <c r="D576" s="12">
        <v>25</v>
      </c>
      <c r="E576" s="13">
        <v>3</v>
      </c>
      <c r="F576" s="14">
        <f>ROUND(D576*E576,2)</f>
        <v>75</v>
      </c>
    </row>
    <row r="578" spans="1:6" ht="50.25" customHeight="1" x14ac:dyDescent="0.25">
      <c r="A578" s="9" t="s">
        <v>2225</v>
      </c>
      <c r="B578" s="8" t="s">
        <v>557</v>
      </c>
    </row>
    <row r="579" spans="1:6" x14ac:dyDescent="0.25">
      <c r="B579" s="11" t="s">
        <v>558</v>
      </c>
      <c r="C579" s="7" t="s">
        <v>13</v>
      </c>
      <c r="D579" s="12">
        <v>10</v>
      </c>
      <c r="E579" s="13">
        <v>22</v>
      </c>
      <c r="F579" s="14">
        <f t="shared" ref="F579:F587" si="19">ROUND(D579*E579,2)</f>
        <v>220</v>
      </c>
    </row>
    <row r="580" spans="1:6" x14ac:dyDescent="0.25">
      <c r="B580" s="11" t="s">
        <v>559</v>
      </c>
      <c r="C580" s="7" t="s">
        <v>13</v>
      </c>
      <c r="D580" s="12">
        <v>34</v>
      </c>
      <c r="E580" s="13">
        <v>20</v>
      </c>
      <c r="F580" s="14">
        <f t="shared" si="19"/>
        <v>680</v>
      </c>
    </row>
    <row r="581" spans="1:6" x14ac:dyDescent="0.25">
      <c r="B581" s="11" t="s">
        <v>560</v>
      </c>
      <c r="C581" s="7" t="s">
        <v>13</v>
      </c>
      <c r="D581" s="12">
        <v>58</v>
      </c>
      <c r="E581" s="13">
        <v>21</v>
      </c>
      <c r="F581" s="14">
        <f t="shared" si="19"/>
        <v>1218</v>
      </c>
    </row>
    <row r="582" spans="1:6" x14ac:dyDescent="0.25">
      <c r="B582" s="11" t="s">
        <v>561</v>
      </c>
      <c r="C582" s="7" t="s">
        <v>13</v>
      </c>
      <c r="D582" s="12">
        <v>52</v>
      </c>
      <c r="E582" s="13">
        <v>23</v>
      </c>
      <c r="F582" s="14">
        <f t="shared" si="19"/>
        <v>1196</v>
      </c>
    </row>
    <row r="583" spans="1:6" x14ac:dyDescent="0.25">
      <c r="B583" s="11" t="s">
        <v>562</v>
      </c>
      <c r="C583" s="7" t="s">
        <v>15</v>
      </c>
      <c r="D583" s="12">
        <v>25</v>
      </c>
      <c r="E583" s="13">
        <v>11</v>
      </c>
      <c r="F583" s="14">
        <f t="shared" si="19"/>
        <v>275</v>
      </c>
    </row>
    <row r="584" spans="1:6" x14ac:dyDescent="0.25">
      <c r="B584" s="11" t="s">
        <v>563</v>
      </c>
      <c r="C584" s="7" t="s">
        <v>15</v>
      </c>
      <c r="D584" s="12">
        <v>15</v>
      </c>
      <c r="E584" s="13">
        <v>6</v>
      </c>
      <c r="F584" s="14">
        <f t="shared" si="19"/>
        <v>90</v>
      </c>
    </row>
    <row r="585" spans="1:6" x14ac:dyDescent="0.25">
      <c r="B585" s="11" t="s">
        <v>564</v>
      </c>
      <c r="C585" s="7" t="s">
        <v>15</v>
      </c>
      <c r="D585" s="12">
        <v>51</v>
      </c>
      <c r="E585" s="13">
        <v>7</v>
      </c>
      <c r="F585" s="14">
        <f t="shared" si="19"/>
        <v>357</v>
      </c>
    </row>
    <row r="586" spans="1:6" x14ac:dyDescent="0.25">
      <c r="B586" s="11" t="s">
        <v>565</v>
      </c>
      <c r="C586" s="7" t="s">
        <v>15</v>
      </c>
      <c r="D586" s="12">
        <v>87</v>
      </c>
      <c r="E586" s="13">
        <v>8</v>
      </c>
      <c r="F586" s="14">
        <f t="shared" si="19"/>
        <v>696</v>
      </c>
    </row>
    <row r="587" spans="1:6" x14ac:dyDescent="0.25">
      <c r="B587" s="11" t="s">
        <v>566</v>
      </c>
      <c r="C587" s="7" t="s">
        <v>15</v>
      </c>
      <c r="D587" s="12">
        <v>78</v>
      </c>
      <c r="E587" s="13">
        <v>9</v>
      </c>
      <c r="F587" s="14">
        <f t="shared" si="19"/>
        <v>702</v>
      </c>
    </row>
    <row r="589" spans="1:6" ht="16.5" customHeight="1" x14ac:dyDescent="0.25">
      <c r="A589" s="9" t="s">
        <v>2226</v>
      </c>
      <c r="B589" s="8" t="s">
        <v>2602</v>
      </c>
      <c r="C589" s="7" t="s">
        <v>15</v>
      </c>
      <c r="D589" s="12">
        <v>25</v>
      </c>
      <c r="E589" s="13">
        <v>1</v>
      </c>
      <c r="F589" s="14">
        <f>ROUND(D589*E589,2)</f>
        <v>25</v>
      </c>
    </row>
    <row r="591" spans="1:6" x14ac:dyDescent="0.25">
      <c r="A591" s="24" t="s">
        <v>2063</v>
      </c>
      <c r="B591" s="22" t="s">
        <v>2411</v>
      </c>
      <c r="C591" s="24"/>
      <c r="D591" s="24"/>
      <c r="E591" s="134"/>
      <c r="F591" s="28">
        <f>SUM(F189:F589)</f>
        <v>95770.950000000012</v>
      </c>
    </row>
    <row r="593" spans="1:6" x14ac:dyDescent="0.25">
      <c r="A593" s="24" t="s">
        <v>2227</v>
      </c>
      <c r="B593" s="22" t="s">
        <v>567</v>
      </c>
      <c r="C593" s="24"/>
      <c r="D593" s="24"/>
      <c r="E593" s="134"/>
      <c r="F593" s="24"/>
    </row>
    <row r="595" spans="1:6" ht="51.75" customHeight="1" x14ac:dyDescent="0.25">
      <c r="A595" s="9" t="s">
        <v>2228</v>
      </c>
      <c r="B595" s="8" t="s">
        <v>568</v>
      </c>
      <c r="C595" s="7" t="s">
        <v>15</v>
      </c>
      <c r="D595" s="12">
        <v>1</v>
      </c>
      <c r="E595" s="13">
        <v>160</v>
      </c>
      <c r="F595" s="14">
        <f>ROUND(D595*E595,2)</f>
        <v>160</v>
      </c>
    </row>
    <row r="596" spans="1:6" x14ac:dyDescent="0.25">
      <c r="B596" s="11"/>
      <c r="C596" s="3"/>
    </row>
    <row r="597" spans="1:6" ht="36" x14ac:dyDescent="0.25">
      <c r="A597" s="9" t="s">
        <v>2229</v>
      </c>
      <c r="B597" s="8" t="s">
        <v>569</v>
      </c>
    </row>
    <row r="598" spans="1:6" x14ac:dyDescent="0.25">
      <c r="B598" s="11" t="s">
        <v>570</v>
      </c>
      <c r="C598" s="7" t="s">
        <v>13</v>
      </c>
      <c r="D598" s="12">
        <v>100</v>
      </c>
      <c r="E598" s="13">
        <v>4.75</v>
      </c>
      <c r="F598" s="14">
        <f>ROUND(D598*E598,2)</f>
        <v>475</v>
      </c>
    </row>
    <row r="599" spans="1:6" x14ac:dyDescent="0.25">
      <c r="B599" s="11" t="s">
        <v>571</v>
      </c>
      <c r="C599" s="7" t="s">
        <v>13</v>
      </c>
      <c r="D599" s="12">
        <v>100</v>
      </c>
      <c r="E599" s="13">
        <v>3.55</v>
      </c>
      <c r="F599" s="14">
        <f>ROUND(D599*E599,2)</f>
        <v>355</v>
      </c>
    </row>
    <row r="600" spans="1:6" x14ac:dyDescent="0.25">
      <c r="B600" s="11" t="s">
        <v>572</v>
      </c>
      <c r="C600" s="7" t="s">
        <v>19</v>
      </c>
      <c r="D600" s="12">
        <v>1</v>
      </c>
      <c r="E600" s="13">
        <v>30</v>
      </c>
      <c r="F600" s="14">
        <f>ROUND(D600*E600,2)</f>
        <v>30</v>
      </c>
    </row>
    <row r="602" spans="1:6" ht="28.5" customHeight="1" x14ac:dyDescent="0.25">
      <c r="A602" s="9" t="s">
        <v>2230</v>
      </c>
      <c r="B602" s="8" t="s">
        <v>573</v>
      </c>
      <c r="C602" s="7" t="s">
        <v>15</v>
      </c>
      <c r="D602" s="12">
        <v>1</v>
      </c>
      <c r="E602" s="13">
        <v>45</v>
      </c>
      <c r="F602" s="14">
        <f>ROUND(D602*E602,2)</f>
        <v>45</v>
      </c>
    </row>
    <row r="603" spans="1:6" x14ac:dyDescent="0.25">
      <c r="B603" s="11"/>
      <c r="C603" s="3"/>
    </row>
    <row r="604" spans="1:6" ht="28.5" customHeight="1" x14ac:dyDescent="0.25">
      <c r="A604" s="9" t="s">
        <v>2231</v>
      </c>
      <c r="B604" s="8" t="s">
        <v>574</v>
      </c>
      <c r="C604" s="7" t="s">
        <v>15</v>
      </c>
      <c r="D604" s="12">
        <v>1</v>
      </c>
      <c r="E604" s="13">
        <v>65</v>
      </c>
      <c r="F604" s="14">
        <f>ROUND(D604*E604,2)</f>
        <v>65</v>
      </c>
    </row>
    <row r="605" spans="1:6" x14ac:dyDescent="0.25">
      <c r="B605" s="11"/>
      <c r="C605" s="3"/>
    </row>
    <row r="606" spans="1:6" ht="16.5" customHeight="1" x14ac:dyDescent="0.25">
      <c r="A606" s="9" t="s">
        <v>2232</v>
      </c>
      <c r="B606" s="8" t="s">
        <v>575</v>
      </c>
      <c r="C606" s="7" t="s">
        <v>15</v>
      </c>
      <c r="D606" s="12">
        <v>4</v>
      </c>
      <c r="E606" s="13">
        <v>17</v>
      </c>
      <c r="F606" s="14">
        <f>ROUND(D606*E606,2)</f>
        <v>68</v>
      </c>
    </row>
    <row r="607" spans="1:6" x14ac:dyDescent="0.25">
      <c r="B607" s="11"/>
      <c r="C607" s="3"/>
    </row>
    <row r="608" spans="1:6" x14ac:dyDescent="0.25">
      <c r="A608" s="9" t="s">
        <v>2233</v>
      </c>
      <c r="B608" s="8" t="s">
        <v>576</v>
      </c>
      <c r="C608" s="7" t="s">
        <v>15</v>
      </c>
      <c r="D608" s="12">
        <v>14</v>
      </c>
      <c r="E608" s="13">
        <v>12</v>
      </c>
      <c r="F608" s="14">
        <f>ROUND(D608*E608,2)</f>
        <v>168</v>
      </c>
    </row>
    <row r="609" spans="1:6" x14ac:dyDescent="0.25">
      <c r="B609" s="11"/>
      <c r="C609" s="3"/>
    </row>
    <row r="610" spans="1:6" ht="24" x14ac:dyDescent="0.25">
      <c r="A610" s="9" t="s">
        <v>2234</v>
      </c>
      <c r="B610" s="8" t="s">
        <v>577</v>
      </c>
      <c r="C610" s="7" t="s">
        <v>13</v>
      </c>
      <c r="D610" s="12">
        <v>200</v>
      </c>
      <c r="E610" s="13">
        <v>4.1500000000000004</v>
      </c>
      <c r="F610" s="14">
        <f>ROUND(D610*E610,2)</f>
        <v>830</v>
      </c>
    </row>
    <row r="611" spans="1:6" x14ac:dyDescent="0.25">
      <c r="B611" s="11"/>
      <c r="C611" s="3"/>
    </row>
    <row r="612" spans="1:6" ht="24" x14ac:dyDescent="0.25">
      <c r="A612" s="9" t="s">
        <v>2235</v>
      </c>
      <c r="B612" s="8" t="s">
        <v>578</v>
      </c>
      <c r="C612" s="7" t="s">
        <v>13</v>
      </c>
      <c r="D612" s="12">
        <v>280</v>
      </c>
      <c r="E612" s="13">
        <v>2.81</v>
      </c>
      <c r="F612" s="14">
        <f>ROUND(D612*E612,2)</f>
        <v>786.8</v>
      </c>
    </row>
    <row r="613" spans="1:6" x14ac:dyDescent="0.25">
      <c r="B613" s="11"/>
      <c r="C613" s="3"/>
    </row>
    <row r="614" spans="1:6" ht="24" x14ac:dyDescent="0.25">
      <c r="A614" s="9" t="s">
        <v>2236</v>
      </c>
      <c r="B614" s="8" t="s">
        <v>579</v>
      </c>
      <c r="C614" s="7" t="s">
        <v>13</v>
      </c>
      <c r="D614" s="12">
        <v>250</v>
      </c>
      <c r="E614" s="13">
        <v>3.55</v>
      </c>
      <c r="F614" s="14">
        <f>ROUND(D614*E614,2)</f>
        <v>887.5</v>
      </c>
    </row>
    <row r="615" spans="1:6" x14ac:dyDescent="0.25">
      <c r="B615" s="11"/>
      <c r="C615" s="3"/>
    </row>
    <row r="616" spans="1:6" ht="24" x14ac:dyDescent="0.25">
      <c r="A616" s="9" t="s">
        <v>2237</v>
      </c>
      <c r="B616" s="8" t="s">
        <v>580</v>
      </c>
      <c r="C616" s="7" t="s">
        <v>13</v>
      </c>
      <c r="D616" s="12">
        <v>15</v>
      </c>
      <c r="E616" s="13">
        <v>4.75</v>
      </c>
      <c r="F616" s="14">
        <f>ROUND(D616*E616,2)</f>
        <v>71.25</v>
      </c>
    </row>
    <row r="617" spans="1:6" x14ac:dyDescent="0.25">
      <c r="B617" s="11"/>
      <c r="C617" s="3"/>
    </row>
    <row r="618" spans="1:6" x14ac:dyDescent="0.25">
      <c r="A618" s="9" t="s">
        <v>2238</v>
      </c>
      <c r="B618" s="8" t="s">
        <v>581</v>
      </c>
      <c r="C618" s="7" t="s">
        <v>15</v>
      </c>
      <c r="D618" s="12">
        <v>70</v>
      </c>
      <c r="E618" s="13">
        <v>10</v>
      </c>
      <c r="F618" s="14">
        <f>ROUND(D618*E618,2)</f>
        <v>700</v>
      </c>
    </row>
    <row r="619" spans="1:6" x14ac:dyDescent="0.25">
      <c r="B619" s="11"/>
      <c r="C619" s="3"/>
    </row>
    <row r="620" spans="1:6" ht="24" x14ac:dyDescent="0.25">
      <c r="A620" s="9" t="s">
        <v>2239</v>
      </c>
      <c r="B620" s="8" t="s">
        <v>582</v>
      </c>
      <c r="C620" s="7" t="s">
        <v>13</v>
      </c>
      <c r="D620" s="12">
        <v>160</v>
      </c>
      <c r="E620" s="13">
        <v>4.1500000000000004</v>
      </c>
      <c r="F620" s="14">
        <f>ROUND(D620*E620,2)</f>
        <v>664</v>
      </c>
    </row>
    <row r="621" spans="1:6" x14ac:dyDescent="0.25">
      <c r="B621" s="11"/>
      <c r="C621" s="3"/>
    </row>
    <row r="622" spans="1:6" ht="24" x14ac:dyDescent="0.25">
      <c r="A622" s="9" t="s">
        <v>2240</v>
      </c>
      <c r="B622" s="8" t="s">
        <v>583</v>
      </c>
      <c r="C622" s="7" t="s">
        <v>15</v>
      </c>
      <c r="D622" s="12">
        <v>32</v>
      </c>
      <c r="E622" s="13">
        <v>4</v>
      </c>
      <c r="F622" s="14">
        <f>ROUND(D622*E622,2)</f>
        <v>128</v>
      </c>
    </row>
    <row r="624" spans="1:6" x14ac:dyDescent="0.25">
      <c r="A624" s="24" t="s">
        <v>2227</v>
      </c>
      <c r="B624" s="22" t="s">
        <v>584</v>
      </c>
      <c r="C624" s="24"/>
      <c r="D624" s="24"/>
      <c r="E624" s="134"/>
      <c r="F624" s="28">
        <f>SUM(F595:F622)</f>
        <v>5433.55</v>
      </c>
    </row>
    <row r="626" spans="1:6" x14ac:dyDescent="0.25">
      <c r="A626" s="24" t="s">
        <v>2241</v>
      </c>
      <c r="B626" s="22" t="s">
        <v>585</v>
      </c>
      <c r="C626" s="24"/>
      <c r="D626" s="24"/>
      <c r="E626" s="134"/>
      <c r="F626" s="24"/>
    </row>
    <row r="628" spans="1:6" ht="48" x14ac:dyDescent="0.25">
      <c r="A628" s="9" t="s">
        <v>2242</v>
      </c>
      <c r="B628" s="8" t="s">
        <v>586</v>
      </c>
      <c r="C628" s="7" t="s">
        <v>15</v>
      </c>
      <c r="D628" s="12">
        <v>63</v>
      </c>
      <c r="E628" s="13">
        <v>8.8049886621315192</v>
      </c>
      <c r="F628" s="14">
        <f>ROUND(D628*E628,2)</f>
        <v>554.71</v>
      </c>
    </row>
    <row r="629" spans="1:6" x14ac:dyDescent="0.25">
      <c r="B629" s="11"/>
      <c r="C629" s="3"/>
    </row>
    <row r="630" spans="1:6" ht="48" x14ac:dyDescent="0.25">
      <c r="A630" s="9" t="s">
        <v>2244</v>
      </c>
      <c r="B630" s="8" t="s">
        <v>587</v>
      </c>
      <c r="C630" s="7" t="s">
        <v>15</v>
      </c>
      <c r="D630" s="12">
        <v>8</v>
      </c>
      <c r="E630" s="13">
        <v>17.61</v>
      </c>
      <c r="F630" s="14">
        <f>ROUND(D630*E630,2)</f>
        <v>140.88</v>
      </c>
    </row>
    <row r="631" spans="1:6" x14ac:dyDescent="0.25">
      <c r="B631" s="11"/>
      <c r="C631" s="3"/>
    </row>
    <row r="632" spans="1:6" ht="48" x14ac:dyDescent="0.25">
      <c r="A632" s="9" t="s">
        <v>2245</v>
      </c>
      <c r="B632" s="8" t="s">
        <v>588</v>
      </c>
      <c r="C632" s="7" t="s">
        <v>15</v>
      </c>
      <c r="D632" s="12">
        <v>7</v>
      </c>
      <c r="E632" s="13">
        <v>26.76</v>
      </c>
      <c r="F632" s="14">
        <f>ROUND(D632*E632,2)</f>
        <v>187.32</v>
      </c>
    </row>
    <row r="633" spans="1:6" x14ac:dyDescent="0.25">
      <c r="B633" s="11"/>
      <c r="C633" s="3"/>
    </row>
    <row r="634" spans="1:6" ht="48" x14ac:dyDescent="0.25">
      <c r="A634" s="9" t="s">
        <v>2246</v>
      </c>
      <c r="B634" s="8" t="s">
        <v>589</v>
      </c>
      <c r="C634" s="7" t="s">
        <v>15</v>
      </c>
      <c r="D634" s="12">
        <v>13</v>
      </c>
      <c r="E634" s="13">
        <v>17.32</v>
      </c>
      <c r="F634" s="14">
        <f>ROUND(D634*E634,2)</f>
        <v>225.16</v>
      </c>
    </row>
    <row r="635" spans="1:6" x14ac:dyDescent="0.25">
      <c r="B635" s="11"/>
      <c r="C635" s="3"/>
    </row>
    <row r="636" spans="1:6" ht="48" x14ac:dyDescent="0.25">
      <c r="A636" s="9" t="s">
        <v>2247</v>
      </c>
      <c r="B636" s="8" t="s">
        <v>590</v>
      </c>
      <c r="C636" s="7" t="s">
        <v>15</v>
      </c>
      <c r="D636" s="12">
        <v>5</v>
      </c>
      <c r="E636" s="13">
        <v>35</v>
      </c>
      <c r="F636" s="14">
        <f>ROUND(D636*E636,2)</f>
        <v>175</v>
      </c>
    </row>
    <row r="637" spans="1:6" x14ac:dyDescent="0.25">
      <c r="B637" s="11"/>
      <c r="C637" s="3"/>
    </row>
    <row r="638" spans="1:6" x14ac:dyDescent="0.25">
      <c r="A638" s="9" t="s">
        <v>2248</v>
      </c>
      <c r="B638" s="8" t="s">
        <v>591</v>
      </c>
      <c r="C638" s="7" t="s">
        <v>15</v>
      </c>
      <c r="D638" s="12">
        <v>24</v>
      </c>
      <c r="E638" s="13">
        <v>13</v>
      </c>
      <c r="F638" s="14">
        <f>ROUND(D638*E638,2)</f>
        <v>312</v>
      </c>
    </row>
    <row r="639" spans="1:6" x14ac:dyDescent="0.25">
      <c r="B639" s="11"/>
      <c r="C639" s="3"/>
    </row>
    <row r="640" spans="1:6" ht="15" customHeight="1" x14ac:dyDescent="0.25">
      <c r="A640" s="9" t="s">
        <v>2249</v>
      </c>
      <c r="B640" s="8" t="s">
        <v>592</v>
      </c>
      <c r="C640" s="7" t="s">
        <v>15</v>
      </c>
      <c r="D640" s="12">
        <v>3</v>
      </c>
      <c r="E640" s="13">
        <v>14</v>
      </c>
      <c r="F640" s="14">
        <f>ROUND(D640*E640,2)</f>
        <v>42</v>
      </c>
    </row>
    <row r="641" spans="1:6" x14ac:dyDescent="0.25">
      <c r="B641" s="11"/>
      <c r="C641" s="3"/>
    </row>
    <row r="642" spans="1:6" ht="14.25" customHeight="1" x14ac:dyDescent="0.25">
      <c r="A642" s="9" t="s">
        <v>2250</v>
      </c>
      <c r="B642" s="8" t="s">
        <v>593</v>
      </c>
      <c r="C642" s="7" t="s">
        <v>15</v>
      </c>
      <c r="D642" s="12">
        <v>2</v>
      </c>
      <c r="E642" s="13">
        <v>15</v>
      </c>
      <c r="F642" s="14">
        <f>ROUND(D642*E642,2)</f>
        <v>30</v>
      </c>
    </row>
    <row r="643" spans="1:6" x14ac:dyDescent="0.25">
      <c r="B643" s="11"/>
      <c r="C643" s="3"/>
    </row>
    <row r="644" spans="1:6" ht="15.75" customHeight="1" x14ac:dyDescent="0.25">
      <c r="A644" s="9" t="s">
        <v>2251</v>
      </c>
      <c r="B644" s="8" t="s">
        <v>594</v>
      </c>
      <c r="C644" s="7" t="s">
        <v>15</v>
      </c>
      <c r="D644" s="12">
        <v>7</v>
      </c>
      <c r="E644" s="13">
        <v>8</v>
      </c>
      <c r="F644" s="14">
        <f>ROUND(D644*E644,2)</f>
        <v>56</v>
      </c>
    </row>
    <row r="645" spans="1:6" x14ac:dyDescent="0.25">
      <c r="B645" s="11"/>
      <c r="C645" s="3"/>
    </row>
    <row r="646" spans="1:6" ht="24" x14ac:dyDescent="0.25">
      <c r="A646" s="9" t="s">
        <v>2252</v>
      </c>
      <c r="B646" s="8" t="s">
        <v>595</v>
      </c>
      <c r="C646" s="7" t="s">
        <v>15</v>
      </c>
      <c r="D646" s="12">
        <v>3</v>
      </c>
      <c r="E646" s="13">
        <v>35</v>
      </c>
      <c r="F646" s="14">
        <f>ROUND(D646*E646,2)</f>
        <v>105</v>
      </c>
    </row>
    <row r="647" spans="1:6" x14ac:dyDescent="0.25">
      <c r="B647" s="11"/>
      <c r="C647" s="3"/>
    </row>
    <row r="648" spans="1:6" ht="24" x14ac:dyDescent="0.25">
      <c r="A648" s="9" t="s">
        <v>2253</v>
      </c>
      <c r="B648" s="8" t="s">
        <v>596</v>
      </c>
      <c r="C648" s="7" t="s">
        <v>15</v>
      </c>
      <c r="D648" s="12">
        <v>6</v>
      </c>
      <c r="E648" s="13">
        <v>298</v>
      </c>
      <c r="F648" s="14">
        <f>ROUND(D648*E648,2)</f>
        <v>1788</v>
      </c>
    </row>
    <row r="649" spans="1:6" x14ac:dyDescent="0.25">
      <c r="B649" s="11"/>
      <c r="C649" s="3"/>
    </row>
    <row r="650" spans="1:6" ht="39.75" customHeight="1" x14ac:dyDescent="0.25">
      <c r="A650" s="9" t="s">
        <v>2254</v>
      </c>
      <c r="B650" s="8" t="s">
        <v>597</v>
      </c>
      <c r="C650" s="7" t="s">
        <v>15</v>
      </c>
      <c r="D650" s="12">
        <v>1</v>
      </c>
      <c r="E650" s="13">
        <v>280</v>
      </c>
      <c r="F650" s="14">
        <f>ROUND(D650*E650,2)</f>
        <v>280</v>
      </c>
    </row>
    <row r="651" spans="1:6" x14ac:dyDescent="0.25">
      <c r="B651" s="11"/>
      <c r="C651" s="3"/>
    </row>
    <row r="652" spans="1:6" ht="15" customHeight="1" x14ac:dyDescent="0.25">
      <c r="A652" s="9" t="s">
        <v>2255</v>
      </c>
      <c r="B652" s="8" t="s">
        <v>598</v>
      </c>
      <c r="C652" s="7" t="s">
        <v>15</v>
      </c>
      <c r="D652" s="12">
        <v>1</v>
      </c>
      <c r="E652" s="13">
        <v>10.142857142857142</v>
      </c>
      <c r="F652" s="14">
        <f>ROUND(D652*E652,2)</f>
        <v>10.14</v>
      </c>
    </row>
    <row r="653" spans="1:6" x14ac:dyDescent="0.25">
      <c r="B653" s="11"/>
      <c r="C653" s="3"/>
    </row>
    <row r="654" spans="1:6" ht="26.25" customHeight="1" x14ac:dyDescent="0.25">
      <c r="A654" s="9" t="s">
        <v>2256</v>
      </c>
      <c r="B654" s="8" t="s">
        <v>599</v>
      </c>
      <c r="C654" s="7" t="s">
        <v>19</v>
      </c>
      <c r="D654" s="12">
        <v>1</v>
      </c>
      <c r="E654" s="13">
        <v>1500</v>
      </c>
      <c r="F654" s="14">
        <f>ROUND(D654*E654,2)</f>
        <v>1500</v>
      </c>
    </row>
    <row r="655" spans="1:6" x14ac:dyDescent="0.25">
      <c r="B655" s="11"/>
      <c r="C655" s="3"/>
    </row>
    <row r="656" spans="1:6" x14ac:dyDescent="0.25">
      <c r="A656" s="9" t="s">
        <v>2257</v>
      </c>
      <c r="B656" s="8" t="s">
        <v>600</v>
      </c>
      <c r="C656" s="7" t="s">
        <v>15</v>
      </c>
      <c r="D656" s="12">
        <v>50</v>
      </c>
      <c r="E656" s="13">
        <v>5</v>
      </c>
      <c r="F656" s="14">
        <f>ROUND(D656*E656,2)</f>
        <v>250</v>
      </c>
    </row>
    <row r="657" spans="1:6" x14ac:dyDescent="0.25">
      <c r="B657" s="11"/>
      <c r="C657" s="3"/>
    </row>
    <row r="658" spans="1:6" x14ac:dyDescent="0.25">
      <c r="A658" s="9" t="s">
        <v>2258</v>
      </c>
      <c r="B658" s="8" t="s">
        <v>601</v>
      </c>
      <c r="C658" s="7" t="s">
        <v>15</v>
      </c>
      <c r="D658" s="12">
        <v>50</v>
      </c>
      <c r="E658" s="13">
        <v>5</v>
      </c>
      <c r="F658" s="14">
        <f>ROUND(D658*E658,2)</f>
        <v>250</v>
      </c>
    </row>
    <row r="660" spans="1:6" x14ac:dyDescent="0.25">
      <c r="A660" s="24" t="s">
        <v>2241</v>
      </c>
      <c r="B660" s="22" t="s">
        <v>602</v>
      </c>
      <c r="C660" s="24"/>
      <c r="D660" s="24"/>
      <c r="E660" s="134"/>
      <c r="F660" s="28">
        <f>SUM(F628:F658)</f>
        <v>5906.21</v>
      </c>
    </row>
    <row r="662" spans="1:6" x14ac:dyDescent="0.25">
      <c r="A662" s="24" t="s">
        <v>2243</v>
      </c>
      <c r="B662" s="22" t="s">
        <v>603</v>
      </c>
      <c r="C662" s="24"/>
      <c r="D662" s="24"/>
      <c r="E662" s="134"/>
      <c r="F662" s="24"/>
    </row>
    <row r="664" spans="1:6" x14ac:dyDescent="0.25">
      <c r="B664" s="74" t="s">
        <v>3096</v>
      </c>
    </row>
    <row r="665" spans="1:6" x14ac:dyDescent="0.25">
      <c r="B665" s="74"/>
    </row>
    <row r="666" spans="1:6" ht="252" x14ac:dyDescent="0.25">
      <c r="B666" s="74" t="s">
        <v>3097</v>
      </c>
    </row>
    <row r="668" spans="1:6" x14ac:dyDescent="0.25">
      <c r="A668" s="9" t="s">
        <v>2259</v>
      </c>
      <c r="B668" s="81" t="s">
        <v>3098</v>
      </c>
    </row>
    <row r="669" spans="1:6" ht="14.4" customHeight="1" x14ac:dyDescent="0.25">
      <c r="B669" s="37" t="s">
        <v>3099</v>
      </c>
    </row>
    <row r="670" spans="1:6" ht="256.2" customHeight="1" x14ac:dyDescent="0.25">
      <c r="B670" s="37" t="s">
        <v>3100</v>
      </c>
      <c r="C670" s="76" t="s">
        <v>15</v>
      </c>
      <c r="D670" s="40">
        <v>18</v>
      </c>
      <c r="E670" s="13">
        <v>205</v>
      </c>
      <c r="F670" s="14">
        <f>ROUND(D670*E670,2)</f>
        <v>3690</v>
      </c>
    </row>
    <row r="672" spans="1:6" x14ac:dyDescent="0.25">
      <c r="A672" s="9" t="s">
        <v>2260</v>
      </c>
      <c r="B672" s="81" t="s">
        <v>3101</v>
      </c>
    </row>
    <row r="673" spans="1:6" x14ac:dyDescent="0.25">
      <c r="B673" s="75" t="s">
        <v>3099</v>
      </c>
      <c r="C673" s="3"/>
    </row>
    <row r="674" spans="1:6" ht="259.2" customHeight="1" x14ac:dyDescent="0.25">
      <c r="B674" s="82" t="s">
        <v>3102</v>
      </c>
      <c r="C674" s="76" t="s">
        <v>15</v>
      </c>
      <c r="D674" s="40">
        <v>23</v>
      </c>
      <c r="E674" s="13">
        <v>123</v>
      </c>
      <c r="F674" s="14">
        <f>ROUND(D674*E674,2)</f>
        <v>2829</v>
      </c>
    </row>
    <row r="676" spans="1:6" x14ac:dyDescent="0.25">
      <c r="A676" s="9" t="s">
        <v>2261</v>
      </c>
      <c r="B676" s="81" t="s">
        <v>3103</v>
      </c>
    </row>
    <row r="677" spans="1:6" x14ac:dyDescent="0.25">
      <c r="B677" s="75" t="s">
        <v>3099</v>
      </c>
      <c r="C677" s="3"/>
    </row>
    <row r="678" spans="1:6" ht="240" x14ac:dyDescent="0.25">
      <c r="B678" s="74" t="s">
        <v>3104</v>
      </c>
      <c r="C678" s="76" t="s">
        <v>15</v>
      </c>
      <c r="D678" s="40">
        <v>6</v>
      </c>
      <c r="E678" s="13">
        <v>97</v>
      </c>
      <c r="F678" s="14">
        <f>ROUND(D678*E678,2)</f>
        <v>582</v>
      </c>
    </row>
    <row r="680" spans="1:6" x14ac:dyDescent="0.25">
      <c r="A680" s="9" t="s">
        <v>2262</v>
      </c>
      <c r="B680" s="81" t="s">
        <v>3105</v>
      </c>
    </row>
    <row r="681" spans="1:6" x14ac:dyDescent="0.25">
      <c r="B681" s="75" t="s">
        <v>3099</v>
      </c>
      <c r="C681" s="3"/>
    </row>
    <row r="682" spans="1:6" ht="240" x14ac:dyDescent="0.25">
      <c r="B682" s="74" t="s">
        <v>3106</v>
      </c>
      <c r="C682" s="76" t="s">
        <v>15</v>
      </c>
      <c r="D682" s="40">
        <v>6</v>
      </c>
      <c r="E682" s="13">
        <v>103</v>
      </c>
      <c r="F682" s="14">
        <f>ROUND(D682*E682,2)</f>
        <v>618</v>
      </c>
    </row>
    <row r="684" spans="1:6" x14ac:dyDescent="0.25">
      <c r="A684" s="9" t="s">
        <v>2263</v>
      </c>
      <c r="B684" s="81" t="s">
        <v>3107</v>
      </c>
    </row>
    <row r="685" spans="1:6" x14ac:dyDescent="0.25">
      <c r="B685" s="75" t="s">
        <v>3099</v>
      </c>
      <c r="C685" s="3"/>
      <c r="E685" s="13"/>
      <c r="F685" s="14"/>
    </row>
    <row r="686" spans="1:6" ht="240" x14ac:dyDescent="0.25">
      <c r="B686" s="74" t="s">
        <v>3108</v>
      </c>
      <c r="C686" s="76" t="s">
        <v>15</v>
      </c>
      <c r="D686" s="40">
        <v>11</v>
      </c>
      <c r="E686" s="133">
        <v>103</v>
      </c>
      <c r="F686" s="14">
        <f>ROUND(D687*E686,2)</f>
        <v>0</v>
      </c>
    </row>
    <row r="688" spans="1:6" x14ac:dyDescent="0.25">
      <c r="A688" s="9" t="s">
        <v>2264</v>
      </c>
      <c r="B688" s="81" t="s">
        <v>3109</v>
      </c>
    </row>
    <row r="689" spans="1:6" x14ac:dyDescent="0.25">
      <c r="B689" s="75" t="s">
        <v>3099</v>
      </c>
      <c r="C689" s="3"/>
      <c r="E689" s="13"/>
      <c r="F689" s="14"/>
    </row>
    <row r="690" spans="1:6" ht="264" x14ac:dyDescent="0.25">
      <c r="B690" s="75" t="s">
        <v>3110</v>
      </c>
      <c r="C690" s="76" t="s">
        <v>15</v>
      </c>
      <c r="D690" s="40">
        <v>21</v>
      </c>
      <c r="E690" s="13">
        <v>105</v>
      </c>
      <c r="F690" s="14">
        <f>ROUND(D691*E690,2)</f>
        <v>0</v>
      </c>
    </row>
    <row r="691" spans="1:6" x14ac:dyDescent="0.25">
      <c r="B691" s="11"/>
      <c r="D691" s="12"/>
      <c r="E691" s="13"/>
      <c r="F691" s="14"/>
    </row>
    <row r="692" spans="1:6" x14ac:dyDescent="0.25">
      <c r="A692" s="9" t="s">
        <v>2265</v>
      </c>
      <c r="B692" s="81" t="s">
        <v>3111</v>
      </c>
    </row>
    <row r="693" spans="1:6" x14ac:dyDescent="0.25">
      <c r="B693" s="75" t="s">
        <v>3099</v>
      </c>
    </row>
    <row r="694" spans="1:6" ht="228" x14ac:dyDescent="0.25">
      <c r="B694" s="74" t="s">
        <v>3112</v>
      </c>
      <c r="C694" s="76" t="s">
        <v>15</v>
      </c>
      <c r="D694" s="40">
        <v>31</v>
      </c>
      <c r="E694" s="13">
        <v>500</v>
      </c>
      <c r="F694" s="14">
        <f>ROUND(D694*E694,2)</f>
        <v>15500</v>
      </c>
    </row>
    <row r="696" spans="1:6" x14ac:dyDescent="0.25">
      <c r="A696" s="9" t="s">
        <v>2266</v>
      </c>
      <c r="B696" s="81" t="s">
        <v>3113</v>
      </c>
    </row>
    <row r="697" spans="1:6" x14ac:dyDescent="0.25">
      <c r="B697" s="75" t="s">
        <v>3099</v>
      </c>
      <c r="C697" s="3"/>
    </row>
    <row r="698" spans="1:6" ht="252" x14ac:dyDescent="0.25">
      <c r="B698" s="74" t="s">
        <v>3114</v>
      </c>
      <c r="C698" s="76" t="s">
        <v>15</v>
      </c>
      <c r="D698" s="40">
        <v>16</v>
      </c>
      <c r="E698" s="13">
        <v>123</v>
      </c>
      <c r="F698" s="14">
        <f>ROUND(D698*E698,2)</f>
        <v>1968</v>
      </c>
    </row>
    <row r="700" spans="1:6" x14ac:dyDescent="0.25">
      <c r="A700" s="9" t="s">
        <v>2267</v>
      </c>
      <c r="B700" s="81" t="s">
        <v>3115</v>
      </c>
    </row>
    <row r="701" spans="1:6" x14ac:dyDescent="0.25">
      <c r="B701" s="75" t="s">
        <v>3099</v>
      </c>
      <c r="C701" s="3"/>
      <c r="E701" s="13"/>
      <c r="F701" s="14"/>
    </row>
    <row r="702" spans="1:6" ht="252" x14ac:dyDescent="0.25">
      <c r="B702" s="74" t="s">
        <v>3116</v>
      </c>
      <c r="C702" s="76" t="s">
        <v>15</v>
      </c>
      <c r="D702" s="40">
        <v>3</v>
      </c>
      <c r="E702" s="133">
        <v>123</v>
      </c>
      <c r="F702" s="14">
        <f>ROUND(D706*E705,2)</f>
        <v>0</v>
      </c>
    </row>
    <row r="704" spans="1:6" x14ac:dyDescent="0.25">
      <c r="A704" s="9" t="s">
        <v>2268</v>
      </c>
      <c r="B704" s="81" t="s">
        <v>3117</v>
      </c>
    </row>
    <row r="705" spans="1:6" x14ac:dyDescent="0.25">
      <c r="B705" s="75" t="s">
        <v>3099</v>
      </c>
      <c r="C705" s="3"/>
      <c r="E705" s="13"/>
    </row>
    <row r="706" spans="1:6" ht="252" x14ac:dyDescent="0.25">
      <c r="B706" s="74" t="s">
        <v>3118</v>
      </c>
      <c r="C706" s="76" t="s">
        <v>15</v>
      </c>
      <c r="D706" s="40">
        <v>5</v>
      </c>
      <c r="E706" s="133">
        <v>123</v>
      </c>
      <c r="F706" s="14">
        <f>ROUND(D710*E709,2)</f>
        <v>0</v>
      </c>
    </row>
    <row r="708" spans="1:6" ht="13.8" customHeight="1" x14ac:dyDescent="0.25">
      <c r="A708" s="9" t="s">
        <v>2269</v>
      </c>
      <c r="B708" s="83" t="s">
        <v>3119</v>
      </c>
    </row>
    <row r="709" spans="1:6" x14ac:dyDescent="0.25">
      <c r="B709" s="75" t="s">
        <v>3099</v>
      </c>
      <c r="C709" s="3"/>
      <c r="E709" s="13"/>
    </row>
    <row r="710" spans="1:6" ht="244.2" customHeight="1" x14ac:dyDescent="0.25">
      <c r="B710" s="82" t="s">
        <v>3120</v>
      </c>
      <c r="C710" s="76" t="s">
        <v>3142</v>
      </c>
      <c r="D710" s="40">
        <v>4</v>
      </c>
      <c r="E710" s="133">
        <v>36</v>
      </c>
      <c r="F710" s="14">
        <f>ROUND(D711*E710,2)</f>
        <v>0</v>
      </c>
    </row>
    <row r="711" spans="1:6" x14ac:dyDescent="0.25">
      <c r="B711" s="74"/>
    </row>
    <row r="712" spans="1:6" x14ac:dyDescent="0.25">
      <c r="A712" s="9" t="s">
        <v>2270</v>
      </c>
      <c r="B712" s="83" t="s">
        <v>3121</v>
      </c>
    </row>
    <row r="713" spans="1:6" x14ac:dyDescent="0.25">
      <c r="B713" s="75" t="s">
        <v>3099</v>
      </c>
      <c r="C713" s="3"/>
      <c r="E713" s="13"/>
      <c r="F713" s="14"/>
    </row>
    <row r="714" spans="1:6" ht="228" x14ac:dyDescent="0.25">
      <c r="B714" s="74" t="s">
        <v>3122</v>
      </c>
      <c r="C714" s="76" t="s">
        <v>3142</v>
      </c>
      <c r="D714" s="40">
        <v>25</v>
      </c>
      <c r="E714" s="133">
        <v>44</v>
      </c>
      <c r="F714" s="14">
        <f>ROUND(D715*E714,2)</f>
        <v>0</v>
      </c>
    </row>
    <row r="716" spans="1:6" x14ac:dyDescent="0.25">
      <c r="A716" s="9" t="s">
        <v>2271</v>
      </c>
      <c r="B716" s="83" t="s">
        <v>3123</v>
      </c>
    </row>
    <row r="717" spans="1:6" x14ac:dyDescent="0.25">
      <c r="B717" s="75" t="s">
        <v>3099</v>
      </c>
      <c r="C717" s="3"/>
    </row>
    <row r="718" spans="1:6" ht="204" x14ac:dyDescent="0.25">
      <c r="B718" s="74" t="s">
        <v>3124</v>
      </c>
      <c r="C718" s="76" t="s">
        <v>15</v>
      </c>
      <c r="D718" s="40">
        <v>16</v>
      </c>
      <c r="E718" s="13">
        <v>139</v>
      </c>
      <c r="F718" s="14">
        <f>ROUND(D718*E718,2)</f>
        <v>2224</v>
      </c>
    </row>
    <row r="720" spans="1:6" x14ac:dyDescent="0.25">
      <c r="A720" s="9" t="s">
        <v>2272</v>
      </c>
      <c r="B720" s="83" t="s">
        <v>3125</v>
      </c>
    </row>
    <row r="721" spans="1:6" x14ac:dyDescent="0.25">
      <c r="B721" s="75" t="s">
        <v>3099</v>
      </c>
      <c r="C721" s="3"/>
    </row>
    <row r="722" spans="1:6" ht="216" x14ac:dyDescent="0.25">
      <c r="B722" s="74" t="s">
        <v>3126</v>
      </c>
      <c r="C722" s="76" t="s">
        <v>15</v>
      </c>
      <c r="D722" s="40">
        <v>8</v>
      </c>
      <c r="E722" s="13">
        <v>95</v>
      </c>
      <c r="F722" s="14">
        <f>ROUND(D722*E722,2)</f>
        <v>760</v>
      </c>
    </row>
    <row r="724" spans="1:6" x14ac:dyDescent="0.25">
      <c r="A724" s="9" t="s">
        <v>2273</v>
      </c>
      <c r="B724" s="83" t="s">
        <v>3127</v>
      </c>
    </row>
    <row r="725" spans="1:6" x14ac:dyDescent="0.25">
      <c r="B725" s="75" t="s">
        <v>3099</v>
      </c>
      <c r="C725" s="3"/>
    </row>
    <row r="726" spans="1:6" ht="216" x14ac:dyDescent="0.25">
      <c r="B726" s="74" t="s">
        <v>3128</v>
      </c>
      <c r="C726" s="76" t="s">
        <v>2010</v>
      </c>
      <c r="D726" s="40">
        <v>5</v>
      </c>
      <c r="E726" s="13">
        <v>183</v>
      </c>
      <c r="F726" s="14">
        <f>ROUND(D726*E726,2)</f>
        <v>915</v>
      </c>
    </row>
    <row r="728" spans="1:6" x14ac:dyDescent="0.25">
      <c r="A728" s="9" t="s">
        <v>2274</v>
      </c>
      <c r="B728" s="83" t="s">
        <v>3129</v>
      </c>
    </row>
    <row r="729" spans="1:6" x14ac:dyDescent="0.25">
      <c r="B729" s="75" t="s">
        <v>3099</v>
      </c>
      <c r="C729" s="3"/>
    </row>
    <row r="730" spans="1:6" ht="228" x14ac:dyDescent="0.25">
      <c r="B730" s="74" t="s">
        <v>3130</v>
      </c>
      <c r="C730" s="76" t="s">
        <v>2010</v>
      </c>
      <c r="D730" s="40">
        <v>9</v>
      </c>
      <c r="E730" s="13">
        <v>155</v>
      </c>
      <c r="F730" s="14">
        <f>ROUND(D730*E730,2)</f>
        <v>1395</v>
      </c>
    </row>
    <row r="732" spans="1:6" x14ac:dyDescent="0.25">
      <c r="A732" s="9" t="s">
        <v>2275</v>
      </c>
      <c r="B732" s="83" t="s">
        <v>3131</v>
      </c>
      <c r="C732" s="76"/>
      <c r="D732" s="38"/>
    </row>
    <row r="733" spans="1:6" x14ac:dyDescent="0.25">
      <c r="B733" s="75" t="s">
        <v>3132</v>
      </c>
      <c r="C733" s="38"/>
      <c r="D733" s="38"/>
    </row>
    <row r="734" spans="1:6" ht="96" x14ac:dyDescent="0.25">
      <c r="B734" s="74" t="s">
        <v>3133</v>
      </c>
      <c r="C734" s="76" t="s">
        <v>3142</v>
      </c>
      <c r="D734" s="40">
        <v>45</v>
      </c>
      <c r="E734" s="13">
        <v>61</v>
      </c>
      <c r="F734" s="14">
        <f>ROUND(D734*E734,2)</f>
        <v>2745</v>
      </c>
    </row>
    <row r="736" spans="1:6" x14ac:dyDescent="0.25">
      <c r="A736" s="9" t="s">
        <v>2276</v>
      </c>
      <c r="B736" s="83" t="s">
        <v>3134</v>
      </c>
      <c r="C736" s="76"/>
      <c r="D736" s="38"/>
    </row>
    <row r="737" spans="1:6" x14ac:dyDescent="0.25">
      <c r="B737" s="75" t="s">
        <v>3099</v>
      </c>
      <c r="C737" s="38"/>
      <c r="D737" s="38"/>
    </row>
    <row r="738" spans="1:6" ht="180" x14ac:dyDescent="0.25">
      <c r="B738" s="74" t="s">
        <v>3135</v>
      </c>
      <c r="C738" s="76" t="s">
        <v>15</v>
      </c>
      <c r="D738" s="40">
        <v>15</v>
      </c>
      <c r="E738" s="13">
        <v>84</v>
      </c>
      <c r="F738" s="14">
        <f>ROUND(D738*E738,2)</f>
        <v>1260</v>
      </c>
    </row>
    <row r="740" spans="1:6" x14ac:dyDescent="0.25">
      <c r="A740" s="9" t="s">
        <v>2277</v>
      </c>
      <c r="B740" s="83" t="s">
        <v>3136</v>
      </c>
      <c r="C740" s="76"/>
      <c r="D740" s="38"/>
    </row>
    <row r="741" spans="1:6" x14ac:dyDescent="0.25">
      <c r="B741" s="75" t="s">
        <v>3099</v>
      </c>
      <c r="C741" s="38"/>
      <c r="D741" s="38"/>
    </row>
    <row r="742" spans="1:6" ht="180" x14ac:dyDescent="0.25">
      <c r="B742" s="74" t="s">
        <v>3137</v>
      </c>
      <c r="C742" s="76" t="s">
        <v>15</v>
      </c>
      <c r="D742" s="40">
        <v>11</v>
      </c>
      <c r="E742" s="13">
        <v>84</v>
      </c>
      <c r="F742" s="14">
        <f>ROUND(D742*E742,2)</f>
        <v>924</v>
      </c>
    </row>
    <row r="744" spans="1:6" x14ac:dyDescent="0.25">
      <c r="A744" s="9" t="s">
        <v>2278</v>
      </c>
      <c r="B744" s="83" t="s">
        <v>3138</v>
      </c>
      <c r="C744" s="76"/>
      <c r="D744" s="38"/>
    </row>
    <row r="745" spans="1:6" x14ac:dyDescent="0.25">
      <c r="B745" s="75" t="s">
        <v>3099</v>
      </c>
      <c r="C745" s="38"/>
      <c r="D745" s="38"/>
    </row>
    <row r="746" spans="1:6" ht="180" x14ac:dyDescent="0.25">
      <c r="B746" s="74" t="s">
        <v>3139</v>
      </c>
      <c r="C746" s="76" t="s">
        <v>15</v>
      </c>
      <c r="D746" s="40">
        <v>3</v>
      </c>
      <c r="E746" s="13">
        <v>173</v>
      </c>
      <c r="F746" s="14">
        <f>ROUND(D746*E746,2)</f>
        <v>519</v>
      </c>
    </row>
    <row r="748" spans="1:6" x14ac:dyDescent="0.25">
      <c r="A748" s="9" t="s">
        <v>2279</v>
      </c>
      <c r="B748" s="83" t="s">
        <v>3140</v>
      </c>
      <c r="C748" s="76"/>
      <c r="D748" s="38"/>
    </row>
    <row r="749" spans="1:6" x14ac:dyDescent="0.25">
      <c r="B749" s="75" t="s">
        <v>3099</v>
      </c>
      <c r="C749" s="38"/>
      <c r="D749" s="38"/>
    </row>
    <row r="750" spans="1:6" ht="180" x14ac:dyDescent="0.25">
      <c r="B750" s="74" t="s">
        <v>3141</v>
      </c>
      <c r="C750" s="76" t="s">
        <v>15</v>
      </c>
      <c r="D750" s="40">
        <v>31</v>
      </c>
      <c r="E750" s="13">
        <v>67</v>
      </c>
      <c r="F750" s="14">
        <f>ROUND(D750*E750,2)</f>
        <v>2077</v>
      </c>
    </row>
    <row r="752" spans="1:6" ht="24" x14ac:dyDescent="0.25">
      <c r="A752" s="9" t="s">
        <v>2280</v>
      </c>
      <c r="B752" s="8" t="s">
        <v>604</v>
      </c>
    </row>
    <row r="753" spans="1:6" x14ac:dyDescent="0.25">
      <c r="B753" s="11" t="s">
        <v>605</v>
      </c>
      <c r="C753" s="7" t="s">
        <v>15</v>
      </c>
      <c r="D753" s="12">
        <v>1</v>
      </c>
      <c r="E753" s="13">
        <v>100</v>
      </c>
      <c r="F753" s="14">
        <f>ROUND(D753*E753,2)</f>
        <v>100</v>
      </c>
    </row>
    <row r="755" spans="1:6" ht="27" customHeight="1" x14ac:dyDescent="0.25">
      <c r="A755" s="39" t="s">
        <v>2281</v>
      </c>
      <c r="B755" s="8" t="s">
        <v>606</v>
      </c>
    </row>
    <row r="756" spans="1:6" x14ac:dyDescent="0.25">
      <c r="A756" s="38"/>
      <c r="B756" s="11" t="s">
        <v>607</v>
      </c>
      <c r="C756" s="7" t="s">
        <v>15</v>
      </c>
      <c r="D756" s="12">
        <v>2</v>
      </c>
      <c r="E756" s="13">
        <v>87</v>
      </c>
      <c r="F756" s="14">
        <f>ROUND(D756*E756,2)</f>
        <v>174</v>
      </c>
    </row>
    <row r="757" spans="1:6" x14ac:dyDescent="0.25">
      <c r="A757" s="38"/>
    </row>
    <row r="758" spans="1:6" ht="16.5" customHeight="1" x14ac:dyDescent="0.25">
      <c r="A758" s="39" t="s">
        <v>2282</v>
      </c>
      <c r="B758" s="8" t="s">
        <v>608</v>
      </c>
      <c r="C758" s="7" t="s">
        <v>15</v>
      </c>
      <c r="D758" s="12">
        <v>9</v>
      </c>
      <c r="E758" s="13">
        <v>21.33</v>
      </c>
      <c r="F758" s="14">
        <f>ROUND(D758*E758,2)</f>
        <v>191.97</v>
      </c>
    </row>
    <row r="759" spans="1:6" x14ac:dyDescent="0.25">
      <c r="A759" s="38"/>
      <c r="B759" s="11"/>
      <c r="C759" s="3"/>
    </row>
    <row r="760" spans="1:6" ht="36" x14ac:dyDescent="0.25">
      <c r="A760" s="39" t="s">
        <v>2283</v>
      </c>
      <c r="B760" s="8" t="s">
        <v>609</v>
      </c>
      <c r="C760" s="7" t="s">
        <v>15</v>
      </c>
      <c r="D760" s="12">
        <v>10</v>
      </c>
      <c r="E760" s="13">
        <v>15</v>
      </c>
      <c r="F760" s="14">
        <f>ROUND(D760*E760,2)</f>
        <v>150</v>
      </c>
    </row>
    <row r="761" spans="1:6" x14ac:dyDescent="0.25">
      <c r="A761" s="38"/>
      <c r="B761" s="11"/>
      <c r="C761" s="3"/>
    </row>
    <row r="762" spans="1:6" ht="40.5" customHeight="1" x14ac:dyDescent="0.25">
      <c r="A762" s="39" t="s">
        <v>2284</v>
      </c>
      <c r="B762" s="8" t="s">
        <v>610</v>
      </c>
      <c r="C762" s="7" t="s">
        <v>15</v>
      </c>
      <c r="D762" s="12">
        <v>4</v>
      </c>
      <c r="E762" s="13">
        <v>43.4</v>
      </c>
      <c r="F762" s="14">
        <f>ROUND(D762*E762,2)</f>
        <v>173.6</v>
      </c>
    </row>
    <row r="763" spans="1:6" x14ac:dyDescent="0.25">
      <c r="B763" s="11"/>
      <c r="C763" s="3"/>
    </row>
    <row r="764" spans="1:6" ht="39" customHeight="1" x14ac:dyDescent="0.25">
      <c r="A764" s="39" t="s">
        <v>2285</v>
      </c>
      <c r="B764" s="8" t="s">
        <v>611</v>
      </c>
      <c r="C764" s="7" t="s">
        <v>15</v>
      </c>
      <c r="D764" s="12">
        <v>4</v>
      </c>
      <c r="E764" s="13">
        <v>7.37</v>
      </c>
      <c r="F764" s="14">
        <f>ROUND(D764*E764,2)</f>
        <v>29.48</v>
      </c>
    </row>
    <row r="765" spans="1:6" x14ac:dyDescent="0.25">
      <c r="A765" s="38"/>
      <c r="B765" s="11"/>
      <c r="C765" s="3"/>
    </row>
    <row r="766" spans="1:6" ht="48" x14ac:dyDescent="0.25">
      <c r="A766" s="39" t="s">
        <v>2286</v>
      </c>
      <c r="B766" s="8" t="s">
        <v>612</v>
      </c>
      <c r="C766" s="7" t="s">
        <v>15</v>
      </c>
      <c r="D766" s="12">
        <v>3</v>
      </c>
      <c r="E766" s="13">
        <v>15.52</v>
      </c>
      <c r="F766" s="14">
        <f>ROUND(D766*E766,2)</f>
        <v>46.56</v>
      </c>
    </row>
    <row r="767" spans="1:6" x14ac:dyDescent="0.25">
      <c r="A767" s="38"/>
      <c r="B767" s="11"/>
      <c r="C767" s="3"/>
    </row>
    <row r="768" spans="1:6" ht="48" x14ac:dyDescent="0.25">
      <c r="A768" s="39" t="s">
        <v>2287</v>
      </c>
      <c r="B768" s="8" t="s">
        <v>613</v>
      </c>
      <c r="C768" s="7" t="s">
        <v>15</v>
      </c>
      <c r="D768" s="12">
        <v>1</v>
      </c>
      <c r="E768" s="13">
        <v>13</v>
      </c>
      <c r="F768" s="14">
        <f>ROUND(D768*E768,2)</f>
        <v>13</v>
      </c>
    </row>
    <row r="769" spans="1:6" x14ac:dyDescent="0.25">
      <c r="B769" s="11"/>
      <c r="C769" s="3"/>
    </row>
    <row r="770" spans="1:6" ht="52.5" customHeight="1" x14ac:dyDescent="0.25">
      <c r="A770" s="39" t="s">
        <v>2288</v>
      </c>
      <c r="B770" s="8" t="s">
        <v>614</v>
      </c>
      <c r="C770" s="7" t="s">
        <v>15</v>
      </c>
      <c r="D770" s="12">
        <v>1</v>
      </c>
      <c r="E770" s="13">
        <v>32.15</v>
      </c>
      <c r="F770" s="14">
        <f>ROUND(D770*E770,2)</f>
        <v>32.15</v>
      </c>
    </row>
    <row r="771" spans="1:6" x14ac:dyDescent="0.25">
      <c r="A771" s="38"/>
      <c r="B771" s="11"/>
      <c r="C771" s="3"/>
    </row>
    <row r="772" spans="1:6" ht="51" customHeight="1" x14ac:dyDescent="0.25">
      <c r="A772" s="39" t="s">
        <v>2289</v>
      </c>
      <c r="B772" s="8" t="s">
        <v>615</v>
      </c>
      <c r="C772" s="7" t="s">
        <v>15</v>
      </c>
      <c r="D772" s="12">
        <v>1</v>
      </c>
      <c r="E772" s="13">
        <v>101.25</v>
      </c>
      <c r="F772" s="14">
        <f>ROUND(D772*E772,2)</f>
        <v>101.25</v>
      </c>
    </row>
    <row r="773" spans="1:6" x14ac:dyDescent="0.25">
      <c r="A773" s="38"/>
      <c r="B773" s="11"/>
      <c r="C773" s="3"/>
    </row>
    <row r="774" spans="1:6" ht="51" customHeight="1" x14ac:dyDescent="0.25">
      <c r="A774" s="39" t="s">
        <v>2290</v>
      </c>
      <c r="B774" s="8" t="s">
        <v>616</v>
      </c>
      <c r="C774" s="7" t="s">
        <v>15</v>
      </c>
      <c r="D774" s="12">
        <v>1</v>
      </c>
      <c r="E774" s="13">
        <v>15.53</v>
      </c>
      <c r="F774" s="14">
        <f>ROUND(D774*E774,2)</f>
        <v>15.53</v>
      </c>
    </row>
    <row r="775" spans="1:6" x14ac:dyDescent="0.25">
      <c r="B775" s="11"/>
      <c r="D775" s="12"/>
      <c r="E775" s="13"/>
      <c r="F775" s="14"/>
    </row>
    <row r="776" spans="1:6" ht="60" x14ac:dyDescent="0.25">
      <c r="A776" s="39" t="s">
        <v>2291</v>
      </c>
      <c r="B776" s="8" t="s">
        <v>617</v>
      </c>
      <c r="C776" s="7" t="s">
        <v>15</v>
      </c>
      <c r="D776" s="12">
        <v>2</v>
      </c>
      <c r="E776" s="13">
        <v>14.79</v>
      </c>
      <c r="F776" s="14">
        <f>ROUND(D776*E776,2)</f>
        <v>29.58</v>
      </c>
    </row>
    <row r="777" spans="1:6" x14ac:dyDescent="0.25">
      <c r="A777" s="38"/>
      <c r="B777" s="11"/>
      <c r="C777" s="3"/>
    </row>
    <row r="778" spans="1:6" ht="52.5" customHeight="1" x14ac:dyDescent="0.25">
      <c r="A778" s="39" t="s">
        <v>2292</v>
      </c>
      <c r="B778" s="8" t="s">
        <v>618</v>
      </c>
      <c r="C778" s="7" t="s">
        <v>15</v>
      </c>
      <c r="D778" s="12">
        <v>1</v>
      </c>
      <c r="E778" s="13">
        <v>87</v>
      </c>
      <c r="F778" s="14">
        <f>ROUND(D778*E778,2)</f>
        <v>87</v>
      </c>
    </row>
    <row r="779" spans="1:6" x14ac:dyDescent="0.25">
      <c r="A779" s="38"/>
      <c r="B779" s="11"/>
      <c r="C779" s="3"/>
    </row>
    <row r="780" spans="1:6" ht="37.5" customHeight="1" x14ac:dyDescent="0.25">
      <c r="A780" s="39" t="s">
        <v>2293</v>
      </c>
      <c r="B780" s="8" t="s">
        <v>619</v>
      </c>
      <c r="C780" s="7" t="s">
        <v>15</v>
      </c>
      <c r="D780" s="12">
        <v>14</v>
      </c>
      <c r="E780" s="13">
        <v>87</v>
      </c>
      <c r="F780" s="14">
        <f>ROUND(D780*E780,2)</f>
        <v>1218</v>
      </c>
    </row>
    <row r="781" spans="1:6" x14ac:dyDescent="0.25">
      <c r="A781" s="38"/>
      <c r="B781" s="11"/>
      <c r="C781" s="3"/>
    </row>
    <row r="782" spans="1:6" x14ac:dyDescent="0.25">
      <c r="A782" s="39" t="s">
        <v>2294</v>
      </c>
      <c r="B782" s="8" t="s">
        <v>600</v>
      </c>
      <c r="C782" s="7" t="s">
        <v>15</v>
      </c>
      <c r="D782" s="12">
        <v>50</v>
      </c>
      <c r="E782" s="13">
        <v>5</v>
      </c>
      <c r="F782" s="14">
        <f>ROUND(D782*E782,2)</f>
        <v>250</v>
      </c>
    </row>
    <row r="783" spans="1:6" x14ac:dyDescent="0.25">
      <c r="A783" s="38"/>
      <c r="B783" s="11"/>
      <c r="C783" s="3"/>
    </row>
    <row r="784" spans="1:6" x14ac:dyDescent="0.25">
      <c r="A784" s="39" t="s">
        <v>2295</v>
      </c>
      <c r="B784" s="8" t="s">
        <v>601</v>
      </c>
      <c r="C784" s="7" t="s">
        <v>15</v>
      </c>
      <c r="D784" s="12">
        <v>50</v>
      </c>
      <c r="E784" s="13">
        <v>5</v>
      </c>
      <c r="F784" s="14">
        <f>ROUND(D784*E784,2)</f>
        <v>250</v>
      </c>
    </row>
    <row r="786" spans="1:6" x14ac:dyDescent="0.25">
      <c r="A786" s="24" t="s">
        <v>2243</v>
      </c>
      <c r="B786" s="22" t="s">
        <v>620</v>
      </c>
      <c r="C786" s="24"/>
      <c r="D786" s="24"/>
      <c r="E786" s="134"/>
      <c r="F786" s="28">
        <f>SUM(F666:F784)</f>
        <v>40868.120000000003</v>
      </c>
    </row>
    <row r="788" spans="1:6" x14ac:dyDescent="0.25">
      <c r="A788" s="24" t="s">
        <v>2296</v>
      </c>
      <c r="B788" s="22" t="s">
        <v>621</v>
      </c>
      <c r="C788" s="24"/>
      <c r="D788" s="24"/>
      <c r="E788" s="134"/>
      <c r="F788" s="24"/>
    </row>
    <row r="790" spans="1:6" x14ac:dyDescent="0.25">
      <c r="A790" s="9" t="s">
        <v>2297</v>
      </c>
      <c r="B790" s="8" t="s">
        <v>622</v>
      </c>
      <c r="C790" s="7" t="s">
        <v>13</v>
      </c>
      <c r="D790" s="12">
        <v>70</v>
      </c>
      <c r="E790" s="13">
        <v>8</v>
      </c>
      <c r="F790" s="14">
        <f>ROUND(D790*E790,2)</f>
        <v>560</v>
      </c>
    </row>
    <row r="791" spans="1:6" x14ac:dyDescent="0.25">
      <c r="B791" s="11"/>
      <c r="C791" s="3"/>
    </row>
    <row r="792" spans="1:6" ht="24" x14ac:dyDescent="0.25">
      <c r="A792" s="9" t="s">
        <v>2298</v>
      </c>
      <c r="B792" s="8" t="s">
        <v>623</v>
      </c>
      <c r="C792" s="7" t="s">
        <v>15</v>
      </c>
      <c r="D792" s="12">
        <v>105</v>
      </c>
      <c r="E792" s="13">
        <v>5</v>
      </c>
      <c r="F792" s="14">
        <f>ROUND(D792*E792,2)</f>
        <v>525</v>
      </c>
    </row>
    <row r="793" spans="1:6" x14ac:dyDescent="0.25">
      <c r="B793" s="11"/>
      <c r="C793" s="3"/>
    </row>
    <row r="794" spans="1:6" ht="24" x14ac:dyDescent="0.25">
      <c r="A794" s="9" t="s">
        <v>2299</v>
      </c>
      <c r="B794" s="8" t="s">
        <v>624</v>
      </c>
      <c r="C794" s="7" t="s">
        <v>15</v>
      </c>
      <c r="D794" s="12">
        <v>20</v>
      </c>
      <c r="E794" s="13">
        <v>4</v>
      </c>
      <c r="F794" s="14">
        <f>ROUND(D794*E794,2)</f>
        <v>80</v>
      </c>
    </row>
    <row r="795" spans="1:6" x14ac:dyDescent="0.25">
      <c r="B795" s="11"/>
      <c r="C795" s="3"/>
    </row>
    <row r="796" spans="1:6" x14ac:dyDescent="0.25">
      <c r="A796" s="9" t="s">
        <v>2300</v>
      </c>
      <c r="B796" s="8" t="s">
        <v>625</v>
      </c>
      <c r="C796" s="7" t="s">
        <v>15</v>
      </c>
      <c r="D796" s="12">
        <v>4</v>
      </c>
      <c r="E796" s="13">
        <v>6</v>
      </c>
      <c r="F796" s="14">
        <f>ROUND(D796*E796,2)</f>
        <v>24</v>
      </c>
    </row>
    <row r="797" spans="1:6" x14ac:dyDescent="0.25">
      <c r="B797" s="11"/>
      <c r="C797" s="3"/>
    </row>
    <row r="798" spans="1:6" ht="24" x14ac:dyDescent="0.25">
      <c r="A798" s="9" t="s">
        <v>2301</v>
      </c>
      <c r="B798" s="8" t="s">
        <v>626</v>
      </c>
      <c r="C798" s="7" t="s">
        <v>15</v>
      </c>
      <c r="D798" s="12">
        <v>4</v>
      </c>
      <c r="E798" s="13">
        <v>9</v>
      </c>
      <c r="F798" s="14">
        <f>ROUND(D798*E798,2)</f>
        <v>36</v>
      </c>
    </row>
    <row r="799" spans="1:6" x14ac:dyDescent="0.25">
      <c r="B799" s="11"/>
      <c r="C799" s="3"/>
    </row>
    <row r="800" spans="1:6" ht="24" x14ac:dyDescent="0.25">
      <c r="A800" s="9" t="s">
        <v>2302</v>
      </c>
      <c r="B800" s="8" t="s">
        <v>627</v>
      </c>
      <c r="C800" s="7" t="s">
        <v>15</v>
      </c>
      <c r="D800" s="12">
        <v>25</v>
      </c>
      <c r="E800" s="13">
        <v>6</v>
      </c>
      <c r="F800" s="14">
        <f>ROUND(D800*E800,2)</f>
        <v>150</v>
      </c>
    </row>
    <row r="801" spans="1:6" x14ac:dyDescent="0.25">
      <c r="B801" s="11"/>
      <c r="C801" s="3"/>
    </row>
    <row r="802" spans="1:6" ht="24" x14ac:dyDescent="0.25">
      <c r="A802" s="9" t="s">
        <v>2303</v>
      </c>
      <c r="B802" s="8" t="s">
        <v>628</v>
      </c>
      <c r="C802" s="7" t="s">
        <v>15</v>
      </c>
      <c r="D802" s="12">
        <v>3</v>
      </c>
      <c r="E802" s="13">
        <v>10</v>
      </c>
      <c r="F802" s="14">
        <f>ROUND(D802*E802,2)</f>
        <v>30</v>
      </c>
    </row>
    <row r="803" spans="1:6" x14ac:dyDescent="0.25">
      <c r="B803" s="11"/>
      <c r="C803" s="3"/>
    </row>
    <row r="804" spans="1:6" x14ac:dyDescent="0.25">
      <c r="A804" s="9" t="s">
        <v>2304</v>
      </c>
      <c r="B804" s="8" t="s">
        <v>629</v>
      </c>
      <c r="C804" s="7" t="s">
        <v>13</v>
      </c>
      <c r="D804" s="12">
        <v>30</v>
      </c>
      <c r="E804" s="13">
        <v>9</v>
      </c>
      <c r="F804" s="14">
        <f>ROUND(D804*E804,2)</f>
        <v>270</v>
      </c>
    </row>
    <row r="805" spans="1:6" x14ac:dyDescent="0.25">
      <c r="B805" s="11"/>
      <c r="C805" s="3"/>
    </row>
    <row r="806" spans="1:6" x14ac:dyDescent="0.25">
      <c r="A806" s="9" t="s">
        <v>2305</v>
      </c>
      <c r="B806" s="8" t="s">
        <v>630</v>
      </c>
      <c r="C806" s="7" t="s">
        <v>15</v>
      </c>
      <c r="D806" s="12">
        <v>25</v>
      </c>
      <c r="E806" s="13">
        <v>10</v>
      </c>
      <c r="F806" s="14">
        <f>ROUND(D806*E806,2)</f>
        <v>250</v>
      </c>
    </row>
    <row r="807" spans="1:6" x14ac:dyDescent="0.25">
      <c r="B807" s="11"/>
      <c r="C807" s="3"/>
    </row>
    <row r="808" spans="1:6" x14ac:dyDescent="0.25">
      <c r="A808" s="9" t="s">
        <v>2306</v>
      </c>
      <c r="B808" s="8" t="s">
        <v>631</v>
      </c>
      <c r="C808" s="7" t="s">
        <v>15</v>
      </c>
      <c r="D808" s="12">
        <v>4</v>
      </c>
      <c r="E808" s="13">
        <v>35</v>
      </c>
      <c r="F808" s="14">
        <f>ROUND(D808*E808,2)</f>
        <v>140</v>
      </c>
    </row>
    <row r="809" spans="1:6" x14ac:dyDescent="0.25">
      <c r="B809" s="11"/>
      <c r="C809" s="3"/>
    </row>
    <row r="810" spans="1:6" ht="24" x14ac:dyDescent="0.25">
      <c r="A810" s="9" t="s">
        <v>2307</v>
      </c>
      <c r="B810" s="8" t="s">
        <v>632</v>
      </c>
      <c r="C810" s="7" t="s">
        <v>13</v>
      </c>
      <c r="D810" s="12">
        <v>70</v>
      </c>
      <c r="E810" s="13">
        <v>8</v>
      </c>
      <c r="F810" s="14">
        <f>ROUND(D810*E810,2)</f>
        <v>560</v>
      </c>
    </row>
    <row r="811" spans="1:6" x14ac:dyDescent="0.25">
      <c r="B811" s="11"/>
      <c r="C811" s="3"/>
    </row>
    <row r="812" spans="1:6" ht="24" x14ac:dyDescent="0.25">
      <c r="A812" s="9" t="s">
        <v>2308</v>
      </c>
      <c r="B812" s="8" t="s">
        <v>633</v>
      </c>
      <c r="C812" s="7" t="s">
        <v>13</v>
      </c>
      <c r="D812" s="12">
        <v>250</v>
      </c>
      <c r="E812" s="13">
        <v>5</v>
      </c>
      <c r="F812" s="14">
        <f>ROUND(D812*E812,2)</f>
        <v>1250</v>
      </c>
    </row>
    <row r="813" spans="1:6" x14ac:dyDescent="0.25">
      <c r="B813" s="11"/>
      <c r="C813" s="3"/>
    </row>
    <row r="814" spans="1:6" ht="39" customHeight="1" x14ac:dyDescent="0.25">
      <c r="A814" s="9" t="s">
        <v>2309</v>
      </c>
      <c r="B814" s="8" t="s">
        <v>634</v>
      </c>
      <c r="C814" s="7" t="s">
        <v>15</v>
      </c>
      <c r="D814" s="12">
        <v>13</v>
      </c>
      <c r="E814" s="13">
        <v>25</v>
      </c>
      <c r="F814" s="14">
        <f>ROUND(D814*E814,2)</f>
        <v>325</v>
      </c>
    </row>
    <row r="815" spans="1:6" x14ac:dyDescent="0.25">
      <c r="B815" s="11"/>
      <c r="C815" s="3"/>
    </row>
    <row r="816" spans="1:6" ht="36" x14ac:dyDescent="0.25">
      <c r="A816" s="9" t="s">
        <v>2310</v>
      </c>
      <c r="B816" s="8" t="s">
        <v>635</v>
      </c>
      <c r="C816" s="7" t="s">
        <v>13</v>
      </c>
      <c r="D816" s="12">
        <v>50</v>
      </c>
      <c r="E816" s="13">
        <v>15</v>
      </c>
      <c r="F816" s="14">
        <f>ROUND(D816*E816,2)</f>
        <v>750</v>
      </c>
    </row>
    <row r="817" spans="1:6" x14ac:dyDescent="0.25">
      <c r="B817" s="11"/>
      <c r="C817" s="3"/>
    </row>
    <row r="818" spans="1:6" x14ac:dyDescent="0.25">
      <c r="A818" s="9" t="s">
        <v>2311</v>
      </c>
      <c r="B818" s="8" t="s">
        <v>636</v>
      </c>
      <c r="C818" s="7" t="s">
        <v>15</v>
      </c>
      <c r="D818" s="12">
        <v>30</v>
      </c>
      <c r="E818" s="13">
        <v>6</v>
      </c>
      <c r="F818" s="14">
        <f>ROUND(D818*E818,2)</f>
        <v>180</v>
      </c>
    </row>
    <row r="819" spans="1:6" x14ac:dyDescent="0.25">
      <c r="B819" s="11"/>
      <c r="C819" s="3"/>
    </row>
    <row r="820" spans="1:6" x14ac:dyDescent="0.25">
      <c r="A820" s="9" t="s">
        <v>2312</v>
      </c>
      <c r="B820" s="8" t="s">
        <v>637</v>
      </c>
      <c r="C820" s="7" t="s">
        <v>19</v>
      </c>
      <c r="D820" s="12">
        <v>2</v>
      </c>
      <c r="E820" s="13">
        <v>6</v>
      </c>
      <c r="F820" s="14">
        <f>ROUND(D820*E820,2)</f>
        <v>12</v>
      </c>
    </row>
    <row r="821" spans="1:6" x14ac:dyDescent="0.25">
      <c r="B821" s="11"/>
      <c r="C821" s="3"/>
    </row>
    <row r="822" spans="1:6" x14ac:dyDescent="0.25">
      <c r="A822" s="9" t="s">
        <v>2313</v>
      </c>
      <c r="B822" s="8" t="s">
        <v>638</v>
      </c>
      <c r="C822" s="7" t="s">
        <v>15</v>
      </c>
      <c r="D822" s="12">
        <v>1</v>
      </c>
      <c r="E822" s="13">
        <v>20</v>
      </c>
      <c r="F822" s="14">
        <f>ROUND(D822*E822,2)</f>
        <v>20</v>
      </c>
    </row>
    <row r="823" spans="1:6" x14ac:dyDescent="0.25">
      <c r="B823" s="11"/>
      <c r="C823" s="3"/>
    </row>
    <row r="824" spans="1:6" ht="24" x14ac:dyDescent="0.25">
      <c r="A824" s="9" t="s">
        <v>2314</v>
      </c>
      <c r="B824" s="8" t="s">
        <v>639</v>
      </c>
      <c r="C824" s="7" t="s">
        <v>13</v>
      </c>
      <c r="D824" s="12">
        <v>30</v>
      </c>
      <c r="E824" s="13">
        <v>6</v>
      </c>
      <c r="F824" s="14">
        <f>ROUND(D824*E824,2)</f>
        <v>180</v>
      </c>
    </row>
    <row r="825" spans="1:6" x14ac:dyDescent="0.25">
      <c r="B825" s="11"/>
      <c r="C825" s="3"/>
    </row>
    <row r="826" spans="1:6" ht="48" x14ac:dyDescent="0.25">
      <c r="A826" s="9" t="s">
        <v>2315</v>
      </c>
      <c r="B826" s="8" t="s">
        <v>640</v>
      </c>
      <c r="C826" s="7" t="s">
        <v>19</v>
      </c>
      <c r="D826" s="12">
        <v>1</v>
      </c>
      <c r="E826" s="13">
        <v>640</v>
      </c>
      <c r="F826" s="14">
        <f>ROUND(D826*E826,2)</f>
        <v>640</v>
      </c>
    </row>
    <row r="827" spans="1:6" x14ac:dyDescent="0.25">
      <c r="B827" s="11"/>
      <c r="C827" s="3"/>
    </row>
    <row r="828" spans="1:6" ht="27" customHeight="1" x14ac:dyDescent="0.25">
      <c r="A828" s="9" t="s">
        <v>2316</v>
      </c>
      <c r="B828" s="8" t="s">
        <v>641</v>
      </c>
      <c r="C828" s="7" t="s">
        <v>19</v>
      </c>
      <c r="D828" s="12">
        <v>1</v>
      </c>
      <c r="E828" s="13">
        <v>350</v>
      </c>
      <c r="F828" s="14">
        <f>ROUND(D828*E828,2)</f>
        <v>350</v>
      </c>
    </row>
    <row r="829" spans="1:6" x14ac:dyDescent="0.25">
      <c r="B829" s="11"/>
      <c r="C829" s="3"/>
    </row>
    <row r="830" spans="1:6" ht="36" x14ac:dyDescent="0.25">
      <c r="A830" s="9" t="s">
        <v>2317</v>
      </c>
      <c r="B830" s="8" t="s">
        <v>642</v>
      </c>
      <c r="C830" s="7" t="s">
        <v>19</v>
      </c>
      <c r="D830" s="12">
        <v>1</v>
      </c>
      <c r="E830" s="13">
        <v>150</v>
      </c>
      <c r="F830" s="14">
        <f>ROUND(D830*E830,2)</f>
        <v>150</v>
      </c>
    </row>
    <row r="831" spans="1:6" x14ac:dyDescent="0.25">
      <c r="B831" s="11"/>
      <c r="C831" s="3"/>
    </row>
    <row r="832" spans="1:6" ht="24" x14ac:dyDescent="0.25">
      <c r="A832" s="9" t="s">
        <v>2318</v>
      </c>
      <c r="B832" s="8" t="s">
        <v>643</v>
      </c>
      <c r="C832" s="7" t="s">
        <v>19</v>
      </c>
      <c r="D832" s="12">
        <v>1</v>
      </c>
      <c r="E832" s="13">
        <v>150</v>
      </c>
      <c r="F832" s="14">
        <f>ROUND(D832*E832,2)</f>
        <v>150</v>
      </c>
    </row>
    <row r="833" spans="1:6" x14ac:dyDescent="0.25">
      <c r="B833" s="11"/>
      <c r="C833" s="3"/>
    </row>
    <row r="834" spans="1:6" ht="24" x14ac:dyDescent="0.25">
      <c r="A834" s="9" t="s">
        <v>2319</v>
      </c>
      <c r="B834" s="8" t="s">
        <v>644</v>
      </c>
      <c r="C834" s="7" t="s">
        <v>19</v>
      </c>
      <c r="D834" s="12">
        <v>1</v>
      </c>
      <c r="E834" s="13">
        <v>230</v>
      </c>
      <c r="F834" s="14">
        <f>ROUND(D834*E834,2)</f>
        <v>230</v>
      </c>
    </row>
    <row r="836" spans="1:6" x14ac:dyDescent="0.25">
      <c r="A836" s="24" t="s">
        <v>2296</v>
      </c>
      <c r="B836" s="22" t="s">
        <v>645</v>
      </c>
      <c r="C836" s="24"/>
      <c r="D836" s="24"/>
      <c r="E836" s="134"/>
      <c r="F836" s="28">
        <f>SUM(F790:F834)</f>
        <v>6862</v>
      </c>
    </row>
    <row r="838" spans="1:6" x14ac:dyDescent="0.25">
      <c r="A838" s="24" t="s">
        <v>2320</v>
      </c>
      <c r="B838" s="22" t="s">
        <v>646</v>
      </c>
      <c r="C838" s="24"/>
      <c r="D838" s="24"/>
      <c r="E838" s="134"/>
      <c r="F838" s="24"/>
    </row>
    <row r="840" spans="1:6" ht="111" customHeight="1" x14ac:dyDescent="0.25">
      <c r="A840" s="9" t="s">
        <v>2321</v>
      </c>
      <c r="B840" s="8" t="s">
        <v>2603</v>
      </c>
      <c r="C840" s="7" t="s">
        <v>15</v>
      </c>
      <c r="D840" s="12">
        <v>2</v>
      </c>
      <c r="E840" s="13">
        <v>1500</v>
      </c>
      <c r="F840" s="14">
        <f>ROUND(D840*E840,2)</f>
        <v>3000</v>
      </c>
    </row>
    <row r="841" spans="1:6" x14ac:dyDescent="0.25">
      <c r="B841" s="11"/>
      <c r="C841" s="3"/>
    </row>
    <row r="842" spans="1:6" ht="144" x14ac:dyDescent="0.25">
      <c r="A842" s="9" t="s">
        <v>2322</v>
      </c>
      <c r="B842" s="8" t="s">
        <v>2881</v>
      </c>
      <c r="C842" s="7" t="s">
        <v>15</v>
      </c>
      <c r="D842" s="12">
        <v>1</v>
      </c>
      <c r="E842" s="13">
        <v>1750</v>
      </c>
      <c r="F842" s="14">
        <f>ROUND(D842*E842,2)</f>
        <v>1750</v>
      </c>
    </row>
    <row r="844" spans="1:6" ht="108.75" customHeight="1" x14ac:dyDescent="0.25">
      <c r="A844" s="9" t="s">
        <v>2323</v>
      </c>
      <c r="B844" s="8" t="s">
        <v>2882</v>
      </c>
      <c r="C844" s="7" t="s">
        <v>15</v>
      </c>
      <c r="D844" s="12">
        <v>1</v>
      </c>
      <c r="E844" s="13">
        <v>2950</v>
      </c>
      <c r="F844" s="14">
        <f>ROUND(D844*E844,2)</f>
        <v>2950</v>
      </c>
    </row>
    <row r="845" spans="1:6" x14ac:dyDescent="0.25">
      <c r="B845" s="11"/>
      <c r="C845" s="3"/>
    </row>
    <row r="846" spans="1:6" ht="63" customHeight="1" x14ac:dyDescent="0.25">
      <c r="A846" s="9" t="s">
        <v>2324</v>
      </c>
      <c r="B846" s="8" t="s">
        <v>2883</v>
      </c>
      <c r="C846" s="7" t="s">
        <v>15</v>
      </c>
      <c r="D846" s="12">
        <v>1</v>
      </c>
      <c r="E846" s="13">
        <v>280</v>
      </c>
      <c r="F846" s="14">
        <f>ROUND(D846*E846,2)</f>
        <v>280</v>
      </c>
    </row>
    <row r="847" spans="1:6" x14ac:dyDescent="0.25">
      <c r="B847" s="11"/>
      <c r="C847" s="3"/>
    </row>
    <row r="848" spans="1:6" x14ac:dyDescent="0.25">
      <c r="A848" s="9" t="s">
        <v>2325</v>
      </c>
      <c r="B848" s="8" t="s">
        <v>647</v>
      </c>
      <c r="C848" s="7" t="s">
        <v>15</v>
      </c>
      <c r="D848" s="12">
        <v>1</v>
      </c>
      <c r="E848" s="13">
        <v>15</v>
      </c>
      <c r="F848" s="14">
        <f>ROUND(D848*E848,2)</f>
        <v>15</v>
      </c>
    </row>
    <row r="849" spans="1:6" x14ac:dyDescent="0.25">
      <c r="B849" s="11"/>
      <c r="C849" s="3"/>
    </row>
    <row r="850" spans="1:6" ht="14.25" customHeight="1" x14ac:dyDescent="0.25">
      <c r="A850" s="9" t="s">
        <v>2326</v>
      </c>
      <c r="B850" s="8" t="s">
        <v>648</v>
      </c>
    </row>
    <row r="851" spans="1:6" x14ac:dyDescent="0.25">
      <c r="B851" s="11" t="s">
        <v>649</v>
      </c>
      <c r="C851" s="7" t="s">
        <v>13</v>
      </c>
      <c r="D851" s="12">
        <v>40</v>
      </c>
      <c r="E851" s="13">
        <v>3.64</v>
      </c>
      <c r="F851" s="14">
        <f>ROUND(D851*E851,2)</f>
        <v>145.6</v>
      </c>
    </row>
    <row r="852" spans="1:6" x14ac:dyDescent="0.25">
      <c r="B852" s="11" t="s">
        <v>650</v>
      </c>
      <c r="C852" s="7" t="s">
        <v>13</v>
      </c>
      <c r="D852" s="12">
        <v>80</v>
      </c>
      <c r="E852" s="13">
        <v>2.2999999999999998</v>
      </c>
      <c r="F852" s="14">
        <f>ROUND(D852*E852,2)</f>
        <v>184</v>
      </c>
    </row>
    <row r="853" spans="1:6" x14ac:dyDescent="0.25">
      <c r="B853" s="11" t="s">
        <v>650</v>
      </c>
      <c r="C853" s="7" t="s">
        <v>13</v>
      </c>
      <c r="D853" s="12">
        <v>70</v>
      </c>
      <c r="E853" s="13">
        <v>2.2999999999999998</v>
      </c>
      <c r="F853" s="14">
        <f>ROUND(D853*E853,2)</f>
        <v>161</v>
      </c>
    </row>
    <row r="854" spans="1:6" x14ac:dyDescent="0.25">
      <c r="B854" s="11" t="s">
        <v>651</v>
      </c>
      <c r="C854" s="7" t="s">
        <v>13</v>
      </c>
      <c r="D854" s="12">
        <v>30</v>
      </c>
      <c r="E854" s="13">
        <v>4.5</v>
      </c>
      <c r="F854" s="14">
        <f>ROUND(D854*E854,2)</f>
        <v>135</v>
      </c>
    </row>
    <row r="856" spans="1:6" x14ac:dyDescent="0.25">
      <c r="A856" s="9" t="s">
        <v>2327</v>
      </c>
      <c r="B856" s="8" t="s">
        <v>652</v>
      </c>
    </row>
    <row r="857" spans="1:6" x14ac:dyDescent="0.25">
      <c r="B857" s="11" t="s">
        <v>653</v>
      </c>
      <c r="C857" s="7" t="s">
        <v>13</v>
      </c>
      <c r="D857" s="12">
        <v>50</v>
      </c>
      <c r="E857" s="13">
        <v>2.2000000000000002</v>
      </c>
      <c r="F857" s="14">
        <f>ROUND(D857*E857,2)</f>
        <v>110</v>
      </c>
    </row>
    <row r="859" spans="1:6" ht="15.75" customHeight="1" x14ac:dyDescent="0.25">
      <c r="A859" s="9" t="s">
        <v>2328</v>
      </c>
      <c r="B859" s="8" t="s">
        <v>518</v>
      </c>
      <c r="C859" s="7" t="s">
        <v>15</v>
      </c>
      <c r="D859" s="12">
        <v>70</v>
      </c>
      <c r="E859" s="13">
        <v>2</v>
      </c>
      <c r="F859" s="14">
        <f>ROUND(D859*E859,2)</f>
        <v>140</v>
      </c>
    </row>
    <row r="860" spans="1:6" x14ac:dyDescent="0.25">
      <c r="B860" s="11"/>
      <c r="C860" s="3"/>
    </row>
    <row r="861" spans="1:6" ht="39" customHeight="1" x14ac:dyDescent="0.25">
      <c r="A861" s="9" t="s">
        <v>2329</v>
      </c>
      <c r="B861" s="8" t="s">
        <v>2601</v>
      </c>
      <c r="C861" s="7" t="s">
        <v>15</v>
      </c>
      <c r="D861" s="12">
        <v>70</v>
      </c>
      <c r="E861" s="13">
        <v>2</v>
      </c>
      <c r="F861" s="14">
        <f>ROUND(D861*E861,2)</f>
        <v>140</v>
      </c>
    </row>
    <row r="862" spans="1:6" x14ac:dyDescent="0.25">
      <c r="B862" s="11"/>
      <c r="C862" s="3"/>
    </row>
    <row r="863" spans="1:6" ht="24" x14ac:dyDescent="0.25">
      <c r="A863" s="9" t="s">
        <v>2330</v>
      </c>
      <c r="B863" s="8" t="s">
        <v>654</v>
      </c>
      <c r="C863" s="7" t="s">
        <v>19</v>
      </c>
      <c r="D863" s="12">
        <v>1</v>
      </c>
      <c r="E863" s="13">
        <v>500</v>
      </c>
      <c r="F863" s="14">
        <f>ROUND(D863*E863,2)</f>
        <v>500</v>
      </c>
    </row>
    <row r="865" spans="1:6" x14ac:dyDescent="0.25">
      <c r="A865" s="24" t="s">
        <v>2320</v>
      </c>
      <c r="B865" s="22" t="s">
        <v>655</v>
      </c>
      <c r="C865" s="24"/>
      <c r="D865" s="24"/>
      <c r="E865" s="134"/>
      <c r="F865" s="28">
        <f>SUM(F840:F863)</f>
        <v>9510.6</v>
      </c>
    </row>
    <row r="867" spans="1:6" x14ac:dyDescent="0.25">
      <c r="A867" s="24" t="s">
        <v>2331</v>
      </c>
      <c r="B867" s="22" t="s">
        <v>656</v>
      </c>
      <c r="C867" s="24"/>
      <c r="D867" s="24"/>
      <c r="E867" s="134"/>
      <c r="F867" s="24"/>
    </row>
    <row r="869" spans="1:6" x14ac:dyDescent="0.25">
      <c r="A869" s="9" t="s">
        <v>2332</v>
      </c>
      <c r="B869" s="8" t="s">
        <v>657</v>
      </c>
    </row>
    <row r="870" spans="1:6" x14ac:dyDescent="0.25">
      <c r="B870" s="11" t="s">
        <v>658</v>
      </c>
      <c r="C870" s="7" t="s">
        <v>15</v>
      </c>
      <c r="D870" s="12">
        <v>1</v>
      </c>
      <c r="E870" s="13">
        <v>250</v>
      </c>
      <c r="F870" s="14">
        <f t="shared" ref="F870:F879" si="20">ROUND(D870*E870,2)</f>
        <v>250</v>
      </c>
    </row>
    <row r="871" spans="1:6" x14ac:dyDescent="0.25">
      <c r="B871" s="11" t="s">
        <v>659</v>
      </c>
      <c r="C871" s="7" t="s">
        <v>15</v>
      </c>
      <c r="D871" s="12">
        <v>1</v>
      </c>
      <c r="E871" s="13">
        <v>250</v>
      </c>
      <c r="F871" s="14">
        <f t="shared" si="20"/>
        <v>250</v>
      </c>
    </row>
    <row r="872" spans="1:6" x14ac:dyDescent="0.25">
      <c r="B872" s="11" t="s">
        <v>660</v>
      </c>
      <c r="C872" s="7" t="s">
        <v>15</v>
      </c>
      <c r="D872" s="12">
        <v>1</v>
      </c>
      <c r="E872" s="13">
        <v>250</v>
      </c>
      <c r="F872" s="14">
        <f t="shared" si="20"/>
        <v>250</v>
      </c>
    </row>
    <row r="873" spans="1:6" x14ac:dyDescent="0.25">
      <c r="B873" s="11" t="s">
        <v>661</v>
      </c>
      <c r="C873" s="7" t="s">
        <v>15</v>
      </c>
      <c r="D873" s="12">
        <v>1</v>
      </c>
      <c r="E873" s="13">
        <v>250</v>
      </c>
      <c r="F873" s="14">
        <f t="shared" si="20"/>
        <v>250</v>
      </c>
    </row>
    <row r="874" spans="1:6" ht="13.5" customHeight="1" x14ac:dyDescent="0.25">
      <c r="B874" s="8" t="s">
        <v>662</v>
      </c>
      <c r="C874" s="7" t="s">
        <v>15</v>
      </c>
      <c r="D874" s="12">
        <v>1</v>
      </c>
      <c r="E874" s="13">
        <v>200</v>
      </c>
      <c r="F874" s="14">
        <f t="shared" si="20"/>
        <v>200</v>
      </c>
    </row>
    <row r="875" spans="1:6" x14ac:dyDescent="0.25">
      <c r="B875" s="8" t="s">
        <v>663</v>
      </c>
      <c r="C875" s="7" t="s">
        <v>15</v>
      </c>
      <c r="D875" s="12">
        <v>1</v>
      </c>
      <c r="E875" s="13">
        <v>200</v>
      </c>
      <c r="F875" s="14">
        <f t="shared" si="20"/>
        <v>200</v>
      </c>
    </row>
    <row r="876" spans="1:6" x14ac:dyDescent="0.25">
      <c r="B876" s="8" t="s">
        <v>664</v>
      </c>
      <c r="C876" s="7" t="s">
        <v>15</v>
      </c>
      <c r="D876" s="12">
        <v>1</v>
      </c>
      <c r="E876" s="13">
        <v>650</v>
      </c>
      <c r="F876" s="14">
        <f t="shared" si="20"/>
        <v>650</v>
      </c>
    </row>
    <row r="877" spans="1:6" x14ac:dyDescent="0.25">
      <c r="B877" s="8" t="s">
        <v>665</v>
      </c>
      <c r="C877" s="7" t="s">
        <v>15</v>
      </c>
      <c r="D877" s="12">
        <v>1</v>
      </c>
      <c r="E877" s="13">
        <v>250</v>
      </c>
      <c r="F877" s="14">
        <f t="shared" si="20"/>
        <v>250</v>
      </c>
    </row>
    <row r="878" spans="1:6" ht="24" x14ac:dyDescent="0.25">
      <c r="B878" s="8" t="s">
        <v>666</v>
      </c>
      <c r="C878" s="7" t="s">
        <v>15</v>
      </c>
      <c r="D878" s="12">
        <v>1</v>
      </c>
      <c r="E878" s="13">
        <v>200</v>
      </c>
      <c r="F878" s="14">
        <f t="shared" si="20"/>
        <v>200</v>
      </c>
    </row>
    <row r="879" spans="1:6" x14ac:dyDescent="0.25">
      <c r="B879" s="8" t="s">
        <v>667</v>
      </c>
      <c r="C879" s="7" t="s">
        <v>15</v>
      </c>
      <c r="D879" s="12">
        <v>1</v>
      </c>
      <c r="E879" s="13">
        <v>200</v>
      </c>
      <c r="F879" s="14">
        <f t="shared" si="20"/>
        <v>200</v>
      </c>
    </row>
    <row r="881" spans="1:6" x14ac:dyDescent="0.25">
      <c r="A881" s="24" t="s">
        <v>2331</v>
      </c>
      <c r="B881" s="22" t="s">
        <v>668</v>
      </c>
      <c r="C881" s="24"/>
      <c r="D881" s="24"/>
      <c r="E881" s="134"/>
      <c r="F881" s="28">
        <f>SUM(F870:F880)</f>
        <v>2700</v>
      </c>
    </row>
    <row r="883" spans="1:6" x14ac:dyDescent="0.25">
      <c r="A883" s="24" t="s">
        <v>2333</v>
      </c>
      <c r="B883" s="22" t="s">
        <v>669</v>
      </c>
      <c r="C883" s="24"/>
      <c r="D883" s="24"/>
      <c r="E883" s="134"/>
      <c r="F883" s="24"/>
    </row>
    <row r="885" spans="1:6" ht="27.75" customHeight="1" x14ac:dyDescent="0.25">
      <c r="A885" s="9" t="s">
        <v>2334</v>
      </c>
      <c r="B885" s="8" t="s">
        <v>3044</v>
      </c>
      <c r="C885" s="7" t="s">
        <v>19</v>
      </c>
      <c r="D885" s="12">
        <v>1</v>
      </c>
      <c r="E885" s="13">
        <v>500</v>
      </c>
      <c r="F885" s="14">
        <f>ROUND(D885*E885,2)</f>
        <v>500</v>
      </c>
    </row>
    <row r="887" spans="1:6" x14ac:dyDescent="0.25">
      <c r="A887" s="24" t="s">
        <v>2333</v>
      </c>
      <c r="B887" s="22" t="s">
        <v>670</v>
      </c>
      <c r="C887" s="24"/>
      <c r="D887" s="24"/>
      <c r="E887" s="134"/>
      <c r="F887" s="28">
        <f>SUM(F885:F886)</f>
        <v>500</v>
      </c>
    </row>
    <row r="889" spans="1:6" x14ac:dyDescent="0.25">
      <c r="A889" s="24" t="s">
        <v>2335</v>
      </c>
      <c r="B889" s="22" t="s">
        <v>671</v>
      </c>
      <c r="C889" s="24"/>
      <c r="D889" s="24"/>
      <c r="E889" s="134"/>
      <c r="F889" s="24"/>
    </row>
    <row r="891" spans="1:6" ht="27.75" customHeight="1" x14ac:dyDescent="0.25">
      <c r="A891" s="9" t="s">
        <v>2336</v>
      </c>
      <c r="B891" s="8" t="s">
        <v>672</v>
      </c>
    </row>
    <row r="892" spans="1:6" x14ac:dyDescent="0.25">
      <c r="B892" s="11" t="s">
        <v>673</v>
      </c>
      <c r="C892" s="7" t="s">
        <v>15</v>
      </c>
      <c r="D892" s="12">
        <v>1</v>
      </c>
      <c r="E892" s="13">
        <v>100</v>
      </c>
      <c r="F892" s="14">
        <f t="shared" ref="F892:F911" si="21">ROUND(D892*E892,2)</f>
        <v>100</v>
      </c>
    </row>
    <row r="893" spans="1:6" x14ac:dyDescent="0.25">
      <c r="B893" s="11" t="s">
        <v>674</v>
      </c>
      <c r="C893" s="7" t="s">
        <v>15</v>
      </c>
      <c r="D893" s="12">
        <v>1</v>
      </c>
      <c r="E893" s="13">
        <v>100</v>
      </c>
      <c r="F893" s="14">
        <f t="shared" si="21"/>
        <v>100</v>
      </c>
    </row>
    <row r="894" spans="1:6" x14ac:dyDescent="0.25">
      <c r="B894" s="11" t="s">
        <v>675</v>
      </c>
      <c r="C894" s="7" t="s">
        <v>15</v>
      </c>
      <c r="D894" s="12">
        <v>3</v>
      </c>
      <c r="E894" s="13">
        <v>90</v>
      </c>
      <c r="F894" s="14">
        <f t="shared" si="21"/>
        <v>270</v>
      </c>
    </row>
    <row r="895" spans="1:6" x14ac:dyDescent="0.25">
      <c r="B895" s="11" t="s">
        <v>676</v>
      </c>
      <c r="C895" s="7" t="s">
        <v>15</v>
      </c>
      <c r="D895" s="12">
        <v>58</v>
      </c>
      <c r="E895" s="13">
        <v>5</v>
      </c>
      <c r="F895" s="14">
        <f t="shared" si="21"/>
        <v>290</v>
      </c>
    </row>
    <row r="896" spans="1:6" x14ac:dyDescent="0.25">
      <c r="B896" s="11" t="s">
        <v>677</v>
      </c>
      <c r="C896" s="7" t="s">
        <v>15</v>
      </c>
      <c r="D896" s="12">
        <v>14</v>
      </c>
      <c r="E896" s="13">
        <v>5</v>
      </c>
      <c r="F896" s="14">
        <f t="shared" si="21"/>
        <v>70</v>
      </c>
    </row>
    <row r="897" spans="2:6" x14ac:dyDescent="0.25">
      <c r="B897" s="11" t="s">
        <v>678</v>
      </c>
      <c r="C897" s="7" t="s">
        <v>15</v>
      </c>
      <c r="D897" s="12">
        <v>1</v>
      </c>
      <c r="E897" s="13">
        <v>85</v>
      </c>
      <c r="F897" s="14">
        <f t="shared" si="21"/>
        <v>85</v>
      </c>
    </row>
    <row r="898" spans="2:6" x14ac:dyDescent="0.25">
      <c r="B898" s="11" t="s">
        <v>679</v>
      </c>
      <c r="C898" s="7" t="s">
        <v>15</v>
      </c>
      <c r="D898" s="12">
        <v>6</v>
      </c>
      <c r="E898" s="13">
        <v>10</v>
      </c>
      <c r="F898" s="14">
        <f t="shared" si="21"/>
        <v>60</v>
      </c>
    </row>
    <row r="899" spans="2:6" x14ac:dyDescent="0.25">
      <c r="B899" s="11" t="s">
        <v>680</v>
      </c>
      <c r="C899" s="7" t="s">
        <v>19</v>
      </c>
      <c r="D899" s="12">
        <v>1</v>
      </c>
      <c r="E899" s="13">
        <v>90</v>
      </c>
      <c r="F899" s="14">
        <f t="shared" si="21"/>
        <v>90</v>
      </c>
    </row>
    <row r="900" spans="2:6" x14ac:dyDescent="0.25">
      <c r="B900" s="11" t="s">
        <v>681</v>
      </c>
      <c r="C900" s="7" t="s">
        <v>15</v>
      </c>
      <c r="D900" s="12">
        <v>1</v>
      </c>
      <c r="E900" s="13">
        <v>85</v>
      </c>
      <c r="F900" s="14">
        <f t="shared" si="21"/>
        <v>85</v>
      </c>
    </row>
    <row r="901" spans="2:6" x14ac:dyDescent="0.25">
      <c r="B901" s="11" t="s">
        <v>682</v>
      </c>
      <c r="C901" s="7" t="s">
        <v>15</v>
      </c>
      <c r="D901" s="12">
        <v>1</v>
      </c>
      <c r="E901" s="13">
        <v>85</v>
      </c>
      <c r="F901" s="14">
        <f t="shared" si="21"/>
        <v>85</v>
      </c>
    </row>
    <row r="902" spans="2:6" x14ac:dyDescent="0.25">
      <c r="B902" s="11" t="s">
        <v>683</v>
      </c>
      <c r="C902" s="7" t="s">
        <v>15</v>
      </c>
      <c r="D902" s="12">
        <v>2</v>
      </c>
      <c r="E902" s="13">
        <v>80</v>
      </c>
      <c r="F902" s="14">
        <f t="shared" si="21"/>
        <v>160</v>
      </c>
    </row>
    <row r="903" spans="2:6" x14ac:dyDescent="0.25">
      <c r="B903" s="11" t="s">
        <v>684</v>
      </c>
      <c r="C903" s="7" t="s">
        <v>15</v>
      </c>
      <c r="D903" s="12">
        <v>55</v>
      </c>
      <c r="E903" s="13">
        <v>5</v>
      </c>
      <c r="F903" s="14">
        <f t="shared" si="21"/>
        <v>275</v>
      </c>
    </row>
    <row r="904" spans="2:6" x14ac:dyDescent="0.25">
      <c r="B904" s="11" t="s">
        <v>685</v>
      </c>
      <c r="C904" s="7" t="s">
        <v>15</v>
      </c>
      <c r="D904" s="12">
        <v>10</v>
      </c>
      <c r="E904" s="13">
        <v>1</v>
      </c>
      <c r="F904" s="14">
        <f t="shared" si="21"/>
        <v>10</v>
      </c>
    </row>
    <row r="905" spans="2:6" x14ac:dyDescent="0.25">
      <c r="B905" s="11" t="s">
        <v>686</v>
      </c>
      <c r="C905" s="7" t="s">
        <v>15</v>
      </c>
      <c r="D905" s="12">
        <v>100</v>
      </c>
      <c r="E905" s="13">
        <v>1</v>
      </c>
      <c r="F905" s="14">
        <f t="shared" si="21"/>
        <v>100</v>
      </c>
    </row>
    <row r="906" spans="2:6" x14ac:dyDescent="0.25">
      <c r="B906" s="11" t="s">
        <v>687</v>
      </c>
      <c r="C906" s="7" t="s">
        <v>15</v>
      </c>
      <c r="D906" s="12">
        <v>1</v>
      </c>
      <c r="E906" s="13">
        <v>100</v>
      </c>
      <c r="F906" s="14">
        <f t="shared" si="21"/>
        <v>100</v>
      </c>
    </row>
    <row r="907" spans="2:6" x14ac:dyDescent="0.25">
      <c r="B907" s="11" t="s">
        <v>688</v>
      </c>
      <c r="C907" s="7" t="s">
        <v>15</v>
      </c>
      <c r="D907" s="12">
        <v>2</v>
      </c>
      <c r="E907" s="13">
        <v>90</v>
      </c>
      <c r="F907" s="14">
        <f t="shared" si="21"/>
        <v>180</v>
      </c>
    </row>
    <row r="908" spans="2:6" x14ac:dyDescent="0.25">
      <c r="B908" s="11" t="s">
        <v>689</v>
      </c>
      <c r="C908" s="7" t="s">
        <v>15</v>
      </c>
      <c r="D908" s="12">
        <v>2</v>
      </c>
      <c r="E908" s="13">
        <v>80</v>
      </c>
      <c r="F908" s="14">
        <f t="shared" si="21"/>
        <v>160</v>
      </c>
    </row>
    <row r="909" spans="2:6" x14ac:dyDescent="0.25">
      <c r="B909" s="11" t="s">
        <v>690</v>
      </c>
      <c r="C909" s="7" t="s">
        <v>15</v>
      </c>
      <c r="D909" s="12">
        <v>9</v>
      </c>
      <c r="E909" s="13">
        <v>80</v>
      </c>
      <c r="F909" s="14">
        <f t="shared" si="21"/>
        <v>720</v>
      </c>
    </row>
    <row r="910" spans="2:6" x14ac:dyDescent="0.25">
      <c r="B910" s="11" t="s">
        <v>691</v>
      </c>
      <c r="C910" s="7" t="s">
        <v>15</v>
      </c>
      <c r="D910" s="12">
        <v>5</v>
      </c>
      <c r="E910" s="13">
        <v>80</v>
      </c>
      <c r="F910" s="14">
        <f t="shared" si="21"/>
        <v>400</v>
      </c>
    </row>
    <row r="911" spans="2:6" x14ac:dyDescent="0.25">
      <c r="B911" s="11" t="s">
        <v>692</v>
      </c>
      <c r="C911" s="7" t="s">
        <v>15</v>
      </c>
      <c r="D911" s="12">
        <v>7</v>
      </c>
      <c r="E911" s="13">
        <v>80</v>
      </c>
      <c r="F911" s="14">
        <f t="shared" si="21"/>
        <v>560</v>
      </c>
    </row>
    <row r="913" spans="1:6" ht="24" x14ac:dyDescent="0.25">
      <c r="A913" s="9" t="s">
        <v>2341</v>
      </c>
      <c r="B913" s="8" t="s">
        <v>693</v>
      </c>
    </row>
    <row r="914" spans="1:6" x14ac:dyDescent="0.25">
      <c r="B914" s="11" t="s">
        <v>673</v>
      </c>
      <c r="C914" s="7" t="s">
        <v>15</v>
      </c>
      <c r="D914" s="12">
        <v>1</v>
      </c>
      <c r="E914" s="13">
        <v>2122</v>
      </c>
      <c r="F914" s="14">
        <f>ROUND(D914*E914,2)</f>
        <v>2122</v>
      </c>
    </row>
    <row r="915" spans="1:6" x14ac:dyDescent="0.25">
      <c r="B915" s="11" t="s">
        <v>674</v>
      </c>
      <c r="C915" s="7" t="s">
        <v>15</v>
      </c>
      <c r="D915" s="12">
        <v>1</v>
      </c>
      <c r="E915" s="13"/>
      <c r="F915" s="14">
        <f>ROUND(D915*E915,2)</f>
        <v>0</v>
      </c>
    </row>
    <row r="916" spans="1:6" x14ac:dyDescent="0.25">
      <c r="B916" s="11" t="s">
        <v>687</v>
      </c>
      <c r="C916" s="7" t="s">
        <v>15</v>
      </c>
      <c r="D916" s="12">
        <v>1</v>
      </c>
      <c r="E916" s="13"/>
      <c r="F916" s="14">
        <f>ROUND(D916*E916,2)</f>
        <v>0</v>
      </c>
    </row>
    <row r="917" spans="1:6" x14ac:dyDescent="0.25">
      <c r="B917" s="11" t="s">
        <v>688</v>
      </c>
      <c r="C917" s="7" t="s">
        <v>15</v>
      </c>
      <c r="D917" s="12">
        <v>2</v>
      </c>
      <c r="E917" s="13"/>
      <c r="F917" s="14">
        <f>ROUND(D917*E917,2)</f>
        <v>0</v>
      </c>
    </row>
    <row r="919" spans="1:6" x14ac:dyDescent="0.25">
      <c r="A919" s="9" t="s">
        <v>2342</v>
      </c>
      <c r="B919" s="16" t="s">
        <v>694</v>
      </c>
      <c r="C919" s="7" t="s">
        <v>13</v>
      </c>
      <c r="D919" s="12">
        <v>2100</v>
      </c>
      <c r="E919" s="13">
        <v>2</v>
      </c>
      <c r="F919" s="14">
        <f t="shared" ref="F919:F924" si="22">ROUND(D919*E919,2)</f>
        <v>4200</v>
      </c>
    </row>
    <row r="920" spans="1:6" x14ac:dyDescent="0.25">
      <c r="B920" s="11" t="s">
        <v>695</v>
      </c>
      <c r="C920" s="7" t="s">
        <v>15</v>
      </c>
      <c r="D920" s="12">
        <v>1</v>
      </c>
      <c r="E920" s="13">
        <v>55</v>
      </c>
      <c r="F920" s="14">
        <f t="shared" si="22"/>
        <v>55</v>
      </c>
    </row>
    <row r="921" spans="1:6" x14ac:dyDescent="0.25">
      <c r="B921" s="11" t="s">
        <v>696</v>
      </c>
      <c r="C921" s="7" t="s">
        <v>15</v>
      </c>
      <c r="D921" s="12">
        <v>10</v>
      </c>
      <c r="E921" s="13">
        <v>20</v>
      </c>
      <c r="F921" s="14">
        <f t="shared" si="22"/>
        <v>200</v>
      </c>
    </row>
    <row r="922" spans="1:6" x14ac:dyDescent="0.25">
      <c r="B922" s="11" t="s">
        <v>697</v>
      </c>
      <c r="C922" s="7" t="s">
        <v>13</v>
      </c>
      <c r="D922" s="12">
        <v>300</v>
      </c>
      <c r="E922" s="13">
        <v>1.4</v>
      </c>
      <c r="F922" s="14">
        <f t="shared" si="22"/>
        <v>420</v>
      </c>
    </row>
    <row r="923" spans="1:6" x14ac:dyDescent="0.25">
      <c r="B923" s="11" t="s">
        <v>698</v>
      </c>
      <c r="C923" s="7" t="s">
        <v>13</v>
      </c>
      <c r="D923" s="12">
        <v>300</v>
      </c>
      <c r="E923" s="13">
        <v>2.5</v>
      </c>
      <c r="F923" s="14">
        <f t="shared" si="22"/>
        <v>750</v>
      </c>
    </row>
    <row r="924" spans="1:6" x14ac:dyDescent="0.25">
      <c r="B924" s="11" t="s">
        <v>699</v>
      </c>
      <c r="C924" s="7" t="s">
        <v>13</v>
      </c>
      <c r="D924" s="12">
        <v>350</v>
      </c>
      <c r="E924" s="13">
        <v>1.9</v>
      </c>
      <c r="F924" s="14">
        <f t="shared" si="22"/>
        <v>665</v>
      </c>
    </row>
    <row r="926" spans="1:6" x14ac:dyDescent="0.25">
      <c r="A926" s="9" t="s">
        <v>2343</v>
      </c>
      <c r="B926" s="8" t="s">
        <v>652</v>
      </c>
    </row>
    <row r="927" spans="1:6" x14ac:dyDescent="0.25">
      <c r="B927" s="11" t="s">
        <v>653</v>
      </c>
      <c r="C927" s="7" t="s">
        <v>13</v>
      </c>
      <c r="D927" s="12">
        <v>650</v>
      </c>
      <c r="E927" s="13">
        <v>2.2000000000000002</v>
      </c>
      <c r="F927" s="14">
        <f>ROUND(D927*E927,2)</f>
        <v>1430</v>
      </c>
    </row>
    <row r="928" spans="1:6" x14ac:dyDescent="0.25">
      <c r="B928" s="11" t="s">
        <v>700</v>
      </c>
      <c r="C928" s="7" t="s">
        <v>13</v>
      </c>
      <c r="D928" s="12">
        <v>750</v>
      </c>
      <c r="E928" s="13">
        <v>2.2999999999999998</v>
      </c>
      <c r="F928" s="14">
        <f>ROUND(D928*E928,2)</f>
        <v>1725</v>
      </c>
    </row>
    <row r="929" spans="1:6" x14ac:dyDescent="0.25">
      <c r="B929" s="11" t="s">
        <v>701</v>
      </c>
      <c r="C929" s="7" t="s">
        <v>13</v>
      </c>
      <c r="D929" s="12">
        <v>50</v>
      </c>
      <c r="E929" s="13">
        <v>2.4</v>
      </c>
      <c r="F929" s="14">
        <f>ROUND(D929*E929,2)</f>
        <v>120</v>
      </c>
    </row>
    <row r="930" spans="1:6" x14ac:dyDescent="0.25">
      <c r="B930" s="11" t="s">
        <v>702</v>
      </c>
      <c r="C930" s="7" t="s">
        <v>13</v>
      </c>
      <c r="D930" s="12">
        <v>50</v>
      </c>
      <c r="E930" s="13">
        <v>3</v>
      </c>
      <c r="F930" s="14">
        <f>ROUND(D930*E930,2)</f>
        <v>150</v>
      </c>
    </row>
    <row r="931" spans="1:6" x14ac:dyDescent="0.25">
      <c r="B931" s="11" t="s">
        <v>703</v>
      </c>
      <c r="C931" s="7" t="s">
        <v>13</v>
      </c>
      <c r="D931" s="12">
        <v>50</v>
      </c>
      <c r="E931" s="13">
        <v>3.5</v>
      </c>
      <c r="F931" s="14">
        <f>ROUND(D931*E931,2)</f>
        <v>175</v>
      </c>
    </row>
    <row r="933" spans="1:6" ht="24" x14ac:dyDescent="0.25">
      <c r="A933" s="9" t="s">
        <v>2344</v>
      </c>
      <c r="B933" s="8" t="s">
        <v>704</v>
      </c>
      <c r="C933" s="7" t="s">
        <v>15</v>
      </c>
      <c r="D933" s="12">
        <v>1</v>
      </c>
      <c r="E933" s="13">
        <v>15</v>
      </c>
      <c r="F933" s="14">
        <f>ROUND(D933*E933,2)</f>
        <v>15</v>
      </c>
    </row>
    <row r="934" spans="1:6" x14ac:dyDescent="0.25">
      <c r="B934" s="11"/>
    </row>
    <row r="936" spans="1:6" ht="24" x14ac:dyDescent="0.25">
      <c r="A936" s="9" t="s">
        <v>2345</v>
      </c>
      <c r="B936" s="8" t="s">
        <v>705</v>
      </c>
      <c r="C936" s="7" t="s">
        <v>15</v>
      </c>
      <c r="D936" s="12">
        <v>17</v>
      </c>
      <c r="E936" s="13">
        <v>15</v>
      </c>
      <c r="F936" s="14">
        <f>ROUND(D936*E936,2)</f>
        <v>255</v>
      </c>
    </row>
    <row r="937" spans="1:6" x14ac:dyDescent="0.25">
      <c r="B937" s="11"/>
    </row>
    <row r="939" spans="1:6" ht="24" x14ac:dyDescent="0.25">
      <c r="A939" s="9" t="s">
        <v>2346</v>
      </c>
      <c r="B939" s="8" t="s">
        <v>706</v>
      </c>
      <c r="C939" s="7" t="s">
        <v>15</v>
      </c>
      <c r="D939" s="12">
        <v>11</v>
      </c>
      <c r="E939" s="13">
        <v>28</v>
      </c>
      <c r="F939" s="14">
        <f>ROUND(D939*E939,2)</f>
        <v>308</v>
      </c>
    </row>
    <row r="940" spans="1:6" x14ac:dyDescent="0.25">
      <c r="B940" s="11"/>
    </row>
    <row r="942" spans="1:6" ht="24" x14ac:dyDescent="0.25">
      <c r="A942" s="9" t="s">
        <v>2347</v>
      </c>
      <c r="B942" s="8" t="s">
        <v>707</v>
      </c>
      <c r="C942" s="7" t="s">
        <v>15</v>
      </c>
      <c r="D942" s="12">
        <v>3</v>
      </c>
      <c r="E942" s="13">
        <v>18</v>
      </c>
      <c r="F942" s="14">
        <f>ROUND(D942*E942,2)</f>
        <v>54</v>
      </c>
    </row>
    <row r="943" spans="1:6" x14ac:dyDescent="0.25">
      <c r="B943" s="11"/>
    </row>
    <row r="944" spans="1:6" ht="24" x14ac:dyDescent="0.25">
      <c r="A944" s="9" t="s">
        <v>2348</v>
      </c>
      <c r="B944" s="8" t="s">
        <v>708</v>
      </c>
      <c r="C944" s="7" t="s">
        <v>15</v>
      </c>
      <c r="D944" s="12">
        <v>1</v>
      </c>
      <c r="E944" s="13">
        <v>35</v>
      </c>
      <c r="F944" s="14">
        <f>ROUND(D944*E944,2)</f>
        <v>35</v>
      </c>
    </row>
    <row r="945" spans="1:6" x14ac:dyDescent="0.25">
      <c r="B945" s="11"/>
      <c r="C945" s="3"/>
    </row>
    <row r="946" spans="1:6" ht="24" x14ac:dyDescent="0.25">
      <c r="A946" s="9" t="s">
        <v>2349</v>
      </c>
      <c r="B946" s="8" t="s">
        <v>709</v>
      </c>
      <c r="C946" s="7" t="s">
        <v>15</v>
      </c>
      <c r="D946" s="12">
        <v>2</v>
      </c>
      <c r="E946" s="13">
        <v>60</v>
      </c>
      <c r="F946" s="14">
        <f>ROUND(D946*E946,2)</f>
        <v>120</v>
      </c>
    </row>
    <row r="947" spans="1:6" x14ac:dyDescent="0.25">
      <c r="B947" s="11"/>
      <c r="C947" s="3"/>
    </row>
    <row r="948" spans="1:6" x14ac:dyDescent="0.25">
      <c r="A948" s="9" t="s">
        <v>2350</v>
      </c>
      <c r="B948" s="8" t="s">
        <v>710</v>
      </c>
    </row>
    <row r="949" spans="1:6" x14ac:dyDescent="0.25">
      <c r="B949" s="11" t="s">
        <v>711</v>
      </c>
      <c r="C949" s="7" t="s">
        <v>15</v>
      </c>
      <c r="D949" s="12">
        <v>116</v>
      </c>
      <c r="E949" s="13">
        <v>5</v>
      </c>
      <c r="F949" s="14">
        <f>ROUND(D949*E949,2)</f>
        <v>580</v>
      </c>
    </row>
    <row r="950" spans="1:6" x14ac:dyDescent="0.25">
      <c r="B950" s="11" t="s">
        <v>712</v>
      </c>
      <c r="C950" s="7" t="s">
        <v>15</v>
      </c>
      <c r="D950" s="12">
        <v>58</v>
      </c>
      <c r="E950" s="13">
        <v>5</v>
      </c>
      <c r="F950" s="14">
        <f>ROUND(D950*E950,2)</f>
        <v>290</v>
      </c>
    </row>
    <row r="952" spans="1:6" x14ac:dyDescent="0.25">
      <c r="A952" s="9" t="s">
        <v>2351</v>
      </c>
      <c r="B952" s="8" t="s">
        <v>713</v>
      </c>
      <c r="C952" s="7" t="s">
        <v>15</v>
      </c>
      <c r="D952" s="12">
        <v>58</v>
      </c>
      <c r="E952" s="13">
        <v>8</v>
      </c>
      <c r="F952" s="14">
        <f>ROUND(D952*E952,2)</f>
        <v>464</v>
      </c>
    </row>
    <row r="954" spans="1:6" x14ac:dyDescent="0.25">
      <c r="A954" s="24" t="s">
        <v>2337</v>
      </c>
      <c r="B954" s="22" t="s">
        <v>714</v>
      </c>
      <c r="C954" s="24"/>
      <c r="D954" s="24"/>
      <c r="E954" s="134"/>
      <c r="F954" s="28">
        <f>SUM(F892:F952)</f>
        <v>18033</v>
      </c>
    </row>
    <row r="956" spans="1:6" x14ac:dyDescent="0.25">
      <c r="A956" s="24" t="s">
        <v>2338</v>
      </c>
      <c r="B956" s="22" t="s">
        <v>715</v>
      </c>
      <c r="C956" s="24"/>
      <c r="D956" s="24"/>
      <c r="E956" s="134"/>
      <c r="F956" s="24"/>
    </row>
    <row r="958" spans="1:6" ht="24" x14ac:dyDescent="0.25">
      <c r="A958" s="9" t="s">
        <v>2339</v>
      </c>
      <c r="B958" s="8" t="s">
        <v>716</v>
      </c>
      <c r="C958" s="7" t="s">
        <v>15</v>
      </c>
      <c r="D958" s="12">
        <v>1</v>
      </c>
      <c r="E958" s="13">
        <v>120</v>
      </c>
      <c r="F958" s="14">
        <f>ROUND(D958*E958,2)</f>
        <v>120</v>
      </c>
    </row>
    <row r="959" spans="1:6" x14ac:dyDescent="0.25">
      <c r="B959" s="11"/>
      <c r="C959" s="3"/>
    </row>
    <row r="961" spans="1:6" x14ac:dyDescent="0.25">
      <c r="A961" s="9" t="s">
        <v>2352</v>
      </c>
      <c r="B961" s="8" t="s">
        <v>717</v>
      </c>
    </row>
    <row r="962" spans="1:6" x14ac:dyDescent="0.25">
      <c r="B962" s="11" t="s">
        <v>718</v>
      </c>
      <c r="C962" s="7" t="s">
        <v>15</v>
      </c>
      <c r="D962" s="12">
        <v>1</v>
      </c>
      <c r="E962" s="13"/>
      <c r="F962" s="14">
        <f t="shared" ref="F962:F974" si="23">ROUND(D962*E962,2)</f>
        <v>0</v>
      </c>
    </row>
    <row r="963" spans="1:6" x14ac:dyDescent="0.25">
      <c r="B963" s="11" t="s">
        <v>719</v>
      </c>
      <c r="C963" s="7" t="s">
        <v>15</v>
      </c>
      <c r="D963" s="12">
        <v>1</v>
      </c>
      <c r="E963" s="13"/>
      <c r="F963" s="14">
        <f t="shared" si="23"/>
        <v>0</v>
      </c>
    </row>
    <row r="964" spans="1:6" x14ac:dyDescent="0.25">
      <c r="B964" s="11" t="s">
        <v>720</v>
      </c>
      <c r="C964" s="7" t="s">
        <v>15</v>
      </c>
      <c r="D964" s="12">
        <v>2</v>
      </c>
      <c r="E964" s="13"/>
      <c r="F964" s="14">
        <f t="shared" si="23"/>
        <v>0</v>
      </c>
    </row>
    <row r="965" spans="1:6" x14ac:dyDescent="0.25">
      <c r="B965" s="11" t="s">
        <v>721</v>
      </c>
      <c r="C965" s="7" t="s">
        <v>15</v>
      </c>
      <c r="D965" s="12">
        <v>1</v>
      </c>
      <c r="E965" s="13"/>
      <c r="F965" s="14">
        <f t="shared" si="23"/>
        <v>0</v>
      </c>
    </row>
    <row r="966" spans="1:6" x14ac:dyDescent="0.25">
      <c r="B966" s="11" t="s">
        <v>722</v>
      </c>
      <c r="C966" s="7" t="s">
        <v>15</v>
      </c>
      <c r="D966" s="12">
        <v>1</v>
      </c>
      <c r="E966" s="13"/>
      <c r="F966" s="14">
        <f t="shared" si="23"/>
        <v>0</v>
      </c>
    </row>
    <row r="967" spans="1:6" x14ac:dyDescent="0.25">
      <c r="B967" s="11" t="s">
        <v>723</v>
      </c>
      <c r="C967" s="7" t="s">
        <v>15</v>
      </c>
      <c r="D967" s="12">
        <v>1</v>
      </c>
      <c r="E967" s="13"/>
      <c r="F967" s="14">
        <f t="shared" si="23"/>
        <v>0</v>
      </c>
    </row>
    <row r="968" spans="1:6" x14ac:dyDescent="0.25">
      <c r="B968" s="11" t="s">
        <v>724</v>
      </c>
      <c r="C968" s="7" t="s">
        <v>15</v>
      </c>
      <c r="D968" s="12">
        <v>1</v>
      </c>
      <c r="E968" s="13"/>
      <c r="F968" s="14">
        <f t="shared" si="23"/>
        <v>0</v>
      </c>
    </row>
    <row r="969" spans="1:6" x14ac:dyDescent="0.25">
      <c r="B969" s="11" t="s">
        <v>725</v>
      </c>
      <c r="C969" s="7" t="s">
        <v>15</v>
      </c>
      <c r="D969" s="12">
        <v>3</v>
      </c>
      <c r="E969" s="13"/>
      <c r="F969" s="14">
        <f t="shared" si="23"/>
        <v>0</v>
      </c>
    </row>
    <row r="970" spans="1:6" x14ac:dyDescent="0.25">
      <c r="B970" s="11" t="s">
        <v>2604</v>
      </c>
      <c r="C970" s="7" t="s">
        <v>15</v>
      </c>
      <c r="D970" s="12">
        <v>1</v>
      </c>
      <c r="E970" s="13"/>
      <c r="F970" s="14">
        <f t="shared" si="23"/>
        <v>0</v>
      </c>
    </row>
    <row r="971" spans="1:6" x14ac:dyDescent="0.25">
      <c r="B971" s="11" t="s">
        <v>2605</v>
      </c>
      <c r="C971" s="7" t="s">
        <v>15</v>
      </c>
      <c r="D971" s="12">
        <v>2</v>
      </c>
      <c r="E971" s="13"/>
      <c r="F971" s="14">
        <f t="shared" si="23"/>
        <v>0</v>
      </c>
    </row>
    <row r="972" spans="1:6" x14ac:dyDescent="0.25">
      <c r="B972" s="11" t="s">
        <v>2606</v>
      </c>
      <c r="C972" s="7" t="s">
        <v>15</v>
      </c>
      <c r="D972" s="12">
        <v>1</v>
      </c>
      <c r="E972" s="13"/>
      <c r="F972" s="14">
        <f t="shared" si="23"/>
        <v>0</v>
      </c>
    </row>
    <row r="973" spans="1:6" x14ac:dyDescent="0.25">
      <c r="B973" s="11" t="s">
        <v>726</v>
      </c>
      <c r="C973" s="7" t="s">
        <v>13</v>
      </c>
      <c r="D973" s="12">
        <v>200</v>
      </c>
      <c r="E973" s="13"/>
      <c r="F973" s="14">
        <f t="shared" si="23"/>
        <v>0</v>
      </c>
    </row>
    <row r="974" spans="1:6" x14ac:dyDescent="0.25">
      <c r="B974" s="11" t="s">
        <v>727</v>
      </c>
      <c r="C974" s="7" t="s">
        <v>19</v>
      </c>
      <c r="D974" s="12">
        <v>1</v>
      </c>
      <c r="E974" s="13">
        <v>950</v>
      </c>
      <c r="F974" s="14">
        <f t="shared" si="23"/>
        <v>950</v>
      </c>
    </row>
    <row r="976" spans="1:6" ht="15" customHeight="1" x14ac:dyDescent="0.25">
      <c r="A976" s="9" t="s">
        <v>2353</v>
      </c>
      <c r="B976" s="8" t="s">
        <v>728</v>
      </c>
    </row>
    <row r="977" spans="1:6" x14ac:dyDescent="0.25">
      <c r="B977" s="11" t="s">
        <v>729</v>
      </c>
      <c r="C977" s="7" t="s">
        <v>15</v>
      </c>
      <c r="D977" s="12">
        <v>1</v>
      </c>
      <c r="E977" s="13"/>
      <c r="F977" s="14">
        <f t="shared" ref="F977:F984" si="24">ROUND(D977*E977,2)</f>
        <v>0</v>
      </c>
    </row>
    <row r="978" spans="1:6" x14ac:dyDescent="0.25">
      <c r="B978" s="11" t="s">
        <v>730</v>
      </c>
      <c r="C978" s="7" t="s">
        <v>15</v>
      </c>
      <c r="D978" s="12">
        <v>1</v>
      </c>
      <c r="E978" s="13"/>
      <c r="F978" s="14">
        <f t="shared" si="24"/>
        <v>0</v>
      </c>
    </row>
    <row r="979" spans="1:6" x14ac:dyDescent="0.25">
      <c r="B979" s="11" t="s">
        <v>2607</v>
      </c>
      <c r="C979" s="7" t="s">
        <v>15</v>
      </c>
      <c r="D979" s="12">
        <v>1</v>
      </c>
      <c r="E979" s="13"/>
      <c r="F979" s="14">
        <f t="shared" si="24"/>
        <v>0</v>
      </c>
    </row>
    <row r="980" spans="1:6" x14ac:dyDescent="0.25">
      <c r="B980" s="11" t="s">
        <v>731</v>
      </c>
      <c r="C980" s="7" t="s">
        <v>15</v>
      </c>
      <c r="D980" s="12">
        <v>1</v>
      </c>
      <c r="E980" s="13"/>
      <c r="F980" s="14">
        <f t="shared" si="24"/>
        <v>0</v>
      </c>
    </row>
    <row r="981" spans="1:6" x14ac:dyDescent="0.25">
      <c r="B981" s="11" t="s">
        <v>732</v>
      </c>
      <c r="C981" s="7" t="s">
        <v>15</v>
      </c>
      <c r="D981" s="12">
        <v>2</v>
      </c>
      <c r="E981" s="13"/>
      <c r="F981" s="14">
        <f t="shared" si="24"/>
        <v>0</v>
      </c>
    </row>
    <row r="982" spans="1:6" x14ac:dyDescent="0.25">
      <c r="B982" s="11" t="s">
        <v>733</v>
      </c>
      <c r="C982" s="7" t="s">
        <v>15</v>
      </c>
      <c r="D982" s="12">
        <v>6</v>
      </c>
      <c r="E982" s="13"/>
      <c r="F982" s="14">
        <f t="shared" si="24"/>
        <v>0</v>
      </c>
    </row>
    <row r="983" spans="1:6" x14ac:dyDescent="0.25">
      <c r="B983" s="11" t="s">
        <v>734</v>
      </c>
      <c r="C983" s="7" t="s">
        <v>15</v>
      </c>
      <c r="D983" s="12">
        <v>100</v>
      </c>
      <c r="E983" s="13"/>
      <c r="F983" s="14">
        <f t="shared" si="24"/>
        <v>0</v>
      </c>
    </row>
    <row r="984" spans="1:6" x14ac:dyDescent="0.25">
      <c r="B984" s="11" t="s">
        <v>727</v>
      </c>
      <c r="C984" s="7" t="s">
        <v>19</v>
      </c>
      <c r="D984" s="12">
        <v>1</v>
      </c>
      <c r="E984" s="13">
        <v>700</v>
      </c>
      <c r="F984" s="14">
        <f t="shared" si="24"/>
        <v>700</v>
      </c>
    </row>
    <row r="986" spans="1:6" x14ac:dyDescent="0.25">
      <c r="A986" s="9" t="s">
        <v>2354</v>
      </c>
      <c r="B986" s="8" t="s">
        <v>735</v>
      </c>
      <c r="C986" s="7" t="s">
        <v>13</v>
      </c>
      <c r="D986" s="12">
        <v>150</v>
      </c>
      <c r="E986" s="13">
        <v>1.5</v>
      </c>
      <c r="F986" s="14">
        <f>ROUND(D986*E986,2)</f>
        <v>225</v>
      </c>
    </row>
    <row r="987" spans="1:6" x14ac:dyDescent="0.25">
      <c r="B987" s="11"/>
      <c r="C987" s="3"/>
    </row>
    <row r="989" spans="1:6" ht="37.5" customHeight="1" x14ac:dyDescent="0.25">
      <c r="A989" s="9" t="s">
        <v>2355</v>
      </c>
      <c r="B989" s="8" t="s">
        <v>2608</v>
      </c>
      <c r="C989" s="7" t="s">
        <v>15</v>
      </c>
      <c r="D989" s="12">
        <v>3</v>
      </c>
      <c r="E989" s="13">
        <v>50</v>
      </c>
      <c r="F989" s="14">
        <f>ROUND(D989*E989,2)</f>
        <v>150</v>
      </c>
    </row>
    <row r="990" spans="1:6" x14ac:dyDescent="0.25">
      <c r="B990" s="11"/>
      <c r="C990" s="3"/>
    </row>
    <row r="992" spans="1:6" x14ac:dyDescent="0.25">
      <c r="A992" s="9" t="s">
        <v>2356</v>
      </c>
      <c r="B992" s="8" t="s">
        <v>736</v>
      </c>
    </row>
    <row r="993" spans="1:6" x14ac:dyDescent="0.25">
      <c r="B993" s="11" t="s">
        <v>737</v>
      </c>
      <c r="C993" s="7" t="s">
        <v>13</v>
      </c>
      <c r="D993" s="12">
        <v>200</v>
      </c>
      <c r="E993" s="13">
        <v>2</v>
      </c>
      <c r="F993" s="14">
        <f t="shared" ref="F993:F998" si="25">ROUND(D993*E993,2)</f>
        <v>400</v>
      </c>
    </row>
    <row r="994" spans="1:6" x14ac:dyDescent="0.25">
      <c r="B994" s="11" t="s">
        <v>738</v>
      </c>
      <c r="C994" s="7" t="s">
        <v>13</v>
      </c>
      <c r="D994" s="12">
        <v>175</v>
      </c>
      <c r="E994" s="13">
        <v>3</v>
      </c>
      <c r="F994" s="14">
        <f t="shared" si="25"/>
        <v>525</v>
      </c>
    </row>
    <row r="995" spans="1:6" x14ac:dyDescent="0.25">
      <c r="B995" s="11" t="s">
        <v>739</v>
      </c>
      <c r="C995" s="7" t="s">
        <v>13</v>
      </c>
      <c r="D995" s="12">
        <v>50</v>
      </c>
      <c r="E995" s="13">
        <v>3.5</v>
      </c>
      <c r="F995" s="14">
        <f t="shared" si="25"/>
        <v>175</v>
      </c>
    </row>
    <row r="996" spans="1:6" x14ac:dyDescent="0.25">
      <c r="B996" s="11" t="s">
        <v>740</v>
      </c>
      <c r="C996" s="7" t="s">
        <v>15</v>
      </c>
      <c r="D996" s="12">
        <v>10</v>
      </c>
      <c r="E996" s="13">
        <v>12</v>
      </c>
      <c r="F996" s="14">
        <f t="shared" si="25"/>
        <v>120</v>
      </c>
    </row>
    <row r="997" spans="1:6" x14ac:dyDescent="0.25">
      <c r="B997" s="11" t="s">
        <v>741</v>
      </c>
      <c r="C997" s="7" t="s">
        <v>15</v>
      </c>
      <c r="D997" s="12">
        <v>5</v>
      </c>
      <c r="E997" s="13">
        <v>12</v>
      </c>
      <c r="F997" s="14">
        <f t="shared" si="25"/>
        <v>60</v>
      </c>
    </row>
    <row r="998" spans="1:6" x14ac:dyDescent="0.25">
      <c r="B998" s="11" t="s">
        <v>727</v>
      </c>
      <c r="C998" s="7" t="s">
        <v>19</v>
      </c>
      <c r="D998" s="12">
        <v>1</v>
      </c>
      <c r="E998" s="13">
        <v>120</v>
      </c>
      <c r="F998" s="14">
        <f t="shared" si="25"/>
        <v>120</v>
      </c>
    </row>
    <row r="1000" spans="1:6" x14ac:dyDescent="0.25">
      <c r="A1000" s="9" t="s">
        <v>2357</v>
      </c>
      <c r="B1000" s="8" t="s">
        <v>742</v>
      </c>
      <c r="C1000" s="7" t="s">
        <v>19</v>
      </c>
      <c r="D1000" s="12">
        <v>1</v>
      </c>
      <c r="E1000" s="13">
        <v>150</v>
      </c>
      <c r="F1000" s="14">
        <f>ROUND(D1000*E1000,2)</f>
        <v>150</v>
      </c>
    </row>
    <row r="1001" spans="1:6" x14ac:dyDescent="0.25">
      <c r="B1001" s="11"/>
    </row>
    <row r="1002" spans="1:6" x14ac:dyDescent="0.25">
      <c r="A1002" s="9" t="s">
        <v>2358</v>
      </c>
      <c r="B1002" s="8" t="s">
        <v>743</v>
      </c>
      <c r="C1002" s="7" t="s">
        <v>19</v>
      </c>
      <c r="D1002" s="12">
        <v>1</v>
      </c>
      <c r="E1002" s="13">
        <v>150</v>
      </c>
      <c r="F1002" s="14">
        <f>ROUND(D1002*E1002,2)</f>
        <v>150</v>
      </c>
    </row>
    <row r="1003" spans="1:6" x14ac:dyDescent="0.25">
      <c r="B1003" s="11"/>
    </row>
    <row r="1004" spans="1:6" x14ac:dyDescent="0.25">
      <c r="A1004" s="9" t="s">
        <v>2359</v>
      </c>
      <c r="B1004" s="8" t="s">
        <v>744</v>
      </c>
      <c r="C1004" s="7" t="s">
        <v>19</v>
      </c>
      <c r="D1004" s="12">
        <v>1</v>
      </c>
      <c r="E1004" s="13">
        <v>150</v>
      </c>
      <c r="F1004" s="14">
        <f>ROUND(D1004*E1004,2)</f>
        <v>150</v>
      </c>
    </row>
    <row r="1005" spans="1:6" x14ac:dyDescent="0.25">
      <c r="B1005" s="11"/>
    </row>
    <row r="1006" spans="1:6" x14ac:dyDescent="0.25">
      <c r="A1006" s="9" t="s">
        <v>2360</v>
      </c>
      <c r="B1006" s="8" t="s">
        <v>745</v>
      </c>
      <c r="C1006" s="7" t="s">
        <v>19</v>
      </c>
      <c r="D1006" s="12">
        <v>1</v>
      </c>
      <c r="E1006" s="13">
        <v>150</v>
      </c>
      <c r="F1006" s="14">
        <f>ROUND(D1006*E1006,2)</f>
        <v>150</v>
      </c>
    </row>
    <row r="1008" spans="1:6" x14ac:dyDescent="0.25">
      <c r="A1008" s="24" t="s">
        <v>2338</v>
      </c>
      <c r="B1008" s="22" t="s">
        <v>746</v>
      </c>
      <c r="C1008" s="24"/>
      <c r="D1008" s="24"/>
      <c r="E1008" s="134"/>
      <c r="F1008" s="28">
        <f>SUM(F958:F1006)</f>
        <v>4145</v>
      </c>
    </row>
    <row r="1011" spans="1:6" x14ac:dyDescent="0.25">
      <c r="A1011" s="24" t="s">
        <v>2062</v>
      </c>
      <c r="B1011" s="22" t="s">
        <v>747</v>
      </c>
      <c r="C1011" s="24"/>
      <c r="D1011" s="24"/>
      <c r="E1011" s="134"/>
      <c r="F1011" s="28">
        <f>SUM(F1008,F954,F887,F881,F865,F836,F786,F660,F624,F591)</f>
        <v>189729.43000000002</v>
      </c>
    </row>
    <row r="1014" spans="1:6" x14ac:dyDescent="0.25">
      <c r="A1014" s="31" t="s">
        <v>2069</v>
      </c>
      <c r="B1014" s="73" t="s">
        <v>748</v>
      </c>
      <c r="C1014" s="31"/>
      <c r="D1014" s="31"/>
      <c r="E1014" s="131"/>
      <c r="F1014" s="31"/>
    </row>
    <row r="1016" spans="1:6" x14ac:dyDescent="0.25">
      <c r="A1016" s="24" t="s">
        <v>2340</v>
      </c>
      <c r="B1016" s="22" t="s">
        <v>749</v>
      </c>
      <c r="C1016" s="24"/>
      <c r="D1016" s="24"/>
      <c r="E1016" s="134"/>
      <c r="F1016" s="24"/>
    </row>
    <row r="1018" spans="1:6" ht="171" customHeight="1" x14ac:dyDescent="0.25">
      <c r="A1018" s="9" t="s">
        <v>2361</v>
      </c>
      <c r="B1018" s="8" t="s">
        <v>750</v>
      </c>
    </row>
    <row r="1019" spans="1:6" ht="156" x14ac:dyDescent="0.25">
      <c r="B1019" s="8" t="s">
        <v>751</v>
      </c>
      <c r="C1019" s="7" t="s">
        <v>15</v>
      </c>
      <c r="D1019" s="12">
        <v>1</v>
      </c>
      <c r="E1019" s="13">
        <v>885</v>
      </c>
      <c r="F1019" s="14">
        <f>ROUND(D1019*E1019,2)</f>
        <v>885</v>
      </c>
    </row>
    <row r="1020" spans="1:6" x14ac:dyDescent="0.25">
      <c r="B1020" s="11"/>
    </row>
    <row r="1021" spans="1:6" ht="133.5" customHeight="1" x14ac:dyDescent="0.25">
      <c r="A1021" s="9" t="s">
        <v>2362</v>
      </c>
      <c r="B1021" s="8" t="s">
        <v>752</v>
      </c>
      <c r="C1021" s="7" t="s">
        <v>15</v>
      </c>
      <c r="D1021" s="12">
        <v>1</v>
      </c>
      <c r="E1021" s="13">
        <v>640</v>
      </c>
      <c r="F1021" s="14">
        <f>ROUND(D1021*E1021,2)</f>
        <v>640</v>
      </c>
    </row>
    <row r="1022" spans="1:6" x14ac:dyDescent="0.25">
      <c r="B1022" s="11"/>
      <c r="C1022" s="3"/>
    </row>
    <row r="1024" spans="1:6" ht="63" customHeight="1" x14ac:dyDescent="0.25">
      <c r="A1024" s="9" t="s">
        <v>2363</v>
      </c>
      <c r="B1024" s="8" t="s">
        <v>2609</v>
      </c>
      <c r="C1024" s="7" t="s">
        <v>15</v>
      </c>
      <c r="D1024" s="12">
        <v>1</v>
      </c>
      <c r="E1024" s="13">
        <v>1174</v>
      </c>
      <c r="F1024" s="14">
        <f>ROUND(D1024*E1024,2)</f>
        <v>1174</v>
      </c>
    </row>
    <row r="1025" spans="1:6" x14ac:dyDescent="0.25">
      <c r="B1025" s="11"/>
    </row>
    <row r="1026" spans="1:6" ht="24" x14ac:dyDescent="0.25">
      <c r="A1026" s="9" t="s">
        <v>2364</v>
      </c>
      <c r="B1026" s="8" t="s">
        <v>753</v>
      </c>
      <c r="C1026" s="7" t="s">
        <v>15</v>
      </c>
      <c r="D1026" s="12">
        <v>2</v>
      </c>
      <c r="E1026" s="13">
        <v>45</v>
      </c>
      <c r="F1026" s="14">
        <f>ROUND(D1026*E1026,2)</f>
        <v>90</v>
      </c>
    </row>
    <row r="1027" spans="1:6" x14ac:dyDescent="0.25">
      <c r="B1027" s="11"/>
    </row>
    <row r="1028" spans="1:6" ht="60" x14ac:dyDescent="0.25">
      <c r="A1028" s="9" t="s">
        <v>2365</v>
      </c>
      <c r="B1028" s="8" t="s">
        <v>754</v>
      </c>
      <c r="C1028" s="7" t="s">
        <v>15</v>
      </c>
      <c r="D1028" s="12">
        <v>1</v>
      </c>
      <c r="E1028" s="13">
        <v>266</v>
      </c>
      <c r="F1028" s="14">
        <f>ROUND(D1028*E1028,2)</f>
        <v>266</v>
      </c>
    </row>
    <row r="1029" spans="1:6" x14ac:dyDescent="0.25">
      <c r="B1029" s="11"/>
      <c r="C1029" s="3"/>
    </row>
    <row r="1030" spans="1:6" ht="159.75" customHeight="1" x14ac:dyDescent="0.25">
      <c r="A1030" s="9" t="s">
        <v>2366</v>
      </c>
      <c r="B1030" s="8" t="s">
        <v>755</v>
      </c>
    </row>
    <row r="1031" spans="1:6" ht="36" x14ac:dyDescent="0.25">
      <c r="B1031" s="8" t="s">
        <v>756</v>
      </c>
      <c r="C1031" s="7" t="s">
        <v>15</v>
      </c>
      <c r="D1031" s="12">
        <v>29</v>
      </c>
      <c r="E1031" s="13">
        <v>44</v>
      </c>
      <c r="F1031" s="14">
        <f>ROUND(D1031*E1031,2)</f>
        <v>1276</v>
      </c>
    </row>
    <row r="1032" spans="1:6" x14ac:dyDescent="0.25">
      <c r="B1032" s="11"/>
    </row>
    <row r="1033" spans="1:6" ht="160.5" customHeight="1" x14ac:dyDescent="0.25">
      <c r="A1033" s="9" t="s">
        <v>2367</v>
      </c>
      <c r="B1033" s="8" t="s">
        <v>757</v>
      </c>
    </row>
    <row r="1034" spans="1:6" ht="40.5" customHeight="1" x14ac:dyDescent="0.25">
      <c r="B1034" s="8" t="s">
        <v>756</v>
      </c>
      <c r="C1034" s="7" t="s">
        <v>15</v>
      </c>
      <c r="D1034" s="12">
        <v>7</v>
      </c>
      <c r="E1034" s="13">
        <v>44</v>
      </c>
      <c r="F1034" s="14">
        <f>ROUND(D1034*E1034,2)</f>
        <v>308</v>
      </c>
    </row>
    <row r="1035" spans="1:6" x14ac:dyDescent="0.25">
      <c r="B1035" s="11"/>
      <c r="C1035" s="3"/>
    </row>
    <row r="1036" spans="1:6" ht="36" x14ac:dyDescent="0.25">
      <c r="A1036" s="9" t="s">
        <v>2368</v>
      </c>
      <c r="B1036" s="8" t="s">
        <v>758</v>
      </c>
      <c r="C1036" s="7" t="s">
        <v>15</v>
      </c>
      <c r="D1036" s="12">
        <v>36</v>
      </c>
      <c r="E1036" s="13">
        <v>4</v>
      </c>
      <c r="F1036" s="14">
        <f>ROUND(D1036*E1036,2)</f>
        <v>144</v>
      </c>
    </row>
    <row r="1037" spans="1:6" x14ac:dyDescent="0.25">
      <c r="B1037" s="11"/>
    </row>
    <row r="1038" spans="1:6" ht="72" x14ac:dyDescent="0.25">
      <c r="A1038" s="9" t="s">
        <v>2369</v>
      </c>
      <c r="B1038" s="8" t="s">
        <v>759</v>
      </c>
      <c r="C1038" s="7" t="s">
        <v>15</v>
      </c>
      <c r="D1038" s="12">
        <v>3</v>
      </c>
      <c r="E1038" s="13">
        <v>10</v>
      </c>
      <c r="F1038" s="14">
        <f>ROUND(D1038*E1038,2)</f>
        <v>30</v>
      </c>
    </row>
    <row r="1039" spans="1:6" x14ac:dyDescent="0.25">
      <c r="B1039" s="11"/>
      <c r="C1039" s="3"/>
    </row>
    <row r="1040" spans="1:6" ht="149.25" customHeight="1" x14ac:dyDescent="0.25">
      <c r="A1040" s="9" t="s">
        <v>2370</v>
      </c>
      <c r="B1040" s="8" t="s">
        <v>760</v>
      </c>
      <c r="C1040" s="7" t="s">
        <v>15</v>
      </c>
      <c r="D1040" s="12">
        <v>8</v>
      </c>
      <c r="E1040" s="13">
        <v>58</v>
      </c>
      <c r="F1040" s="14">
        <f>ROUND(D1040*E1040,2)</f>
        <v>464</v>
      </c>
    </row>
    <row r="1041" spans="1:6" x14ac:dyDescent="0.25">
      <c r="B1041" s="11"/>
    </row>
    <row r="1042" spans="1:6" ht="168" x14ac:dyDescent="0.25">
      <c r="A1042" s="9" t="s">
        <v>2371</v>
      </c>
      <c r="B1042" s="8" t="s">
        <v>2610</v>
      </c>
    </row>
    <row r="1043" spans="1:6" ht="36" x14ac:dyDescent="0.25">
      <c r="B1043" s="8" t="s">
        <v>761</v>
      </c>
      <c r="C1043" s="7" t="s">
        <v>15</v>
      </c>
      <c r="D1043" s="12">
        <v>10</v>
      </c>
      <c r="E1043" s="13">
        <v>84</v>
      </c>
      <c r="F1043" s="14">
        <f>ROUND(D1043*E1043,2)</f>
        <v>840</v>
      </c>
    </row>
    <row r="1044" spans="1:6" x14ac:dyDescent="0.25">
      <c r="B1044" s="11"/>
      <c r="C1044" s="3"/>
    </row>
    <row r="1045" spans="1:6" ht="171.75" customHeight="1" x14ac:dyDescent="0.25">
      <c r="A1045" s="9" t="s">
        <v>2372</v>
      </c>
      <c r="B1045" s="8" t="s">
        <v>2611</v>
      </c>
    </row>
    <row r="1046" spans="1:6" ht="84" x14ac:dyDescent="0.25">
      <c r="B1046" s="27" t="s">
        <v>2612</v>
      </c>
      <c r="C1046" s="7" t="s">
        <v>15</v>
      </c>
      <c r="D1046" s="12">
        <v>1</v>
      </c>
      <c r="E1046" s="13">
        <v>128</v>
      </c>
      <c r="F1046" s="14">
        <f>ROUND(D1046*E1046,2)</f>
        <v>128</v>
      </c>
    </row>
    <row r="1047" spans="1:6" x14ac:dyDescent="0.25">
      <c r="B1047" s="11"/>
      <c r="C1047" s="3"/>
    </row>
    <row r="1048" spans="1:6" ht="123" customHeight="1" x14ac:dyDescent="0.25">
      <c r="A1048" s="9" t="s">
        <v>2373</v>
      </c>
      <c r="B1048" s="8" t="s">
        <v>762</v>
      </c>
      <c r="C1048" s="7" t="s">
        <v>15</v>
      </c>
      <c r="D1048" s="12">
        <v>14</v>
      </c>
      <c r="E1048" s="13">
        <v>156</v>
      </c>
      <c r="F1048" s="14">
        <f>ROUND(D1048*E1048,2)</f>
        <v>2184</v>
      </c>
    </row>
    <row r="1050" spans="1:6" x14ac:dyDescent="0.25">
      <c r="A1050" s="9" t="s">
        <v>2374</v>
      </c>
      <c r="B1050" s="8" t="s">
        <v>763</v>
      </c>
      <c r="C1050" s="7" t="s">
        <v>15</v>
      </c>
      <c r="D1050" s="12">
        <v>1</v>
      </c>
      <c r="E1050" s="13">
        <v>30</v>
      </c>
      <c r="F1050" s="14">
        <f>ROUND(D1050*E1050,2)</f>
        <v>30</v>
      </c>
    </row>
    <row r="1051" spans="1:6" x14ac:dyDescent="0.25">
      <c r="B1051" s="11"/>
    </row>
    <row r="1052" spans="1:6" ht="41.25" customHeight="1" x14ac:dyDescent="0.25">
      <c r="A1052" s="9" t="s">
        <v>2375</v>
      </c>
      <c r="B1052" s="8" t="s">
        <v>2613</v>
      </c>
      <c r="C1052" s="7" t="s">
        <v>15</v>
      </c>
      <c r="D1052" s="12">
        <v>4</v>
      </c>
      <c r="E1052" s="13">
        <v>30</v>
      </c>
      <c r="F1052" s="14">
        <f>ROUND(D1052*E1052,2)</f>
        <v>120</v>
      </c>
    </row>
    <row r="1053" spans="1:6" x14ac:dyDescent="0.25">
      <c r="B1053" s="11"/>
      <c r="C1053" s="3"/>
    </row>
    <row r="1054" spans="1:6" ht="87" customHeight="1" x14ac:dyDescent="0.25">
      <c r="A1054" s="9" t="s">
        <v>2376</v>
      </c>
      <c r="B1054" s="8" t="s">
        <v>764</v>
      </c>
      <c r="C1054" s="7" t="s">
        <v>15</v>
      </c>
      <c r="D1054" s="12">
        <v>1</v>
      </c>
      <c r="E1054" s="13">
        <v>220</v>
      </c>
      <c r="F1054" s="14">
        <f>ROUND(D1054*E1054,2)</f>
        <v>220</v>
      </c>
    </row>
    <row r="1055" spans="1:6" x14ac:dyDescent="0.25">
      <c r="B1055" s="11"/>
    </row>
    <row r="1056" spans="1:6" x14ac:dyDescent="0.25">
      <c r="A1056" s="9" t="s">
        <v>2377</v>
      </c>
      <c r="B1056" s="8" t="s">
        <v>765</v>
      </c>
      <c r="C1056" s="7" t="s">
        <v>15</v>
      </c>
      <c r="D1056" s="12">
        <v>36</v>
      </c>
      <c r="E1056" s="13">
        <v>6</v>
      </c>
      <c r="F1056" s="14">
        <f>ROUND(D1056*E1056,2)</f>
        <v>216</v>
      </c>
    </row>
    <row r="1057" spans="1:6" x14ac:dyDescent="0.25">
      <c r="B1057" s="11"/>
    </row>
    <row r="1058" spans="1:6" x14ac:dyDescent="0.25">
      <c r="A1058" s="9" t="s">
        <v>2378</v>
      </c>
      <c r="B1058" s="8" t="s">
        <v>766</v>
      </c>
      <c r="C1058" s="7" t="s">
        <v>15</v>
      </c>
      <c r="D1058" s="12">
        <v>36</v>
      </c>
      <c r="E1058" s="13">
        <v>6</v>
      </c>
      <c r="F1058" s="14">
        <f>ROUND(D1058*E1058,2)</f>
        <v>216</v>
      </c>
    </row>
    <row r="1059" spans="1:6" x14ac:dyDescent="0.25">
      <c r="B1059" s="11"/>
    </row>
    <row r="1060" spans="1:6" x14ac:dyDescent="0.25">
      <c r="A1060" s="9" t="s">
        <v>2379</v>
      </c>
      <c r="B1060" s="8" t="s">
        <v>767</v>
      </c>
      <c r="C1060" s="7" t="s">
        <v>15</v>
      </c>
      <c r="D1060" s="12">
        <v>8</v>
      </c>
      <c r="E1060" s="13">
        <v>12</v>
      </c>
      <c r="F1060" s="14">
        <f>ROUND(D1060*E1060,2)</f>
        <v>96</v>
      </c>
    </row>
    <row r="1061" spans="1:6" x14ac:dyDescent="0.25">
      <c r="B1061" s="11"/>
    </row>
    <row r="1062" spans="1:6" x14ac:dyDescent="0.25">
      <c r="A1062" s="9" t="s">
        <v>2380</v>
      </c>
      <c r="B1062" s="8" t="s">
        <v>768</v>
      </c>
      <c r="C1062" s="7" t="s">
        <v>15</v>
      </c>
      <c r="D1062" s="12">
        <v>11</v>
      </c>
      <c r="E1062" s="13">
        <v>12</v>
      </c>
      <c r="F1062" s="14">
        <f>ROUND(D1062*E1062,2)</f>
        <v>132</v>
      </c>
    </row>
    <row r="1063" spans="1:6" x14ac:dyDescent="0.25">
      <c r="B1063" s="11"/>
    </row>
    <row r="1064" spans="1:6" ht="36" x14ac:dyDescent="0.25">
      <c r="A1064" s="9" t="s">
        <v>2381</v>
      </c>
      <c r="B1064" s="8" t="s">
        <v>769</v>
      </c>
      <c r="C1064" s="7" t="s">
        <v>19</v>
      </c>
      <c r="D1064" s="12">
        <v>1</v>
      </c>
      <c r="E1064" s="13">
        <v>550</v>
      </c>
      <c r="F1064" s="14">
        <f>ROUND(D1064*E1064,2)</f>
        <v>550</v>
      </c>
    </row>
    <row r="1065" spans="1:6" x14ac:dyDescent="0.25">
      <c r="B1065" s="11"/>
    </row>
    <row r="1066" spans="1:6" ht="36" x14ac:dyDescent="0.25">
      <c r="A1066" s="9" t="s">
        <v>2382</v>
      </c>
      <c r="B1066" s="8" t="s">
        <v>770</v>
      </c>
      <c r="C1066" s="7" t="s">
        <v>19</v>
      </c>
      <c r="D1066" s="12">
        <v>1</v>
      </c>
      <c r="E1066" s="13">
        <v>850</v>
      </c>
      <c r="F1066" s="14">
        <f>ROUND(D1066*E1066,2)</f>
        <v>850</v>
      </c>
    </row>
    <row r="1067" spans="1:6" x14ac:dyDescent="0.25">
      <c r="B1067" s="11"/>
      <c r="C1067" s="3"/>
    </row>
    <row r="1068" spans="1:6" ht="24" x14ac:dyDescent="0.25">
      <c r="A1068" s="9" t="s">
        <v>2383</v>
      </c>
      <c r="B1068" s="8" t="s">
        <v>771</v>
      </c>
      <c r="C1068" s="7" t="s">
        <v>19</v>
      </c>
      <c r="D1068" s="12">
        <v>1</v>
      </c>
      <c r="E1068" s="13">
        <v>360</v>
      </c>
      <c r="F1068" s="14">
        <f>ROUND(D1068*E1068,2)</f>
        <v>360</v>
      </c>
    </row>
    <row r="1069" spans="1:6" x14ac:dyDescent="0.25">
      <c r="B1069" s="11"/>
    </row>
    <row r="1070" spans="1:6" ht="24" x14ac:dyDescent="0.25">
      <c r="A1070" s="9" t="s">
        <v>2384</v>
      </c>
      <c r="B1070" s="8" t="s">
        <v>772</v>
      </c>
      <c r="C1070" s="7" t="s">
        <v>19</v>
      </c>
      <c r="D1070" s="12">
        <v>1</v>
      </c>
      <c r="E1070" s="13">
        <v>200</v>
      </c>
      <c r="F1070" s="14">
        <f>ROUND(D1070*E1070,2)</f>
        <v>200</v>
      </c>
    </row>
    <row r="1071" spans="1:6" x14ac:dyDescent="0.25">
      <c r="B1071" s="11"/>
    </row>
    <row r="1072" spans="1:6" ht="39.75" customHeight="1" x14ac:dyDescent="0.25">
      <c r="A1072" s="9" t="s">
        <v>2385</v>
      </c>
      <c r="B1072" s="8" t="s">
        <v>773</v>
      </c>
      <c r="C1072" s="7" t="s">
        <v>15</v>
      </c>
      <c r="D1072" s="12">
        <v>22</v>
      </c>
      <c r="E1072" s="13">
        <v>45</v>
      </c>
      <c r="F1072" s="14">
        <f>ROUND(D1072*E1072,2)</f>
        <v>990</v>
      </c>
    </row>
    <row r="1073" spans="1:6" x14ac:dyDescent="0.25">
      <c r="B1073" s="11"/>
    </row>
    <row r="1074" spans="1:6" ht="24" x14ac:dyDescent="0.25">
      <c r="A1074" s="9" t="s">
        <v>2386</v>
      </c>
      <c r="B1074" s="8" t="s">
        <v>774</v>
      </c>
      <c r="C1074" s="7" t="s">
        <v>19</v>
      </c>
      <c r="D1074" s="12">
        <v>1</v>
      </c>
      <c r="E1074" s="13">
        <v>540</v>
      </c>
      <c r="F1074" s="14">
        <f>ROUND(D1074*E1074,2)</f>
        <v>540</v>
      </c>
    </row>
    <row r="1075" spans="1:6" x14ac:dyDescent="0.25">
      <c r="B1075" s="11"/>
    </row>
    <row r="1076" spans="1:6" ht="24" x14ac:dyDescent="0.25">
      <c r="A1076" s="9" t="s">
        <v>2387</v>
      </c>
      <c r="B1076" s="8" t="s">
        <v>775</v>
      </c>
      <c r="C1076" s="7" t="s">
        <v>19</v>
      </c>
      <c r="D1076" s="12">
        <v>1</v>
      </c>
      <c r="E1076" s="13">
        <v>510</v>
      </c>
      <c r="F1076" s="14">
        <f>ROUND(D1076*E1076,2)</f>
        <v>510</v>
      </c>
    </row>
    <row r="1077" spans="1:6" x14ac:dyDescent="0.25">
      <c r="B1077" s="11"/>
      <c r="C1077" s="3"/>
    </row>
    <row r="1078" spans="1:6" ht="24" x14ac:dyDescent="0.25">
      <c r="A1078" s="9" t="s">
        <v>2388</v>
      </c>
      <c r="B1078" s="8" t="s">
        <v>776</v>
      </c>
      <c r="C1078" s="7" t="s">
        <v>19</v>
      </c>
      <c r="D1078" s="12">
        <v>1</v>
      </c>
      <c r="E1078" s="13">
        <v>80</v>
      </c>
      <c r="F1078" s="14">
        <f>ROUND(D1078*E1078,2)</f>
        <v>80</v>
      </c>
    </row>
    <row r="1079" spans="1:6" x14ac:dyDescent="0.25">
      <c r="B1079" s="11"/>
    </row>
    <row r="1080" spans="1:6" ht="15.75" customHeight="1" x14ac:dyDescent="0.25">
      <c r="A1080" s="9" t="s">
        <v>2389</v>
      </c>
      <c r="B1080" s="8" t="s">
        <v>777</v>
      </c>
      <c r="C1080" s="7" t="s">
        <v>13</v>
      </c>
      <c r="D1080" s="12">
        <v>15</v>
      </c>
      <c r="E1080" s="13">
        <v>1.8</v>
      </c>
      <c r="F1080" s="14">
        <f>ROUND(D1080*E1080,2)</f>
        <v>27</v>
      </c>
    </row>
    <row r="1081" spans="1:6" x14ac:dyDescent="0.25">
      <c r="B1081" s="11"/>
    </row>
    <row r="1082" spans="1:6" ht="88.5" customHeight="1" x14ac:dyDescent="0.25">
      <c r="A1082" s="9" t="s">
        <v>2390</v>
      </c>
      <c r="B1082" s="8" t="s">
        <v>2884</v>
      </c>
      <c r="C1082" s="7" t="s">
        <v>13</v>
      </c>
      <c r="D1082" s="12">
        <v>25</v>
      </c>
      <c r="E1082" s="13">
        <v>3.15</v>
      </c>
      <c r="F1082" s="14">
        <f>ROUND(D1082*E1082,2)</f>
        <v>78.75</v>
      </c>
    </row>
    <row r="1083" spans="1:6" x14ac:dyDescent="0.25">
      <c r="B1083" s="11"/>
    </row>
    <row r="1084" spans="1:6" ht="110.4" customHeight="1" x14ac:dyDescent="0.25">
      <c r="A1084" s="9" t="s">
        <v>2391</v>
      </c>
      <c r="B1084" s="8" t="s">
        <v>2885</v>
      </c>
      <c r="C1084" s="7" t="s">
        <v>13</v>
      </c>
      <c r="D1084" s="12">
        <v>375</v>
      </c>
      <c r="E1084" s="13">
        <v>1.7</v>
      </c>
      <c r="F1084" s="14">
        <f>ROUND(D1084*E1084,2)</f>
        <v>637.5</v>
      </c>
    </row>
    <row r="1085" spans="1:6" x14ac:dyDescent="0.25">
      <c r="B1085" s="11"/>
      <c r="C1085" s="3"/>
    </row>
    <row r="1086" spans="1:6" ht="42.75" customHeight="1" x14ac:dyDescent="0.25">
      <c r="A1086" s="9" t="s">
        <v>2392</v>
      </c>
      <c r="B1086" s="8" t="s">
        <v>2886</v>
      </c>
      <c r="C1086" s="7" t="s">
        <v>13</v>
      </c>
      <c r="D1086" s="12">
        <v>350</v>
      </c>
      <c r="E1086" s="13">
        <v>2.2000000000000002</v>
      </c>
      <c r="F1086" s="14">
        <f>ROUND(D1086*E1086,2)</f>
        <v>770</v>
      </c>
    </row>
    <row r="1087" spans="1:6" x14ac:dyDescent="0.25">
      <c r="B1087" s="11"/>
      <c r="C1087" s="3"/>
    </row>
    <row r="1088" spans="1:6" x14ac:dyDescent="0.25">
      <c r="A1088" s="24" t="s">
        <v>2340</v>
      </c>
      <c r="B1088" s="22" t="s">
        <v>778</v>
      </c>
      <c r="C1088" s="24"/>
      <c r="D1088" s="24"/>
      <c r="E1088" s="134"/>
      <c r="F1088" s="28">
        <f>SUM(F1018:F1086)</f>
        <v>15052.25</v>
      </c>
    </row>
    <row r="1091" spans="1:6" x14ac:dyDescent="0.25">
      <c r="A1091" s="24" t="s">
        <v>2069</v>
      </c>
      <c r="B1091" s="22" t="s">
        <v>779</v>
      </c>
      <c r="C1091" s="24"/>
      <c r="D1091" s="24"/>
      <c r="E1091" s="134"/>
      <c r="F1091" s="28">
        <f>SUM(F1088)</f>
        <v>15052.25</v>
      </c>
    </row>
    <row r="1094" spans="1:6" x14ac:dyDescent="0.25">
      <c r="A1094" s="32" t="s">
        <v>305</v>
      </c>
      <c r="B1094" s="71" t="s">
        <v>780</v>
      </c>
      <c r="C1094" s="32"/>
      <c r="D1094" s="32"/>
      <c r="E1094" s="137"/>
      <c r="F1094" s="33">
        <f>SUM(F1091,F1011,F148)</f>
        <v>220553.07</v>
      </c>
    </row>
  </sheetData>
  <sheetProtection algorithmName="SHA-512" hashValue="vnQ/upkagdOGFt6CNcU99LR24EezMGPsvJtNd8N8yTq4NQ+Ggzxv+CqVR8DdQNHmuZAO5QNfqQOyWPWlCo3MHA==" saltValue="UHNSpbyNk2lTnZd6Sp9sYg==" spinCount="100000" sheet="1" objects="1" scenarios="1"/>
  <pageMargins left="0.6" right="0.6"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52"/>
  <sheetViews>
    <sheetView topLeftCell="A14" zoomScale="85" zoomScaleNormal="85" workbookViewId="0">
      <selection activeCell="E300" sqref="E300"/>
    </sheetView>
  </sheetViews>
  <sheetFormatPr defaultColWidth="9.109375" defaultRowHeight="12" x14ac:dyDescent="0.25"/>
  <cols>
    <col min="1" max="1" width="10.6640625" style="38" customWidth="1"/>
    <col min="2" max="2" width="60.6640625" style="74" customWidth="1"/>
    <col min="3" max="3" width="10.6640625" style="76" customWidth="1"/>
    <col min="4" max="4" width="10.6640625" style="38" customWidth="1"/>
    <col min="5" max="5" width="15.6640625" style="120" customWidth="1"/>
    <col min="6" max="6" width="20.6640625" style="38" customWidth="1"/>
    <col min="7" max="7" width="9.109375" style="38" customWidth="1"/>
    <col min="8" max="16384" width="9.109375" style="38"/>
  </cols>
  <sheetData>
    <row r="1" spans="1:6" ht="18" x14ac:dyDescent="0.35">
      <c r="A1" s="84" t="s">
        <v>781</v>
      </c>
      <c r="B1" s="115" t="s">
        <v>2412</v>
      </c>
      <c r="C1" s="84"/>
      <c r="D1" s="84"/>
      <c r="E1" s="117"/>
      <c r="F1" s="84"/>
    </row>
    <row r="3" spans="1:6" ht="24" x14ac:dyDescent="0.25">
      <c r="A3" s="138" t="s">
        <v>3</v>
      </c>
      <c r="B3" s="139" t="s">
        <v>4</v>
      </c>
      <c r="C3" s="139" t="s">
        <v>5</v>
      </c>
      <c r="D3" s="139" t="s">
        <v>6</v>
      </c>
      <c r="E3" s="140" t="s">
        <v>7</v>
      </c>
      <c r="F3" s="139" t="s">
        <v>8</v>
      </c>
    </row>
    <row r="5" spans="1:6" x14ac:dyDescent="0.25">
      <c r="A5" s="91" t="s">
        <v>782</v>
      </c>
      <c r="B5" s="92" t="s">
        <v>783</v>
      </c>
      <c r="C5" s="91"/>
      <c r="D5" s="91"/>
      <c r="E5" s="122"/>
      <c r="F5" s="91"/>
    </row>
    <row r="7" spans="1:6" x14ac:dyDescent="0.25">
      <c r="B7" s="81" t="s">
        <v>2888</v>
      </c>
    </row>
    <row r="8" spans="1:6" ht="40.5" customHeight="1" x14ac:dyDescent="0.25">
      <c r="B8" s="48" t="s">
        <v>2889</v>
      </c>
    </row>
    <row r="9" spans="1:6" ht="52.5" customHeight="1" x14ac:dyDescent="0.25">
      <c r="B9" s="48" t="s">
        <v>2890</v>
      </c>
    </row>
    <row r="10" spans="1:6" x14ac:dyDescent="0.25">
      <c r="B10" s="81" t="s">
        <v>2891</v>
      </c>
    </row>
    <row r="13" spans="1:6" ht="158.25" customHeight="1" x14ac:dyDescent="0.25">
      <c r="A13" s="39" t="s">
        <v>784</v>
      </c>
      <c r="B13" s="37" t="s">
        <v>2614</v>
      </c>
    </row>
    <row r="14" spans="1:6" ht="120.75" customHeight="1" x14ac:dyDescent="0.25">
      <c r="B14" s="37" t="s">
        <v>2615</v>
      </c>
      <c r="C14" s="76" t="s">
        <v>19</v>
      </c>
      <c r="D14" s="40">
        <v>3</v>
      </c>
      <c r="E14" s="77">
        <v>12000</v>
      </c>
      <c r="F14" s="78">
        <f>ROUND(D14*E14,2)</f>
        <v>36000</v>
      </c>
    </row>
    <row r="15" spans="1:6" x14ac:dyDescent="0.25">
      <c r="B15" s="75"/>
    </row>
    <row r="16" spans="1:6" ht="24" x14ac:dyDescent="0.25">
      <c r="A16" s="39" t="s">
        <v>785</v>
      </c>
      <c r="B16" s="37" t="s">
        <v>786</v>
      </c>
    </row>
    <row r="17" spans="1:6" x14ac:dyDescent="0.25">
      <c r="B17" s="75" t="s">
        <v>787</v>
      </c>
      <c r="C17" s="76" t="s">
        <v>15</v>
      </c>
      <c r="D17" s="40">
        <v>6</v>
      </c>
      <c r="E17" s="77">
        <v>50</v>
      </c>
      <c r="F17" s="78">
        <f>ROUND(D17*E17,2)</f>
        <v>300</v>
      </c>
    </row>
    <row r="19" spans="1:6" x14ac:dyDescent="0.25">
      <c r="A19" s="39" t="s">
        <v>788</v>
      </c>
      <c r="B19" s="37" t="s">
        <v>789</v>
      </c>
    </row>
    <row r="20" spans="1:6" x14ac:dyDescent="0.25">
      <c r="B20" s="75" t="s">
        <v>787</v>
      </c>
      <c r="C20" s="76" t="s">
        <v>15</v>
      </c>
      <c r="D20" s="40">
        <v>3</v>
      </c>
      <c r="E20" s="77">
        <v>300</v>
      </c>
      <c r="F20" s="78">
        <f>ROUND(D20*E20,2)</f>
        <v>900</v>
      </c>
    </row>
    <row r="22" spans="1:6" ht="24" x14ac:dyDescent="0.25">
      <c r="A22" s="39" t="s">
        <v>790</v>
      </c>
      <c r="B22" s="37" t="s">
        <v>2616</v>
      </c>
    </row>
    <row r="23" spans="1:6" x14ac:dyDescent="0.25">
      <c r="B23" s="75" t="s">
        <v>787</v>
      </c>
      <c r="C23" s="76" t="s">
        <v>15</v>
      </c>
      <c r="D23" s="40">
        <v>6</v>
      </c>
      <c r="E23" s="77">
        <v>100</v>
      </c>
      <c r="F23" s="78">
        <f>ROUND(D23*E23,2)</f>
        <v>600</v>
      </c>
    </row>
    <row r="25" spans="1:6" ht="24" x14ac:dyDescent="0.25">
      <c r="A25" s="39" t="s">
        <v>791</v>
      </c>
      <c r="B25" s="37" t="s">
        <v>792</v>
      </c>
    </row>
    <row r="26" spans="1:6" x14ac:dyDescent="0.25">
      <c r="B26" s="75" t="s">
        <v>793</v>
      </c>
      <c r="C26" s="76" t="s">
        <v>13</v>
      </c>
      <c r="D26" s="40">
        <v>45</v>
      </c>
      <c r="E26" s="77">
        <v>60</v>
      </c>
      <c r="F26" s="78">
        <f>ROUND(D26*E26,2)</f>
        <v>2700</v>
      </c>
    </row>
    <row r="27" spans="1:6" x14ac:dyDescent="0.25">
      <c r="B27" s="75" t="s">
        <v>794</v>
      </c>
      <c r="C27" s="76" t="s">
        <v>13</v>
      </c>
      <c r="D27" s="40">
        <v>20</v>
      </c>
      <c r="E27" s="77">
        <v>70</v>
      </c>
      <c r="F27" s="78">
        <f>ROUND(D27*E27,2)</f>
        <v>1400</v>
      </c>
    </row>
    <row r="28" spans="1:6" x14ac:dyDescent="0.25">
      <c r="E28" s="124"/>
      <c r="F28" s="78"/>
    </row>
    <row r="29" spans="1:6" ht="84" x14ac:dyDescent="0.25">
      <c r="A29" s="39" t="s">
        <v>795</v>
      </c>
      <c r="B29" s="37" t="s">
        <v>2887</v>
      </c>
    </row>
    <row r="30" spans="1:6" x14ac:dyDescent="0.25">
      <c r="B30" s="75" t="s">
        <v>796</v>
      </c>
      <c r="C30" s="76" t="s">
        <v>13</v>
      </c>
      <c r="D30" s="40">
        <v>45</v>
      </c>
      <c r="E30" s="77">
        <v>8</v>
      </c>
      <c r="F30" s="78">
        <f>ROUND(D30*E30,2)</f>
        <v>360</v>
      </c>
    </row>
    <row r="31" spans="1:6" x14ac:dyDescent="0.25">
      <c r="B31" s="75" t="s">
        <v>797</v>
      </c>
      <c r="C31" s="76" t="s">
        <v>13</v>
      </c>
      <c r="D31" s="40">
        <v>25</v>
      </c>
      <c r="E31" s="77">
        <v>10</v>
      </c>
      <c r="F31" s="78">
        <f>ROUND(D31*E31,2)</f>
        <v>250</v>
      </c>
    </row>
    <row r="33" spans="1:6" ht="16.5" customHeight="1" x14ac:dyDescent="0.25">
      <c r="A33" s="39" t="s">
        <v>798</v>
      </c>
      <c r="B33" s="37" t="s">
        <v>799</v>
      </c>
      <c r="C33" s="76" t="s">
        <v>800</v>
      </c>
      <c r="D33" s="40">
        <v>150</v>
      </c>
      <c r="E33" s="77">
        <v>8</v>
      </c>
      <c r="F33" s="78">
        <f>ROUND(D33*E33,2)</f>
        <v>1200</v>
      </c>
    </row>
    <row r="34" spans="1:6" x14ac:dyDescent="0.25">
      <c r="B34" s="75"/>
    </row>
    <row r="35" spans="1:6" ht="24" x14ac:dyDescent="0.25">
      <c r="A35" s="39" t="s">
        <v>801</v>
      </c>
      <c r="B35" s="37" t="s">
        <v>802</v>
      </c>
      <c r="C35" s="76" t="s">
        <v>15</v>
      </c>
      <c r="D35" s="40">
        <v>6</v>
      </c>
      <c r="E35" s="77">
        <v>50</v>
      </c>
      <c r="F35" s="78">
        <f>ROUND(D35*E35,2)</f>
        <v>300</v>
      </c>
    </row>
    <row r="36" spans="1:6" x14ac:dyDescent="0.25">
      <c r="B36" s="75"/>
    </row>
    <row r="37" spans="1:6" ht="24" x14ac:dyDescent="0.25">
      <c r="A37" s="39" t="s">
        <v>803</v>
      </c>
      <c r="B37" s="37" t="s">
        <v>804</v>
      </c>
      <c r="C37" s="76" t="s">
        <v>56</v>
      </c>
      <c r="D37" s="40">
        <v>80</v>
      </c>
      <c r="E37" s="77">
        <v>7</v>
      </c>
      <c r="F37" s="78">
        <f>ROUND(D37*E37,2)</f>
        <v>560</v>
      </c>
    </row>
    <row r="38" spans="1:6" x14ac:dyDescent="0.25">
      <c r="B38" s="75"/>
      <c r="C38" s="38"/>
    </row>
    <row r="39" spans="1:6" ht="52.5" customHeight="1" x14ac:dyDescent="0.25">
      <c r="A39" s="39" t="s">
        <v>805</v>
      </c>
      <c r="B39" s="37" t="s">
        <v>808</v>
      </c>
      <c r="C39" s="76" t="s">
        <v>19</v>
      </c>
      <c r="D39" s="40">
        <v>3</v>
      </c>
      <c r="E39" s="77">
        <v>500</v>
      </c>
      <c r="F39" s="78">
        <f>ROUND(D39*E39,2)</f>
        <v>1500</v>
      </c>
    </row>
    <row r="40" spans="1:6" x14ac:dyDescent="0.25">
      <c r="B40" s="75"/>
    </row>
    <row r="41" spans="1:6" ht="24" x14ac:dyDescent="0.25">
      <c r="A41" s="39" t="s">
        <v>806</v>
      </c>
      <c r="B41" s="37" t="s">
        <v>810</v>
      </c>
      <c r="C41" s="76" t="s">
        <v>19</v>
      </c>
      <c r="D41" s="40">
        <v>1</v>
      </c>
      <c r="E41" s="77">
        <v>300</v>
      </c>
      <c r="F41" s="78">
        <f>ROUND(D41*E41,2)</f>
        <v>300</v>
      </c>
    </row>
    <row r="42" spans="1:6" x14ac:dyDescent="0.25">
      <c r="B42" s="75"/>
    </row>
    <row r="43" spans="1:6" x14ac:dyDescent="0.25">
      <c r="A43" s="39" t="s">
        <v>807</v>
      </c>
      <c r="B43" s="37" t="s">
        <v>813</v>
      </c>
      <c r="C43" s="76" t="s">
        <v>19</v>
      </c>
      <c r="D43" s="40">
        <v>1</v>
      </c>
      <c r="E43" s="77">
        <v>100</v>
      </c>
      <c r="F43" s="78">
        <f>ROUND(D43*E43,2)</f>
        <v>100</v>
      </c>
    </row>
    <row r="44" spans="1:6" x14ac:dyDescent="0.25">
      <c r="B44" s="75"/>
    </row>
    <row r="45" spans="1:6" x14ac:dyDescent="0.25">
      <c r="A45" s="39" t="s">
        <v>809</v>
      </c>
      <c r="B45" s="37" t="s">
        <v>814</v>
      </c>
      <c r="C45" s="76" t="s">
        <v>19</v>
      </c>
      <c r="D45" s="40">
        <v>1</v>
      </c>
      <c r="E45" s="77">
        <v>100</v>
      </c>
      <c r="F45" s="78">
        <f>ROUND(D45*E45,2)</f>
        <v>100</v>
      </c>
    </row>
    <row r="46" spans="1:6" x14ac:dyDescent="0.25">
      <c r="B46" s="75"/>
      <c r="C46" s="38"/>
    </row>
    <row r="47" spans="1:6" x14ac:dyDescent="0.25">
      <c r="A47" s="39" t="s">
        <v>811</v>
      </c>
      <c r="B47" s="37" t="s">
        <v>815</v>
      </c>
      <c r="C47" s="76" t="s">
        <v>19</v>
      </c>
      <c r="D47" s="40">
        <v>3</v>
      </c>
      <c r="E47" s="77">
        <v>100</v>
      </c>
      <c r="F47" s="78">
        <f>ROUND(D47*E47,2)</f>
        <v>300</v>
      </c>
    </row>
    <row r="48" spans="1:6" x14ac:dyDescent="0.25">
      <c r="B48" s="75"/>
    </row>
    <row r="49" spans="1:6" ht="27.75" customHeight="1" x14ac:dyDescent="0.25">
      <c r="A49" s="39" t="s">
        <v>812</v>
      </c>
      <c r="B49" s="37" t="s">
        <v>816</v>
      </c>
      <c r="C49" s="76" t="s">
        <v>19</v>
      </c>
      <c r="D49" s="40">
        <v>1</v>
      </c>
      <c r="E49" s="77">
        <v>2000</v>
      </c>
      <c r="F49" s="78">
        <f>ROUND(D49*E49,2)</f>
        <v>2000</v>
      </c>
    </row>
    <row r="51" spans="1:6" x14ac:dyDescent="0.25">
      <c r="A51" s="91" t="s">
        <v>782</v>
      </c>
      <c r="B51" s="92" t="s">
        <v>817</v>
      </c>
      <c r="C51" s="91"/>
      <c r="D51" s="91"/>
      <c r="E51" s="122"/>
      <c r="F51" s="96">
        <f>SUM(F14:F49)</f>
        <v>48870</v>
      </c>
    </row>
    <row r="53" spans="1:6" x14ac:dyDescent="0.25">
      <c r="A53" s="91" t="s">
        <v>818</v>
      </c>
      <c r="B53" s="92" t="s">
        <v>819</v>
      </c>
      <c r="C53" s="91"/>
      <c r="D53" s="91"/>
      <c r="E53" s="122"/>
      <c r="F53" s="91"/>
    </row>
    <row r="55" spans="1:6" x14ac:dyDescent="0.25">
      <c r="B55" s="81" t="s">
        <v>2888</v>
      </c>
    </row>
    <row r="56" spans="1:6" ht="36" x14ac:dyDescent="0.25">
      <c r="B56" s="48" t="s">
        <v>2889</v>
      </c>
    </row>
    <row r="57" spans="1:6" ht="24" x14ac:dyDescent="0.25">
      <c r="B57" s="48" t="s">
        <v>2892</v>
      </c>
    </row>
    <row r="58" spans="1:6" x14ac:dyDescent="0.25">
      <c r="B58" s="81" t="s">
        <v>2891</v>
      </c>
    </row>
    <row r="61" spans="1:6" ht="123" customHeight="1" x14ac:dyDescent="0.25">
      <c r="A61" s="39" t="s">
        <v>820</v>
      </c>
      <c r="B61" s="37" t="s">
        <v>821</v>
      </c>
      <c r="C61" s="76" t="s">
        <v>15</v>
      </c>
      <c r="D61" s="40">
        <v>1</v>
      </c>
      <c r="E61" s="77">
        <v>2000</v>
      </c>
      <c r="F61" s="78">
        <f>ROUND(D61*E61,2)</f>
        <v>2000</v>
      </c>
    </row>
    <row r="62" spans="1:6" x14ac:dyDescent="0.25">
      <c r="B62" s="75"/>
    </row>
    <row r="63" spans="1:6" ht="60" x14ac:dyDescent="0.25">
      <c r="A63" s="39" t="s">
        <v>822</v>
      </c>
      <c r="B63" s="37" t="s">
        <v>823</v>
      </c>
      <c r="C63" s="76" t="s">
        <v>15</v>
      </c>
      <c r="D63" s="40">
        <v>1</v>
      </c>
      <c r="E63" s="77">
        <v>500</v>
      </c>
      <c r="F63" s="78">
        <f>ROUND(D63*E63,2)</f>
        <v>500</v>
      </c>
    </row>
    <row r="64" spans="1:6" x14ac:dyDescent="0.25">
      <c r="B64" s="75"/>
      <c r="C64" s="38"/>
    </row>
    <row r="65" spans="1:6" ht="75.75" customHeight="1" x14ac:dyDescent="0.25">
      <c r="A65" s="39" t="s">
        <v>824</v>
      </c>
      <c r="B65" s="37" t="s">
        <v>825</v>
      </c>
      <c r="C65" s="76" t="s">
        <v>15</v>
      </c>
      <c r="D65" s="40">
        <v>1</v>
      </c>
      <c r="E65" s="77">
        <v>800</v>
      </c>
      <c r="F65" s="78">
        <f>ROUND(D65*E65,2)</f>
        <v>800</v>
      </c>
    </row>
    <row r="67" spans="1:6" ht="84" x14ac:dyDescent="0.25">
      <c r="A67" s="39" t="s">
        <v>826</v>
      </c>
      <c r="B67" s="37" t="s">
        <v>827</v>
      </c>
      <c r="C67" s="76" t="s">
        <v>15</v>
      </c>
      <c r="D67" s="40">
        <v>1</v>
      </c>
      <c r="E67" s="77">
        <v>1000</v>
      </c>
      <c r="F67" s="78">
        <f>ROUND(D67*E67,2)</f>
        <v>1000</v>
      </c>
    </row>
    <row r="69" spans="1:6" ht="72" x14ac:dyDescent="0.25">
      <c r="A69" s="39" t="s">
        <v>828</v>
      </c>
      <c r="B69" s="37" t="s">
        <v>829</v>
      </c>
      <c r="C69" s="76" t="s">
        <v>15</v>
      </c>
      <c r="D69" s="40">
        <v>1</v>
      </c>
      <c r="E69" s="77">
        <v>600</v>
      </c>
      <c r="F69" s="78">
        <f>ROUND(D69*E69,2)</f>
        <v>600</v>
      </c>
    </row>
    <row r="71" spans="1:6" ht="123.75" customHeight="1" x14ac:dyDescent="0.25">
      <c r="A71" s="39" t="s">
        <v>830</v>
      </c>
      <c r="B71" s="37" t="s">
        <v>831</v>
      </c>
      <c r="C71" s="76" t="s">
        <v>19</v>
      </c>
      <c r="D71" s="40">
        <v>1</v>
      </c>
      <c r="E71" s="77">
        <v>1500</v>
      </c>
      <c r="F71" s="78">
        <f>ROUND(D71*E71,2)</f>
        <v>1500</v>
      </c>
    </row>
    <row r="73" spans="1:6" ht="85.5" customHeight="1" x14ac:dyDescent="0.25">
      <c r="A73" s="39" t="s">
        <v>832</v>
      </c>
      <c r="B73" s="37" t="s">
        <v>833</v>
      </c>
      <c r="C73" s="76" t="s">
        <v>15</v>
      </c>
      <c r="D73" s="40">
        <v>2</v>
      </c>
      <c r="E73" s="77">
        <v>1000</v>
      </c>
      <c r="F73" s="78">
        <f>ROUND(D73*E73,2)</f>
        <v>2000</v>
      </c>
    </row>
    <row r="74" spans="1:6" x14ac:dyDescent="0.25">
      <c r="B74" s="75"/>
    </row>
    <row r="75" spans="1:6" ht="36" x14ac:dyDescent="0.25">
      <c r="A75" s="39" t="s">
        <v>834</v>
      </c>
      <c r="B75" s="37" t="s">
        <v>835</v>
      </c>
      <c r="C75" s="76" t="s">
        <v>15</v>
      </c>
      <c r="D75" s="40">
        <v>1</v>
      </c>
      <c r="E75" s="77">
        <v>100</v>
      </c>
      <c r="F75" s="78">
        <f>ROUND(D75*E75,2)</f>
        <v>100</v>
      </c>
    </row>
    <row r="76" spans="1:6" x14ac:dyDescent="0.25">
      <c r="B76" s="75"/>
      <c r="C76" s="38"/>
    </row>
    <row r="77" spans="1:6" ht="36" x14ac:dyDescent="0.25">
      <c r="A77" s="39" t="s">
        <v>836</v>
      </c>
      <c r="B77" s="37" t="s">
        <v>837</v>
      </c>
      <c r="C77" s="76" t="s">
        <v>15</v>
      </c>
      <c r="D77" s="40">
        <v>1</v>
      </c>
      <c r="E77" s="77">
        <v>100</v>
      </c>
      <c r="F77" s="78">
        <f>ROUND(D77*E77,2)</f>
        <v>100</v>
      </c>
    </row>
    <row r="79" spans="1:6" x14ac:dyDescent="0.25">
      <c r="A79" s="39" t="s">
        <v>838</v>
      </c>
      <c r="B79" s="37" t="s">
        <v>839</v>
      </c>
      <c r="C79" s="38"/>
    </row>
    <row r="80" spans="1:6" x14ac:dyDescent="0.25">
      <c r="B80" s="75" t="s">
        <v>840</v>
      </c>
      <c r="C80" s="76" t="s">
        <v>15</v>
      </c>
      <c r="D80" s="40">
        <v>1</v>
      </c>
      <c r="E80" s="77">
        <v>50</v>
      </c>
      <c r="F80" s="78">
        <f>ROUND(D80*E80,2)</f>
        <v>50</v>
      </c>
    </row>
    <row r="82" spans="1:6" ht="36" x14ac:dyDescent="0.25">
      <c r="A82" s="39" t="s">
        <v>841</v>
      </c>
      <c r="B82" s="37" t="s">
        <v>842</v>
      </c>
      <c r="C82" s="38"/>
    </row>
    <row r="83" spans="1:6" x14ac:dyDescent="0.25">
      <c r="B83" s="75" t="s">
        <v>787</v>
      </c>
      <c r="C83" s="76" t="s">
        <v>15</v>
      </c>
      <c r="D83" s="40">
        <v>1</v>
      </c>
      <c r="E83" s="77">
        <v>250</v>
      </c>
      <c r="F83" s="78">
        <f>ROUND(D83*E83,2)</f>
        <v>250</v>
      </c>
    </row>
    <row r="85" spans="1:6" ht="73.5" customHeight="1" x14ac:dyDescent="0.25">
      <c r="A85" s="39" t="s">
        <v>843</v>
      </c>
      <c r="B85" s="37" t="s">
        <v>844</v>
      </c>
      <c r="C85" s="76" t="s">
        <v>15</v>
      </c>
      <c r="D85" s="40">
        <v>1</v>
      </c>
      <c r="E85" s="77">
        <v>800</v>
      </c>
      <c r="F85" s="78">
        <f>ROUND(D85*E85,2)</f>
        <v>800</v>
      </c>
    </row>
    <row r="87" spans="1:6" ht="84" x14ac:dyDescent="0.25">
      <c r="A87" s="39" t="s">
        <v>845</v>
      </c>
      <c r="B87" s="37" t="s">
        <v>846</v>
      </c>
      <c r="C87" s="76" t="s">
        <v>15</v>
      </c>
      <c r="D87" s="40">
        <v>1</v>
      </c>
      <c r="E87" s="77">
        <v>1500</v>
      </c>
      <c r="F87" s="78">
        <f>ROUND(D87*E87,2)</f>
        <v>1500</v>
      </c>
    </row>
    <row r="89" spans="1:6" ht="36" x14ac:dyDescent="0.25">
      <c r="A89" s="39" t="s">
        <v>847</v>
      </c>
      <c r="B89" s="37" t="s">
        <v>848</v>
      </c>
    </row>
    <row r="90" spans="1:6" x14ac:dyDescent="0.25">
      <c r="B90" s="75" t="s">
        <v>840</v>
      </c>
      <c r="C90" s="76" t="s">
        <v>15</v>
      </c>
      <c r="D90" s="40">
        <v>4</v>
      </c>
      <c r="E90" s="77">
        <v>20</v>
      </c>
      <c r="F90" s="78">
        <f t="shared" ref="F90:F95" si="0">ROUND(D90*E90,2)</f>
        <v>80</v>
      </c>
    </row>
    <row r="91" spans="1:6" x14ac:dyDescent="0.25">
      <c r="B91" s="75" t="s">
        <v>849</v>
      </c>
      <c r="C91" s="76" t="s">
        <v>15</v>
      </c>
      <c r="D91" s="40">
        <v>2</v>
      </c>
      <c r="E91" s="77">
        <v>25</v>
      </c>
      <c r="F91" s="78">
        <f t="shared" si="0"/>
        <v>50</v>
      </c>
    </row>
    <row r="92" spans="1:6" x14ac:dyDescent="0.25">
      <c r="B92" s="75" t="s">
        <v>850</v>
      </c>
      <c r="C92" s="76" t="s">
        <v>15</v>
      </c>
      <c r="D92" s="40">
        <v>6</v>
      </c>
      <c r="E92" s="77">
        <v>30</v>
      </c>
      <c r="F92" s="78">
        <f t="shared" si="0"/>
        <v>180</v>
      </c>
    </row>
    <row r="93" spans="1:6" x14ac:dyDescent="0.25">
      <c r="B93" s="75" t="s">
        <v>787</v>
      </c>
      <c r="C93" s="76" t="s">
        <v>15</v>
      </c>
      <c r="D93" s="40">
        <v>2</v>
      </c>
      <c r="E93" s="77">
        <v>35</v>
      </c>
      <c r="F93" s="78">
        <f t="shared" si="0"/>
        <v>70</v>
      </c>
    </row>
    <row r="94" spans="1:6" x14ac:dyDescent="0.25">
      <c r="B94" s="75" t="s">
        <v>851</v>
      </c>
      <c r="C94" s="76" t="s">
        <v>15</v>
      </c>
      <c r="D94" s="40">
        <v>12</v>
      </c>
      <c r="E94" s="77">
        <v>40</v>
      </c>
      <c r="F94" s="78">
        <f t="shared" si="0"/>
        <v>480</v>
      </c>
    </row>
    <row r="95" spans="1:6" x14ac:dyDescent="0.25">
      <c r="B95" s="75" t="s">
        <v>852</v>
      </c>
      <c r="C95" s="76" t="s">
        <v>15</v>
      </c>
      <c r="D95" s="40">
        <v>2</v>
      </c>
      <c r="E95" s="77">
        <v>50</v>
      </c>
      <c r="F95" s="78">
        <f t="shared" si="0"/>
        <v>100</v>
      </c>
    </row>
    <row r="97" spans="1:6" ht="36" x14ac:dyDescent="0.25">
      <c r="A97" s="39" t="s">
        <v>853</v>
      </c>
      <c r="B97" s="37" t="s">
        <v>854</v>
      </c>
    </row>
    <row r="98" spans="1:6" x14ac:dyDescent="0.25">
      <c r="B98" s="75" t="s">
        <v>850</v>
      </c>
      <c r="C98" s="76" t="s">
        <v>15</v>
      </c>
      <c r="D98" s="40">
        <v>3</v>
      </c>
      <c r="E98" s="77">
        <v>30</v>
      </c>
      <c r="F98" s="78">
        <f>ROUND(D98*E98,2)</f>
        <v>90</v>
      </c>
    </row>
    <row r="99" spans="1:6" x14ac:dyDescent="0.25">
      <c r="B99" s="75" t="s">
        <v>851</v>
      </c>
      <c r="C99" s="76" t="s">
        <v>15</v>
      </c>
      <c r="D99" s="40">
        <v>1</v>
      </c>
      <c r="E99" s="77">
        <v>50</v>
      </c>
      <c r="F99" s="78">
        <f>ROUND(D99*E99,2)</f>
        <v>50</v>
      </c>
    </row>
    <row r="101" spans="1:6" ht="36" x14ac:dyDescent="0.25">
      <c r="A101" s="39" t="s">
        <v>855</v>
      </c>
      <c r="B101" s="37" t="s">
        <v>856</v>
      </c>
    </row>
    <row r="102" spans="1:6" x14ac:dyDescent="0.25">
      <c r="B102" s="75" t="s">
        <v>850</v>
      </c>
      <c r="C102" s="76" t="s">
        <v>15</v>
      </c>
      <c r="D102" s="40">
        <v>1</v>
      </c>
      <c r="E102" s="77">
        <v>30</v>
      </c>
      <c r="F102" s="78">
        <f>ROUND(D102*E102,2)</f>
        <v>30</v>
      </c>
    </row>
    <row r="104" spans="1:6" ht="28.5" customHeight="1" x14ac:dyDescent="0.25">
      <c r="A104" s="39" t="s">
        <v>857</v>
      </c>
      <c r="B104" s="37" t="s">
        <v>858</v>
      </c>
    </row>
    <row r="105" spans="1:6" x14ac:dyDescent="0.25">
      <c r="B105" s="75" t="s">
        <v>859</v>
      </c>
      <c r="C105" s="76" t="s">
        <v>13</v>
      </c>
      <c r="D105" s="40">
        <v>10</v>
      </c>
      <c r="E105" s="77">
        <v>30</v>
      </c>
      <c r="F105" s="78">
        <f>ROUND(D105*E105,2)</f>
        <v>300</v>
      </c>
    </row>
    <row r="106" spans="1:6" x14ac:dyDescent="0.25">
      <c r="B106" s="75" t="s">
        <v>860</v>
      </c>
      <c r="C106" s="76" t="s">
        <v>13</v>
      </c>
      <c r="D106" s="40">
        <v>15</v>
      </c>
      <c r="E106" s="77">
        <v>40</v>
      </c>
      <c r="F106" s="78">
        <f>ROUND(D106*E106,2)</f>
        <v>600</v>
      </c>
    </row>
    <row r="107" spans="1:6" x14ac:dyDescent="0.25">
      <c r="B107" s="75" t="s">
        <v>794</v>
      </c>
      <c r="C107" s="76" t="s">
        <v>13</v>
      </c>
      <c r="D107" s="40">
        <v>30</v>
      </c>
      <c r="E107" s="77">
        <v>50</v>
      </c>
      <c r="F107" s="78">
        <f>ROUND(D107*E107,2)</f>
        <v>1500</v>
      </c>
    </row>
    <row r="108" spans="1:6" x14ac:dyDescent="0.25">
      <c r="B108" s="75" t="s">
        <v>861</v>
      </c>
      <c r="C108" s="76" t="s">
        <v>13</v>
      </c>
      <c r="D108" s="40">
        <v>10</v>
      </c>
      <c r="E108" s="77">
        <v>60</v>
      </c>
      <c r="F108" s="78">
        <f>ROUND(D108*E108,2)</f>
        <v>600</v>
      </c>
    </row>
    <row r="110" spans="1:6" ht="84" x14ac:dyDescent="0.25">
      <c r="A110" s="39" t="s">
        <v>862</v>
      </c>
      <c r="B110" s="37" t="s">
        <v>863</v>
      </c>
    </row>
    <row r="111" spans="1:6" x14ac:dyDescent="0.25">
      <c r="B111" s="75" t="s">
        <v>864</v>
      </c>
      <c r="C111" s="76" t="s">
        <v>13</v>
      </c>
      <c r="D111" s="40">
        <v>10</v>
      </c>
      <c r="E111" s="77">
        <v>6</v>
      </c>
      <c r="F111" s="78">
        <f>ROUND(D111*E111,2)</f>
        <v>60</v>
      </c>
    </row>
    <row r="112" spans="1:6" x14ac:dyDescent="0.25">
      <c r="B112" s="75" t="s">
        <v>865</v>
      </c>
      <c r="C112" s="76" t="s">
        <v>13</v>
      </c>
      <c r="D112" s="40">
        <v>15</v>
      </c>
      <c r="E112" s="77">
        <v>7</v>
      </c>
      <c r="F112" s="78">
        <f>ROUND(D112*E112,2)</f>
        <v>105</v>
      </c>
    </row>
    <row r="113" spans="1:6" x14ac:dyDescent="0.25">
      <c r="B113" s="75" t="s">
        <v>797</v>
      </c>
      <c r="C113" s="76" t="s">
        <v>13</v>
      </c>
      <c r="D113" s="40">
        <v>30</v>
      </c>
      <c r="E113" s="77">
        <v>10</v>
      </c>
      <c r="F113" s="78">
        <f>ROUND(D113*E113,2)</f>
        <v>300</v>
      </c>
    </row>
    <row r="114" spans="1:6" x14ac:dyDescent="0.25">
      <c r="B114" s="75" t="s">
        <v>866</v>
      </c>
      <c r="C114" s="76" t="s">
        <v>13</v>
      </c>
      <c r="D114" s="40">
        <v>10</v>
      </c>
      <c r="E114" s="77">
        <v>12</v>
      </c>
      <c r="F114" s="78">
        <f>ROUND(D114*E114,2)</f>
        <v>120</v>
      </c>
    </row>
    <row r="116" spans="1:6" ht="24" x14ac:dyDescent="0.25">
      <c r="A116" s="39" t="s">
        <v>867</v>
      </c>
      <c r="B116" s="37" t="s">
        <v>868</v>
      </c>
      <c r="C116" s="76" t="s">
        <v>15</v>
      </c>
      <c r="D116" s="40">
        <v>4</v>
      </c>
      <c r="E116" s="77">
        <v>50</v>
      </c>
      <c r="F116" s="78">
        <f>ROUND(D116*E116,2)</f>
        <v>200</v>
      </c>
    </row>
    <row r="117" spans="1:6" x14ac:dyDescent="0.25">
      <c r="B117" s="75"/>
    </row>
    <row r="118" spans="1:6" x14ac:dyDescent="0.25">
      <c r="A118" s="39" t="s">
        <v>869</v>
      </c>
      <c r="B118" s="37" t="s">
        <v>871</v>
      </c>
      <c r="C118" s="76" t="s">
        <v>19</v>
      </c>
      <c r="D118" s="40">
        <v>1</v>
      </c>
      <c r="E118" s="77">
        <v>1500</v>
      </c>
      <c r="F118" s="78">
        <f>ROUND(D118*E118,2)</f>
        <v>1500</v>
      </c>
    </row>
    <row r="119" spans="1:6" x14ac:dyDescent="0.25">
      <c r="B119" s="75"/>
    </row>
    <row r="120" spans="1:6" ht="24" x14ac:dyDescent="0.25">
      <c r="A120" s="39" t="s">
        <v>870</v>
      </c>
      <c r="B120" s="37" t="s">
        <v>872</v>
      </c>
      <c r="C120" s="76" t="s">
        <v>19</v>
      </c>
      <c r="D120" s="40">
        <v>1</v>
      </c>
      <c r="E120" s="77">
        <v>300</v>
      </c>
      <c r="F120" s="78">
        <f>ROUND(D120*E120,2)</f>
        <v>300</v>
      </c>
    </row>
    <row r="122" spans="1:6" x14ac:dyDescent="0.25">
      <c r="A122" s="91" t="s">
        <v>818</v>
      </c>
      <c r="B122" s="92" t="s">
        <v>873</v>
      </c>
      <c r="C122" s="91"/>
      <c r="D122" s="91"/>
      <c r="E122" s="122"/>
      <c r="F122" s="96">
        <f>SUM(F61:F120)</f>
        <v>17915</v>
      </c>
    </row>
    <row r="124" spans="1:6" x14ac:dyDescent="0.25">
      <c r="A124" s="91" t="s">
        <v>874</v>
      </c>
      <c r="B124" s="92" t="s">
        <v>875</v>
      </c>
      <c r="C124" s="91"/>
      <c r="D124" s="91"/>
      <c r="E124" s="122"/>
      <c r="F124" s="91"/>
    </row>
    <row r="126" spans="1:6" ht="90" customHeight="1" x14ac:dyDescent="0.25">
      <c r="A126" s="39" t="s">
        <v>876</v>
      </c>
      <c r="B126" s="37" t="s">
        <v>2893</v>
      </c>
      <c r="C126" s="76" t="s">
        <v>15</v>
      </c>
      <c r="D126" s="40">
        <v>7</v>
      </c>
      <c r="E126" s="77">
        <v>800</v>
      </c>
      <c r="F126" s="78">
        <f>ROUND(D126*E126,2)</f>
        <v>5600</v>
      </c>
    </row>
    <row r="128" spans="1:6" x14ac:dyDescent="0.25">
      <c r="A128" s="91" t="s">
        <v>874</v>
      </c>
      <c r="B128" s="92" t="s">
        <v>877</v>
      </c>
      <c r="C128" s="91"/>
      <c r="D128" s="91"/>
      <c r="E128" s="122"/>
      <c r="F128" s="96">
        <f>SUM(F126:F126)</f>
        <v>5600</v>
      </c>
    </row>
    <row r="130" spans="1:6" x14ac:dyDescent="0.25">
      <c r="A130" s="91" t="s">
        <v>878</v>
      </c>
      <c r="B130" s="92" t="s">
        <v>879</v>
      </c>
      <c r="C130" s="91"/>
      <c r="D130" s="91"/>
      <c r="E130" s="122"/>
      <c r="F130" s="91"/>
    </row>
    <row r="132" spans="1:6" x14ac:dyDescent="0.25">
      <c r="B132" s="81" t="s">
        <v>2888</v>
      </c>
    </row>
    <row r="133" spans="1:6" ht="36" x14ac:dyDescent="0.25">
      <c r="B133" s="48" t="s">
        <v>2889</v>
      </c>
    </row>
    <row r="134" spans="1:6" ht="54.75" customHeight="1" x14ac:dyDescent="0.25">
      <c r="B134" s="48" t="s">
        <v>2894</v>
      </c>
    </row>
    <row r="135" spans="1:6" x14ac:dyDescent="0.25">
      <c r="B135" s="81" t="s">
        <v>2891</v>
      </c>
    </row>
    <row r="138" spans="1:6" x14ac:dyDescent="0.25">
      <c r="A138" s="39" t="s">
        <v>880</v>
      </c>
      <c r="B138" s="37" t="s">
        <v>881</v>
      </c>
    </row>
    <row r="139" spans="1:6" x14ac:dyDescent="0.25">
      <c r="B139" s="75" t="s">
        <v>882</v>
      </c>
      <c r="C139" s="76" t="s">
        <v>13</v>
      </c>
      <c r="D139" s="40">
        <v>800</v>
      </c>
      <c r="E139" s="77">
        <v>1.8</v>
      </c>
      <c r="F139" s="78">
        <f>ROUND(D139*E139,2)</f>
        <v>1440</v>
      </c>
    </row>
    <row r="141" spans="1:6" ht="24" x14ac:dyDescent="0.25">
      <c r="A141" s="39" t="s">
        <v>883</v>
      </c>
      <c r="B141" s="37" t="s">
        <v>884</v>
      </c>
      <c r="C141" s="76" t="s">
        <v>19</v>
      </c>
      <c r="D141" s="40">
        <v>1</v>
      </c>
      <c r="E141" s="77">
        <v>50</v>
      </c>
      <c r="F141" s="78">
        <f>ROUND(D141*E141,2)</f>
        <v>50</v>
      </c>
    </row>
    <row r="142" spans="1:6" x14ac:dyDescent="0.25">
      <c r="B142" s="75"/>
    </row>
    <row r="143" spans="1:6" x14ac:dyDescent="0.25">
      <c r="A143" s="39" t="s">
        <v>885</v>
      </c>
      <c r="B143" s="37" t="s">
        <v>886</v>
      </c>
      <c r="C143" s="76" t="s">
        <v>19</v>
      </c>
      <c r="D143" s="40">
        <v>1</v>
      </c>
      <c r="E143" s="77">
        <v>150</v>
      </c>
      <c r="F143" s="78">
        <f>ROUND(D143*E143,2)</f>
        <v>150</v>
      </c>
    </row>
    <row r="144" spans="1:6" x14ac:dyDescent="0.25">
      <c r="B144" s="75"/>
      <c r="C144" s="38"/>
    </row>
    <row r="145" spans="1:6" ht="52.5" customHeight="1" x14ac:dyDescent="0.25">
      <c r="A145" s="39" t="s">
        <v>887</v>
      </c>
      <c r="B145" s="37" t="s">
        <v>2431</v>
      </c>
      <c r="C145" s="76" t="s">
        <v>38</v>
      </c>
      <c r="D145" s="40">
        <v>110</v>
      </c>
      <c r="E145" s="77">
        <v>12</v>
      </c>
      <c r="F145" s="78">
        <f>ROUND(D145*E145,2)</f>
        <v>1320</v>
      </c>
    </row>
    <row r="146" spans="1:6" x14ac:dyDescent="0.25">
      <c r="B146" s="75"/>
      <c r="C146" s="38"/>
    </row>
    <row r="147" spans="1:6" ht="24" x14ac:dyDescent="0.25">
      <c r="A147" s="39" t="s">
        <v>888</v>
      </c>
      <c r="B147" s="37" t="s">
        <v>889</v>
      </c>
      <c r="C147" s="76" t="s">
        <v>38</v>
      </c>
      <c r="D147" s="40">
        <v>110</v>
      </c>
      <c r="E147" s="77">
        <v>2</v>
      </c>
      <c r="F147" s="78">
        <f>ROUND(D147*E147,2)</f>
        <v>220</v>
      </c>
    </row>
    <row r="149" spans="1:6" ht="40.5" customHeight="1" x14ac:dyDescent="0.25">
      <c r="A149" s="39" t="s">
        <v>890</v>
      </c>
      <c r="B149" s="37" t="s">
        <v>2430</v>
      </c>
      <c r="C149" s="76" t="s">
        <v>38</v>
      </c>
      <c r="D149" s="40">
        <v>110</v>
      </c>
      <c r="E149" s="77">
        <v>12</v>
      </c>
      <c r="F149" s="78">
        <f>ROUND(D149*E149,2)</f>
        <v>1320</v>
      </c>
    </row>
    <row r="151" spans="1:6" ht="24" x14ac:dyDescent="0.25">
      <c r="A151" s="39" t="s">
        <v>891</v>
      </c>
      <c r="B151" s="37" t="s">
        <v>2432</v>
      </c>
      <c r="C151" s="76" t="s">
        <v>13</v>
      </c>
      <c r="D151" s="40">
        <v>440</v>
      </c>
      <c r="E151" s="77">
        <v>2</v>
      </c>
      <c r="F151" s="78">
        <f>ROUND(D151*E151,2)</f>
        <v>880</v>
      </c>
    </row>
    <row r="153" spans="1:6" ht="24" x14ac:dyDescent="0.25">
      <c r="A153" s="39" t="s">
        <v>892</v>
      </c>
      <c r="B153" s="37" t="s">
        <v>893</v>
      </c>
      <c r="C153" s="76" t="s">
        <v>56</v>
      </c>
      <c r="D153" s="40">
        <v>22</v>
      </c>
      <c r="E153" s="77">
        <v>8</v>
      </c>
      <c r="F153" s="78">
        <f>ROUND(D153*E153,2)</f>
        <v>176</v>
      </c>
    </row>
    <row r="154" spans="1:6" x14ac:dyDescent="0.25">
      <c r="B154" s="75"/>
      <c r="C154" s="38"/>
    </row>
    <row r="155" spans="1:6" ht="63" customHeight="1" x14ac:dyDescent="0.25">
      <c r="A155" s="39" t="s">
        <v>894</v>
      </c>
      <c r="B155" s="37" t="s">
        <v>895</v>
      </c>
    </row>
    <row r="156" spans="1:6" x14ac:dyDescent="0.25">
      <c r="B156" s="75" t="s">
        <v>896</v>
      </c>
      <c r="C156" s="76" t="s">
        <v>19</v>
      </c>
      <c r="D156" s="40">
        <v>1</v>
      </c>
      <c r="E156" s="77">
        <v>250</v>
      </c>
      <c r="F156" s="78">
        <f>ROUND(D156*E156,2)</f>
        <v>250</v>
      </c>
    </row>
    <row r="158" spans="1:6" ht="48" x14ac:dyDescent="0.25">
      <c r="A158" s="39" t="s">
        <v>897</v>
      </c>
      <c r="B158" s="37" t="s">
        <v>898</v>
      </c>
    </row>
    <row r="159" spans="1:6" x14ac:dyDescent="0.25">
      <c r="B159" s="75" t="s">
        <v>896</v>
      </c>
      <c r="C159" s="76" t="s">
        <v>19</v>
      </c>
      <c r="D159" s="40">
        <v>1</v>
      </c>
      <c r="E159" s="77">
        <v>250</v>
      </c>
      <c r="F159" s="78">
        <f>ROUND(D159*E159,2)</f>
        <v>250</v>
      </c>
    </row>
    <row r="161" spans="1:6" ht="24" x14ac:dyDescent="0.25">
      <c r="A161" s="39" t="s">
        <v>899</v>
      </c>
      <c r="B161" s="37" t="s">
        <v>900</v>
      </c>
      <c r="C161" s="76" t="s">
        <v>15</v>
      </c>
      <c r="D161" s="40">
        <v>6</v>
      </c>
      <c r="E161" s="77">
        <v>15</v>
      </c>
      <c r="F161" s="78">
        <f>ROUND(D161*E161,2)</f>
        <v>90</v>
      </c>
    </row>
    <row r="163" spans="1:6" ht="24" x14ac:dyDescent="0.25">
      <c r="A163" s="39" t="s">
        <v>901</v>
      </c>
      <c r="B163" s="37" t="s">
        <v>2433</v>
      </c>
      <c r="C163" s="76" t="s">
        <v>15</v>
      </c>
      <c r="D163" s="40">
        <v>1</v>
      </c>
      <c r="E163" s="77">
        <v>60</v>
      </c>
      <c r="F163" s="78">
        <f>ROUND(D163*E163,2)</f>
        <v>60</v>
      </c>
    </row>
    <row r="165" spans="1:6" ht="24" x14ac:dyDescent="0.25">
      <c r="A165" s="39" t="s">
        <v>902</v>
      </c>
      <c r="B165" s="37" t="s">
        <v>903</v>
      </c>
      <c r="C165" s="38"/>
    </row>
    <row r="166" spans="1:6" x14ac:dyDescent="0.25">
      <c r="B166" s="75" t="s">
        <v>904</v>
      </c>
      <c r="C166" s="76" t="s">
        <v>15</v>
      </c>
      <c r="D166" s="40">
        <v>1</v>
      </c>
      <c r="E166" s="77">
        <v>100</v>
      </c>
      <c r="F166" s="78">
        <f>ROUND(D166*E166,2)</f>
        <v>100</v>
      </c>
    </row>
    <row r="168" spans="1:6" ht="24" x14ac:dyDescent="0.25">
      <c r="A168" s="39" t="s">
        <v>905</v>
      </c>
      <c r="B168" s="37" t="s">
        <v>906</v>
      </c>
    </row>
    <row r="169" spans="1:6" x14ac:dyDescent="0.25">
      <c r="B169" s="75" t="s">
        <v>859</v>
      </c>
      <c r="C169" s="76" t="s">
        <v>13</v>
      </c>
      <c r="D169" s="40">
        <v>16</v>
      </c>
      <c r="E169" s="77">
        <v>30</v>
      </c>
      <c r="F169" s="78">
        <f>ROUND(D169*E169,2)</f>
        <v>480</v>
      </c>
    </row>
    <row r="170" spans="1:6" x14ac:dyDescent="0.25">
      <c r="B170" s="75" t="s">
        <v>860</v>
      </c>
      <c r="C170" s="76" t="s">
        <v>13</v>
      </c>
      <c r="D170" s="40">
        <v>20</v>
      </c>
      <c r="E170" s="77">
        <v>40</v>
      </c>
      <c r="F170" s="78">
        <f>ROUND(D170*E170,2)</f>
        <v>800</v>
      </c>
    </row>
    <row r="172" spans="1:6" ht="84" x14ac:dyDescent="0.25">
      <c r="A172" s="39" t="s">
        <v>907</v>
      </c>
      <c r="B172" s="37" t="s">
        <v>908</v>
      </c>
    </row>
    <row r="173" spans="1:6" x14ac:dyDescent="0.25">
      <c r="B173" s="75" t="s">
        <v>909</v>
      </c>
      <c r="C173" s="76" t="s">
        <v>13</v>
      </c>
      <c r="D173" s="40">
        <v>16</v>
      </c>
      <c r="E173" s="77">
        <v>6</v>
      </c>
      <c r="F173" s="78">
        <f>ROUND(D173*E173,2)</f>
        <v>96</v>
      </c>
    </row>
    <row r="174" spans="1:6" x14ac:dyDescent="0.25">
      <c r="B174" s="75" t="s">
        <v>910</v>
      </c>
      <c r="C174" s="76" t="s">
        <v>13</v>
      </c>
      <c r="D174" s="40">
        <v>20</v>
      </c>
      <c r="E174" s="77">
        <v>8</v>
      </c>
      <c r="F174" s="78">
        <f>ROUND(D174*E174,2)</f>
        <v>160</v>
      </c>
    </row>
    <row r="176" spans="1:6" ht="24" x14ac:dyDescent="0.25">
      <c r="A176" s="39" t="s">
        <v>911</v>
      </c>
      <c r="B176" s="37" t="s">
        <v>912</v>
      </c>
      <c r="C176" s="76" t="s">
        <v>15</v>
      </c>
      <c r="D176" s="40">
        <v>2</v>
      </c>
      <c r="E176" s="77">
        <v>50</v>
      </c>
      <c r="F176" s="78">
        <f>ROUND(D176*E176,2)</f>
        <v>100</v>
      </c>
    </row>
    <row r="178" spans="1:6" ht="24" x14ac:dyDescent="0.25">
      <c r="A178" s="39" t="s">
        <v>913</v>
      </c>
      <c r="B178" s="37" t="s">
        <v>804</v>
      </c>
      <c r="C178" s="76" t="s">
        <v>56</v>
      </c>
      <c r="D178" s="40">
        <v>40</v>
      </c>
      <c r="E178" s="77">
        <v>7</v>
      </c>
      <c r="F178" s="78">
        <f>ROUND(D178*E178,2)</f>
        <v>280</v>
      </c>
    </row>
    <row r="179" spans="1:6" x14ac:dyDescent="0.25">
      <c r="B179" s="75"/>
    </row>
    <row r="180" spans="1:6" x14ac:dyDescent="0.25">
      <c r="A180" s="39" t="s">
        <v>914</v>
      </c>
      <c r="B180" s="37" t="s">
        <v>3025</v>
      </c>
      <c r="C180" s="76" t="s">
        <v>19</v>
      </c>
      <c r="D180" s="40">
        <v>1</v>
      </c>
      <c r="E180" s="77">
        <v>100</v>
      </c>
      <c r="F180" s="78">
        <f>ROUND(D180*E180,2)</f>
        <v>100</v>
      </c>
    </row>
    <row r="182" spans="1:6" x14ac:dyDescent="0.25">
      <c r="A182" s="39" t="s">
        <v>915</v>
      </c>
      <c r="B182" s="37" t="s">
        <v>917</v>
      </c>
      <c r="C182" s="76" t="s">
        <v>19</v>
      </c>
      <c r="D182" s="40">
        <v>1</v>
      </c>
      <c r="E182" s="77">
        <v>150</v>
      </c>
      <c r="F182" s="78">
        <f>ROUND(D182*E182,2)</f>
        <v>150</v>
      </c>
    </row>
    <row r="184" spans="1:6" x14ac:dyDescent="0.25">
      <c r="A184" s="39" t="s">
        <v>916</v>
      </c>
      <c r="B184" s="37" t="s">
        <v>918</v>
      </c>
      <c r="C184" s="76" t="s">
        <v>19</v>
      </c>
      <c r="D184" s="40">
        <v>1</v>
      </c>
      <c r="E184" s="77">
        <v>200</v>
      </c>
      <c r="F184" s="78">
        <f>ROUND(D184*E184,2)</f>
        <v>200</v>
      </c>
    </row>
    <row r="186" spans="1:6" x14ac:dyDescent="0.25">
      <c r="A186" s="91" t="s">
        <v>878</v>
      </c>
      <c r="B186" s="92" t="s">
        <v>919</v>
      </c>
      <c r="C186" s="91"/>
      <c r="D186" s="91"/>
      <c r="E186" s="122"/>
      <c r="F186" s="96">
        <f>SUM(F139:F184)</f>
        <v>8672</v>
      </c>
    </row>
    <row r="188" spans="1:6" x14ac:dyDescent="0.25">
      <c r="A188" s="91" t="s">
        <v>920</v>
      </c>
      <c r="B188" s="92" t="s">
        <v>921</v>
      </c>
      <c r="C188" s="91"/>
      <c r="D188" s="91"/>
      <c r="E188" s="122"/>
      <c r="F188" s="91"/>
    </row>
    <row r="190" spans="1:6" x14ac:dyDescent="0.25">
      <c r="B190" s="81" t="s">
        <v>2888</v>
      </c>
    </row>
    <row r="191" spans="1:6" ht="36" x14ac:dyDescent="0.25">
      <c r="B191" s="48" t="s">
        <v>2889</v>
      </c>
    </row>
    <row r="192" spans="1:6" ht="24" x14ac:dyDescent="0.25">
      <c r="B192" s="48" t="s">
        <v>2892</v>
      </c>
    </row>
    <row r="193" spans="1:6" x14ac:dyDescent="0.25">
      <c r="B193" s="81" t="s">
        <v>2891</v>
      </c>
    </row>
    <row r="196" spans="1:6" ht="88.5" customHeight="1" x14ac:dyDescent="0.25">
      <c r="A196" s="39" t="s">
        <v>922</v>
      </c>
      <c r="B196" s="37" t="s">
        <v>3292</v>
      </c>
    </row>
    <row r="197" spans="1:6" ht="36" x14ac:dyDescent="0.25">
      <c r="B197" s="75" t="s">
        <v>923</v>
      </c>
      <c r="C197" s="76" t="s">
        <v>15</v>
      </c>
      <c r="D197" s="40">
        <v>2</v>
      </c>
      <c r="E197" s="77">
        <v>800</v>
      </c>
      <c r="F197" s="78">
        <f>ROUND(D197*E197,2)</f>
        <v>1600</v>
      </c>
    </row>
    <row r="198" spans="1:6" ht="36" x14ac:dyDescent="0.25">
      <c r="B198" s="75" t="s">
        <v>924</v>
      </c>
      <c r="C198" s="76" t="s">
        <v>15</v>
      </c>
      <c r="D198" s="40">
        <v>1</v>
      </c>
      <c r="E198" s="77">
        <v>900</v>
      </c>
      <c r="F198" s="78">
        <f>ROUND(D198*E198,2)</f>
        <v>900</v>
      </c>
    </row>
    <row r="199" spans="1:6" ht="36" x14ac:dyDescent="0.25">
      <c r="B199" s="75" t="s">
        <v>925</v>
      </c>
      <c r="C199" s="76" t="s">
        <v>15</v>
      </c>
      <c r="D199" s="40">
        <v>7</v>
      </c>
      <c r="E199" s="77">
        <v>1000</v>
      </c>
      <c r="F199" s="78">
        <f>ROUND(D199*E199,2)</f>
        <v>7000</v>
      </c>
    </row>
    <row r="200" spans="1:6" ht="36" x14ac:dyDescent="0.25">
      <c r="B200" s="75" t="s">
        <v>926</v>
      </c>
      <c r="C200" s="76" t="s">
        <v>15</v>
      </c>
      <c r="D200" s="40">
        <v>2</v>
      </c>
      <c r="E200" s="77">
        <v>1500</v>
      </c>
      <c r="F200" s="78">
        <f>ROUND(D200*E200,2)</f>
        <v>3000</v>
      </c>
    </row>
    <row r="201" spans="1:6" ht="36" x14ac:dyDescent="0.25">
      <c r="B201" s="75" t="s">
        <v>924</v>
      </c>
      <c r="C201" s="76" t="s">
        <v>15</v>
      </c>
      <c r="D201" s="40">
        <v>1</v>
      </c>
      <c r="E201" s="77">
        <v>1200</v>
      </c>
      <c r="F201" s="78">
        <f>ROUND(D201*E201,2)</f>
        <v>1200</v>
      </c>
    </row>
    <row r="203" spans="1:6" ht="87" customHeight="1" x14ac:dyDescent="0.25">
      <c r="A203" s="39" t="s">
        <v>927</v>
      </c>
      <c r="B203" s="37" t="s">
        <v>2434</v>
      </c>
      <c r="C203" s="76" t="s">
        <v>15</v>
      </c>
      <c r="D203" s="40">
        <v>5</v>
      </c>
      <c r="E203" s="77">
        <v>1600</v>
      </c>
      <c r="F203" s="78">
        <f>ROUND(D203*E203,2)</f>
        <v>8000</v>
      </c>
    </row>
    <row r="205" spans="1:6" ht="60" x14ac:dyDescent="0.25">
      <c r="A205" s="39" t="s">
        <v>928</v>
      </c>
      <c r="B205" s="37" t="s">
        <v>929</v>
      </c>
    </row>
    <row r="206" spans="1:6" x14ac:dyDescent="0.25">
      <c r="B206" s="75" t="s">
        <v>930</v>
      </c>
      <c r="C206" s="76" t="s">
        <v>15</v>
      </c>
      <c r="D206" s="40">
        <v>5</v>
      </c>
      <c r="E206" s="77">
        <v>150</v>
      </c>
      <c r="F206" s="78">
        <f>ROUND(D206*E206,2)</f>
        <v>750</v>
      </c>
    </row>
    <row r="207" spans="1:6" x14ac:dyDescent="0.25">
      <c r="B207" s="75" t="s">
        <v>931</v>
      </c>
      <c r="C207" s="76" t="s">
        <v>15</v>
      </c>
      <c r="D207" s="40">
        <v>7</v>
      </c>
      <c r="E207" s="77">
        <v>200</v>
      </c>
      <c r="F207" s="78">
        <f>ROUND(D207*E207,2)</f>
        <v>1400</v>
      </c>
    </row>
    <row r="209" spans="1:6" ht="48" x14ac:dyDescent="0.25">
      <c r="A209" s="39" t="s">
        <v>932</v>
      </c>
      <c r="B209" s="37" t="s">
        <v>933</v>
      </c>
    </row>
    <row r="210" spans="1:6" x14ac:dyDescent="0.25">
      <c r="B210" s="75" t="s">
        <v>934</v>
      </c>
      <c r="C210" s="76" t="s">
        <v>15</v>
      </c>
      <c r="D210" s="40">
        <v>10</v>
      </c>
      <c r="E210" s="77">
        <v>50</v>
      </c>
      <c r="F210" s="78">
        <f>ROUND(D210*E210,2)</f>
        <v>500</v>
      </c>
    </row>
    <row r="211" spans="1:6" x14ac:dyDescent="0.25">
      <c r="B211" s="75" t="s">
        <v>935</v>
      </c>
      <c r="C211" s="76" t="s">
        <v>15</v>
      </c>
      <c r="D211" s="40">
        <v>14</v>
      </c>
      <c r="E211" s="77">
        <v>50</v>
      </c>
      <c r="F211" s="78">
        <f>ROUND(D211*E211,2)</f>
        <v>700</v>
      </c>
    </row>
    <row r="213" spans="1:6" ht="24" x14ac:dyDescent="0.25">
      <c r="A213" s="39" t="s">
        <v>936</v>
      </c>
      <c r="B213" s="37" t="s">
        <v>937</v>
      </c>
    </row>
    <row r="214" spans="1:6" x14ac:dyDescent="0.25">
      <c r="B214" s="75" t="s">
        <v>840</v>
      </c>
      <c r="C214" s="76" t="s">
        <v>15</v>
      </c>
      <c r="D214" s="40">
        <v>10</v>
      </c>
      <c r="E214" s="77">
        <v>30</v>
      </c>
      <c r="F214" s="78">
        <f>ROUND(D214*E214,2)</f>
        <v>300</v>
      </c>
    </row>
    <row r="215" spans="1:6" x14ac:dyDescent="0.25">
      <c r="B215" s="75" t="s">
        <v>938</v>
      </c>
      <c r="C215" s="76" t="s">
        <v>15</v>
      </c>
      <c r="D215" s="40">
        <v>14</v>
      </c>
      <c r="E215" s="77">
        <v>40</v>
      </c>
      <c r="F215" s="78">
        <f>ROUND(D215*E215,2)</f>
        <v>560</v>
      </c>
    </row>
    <row r="217" spans="1:6" ht="24" x14ac:dyDescent="0.25">
      <c r="A217" s="39" t="s">
        <v>939</v>
      </c>
      <c r="B217" s="37" t="s">
        <v>792</v>
      </c>
    </row>
    <row r="218" spans="1:6" x14ac:dyDescent="0.25">
      <c r="B218" s="75" t="s">
        <v>940</v>
      </c>
      <c r="C218" s="76" t="s">
        <v>13</v>
      </c>
      <c r="D218" s="40">
        <v>30</v>
      </c>
      <c r="E218" s="77">
        <v>20</v>
      </c>
      <c r="F218" s="78">
        <f t="shared" ref="F218:F224" si="1">ROUND(D218*E218,2)</f>
        <v>600</v>
      </c>
    </row>
    <row r="219" spans="1:6" x14ac:dyDescent="0.25">
      <c r="B219" s="75" t="s">
        <v>941</v>
      </c>
      <c r="C219" s="76" t="s">
        <v>13</v>
      </c>
      <c r="D219" s="40">
        <v>40</v>
      </c>
      <c r="E219" s="77">
        <v>25</v>
      </c>
      <c r="F219" s="78">
        <f t="shared" si="1"/>
        <v>1000</v>
      </c>
    </row>
    <row r="220" spans="1:6" x14ac:dyDescent="0.25">
      <c r="B220" s="75" t="s">
        <v>942</v>
      </c>
      <c r="C220" s="76" t="s">
        <v>13</v>
      </c>
      <c r="D220" s="40">
        <v>65</v>
      </c>
      <c r="E220" s="77">
        <v>30</v>
      </c>
      <c r="F220" s="78">
        <f t="shared" si="1"/>
        <v>1950</v>
      </c>
    </row>
    <row r="221" spans="1:6" x14ac:dyDescent="0.25">
      <c r="B221" s="75" t="s">
        <v>859</v>
      </c>
      <c r="C221" s="76" t="s">
        <v>13</v>
      </c>
      <c r="D221" s="40">
        <v>20</v>
      </c>
      <c r="E221" s="77">
        <v>35</v>
      </c>
      <c r="F221" s="78">
        <f t="shared" si="1"/>
        <v>700</v>
      </c>
    </row>
    <row r="222" spans="1:6" x14ac:dyDescent="0.25">
      <c r="B222" s="75" t="s">
        <v>860</v>
      </c>
      <c r="C222" s="76" t="s">
        <v>13</v>
      </c>
      <c r="D222" s="40">
        <v>30</v>
      </c>
      <c r="E222" s="77">
        <v>40</v>
      </c>
      <c r="F222" s="78">
        <f t="shared" si="1"/>
        <v>1200</v>
      </c>
    </row>
    <row r="223" spans="1:6" x14ac:dyDescent="0.25">
      <c r="B223" s="75" t="s">
        <v>793</v>
      </c>
      <c r="C223" s="76" t="s">
        <v>13</v>
      </c>
      <c r="D223" s="40">
        <v>50</v>
      </c>
      <c r="E223" s="77">
        <v>50</v>
      </c>
      <c r="F223" s="78">
        <f t="shared" si="1"/>
        <v>2500</v>
      </c>
    </row>
    <row r="224" spans="1:6" x14ac:dyDescent="0.25">
      <c r="B224" s="75" t="s">
        <v>794</v>
      </c>
      <c r="C224" s="76" t="s">
        <v>13</v>
      </c>
      <c r="D224" s="40">
        <v>30</v>
      </c>
      <c r="E224" s="77">
        <v>60</v>
      </c>
      <c r="F224" s="78">
        <f t="shared" si="1"/>
        <v>1800</v>
      </c>
    </row>
    <row r="226" spans="1:6" ht="84" x14ac:dyDescent="0.25">
      <c r="A226" s="39" t="s">
        <v>943</v>
      </c>
      <c r="B226" s="37" t="s">
        <v>2617</v>
      </c>
    </row>
    <row r="227" spans="1:6" x14ac:dyDescent="0.25">
      <c r="B227" s="75" t="s">
        <v>944</v>
      </c>
      <c r="C227" s="76" t="s">
        <v>13</v>
      </c>
      <c r="D227" s="40">
        <v>30</v>
      </c>
      <c r="E227" s="77">
        <v>3</v>
      </c>
      <c r="F227" s="78">
        <f t="shared" ref="F227:F233" si="2">ROUND(D227*E227,2)</f>
        <v>90</v>
      </c>
    </row>
    <row r="228" spans="1:6" x14ac:dyDescent="0.25">
      <c r="B228" s="75" t="s">
        <v>945</v>
      </c>
      <c r="C228" s="76" t="s">
        <v>13</v>
      </c>
      <c r="D228" s="40">
        <v>40</v>
      </c>
      <c r="E228" s="77">
        <v>4</v>
      </c>
      <c r="F228" s="78">
        <f t="shared" si="2"/>
        <v>160</v>
      </c>
    </row>
    <row r="229" spans="1:6" x14ac:dyDescent="0.25">
      <c r="B229" s="75" t="s">
        <v>946</v>
      </c>
      <c r="C229" s="76" t="s">
        <v>13</v>
      </c>
      <c r="D229" s="40">
        <v>50</v>
      </c>
      <c r="E229" s="77">
        <v>5</v>
      </c>
      <c r="F229" s="78">
        <f t="shared" si="2"/>
        <v>250</v>
      </c>
    </row>
    <row r="230" spans="1:6" x14ac:dyDescent="0.25">
      <c r="B230" s="75" t="s">
        <v>864</v>
      </c>
      <c r="C230" s="76" t="s">
        <v>13</v>
      </c>
      <c r="D230" s="40">
        <v>20</v>
      </c>
      <c r="E230" s="77">
        <v>6</v>
      </c>
      <c r="F230" s="78">
        <f t="shared" si="2"/>
        <v>120</v>
      </c>
    </row>
    <row r="231" spans="1:6" x14ac:dyDescent="0.25">
      <c r="B231" s="75" t="s">
        <v>865</v>
      </c>
      <c r="C231" s="76" t="s">
        <v>13</v>
      </c>
      <c r="D231" s="40">
        <v>10</v>
      </c>
      <c r="E231" s="77">
        <v>8</v>
      </c>
      <c r="F231" s="78">
        <f t="shared" si="2"/>
        <v>80</v>
      </c>
    </row>
    <row r="232" spans="1:6" x14ac:dyDescent="0.25">
      <c r="B232" s="75" t="s">
        <v>796</v>
      </c>
      <c r="C232" s="76" t="s">
        <v>13</v>
      </c>
      <c r="D232" s="40">
        <v>30</v>
      </c>
      <c r="E232" s="77">
        <v>10</v>
      </c>
      <c r="F232" s="78">
        <f t="shared" si="2"/>
        <v>300</v>
      </c>
    </row>
    <row r="233" spans="1:6" x14ac:dyDescent="0.25">
      <c r="B233" s="75" t="s">
        <v>797</v>
      </c>
      <c r="C233" s="76" t="s">
        <v>13</v>
      </c>
      <c r="D233" s="40">
        <v>20</v>
      </c>
      <c r="E233" s="77">
        <v>11</v>
      </c>
      <c r="F233" s="78">
        <f t="shared" si="2"/>
        <v>220</v>
      </c>
    </row>
    <row r="235" spans="1:6" ht="28.5" customHeight="1" x14ac:dyDescent="0.25">
      <c r="A235" s="39" t="s">
        <v>947</v>
      </c>
      <c r="B235" s="37" t="s">
        <v>948</v>
      </c>
    </row>
    <row r="236" spans="1:6" x14ac:dyDescent="0.25">
      <c r="B236" s="75" t="s">
        <v>949</v>
      </c>
      <c r="C236" s="76" t="s">
        <v>13</v>
      </c>
      <c r="D236" s="40">
        <v>50</v>
      </c>
      <c r="E236" s="77">
        <v>8</v>
      </c>
      <c r="F236" s="78">
        <f>ROUND(D236*E236,2)</f>
        <v>400</v>
      </c>
    </row>
    <row r="237" spans="1:6" x14ac:dyDescent="0.25">
      <c r="B237" s="75" t="s">
        <v>950</v>
      </c>
      <c r="C237" s="76" t="s">
        <v>13</v>
      </c>
      <c r="D237" s="40">
        <v>30</v>
      </c>
      <c r="E237" s="77">
        <v>15</v>
      </c>
      <c r="F237" s="78">
        <f>ROUND(D237*E237,2)</f>
        <v>450</v>
      </c>
    </row>
    <row r="239" spans="1:6" ht="36" x14ac:dyDescent="0.25">
      <c r="A239" s="39" t="s">
        <v>951</v>
      </c>
      <c r="B239" s="37" t="s">
        <v>952</v>
      </c>
    </row>
    <row r="240" spans="1:6" x14ac:dyDescent="0.25">
      <c r="B240" s="75" t="s">
        <v>953</v>
      </c>
      <c r="C240" s="76" t="s">
        <v>15</v>
      </c>
      <c r="D240" s="40">
        <v>2</v>
      </c>
      <c r="E240" s="77">
        <v>100</v>
      </c>
      <c r="F240" s="78">
        <f>ROUND(D240*E240,2)</f>
        <v>200</v>
      </c>
    </row>
    <row r="242" spans="1:6" ht="36" x14ac:dyDescent="0.25">
      <c r="A242" s="39" t="s">
        <v>954</v>
      </c>
      <c r="B242" s="37" t="s">
        <v>955</v>
      </c>
      <c r="C242" s="76" t="s">
        <v>15</v>
      </c>
      <c r="D242" s="40">
        <v>8</v>
      </c>
      <c r="E242" s="77">
        <v>50</v>
      </c>
      <c r="F242" s="78">
        <f>ROUND(D242*E242,2)</f>
        <v>400</v>
      </c>
    </row>
    <row r="244" spans="1:6" ht="24" x14ac:dyDescent="0.25">
      <c r="A244" s="39" t="s">
        <v>956</v>
      </c>
      <c r="B244" s="37" t="s">
        <v>804</v>
      </c>
      <c r="C244" s="76" t="s">
        <v>56</v>
      </c>
      <c r="D244" s="40">
        <v>60</v>
      </c>
      <c r="E244" s="77">
        <v>7</v>
      </c>
      <c r="F244" s="78">
        <f>ROUND(D244*E244,2)</f>
        <v>420</v>
      </c>
    </row>
    <row r="246" spans="1:6" ht="27" customHeight="1" x14ac:dyDescent="0.25">
      <c r="A246" s="39" t="s">
        <v>957</v>
      </c>
      <c r="B246" s="37" t="s">
        <v>960</v>
      </c>
      <c r="C246" s="38"/>
    </row>
    <row r="247" spans="1:6" x14ac:dyDescent="0.25">
      <c r="B247" s="75" t="s">
        <v>961</v>
      </c>
      <c r="C247" s="76" t="s">
        <v>15</v>
      </c>
      <c r="D247" s="40">
        <v>5</v>
      </c>
      <c r="E247" s="77">
        <v>150</v>
      </c>
      <c r="F247" s="78">
        <f>ROUND(D247*E247,2)</f>
        <v>750</v>
      </c>
    </row>
    <row r="249" spans="1:6" ht="15" customHeight="1" x14ac:dyDescent="0.25">
      <c r="A249" s="39" t="s">
        <v>958</v>
      </c>
      <c r="B249" s="37" t="s">
        <v>963</v>
      </c>
      <c r="C249" s="76" t="s">
        <v>19</v>
      </c>
      <c r="D249" s="40">
        <v>1</v>
      </c>
      <c r="E249" s="77">
        <v>300</v>
      </c>
      <c r="F249" s="78">
        <f>ROUND(D249*E249,2)</f>
        <v>300</v>
      </c>
    </row>
    <row r="251" spans="1:6" x14ac:dyDescent="0.25">
      <c r="A251" s="39" t="s">
        <v>959</v>
      </c>
      <c r="B251" s="37" t="s">
        <v>813</v>
      </c>
      <c r="C251" s="76" t="s">
        <v>19</v>
      </c>
      <c r="D251" s="40">
        <v>1</v>
      </c>
      <c r="E251" s="77">
        <v>100</v>
      </c>
      <c r="F251" s="78">
        <f>ROUND(D251*E251,2)</f>
        <v>100</v>
      </c>
    </row>
    <row r="253" spans="1:6" x14ac:dyDescent="0.25">
      <c r="A253" s="39" t="s">
        <v>962</v>
      </c>
      <c r="B253" s="37" t="s">
        <v>965</v>
      </c>
      <c r="C253" s="76" t="s">
        <v>19</v>
      </c>
      <c r="D253" s="40">
        <v>1</v>
      </c>
      <c r="E253" s="77">
        <v>250</v>
      </c>
      <c r="F253" s="78">
        <f>ROUND(D253*E253,2)</f>
        <v>250</v>
      </c>
    </row>
    <row r="255" spans="1:6" ht="38.25" customHeight="1" x14ac:dyDescent="0.25">
      <c r="A255" s="39" t="s">
        <v>964</v>
      </c>
      <c r="B255" s="37" t="s">
        <v>2895</v>
      </c>
      <c r="C255" s="76" t="s">
        <v>19</v>
      </c>
      <c r="D255" s="40">
        <v>1</v>
      </c>
      <c r="E255" s="77">
        <v>250</v>
      </c>
      <c r="F255" s="78">
        <f>ROUND(D255*E255,2)</f>
        <v>250</v>
      </c>
    </row>
    <row r="257" spans="1:6" x14ac:dyDescent="0.25">
      <c r="A257" s="91" t="s">
        <v>920</v>
      </c>
      <c r="B257" s="92" t="s">
        <v>966</v>
      </c>
      <c r="C257" s="91"/>
      <c r="D257" s="91"/>
      <c r="E257" s="122"/>
      <c r="F257" s="96">
        <f>SUM(F197:F255)</f>
        <v>40400</v>
      </c>
    </row>
    <row r="259" spans="1:6" x14ac:dyDescent="0.25">
      <c r="A259" s="91" t="s">
        <v>967</v>
      </c>
      <c r="B259" s="92" t="s">
        <v>968</v>
      </c>
      <c r="C259" s="91"/>
      <c r="D259" s="91"/>
      <c r="E259" s="122"/>
      <c r="F259" s="91"/>
    </row>
    <row r="261" spans="1:6" x14ac:dyDescent="0.25">
      <c r="B261" s="81" t="s">
        <v>2888</v>
      </c>
    </row>
    <row r="262" spans="1:6" ht="36" x14ac:dyDescent="0.25">
      <c r="B262" s="48" t="s">
        <v>2889</v>
      </c>
    </row>
    <row r="263" spans="1:6" ht="28.5" customHeight="1" x14ac:dyDescent="0.25">
      <c r="B263" s="48" t="s">
        <v>2896</v>
      </c>
    </row>
    <row r="264" spans="1:6" x14ac:dyDescent="0.25">
      <c r="B264" s="81" t="s">
        <v>2891</v>
      </c>
    </row>
    <row r="267" spans="1:6" ht="39" customHeight="1" x14ac:dyDescent="0.25">
      <c r="A267" s="39" t="s">
        <v>969</v>
      </c>
      <c r="B267" s="37" t="s">
        <v>970</v>
      </c>
    </row>
    <row r="268" spans="1:6" ht="48" x14ac:dyDescent="0.25">
      <c r="B268" s="75" t="s">
        <v>971</v>
      </c>
      <c r="C268" s="76" t="s">
        <v>19</v>
      </c>
      <c r="D268" s="40">
        <v>7</v>
      </c>
      <c r="E268" s="77">
        <v>400</v>
      </c>
      <c r="F268" s="78">
        <f>ROUND(D268*E268,2)</f>
        <v>2800</v>
      </c>
    </row>
    <row r="269" spans="1:6" ht="48" x14ac:dyDescent="0.25">
      <c r="B269" s="75" t="s">
        <v>972</v>
      </c>
      <c r="C269" s="76" t="s">
        <v>19</v>
      </c>
      <c r="D269" s="40">
        <v>1</v>
      </c>
      <c r="E269" s="77">
        <v>800</v>
      </c>
      <c r="F269" s="78">
        <f>ROUND(D269*E269,2)</f>
        <v>800</v>
      </c>
    </row>
    <row r="271" spans="1:6" ht="157.5" customHeight="1" x14ac:dyDescent="0.25">
      <c r="A271" s="39" t="s">
        <v>973</v>
      </c>
      <c r="B271" s="37" t="s">
        <v>974</v>
      </c>
      <c r="C271" s="76" t="s">
        <v>19</v>
      </c>
      <c r="D271" s="40">
        <v>1</v>
      </c>
      <c r="E271" s="77">
        <v>3000</v>
      </c>
      <c r="F271" s="78">
        <f>ROUND(D271*E271,2)</f>
        <v>3000</v>
      </c>
    </row>
    <row r="273" spans="1:6" ht="25.5" customHeight="1" x14ac:dyDescent="0.25">
      <c r="A273" s="39" t="s">
        <v>975</v>
      </c>
      <c r="B273" s="37" t="s">
        <v>976</v>
      </c>
    </row>
    <row r="274" spans="1:6" x14ac:dyDescent="0.25">
      <c r="B274" s="75" t="s">
        <v>977</v>
      </c>
      <c r="C274" s="76" t="s">
        <v>15</v>
      </c>
      <c r="D274" s="40">
        <v>26</v>
      </c>
      <c r="E274" s="77">
        <v>100</v>
      </c>
      <c r="F274" s="78">
        <f>ROUND(D274*E274,2)</f>
        <v>2600</v>
      </c>
    </row>
    <row r="276" spans="1:6" ht="36" x14ac:dyDescent="0.25">
      <c r="A276" s="39" t="s">
        <v>978</v>
      </c>
      <c r="B276" s="37" t="s">
        <v>979</v>
      </c>
    </row>
    <row r="277" spans="1:6" x14ac:dyDescent="0.25">
      <c r="B277" s="75" t="s">
        <v>980</v>
      </c>
      <c r="C277" s="76" t="s">
        <v>15</v>
      </c>
      <c r="D277" s="40">
        <v>9</v>
      </c>
      <c r="E277" s="77">
        <v>100</v>
      </c>
      <c r="F277" s="78">
        <f>ROUND(D277*E277,2)</f>
        <v>900</v>
      </c>
    </row>
    <row r="279" spans="1:6" ht="27" customHeight="1" x14ac:dyDescent="0.25">
      <c r="A279" s="39" t="s">
        <v>981</v>
      </c>
      <c r="B279" s="37" t="s">
        <v>982</v>
      </c>
    </row>
    <row r="280" spans="1:6" x14ac:dyDescent="0.25">
      <c r="B280" s="75" t="s">
        <v>983</v>
      </c>
      <c r="C280" s="76" t="s">
        <v>15</v>
      </c>
      <c r="D280" s="40">
        <v>7</v>
      </c>
      <c r="E280" s="77">
        <v>30</v>
      </c>
      <c r="F280" s="78">
        <f>ROUND(D280*E280,2)</f>
        <v>210</v>
      </c>
    </row>
    <row r="282" spans="1:6" ht="36" x14ac:dyDescent="0.25">
      <c r="A282" s="39" t="s">
        <v>984</v>
      </c>
      <c r="B282" s="37" t="s">
        <v>985</v>
      </c>
    </row>
    <row r="283" spans="1:6" x14ac:dyDescent="0.25">
      <c r="B283" s="75" t="s">
        <v>977</v>
      </c>
      <c r="C283" s="76" t="s">
        <v>15</v>
      </c>
      <c r="D283" s="40">
        <v>1</v>
      </c>
      <c r="E283" s="77">
        <v>30</v>
      </c>
      <c r="F283" s="78">
        <f>ROUND(D283*E283,2)</f>
        <v>30</v>
      </c>
    </row>
    <row r="284" spans="1:6" x14ac:dyDescent="0.25">
      <c r="B284" s="75" t="s">
        <v>983</v>
      </c>
      <c r="C284" s="76" t="s">
        <v>15</v>
      </c>
      <c r="D284" s="40">
        <v>1</v>
      </c>
      <c r="E284" s="77">
        <v>40</v>
      </c>
      <c r="F284" s="78">
        <f>ROUND(D284*E284,2)</f>
        <v>40</v>
      </c>
    </row>
    <row r="286" spans="1:6" ht="48" x14ac:dyDescent="0.25">
      <c r="A286" s="39" t="s">
        <v>986</v>
      </c>
      <c r="B286" s="37" t="s">
        <v>987</v>
      </c>
    </row>
    <row r="287" spans="1:6" x14ac:dyDescent="0.25">
      <c r="B287" s="75" t="s">
        <v>988</v>
      </c>
      <c r="C287" s="76" t="s">
        <v>13</v>
      </c>
      <c r="D287" s="40">
        <v>25</v>
      </c>
      <c r="E287" s="77">
        <v>20</v>
      </c>
      <c r="F287" s="78">
        <f>ROUND(D287*E287,2)</f>
        <v>500</v>
      </c>
    </row>
    <row r="288" spans="1:6" x14ac:dyDescent="0.25">
      <c r="B288" s="75" t="s">
        <v>977</v>
      </c>
      <c r="C288" s="76" t="s">
        <v>13</v>
      </c>
      <c r="D288" s="40">
        <v>70</v>
      </c>
      <c r="E288" s="77">
        <v>25</v>
      </c>
      <c r="F288" s="78">
        <f>ROUND(D288*E288,2)</f>
        <v>1750</v>
      </c>
    </row>
    <row r="289" spans="1:6" x14ac:dyDescent="0.25">
      <c r="B289" s="75" t="s">
        <v>983</v>
      </c>
      <c r="C289" s="76" t="s">
        <v>13</v>
      </c>
      <c r="D289" s="40">
        <v>30</v>
      </c>
      <c r="E289" s="77">
        <v>30</v>
      </c>
      <c r="F289" s="78">
        <f>ROUND(D289*E289,2)</f>
        <v>900</v>
      </c>
    </row>
    <row r="291" spans="1:6" ht="48" x14ac:dyDescent="0.25">
      <c r="A291" s="39" t="s">
        <v>989</v>
      </c>
      <c r="B291" s="37" t="s">
        <v>990</v>
      </c>
      <c r="C291" s="76" t="s">
        <v>19</v>
      </c>
      <c r="D291" s="40">
        <v>1</v>
      </c>
      <c r="E291" s="77">
        <v>150</v>
      </c>
      <c r="F291" s="78">
        <f>ROUND(D291*E291,2)</f>
        <v>150</v>
      </c>
    </row>
    <row r="293" spans="1:6" x14ac:dyDescent="0.25">
      <c r="A293" s="39" t="s">
        <v>991</v>
      </c>
      <c r="B293" s="37" t="s">
        <v>992</v>
      </c>
      <c r="C293" s="76" t="s">
        <v>19</v>
      </c>
      <c r="D293" s="40">
        <v>1</v>
      </c>
      <c r="E293" s="77">
        <v>300</v>
      </c>
      <c r="F293" s="78">
        <f>ROUND(D293*E293,2)</f>
        <v>300</v>
      </c>
    </row>
    <row r="295" spans="1:6" x14ac:dyDescent="0.25">
      <c r="A295" s="39" t="s">
        <v>993</v>
      </c>
      <c r="B295" s="37" t="s">
        <v>996</v>
      </c>
      <c r="C295" s="76" t="s">
        <v>19</v>
      </c>
      <c r="D295" s="40">
        <v>3</v>
      </c>
      <c r="E295" s="77">
        <v>150</v>
      </c>
      <c r="F295" s="78">
        <f>ROUND(D295*E295,2)</f>
        <v>450</v>
      </c>
    </row>
    <row r="297" spans="1:6" x14ac:dyDescent="0.25">
      <c r="A297" s="39" t="s">
        <v>994</v>
      </c>
      <c r="B297" s="37" t="s">
        <v>997</v>
      </c>
      <c r="C297" s="76" t="s">
        <v>19</v>
      </c>
      <c r="D297" s="40">
        <v>1</v>
      </c>
      <c r="E297" s="77">
        <v>200</v>
      </c>
      <c r="F297" s="78">
        <f>ROUND(D297*E297,2)</f>
        <v>200</v>
      </c>
    </row>
    <row r="299" spans="1:6" ht="36" x14ac:dyDescent="0.25">
      <c r="A299" s="39" t="s">
        <v>995</v>
      </c>
      <c r="B299" s="37" t="s">
        <v>3026</v>
      </c>
      <c r="C299" s="76" t="s">
        <v>19</v>
      </c>
      <c r="D299" s="40">
        <v>1</v>
      </c>
      <c r="E299" s="77">
        <v>500</v>
      </c>
      <c r="F299" s="78">
        <f>ROUND(D299*E299,2)</f>
        <v>500</v>
      </c>
    </row>
    <row r="301" spans="1:6" x14ac:dyDescent="0.25">
      <c r="A301" s="91" t="s">
        <v>967</v>
      </c>
      <c r="B301" s="92" t="s">
        <v>998</v>
      </c>
      <c r="C301" s="91"/>
      <c r="D301" s="91"/>
      <c r="E301" s="122"/>
      <c r="F301" s="96">
        <f>SUM(F268:F299)</f>
        <v>15130</v>
      </c>
    </row>
    <row r="303" spans="1:6" x14ac:dyDescent="0.25">
      <c r="A303" s="91" t="s">
        <v>999</v>
      </c>
      <c r="B303" s="92" t="s">
        <v>1000</v>
      </c>
      <c r="C303" s="91"/>
      <c r="D303" s="91"/>
      <c r="E303" s="122"/>
      <c r="F303" s="91"/>
    </row>
    <row r="305" spans="1:6" x14ac:dyDescent="0.25">
      <c r="B305" s="81" t="s">
        <v>2888</v>
      </c>
    </row>
    <row r="306" spans="1:6" ht="36" x14ac:dyDescent="0.25">
      <c r="B306" s="48" t="s">
        <v>2889</v>
      </c>
    </row>
    <row r="307" spans="1:6" ht="48" x14ac:dyDescent="0.25">
      <c r="B307" s="48" t="s">
        <v>2894</v>
      </c>
    </row>
    <row r="308" spans="1:6" x14ac:dyDescent="0.25">
      <c r="B308" s="81" t="s">
        <v>2891</v>
      </c>
    </row>
    <row r="311" spans="1:6" ht="156" x14ac:dyDescent="0.25">
      <c r="A311" s="39" t="s">
        <v>1001</v>
      </c>
      <c r="B311" s="37" t="s">
        <v>2085</v>
      </c>
    </row>
    <row r="312" spans="1:6" ht="156" x14ac:dyDescent="0.25">
      <c r="B312" s="37" t="s">
        <v>2084</v>
      </c>
    </row>
    <row r="313" spans="1:6" ht="228" x14ac:dyDescent="0.25">
      <c r="B313" s="37" t="s">
        <v>1002</v>
      </c>
    </row>
    <row r="314" spans="1:6" ht="108" x14ac:dyDescent="0.25">
      <c r="B314" s="37" t="s">
        <v>2618</v>
      </c>
      <c r="C314" s="76" t="s">
        <v>19</v>
      </c>
      <c r="D314" s="40">
        <v>1</v>
      </c>
      <c r="E314" s="77">
        <v>7000</v>
      </c>
      <c r="F314" s="78">
        <f>ROUND(D314*E314,2)</f>
        <v>7000</v>
      </c>
    </row>
    <row r="316" spans="1:6" ht="36" x14ac:dyDescent="0.25">
      <c r="A316" s="39" t="s">
        <v>1003</v>
      </c>
      <c r="B316" s="37" t="s">
        <v>1004</v>
      </c>
      <c r="C316" s="76" t="s">
        <v>19</v>
      </c>
      <c r="D316" s="40">
        <v>1</v>
      </c>
      <c r="E316" s="77">
        <v>500</v>
      </c>
      <c r="F316" s="78">
        <f>ROUND(D316*E316,2)</f>
        <v>500</v>
      </c>
    </row>
    <row r="318" spans="1:6" ht="84" x14ac:dyDescent="0.25">
      <c r="A318" s="39" t="s">
        <v>1005</v>
      </c>
      <c r="B318" s="37" t="s">
        <v>1006</v>
      </c>
      <c r="C318" s="76" t="s">
        <v>15</v>
      </c>
      <c r="D318" s="40">
        <v>5</v>
      </c>
      <c r="E318" s="77">
        <v>250</v>
      </c>
      <c r="F318" s="78">
        <f>ROUND(D318*E318,2)</f>
        <v>1250</v>
      </c>
    </row>
    <row r="320" spans="1:6" ht="48" x14ac:dyDescent="0.25">
      <c r="A320" s="39" t="s">
        <v>1007</v>
      </c>
      <c r="B320" s="37" t="s">
        <v>1008</v>
      </c>
    </row>
    <row r="321" spans="1:6" x14ac:dyDescent="0.25">
      <c r="B321" s="75" t="s">
        <v>1009</v>
      </c>
      <c r="C321" s="76" t="s">
        <v>15</v>
      </c>
      <c r="D321" s="40">
        <v>2</v>
      </c>
      <c r="E321" s="77">
        <v>800</v>
      </c>
      <c r="F321" s="78">
        <f>ROUND(D321*E321,2)</f>
        <v>1600</v>
      </c>
    </row>
    <row r="322" spans="1:6" x14ac:dyDescent="0.25">
      <c r="B322" s="75" t="s">
        <v>1010</v>
      </c>
      <c r="C322" s="76" t="s">
        <v>15</v>
      </c>
      <c r="D322" s="40">
        <v>2</v>
      </c>
      <c r="E322" s="77">
        <v>1000</v>
      </c>
      <c r="F322" s="78">
        <f>ROUND(D322*E322,2)</f>
        <v>2000</v>
      </c>
    </row>
    <row r="324" spans="1:6" ht="24" x14ac:dyDescent="0.25">
      <c r="A324" s="39" t="s">
        <v>1011</v>
      </c>
      <c r="B324" s="37" t="s">
        <v>1012</v>
      </c>
    </row>
    <row r="325" spans="1:6" x14ac:dyDescent="0.25">
      <c r="B325" s="75" t="s">
        <v>1013</v>
      </c>
      <c r="C325" s="76" t="s">
        <v>15</v>
      </c>
      <c r="D325" s="40">
        <v>4</v>
      </c>
      <c r="E325" s="77">
        <v>150</v>
      </c>
      <c r="F325" s="78">
        <f>ROUND(D325*E325,2)</f>
        <v>600</v>
      </c>
    </row>
    <row r="327" spans="1:6" ht="36" customHeight="1" x14ac:dyDescent="0.25">
      <c r="A327" s="39" t="s">
        <v>1014</v>
      </c>
      <c r="B327" s="37" t="s">
        <v>1015</v>
      </c>
    </row>
    <row r="328" spans="1:6" x14ac:dyDescent="0.25">
      <c r="B328" s="75" t="s">
        <v>1016</v>
      </c>
      <c r="C328" s="76" t="s">
        <v>15</v>
      </c>
      <c r="D328" s="40">
        <v>2</v>
      </c>
      <c r="E328" s="77">
        <v>250</v>
      </c>
      <c r="F328" s="78">
        <f>ROUND(D328*E328,2)</f>
        <v>500</v>
      </c>
    </row>
    <row r="330" spans="1:6" ht="48" x14ac:dyDescent="0.25">
      <c r="A330" s="39" t="s">
        <v>1017</v>
      </c>
      <c r="B330" s="37" t="s">
        <v>987</v>
      </c>
    </row>
    <row r="331" spans="1:6" x14ac:dyDescent="0.25">
      <c r="B331" s="75" t="s">
        <v>1018</v>
      </c>
      <c r="C331" s="76" t="s">
        <v>13</v>
      </c>
      <c r="D331" s="40">
        <v>20</v>
      </c>
      <c r="E331" s="77">
        <v>50</v>
      </c>
      <c r="F331" s="78">
        <f>ROUND(D331*E331,2)</f>
        <v>1000</v>
      </c>
    </row>
    <row r="333" spans="1:6" ht="36" x14ac:dyDescent="0.25">
      <c r="A333" s="39" t="s">
        <v>1019</v>
      </c>
      <c r="B333" s="37" t="s">
        <v>1020</v>
      </c>
    </row>
    <row r="334" spans="1:6" x14ac:dyDescent="0.25">
      <c r="B334" s="75" t="s">
        <v>1021</v>
      </c>
      <c r="C334" s="76" t="s">
        <v>13</v>
      </c>
      <c r="D334" s="40">
        <v>3</v>
      </c>
      <c r="E334" s="77">
        <v>30</v>
      </c>
      <c r="F334" s="78">
        <f>ROUND(D334*E334,2)</f>
        <v>90</v>
      </c>
    </row>
    <row r="336" spans="1:6" ht="39" customHeight="1" x14ac:dyDescent="0.25">
      <c r="A336" s="39" t="s">
        <v>1022</v>
      </c>
      <c r="B336" s="37" t="s">
        <v>2619</v>
      </c>
    </row>
    <row r="337" spans="1:6" x14ac:dyDescent="0.25">
      <c r="B337" s="75" t="s">
        <v>1023</v>
      </c>
      <c r="C337" s="76" t="s">
        <v>56</v>
      </c>
      <c r="D337" s="40">
        <v>1208</v>
      </c>
      <c r="E337" s="77">
        <v>10</v>
      </c>
      <c r="F337" s="78">
        <f>ROUND(D337*E337,2)</f>
        <v>12080</v>
      </c>
    </row>
    <row r="339" spans="1:6" ht="85.5" customHeight="1" x14ac:dyDescent="0.25">
      <c r="A339" s="39" t="s">
        <v>1024</v>
      </c>
      <c r="B339" s="37" t="s">
        <v>2620</v>
      </c>
    </row>
    <row r="340" spans="1:6" x14ac:dyDescent="0.25">
      <c r="B340" s="75" t="s">
        <v>1025</v>
      </c>
      <c r="C340" s="76" t="s">
        <v>38</v>
      </c>
      <c r="D340" s="40">
        <v>41</v>
      </c>
      <c r="E340" s="77">
        <v>20</v>
      </c>
      <c r="F340" s="78">
        <f>ROUND(D340*E340,2)</f>
        <v>820</v>
      </c>
    </row>
    <row r="341" spans="1:6" x14ac:dyDescent="0.25">
      <c r="B341" s="75" t="s">
        <v>1026</v>
      </c>
      <c r="C341" s="76" t="s">
        <v>38</v>
      </c>
      <c r="D341" s="40">
        <v>93</v>
      </c>
      <c r="E341" s="77">
        <v>25</v>
      </c>
      <c r="F341" s="78">
        <f>ROUND(D341*E341,2)</f>
        <v>2325</v>
      </c>
    </row>
    <row r="343" spans="1:6" ht="48" x14ac:dyDescent="0.25">
      <c r="A343" s="39" t="s">
        <v>1027</v>
      </c>
      <c r="B343" s="37" t="s">
        <v>2621</v>
      </c>
    </row>
    <row r="344" spans="1:6" ht="24" x14ac:dyDescent="0.25">
      <c r="B344" s="75" t="s">
        <v>1028</v>
      </c>
      <c r="C344" s="76" t="s">
        <v>38</v>
      </c>
      <c r="D344" s="40">
        <v>20</v>
      </c>
      <c r="E344" s="77">
        <v>50</v>
      </c>
      <c r="F344" s="78">
        <f>ROUND(D344*E344,2)</f>
        <v>1000</v>
      </c>
    </row>
    <row r="346" spans="1:6" ht="48" x14ac:dyDescent="0.25">
      <c r="A346" s="39" t="s">
        <v>1029</v>
      </c>
      <c r="B346" s="37" t="s">
        <v>3276</v>
      </c>
      <c r="C346" s="76" t="s">
        <v>3277</v>
      </c>
      <c r="D346" s="40">
        <v>1</v>
      </c>
      <c r="E346" s="120">
        <v>1500</v>
      </c>
      <c r="F346" s="78">
        <f>ROUND(D346*E346,2)</f>
        <v>1500</v>
      </c>
    </row>
    <row r="348" spans="1:6" x14ac:dyDescent="0.25">
      <c r="A348" s="39" t="s">
        <v>1031</v>
      </c>
      <c r="B348" s="37" t="s">
        <v>3278</v>
      </c>
    </row>
    <row r="349" spans="1:6" ht="40.799999999999997" customHeight="1" x14ac:dyDescent="0.25">
      <c r="B349" s="37" t="s">
        <v>3279</v>
      </c>
    </row>
    <row r="350" spans="1:6" x14ac:dyDescent="0.25">
      <c r="B350" s="37" t="s">
        <v>3280</v>
      </c>
    </row>
    <row r="351" spans="1:6" ht="24" x14ac:dyDescent="0.25">
      <c r="B351" s="37" t="s">
        <v>3281</v>
      </c>
    </row>
    <row r="352" spans="1:6" ht="24" x14ac:dyDescent="0.25">
      <c r="B352" s="37" t="s">
        <v>3282</v>
      </c>
    </row>
    <row r="353" spans="1:6" x14ac:dyDescent="0.25">
      <c r="B353" s="37" t="s">
        <v>3283</v>
      </c>
      <c r="C353" s="76" t="s">
        <v>2010</v>
      </c>
      <c r="D353" s="40">
        <v>4</v>
      </c>
      <c r="E353" s="120">
        <v>800</v>
      </c>
      <c r="F353" s="78">
        <f>ROUND(D353*E353,2)</f>
        <v>3200</v>
      </c>
    </row>
    <row r="355" spans="1:6" ht="61.5" customHeight="1" x14ac:dyDescent="0.25">
      <c r="A355" s="39" t="s">
        <v>1032</v>
      </c>
      <c r="B355" s="37" t="s">
        <v>1030</v>
      </c>
    </row>
    <row r="356" spans="1:6" x14ac:dyDescent="0.25">
      <c r="B356" s="75" t="s">
        <v>931</v>
      </c>
      <c r="C356" s="76" t="s">
        <v>15</v>
      </c>
      <c r="D356" s="40">
        <v>1</v>
      </c>
      <c r="E356" s="77">
        <v>150</v>
      </c>
      <c r="F356" s="78">
        <f>ROUND(D356*E356,2)</f>
        <v>150</v>
      </c>
    </row>
    <row r="358" spans="1:6" ht="36" x14ac:dyDescent="0.25">
      <c r="A358" s="39" t="s">
        <v>1034</v>
      </c>
      <c r="B358" s="37" t="s">
        <v>848</v>
      </c>
    </row>
    <row r="359" spans="1:6" x14ac:dyDescent="0.25">
      <c r="B359" s="75" t="s">
        <v>849</v>
      </c>
      <c r="C359" s="76" t="s">
        <v>15</v>
      </c>
      <c r="D359" s="40">
        <v>2</v>
      </c>
      <c r="E359" s="77">
        <v>30</v>
      </c>
      <c r="F359" s="78">
        <f>ROUND(D359*E359,2)</f>
        <v>60</v>
      </c>
    </row>
    <row r="361" spans="1:6" ht="24" x14ac:dyDescent="0.25">
      <c r="A361" s="39" t="s">
        <v>1035</v>
      </c>
      <c r="B361" s="37" t="s">
        <v>1033</v>
      </c>
    </row>
    <row r="362" spans="1:6" x14ac:dyDescent="0.25">
      <c r="B362" s="75" t="s">
        <v>949</v>
      </c>
      <c r="C362" s="76" t="s">
        <v>13</v>
      </c>
      <c r="D362" s="40">
        <v>5</v>
      </c>
      <c r="E362" s="77">
        <v>8</v>
      </c>
      <c r="F362" s="78">
        <f>ROUND(D362*E362,2)</f>
        <v>40</v>
      </c>
    </row>
    <row r="364" spans="1:6" ht="36" x14ac:dyDescent="0.25">
      <c r="A364" s="39" t="s">
        <v>1037</v>
      </c>
      <c r="B364" s="37" t="s">
        <v>952</v>
      </c>
      <c r="C364" s="76" t="s">
        <v>15</v>
      </c>
      <c r="D364" s="40">
        <v>1</v>
      </c>
      <c r="E364" s="77">
        <v>100</v>
      </c>
      <c r="F364" s="78">
        <f>ROUND(D364*E364,2)</f>
        <v>100</v>
      </c>
    </row>
    <row r="366" spans="1:6" ht="15.75" customHeight="1" x14ac:dyDescent="0.25">
      <c r="A366" s="39" t="s">
        <v>3284</v>
      </c>
      <c r="B366" s="37" t="s">
        <v>1036</v>
      </c>
      <c r="C366" s="76" t="s">
        <v>19</v>
      </c>
      <c r="D366" s="40">
        <v>1</v>
      </c>
      <c r="E366" s="77">
        <v>500</v>
      </c>
      <c r="F366" s="78">
        <f>ROUND(D366*E366,2)</f>
        <v>500</v>
      </c>
    </row>
    <row r="368" spans="1:6" x14ac:dyDescent="0.25">
      <c r="A368" s="39" t="s">
        <v>1040</v>
      </c>
      <c r="B368" s="37" t="s">
        <v>1038</v>
      </c>
      <c r="C368" s="76" t="s">
        <v>19</v>
      </c>
      <c r="D368" s="40">
        <v>1</v>
      </c>
      <c r="E368" s="77">
        <v>500</v>
      </c>
      <c r="F368" s="78">
        <f>ROUND(D368*E368,2)</f>
        <v>500</v>
      </c>
    </row>
    <row r="369" spans="1:6" x14ac:dyDescent="0.25">
      <c r="B369" s="75" t="s">
        <v>1039</v>
      </c>
    </row>
    <row r="371" spans="1:6" ht="28.5" customHeight="1" x14ac:dyDescent="0.25">
      <c r="A371" s="39" t="s">
        <v>1041</v>
      </c>
      <c r="B371" s="37" t="s">
        <v>1043</v>
      </c>
      <c r="C371" s="76" t="s">
        <v>19</v>
      </c>
      <c r="D371" s="40">
        <v>1</v>
      </c>
      <c r="E371" s="77">
        <v>500</v>
      </c>
      <c r="F371" s="78">
        <f>ROUND(D371*E371,2)</f>
        <v>500</v>
      </c>
    </row>
    <row r="373" spans="1:6" x14ac:dyDescent="0.25">
      <c r="A373" s="39" t="s">
        <v>1042</v>
      </c>
      <c r="B373" s="37" t="s">
        <v>997</v>
      </c>
      <c r="C373" s="76" t="s">
        <v>19</v>
      </c>
      <c r="D373" s="40">
        <v>1</v>
      </c>
      <c r="E373" s="77">
        <v>500</v>
      </c>
      <c r="F373" s="78">
        <f>ROUND(D373*E373,2)</f>
        <v>500</v>
      </c>
    </row>
    <row r="375" spans="1:6" ht="40.5" customHeight="1" x14ac:dyDescent="0.25">
      <c r="A375" s="39" t="s">
        <v>3285</v>
      </c>
      <c r="B375" s="37" t="s">
        <v>3026</v>
      </c>
      <c r="C375" s="76" t="s">
        <v>19</v>
      </c>
      <c r="D375" s="40">
        <v>1</v>
      </c>
      <c r="E375" s="77">
        <v>500</v>
      </c>
      <c r="F375" s="78">
        <f>ROUND(D375*E375,2)</f>
        <v>500</v>
      </c>
    </row>
    <row r="377" spans="1:6" x14ac:dyDescent="0.25">
      <c r="A377" s="91" t="s">
        <v>999</v>
      </c>
      <c r="B377" s="92" t="s">
        <v>1044</v>
      </c>
      <c r="C377" s="91"/>
      <c r="D377" s="91"/>
      <c r="E377" s="122"/>
      <c r="F377" s="96">
        <f>SUM(F311:F375)</f>
        <v>38315</v>
      </c>
    </row>
    <row r="379" spans="1:6" x14ac:dyDescent="0.25">
      <c r="A379" s="91" t="s">
        <v>1045</v>
      </c>
      <c r="B379" s="92" t="s">
        <v>1046</v>
      </c>
      <c r="C379" s="91"/>
      <c r="D379" s="91"/>
      <c r="E379" s="122"/>
      <c r="F379" s="91"/>
    </row>
    <row r="381" spans="1:6" x14ac:dyDescent="0.25">
      <c r="B381" s="81" t="s">
        <v>2888</v>
      </c>
    </row>
    <row r="382" spans="1:6" ht="36" x14ac:dyDescent="0.25">
      <c r="B382" s="48" t="s">
        <v>2889</v>
      </c>
    </row>
    <row r="383" spans="1:6" ht="30" customHeight="1" x14ac:dyDescent="0.25">
      <c r="B383" s="48" t="s">
        <v>2897</v>
      </c>
    </row>
    <row r="384" spans="1:6" ht="14.25" customHeight="1" x14ac:dyDescent="0.25">
      <c r="B384" s="81" t="s">
        <v>2891</v>
      </c>
    </row>
    <row r="387" spans="1:6" ht="168.75" customHeight="1" x14ac:dyDescent="0.25">
      <c r="A387" s="39" t="s">
        <v>1047</v>
      </c>
      <c r="B387" s="37" t="s">
        <v>1048</v>
      </c>
    </row>
    <row r="388" spans="1:6" ht="216" x14ac:dyDescent="0.25">
      <c r="B388" s="37" t="s">
        <v>1049</v>
      </c>
    </row>
    <row r="389" spans="1:6" ht="168" x14ac:dyDescent="0.25">
      <c r="B389" s="37" t="s">
        <v>1050</v>
      </c>
    </row>
    <row r="390" spans="1:6" ht="60" x14ac:dyDescent="0.25">
      <c r="B390" s="37" t="s">
        <v>1051</v>
      </c>
      <c r="C390" s="76" t="s">
        <v>19</v>
      </c>
      <c r="D390" s="40">
        <v>1</v>
      </c>
      <c r="E390" s="77">
        <v>5000</v>
      </c>
      <c r="F390" s="78">
        <f>ROUND(D390*E390,2)</f>
        <v>5000</v>
      </c>
    </row>
    <row r="392" spans="1:6" ht="60" x14ac:dyDescent="0.25">
      <c r="A392" s="39" t="s">
        <v>1052</v>
      </c>
      <c r="B392" s="37" t="s">
        <v>1053</v>
      </c>
    </row>
    <row r="393" spans="1:6" ht="60" x14ac:dyDescent="0.25">
      <c r="B393" s="75" t="s">
        <v>1054</v>
      </c>
      <c r="C393" s="76" t="s">
        <v>19</v>
      </c>
      <c r="D393" s="40">
        <v>1</v>
      </c>
      <c r="E393" s="77">
        <v>2000</v>
      </c>
      <c r="F393" s="78">
        <f>ROUND(D393*E393,2)</f>
        <v>2000</v>
      </c>
    </row>
    <row r="394" spans="1:6" ht="60" x14ac:dyDescent="0.25">
      <c r="B394" s="75" t="s">
        <v>1055</v>
      </c>
      <c r="C394" s="76" t="s">
        <v>19</v>
      </c>
      <c r="D394" s="40">
        <v>1</v>
      </c>
      <c r="E394" s="77">
        <v>800</v>
      </c>
      <c r="F394" s="78">
        <f>ROUND(D394*E394,2)</f>
        <v>800</v>
      </c>
    </row>
    <row r="396" spans="1:6" ht="158.25" customHeight="1" x14ac:dyDescent="0.25">
      <c r="A396" s="39" t="s">
        <v>1056</v>
      </c>
      <c r="B396" s="37" t="s">
        <v>1057</v>
      </c>
      <c r="C396" s="76" t="s">
        <v>19</v>
      </c>
      <c r="D396" s="40">
        <v>1</v>
      </c>
      <c r="E396" s="77">
        <v>2000</v>
      </c>
      <c r="F396" s="78">
        <f>ROUND(D396*E396,2)</f>
        <v>2000</v>
      </c>
    </row>
    <row r="397" spans="1:6" x14ac:dyDescent="0.25">
      <c r="B397" s="75"/>
      <c r="C397" s="38"/>
    </row>
    <row r="398" spans="1:6" ht="24" x14ac:dyDescent="0.25">
      <c r="A398" s="39" t="s">
        <v>1058</v>
      </c>
      <c r="B398" s="37" t="s">
        <v>1059</v>
      </c>
    </row>
    <row r="399" spans="1:6" x14ac:dyDescent="0.25">
      <c r="B399" s="75" t="s">
        <v>1060</v>
      </c>
      <c r="C399" s="76" t="s">
        <v>15</v>
      </c>
      <c r="D399" s="40">
        <v>2</v>
      </c>
      <c r="E399" s="77">
        <v>50</v>
      </c>
      <c r="F399" s="78">
        <f>ROUND(D399*E399,2)</f>
        <v>100</v>
      </c>
    </row>
    <row r="401" spans="1:6" ht="24" x14ac:dyDescent="0.25">
      <c r="A401" s="39" t="s">
        <v>1061</v>
      </c>
      <c r="B401" s="37" t="s">
        <v>1062</v>
      </c>
    </row>
    <row r="402" spans="1:6" x14ac:dyDescent="0.25">
      <c r="B402" s="75" t="s">
        <v>980</v>
      </c>
      <c r="C402" s="76" t="s">
        <v>15</v>
      </c>
      <c r="D402" s="40">
        <v>2</v>
      </c>
      <c r="E402" s="77">
        <v>50</v>
      </c>
      <c r="F402" s="78">
        <f>ROUND(D402*E402,2)</f>
        <v>100</v>
      </c>
    </row>
    <row r="404" spans="1:6" ht="37.5" customHeight="1" x14ac:dyDescent="0.25">
      <c r="A404" s="39" t="s">
        <v>1063</v>
      </c>
      <c r="B404" s="37" t="s">
        <v>1064</v>
      </c>
    </row>
    <row r="405" spans="1:6" x14ac:dyDescent="0.25">
      <c r="B405" s="75" t="s">
        <v>1065</v>
      </c>
      <c r="C405" s="76" t="s">
        <v>15</v>
      </c>
      <c r="D405" s="40">
        <v>1</v>
      </c>
      <c r="E405" s="77">
        <v>50</v>
      </c>
      <c r="F405" s="78">
        <f>ROUND(D405*E405,2)</f>
        <v>50</v>
      </c>
    </row>
    <row r="406" spans="1:6" x14ac:dyDescent="0.25">
      <c r="B406" s="75" t="s">
        <v>1066</v>
      </c>
      <c r="C406" s="76" t="s">
        <v>15</v>
      </c>
      <c r="D406" s="40">
        <v>1</v>
      </c>
      <c r="E406" s="77">
        <v>80</v>
      </c>
      <c r="F406" s="78">
        <f>ROUND(D406*E406,2)</f>
        <v>80</v>
      </c>
    </row>
    <row r="407" spans="1:6" x14ac:dyDescent="0.25">
      <c r="B407" s="75" t="s">
        <v>1067</v>
      </c>
      <c r="C407" s="76" t="s">
        <v>15</v>
      </c>
      <c r="D407" s="40">
        <v>1</v>
      </c>
      <c r="E407" s="77">
        <v>100</v>
      </c>
      <c r="F407" s="78">
        <f>ROUND(D407*E407,2)</f>
        <v>100</v>
      </c>
    </row>
    <row r="409" spans="1:6" ht="36" x14ac:dyDescent="0.25">
      <c r="A409" s="39" t="s">
        <v>1068</v>
      </c>
      <c r="B409" s="37" t="s">
        <v>1069</v>
      </c>
    </row>
    <row r="410" spans="1:6" x14ac:dyDescent="0.25">
      <c r="B410" s="75" t="s">
        <v>1070</v>
      </c>
      <c r="C410" s="76" t="s">
        <v>15</v>
      </c>
      <c r="D410" s="40">
        <v>1</v>
      </c>
      <c r="E410" s="77">
        <v>500</v>
      </c>
      <c r="F410" s="78">
        <f>ROUND(D410*E410,2)</f>
        <v>500</v>
      </c>
    </row>
    <row r="412" spans="1:6" ht="40.5" customHeight="1" x14ac:dyDescent="0.25">
      <c r="A412" s="39" t="s">
        <v>1071</v>
      </c>
      <c r="B412" s="37" t="s">
        <v>2619</v>
      </c>
    </row>
    <row r="413" spans="1:6" x14ac:dyDescent="0.25">
      <c r="B413" s="75" t="s">
        <v>1023</v>
      </c>
      <c r="C413" s="76" t="s">
        <v>56</v>
      </c>
      <c r="D413" s="40">
        <v>520</v>
      </c>
      <c r="E413" s="77">
        <v>10</v>
      </c>
      <c r="F413" s="78">
        <f>ROUND(D413*E413,2)</f>
        <v>5200</v>
      </c>
    </row>
    <row r="415" spans="1:6" ht="48" x14ac:dyDescent="0.25">
      <c r="A415" s="39" t="s">
        <v>1072</v>
      </c>
      <c r="B415" s="37" t="s">
        <v>990</v>
      </c>
      <c r="C415" s="76" t="s">
        <v>19</v>
      </c>
      <c r="D415" s="40">
        <v>1</v>
      </c>
      <c r="E415" s="77">
        <v>500</v>
      </c>
      <c r="F415" s="78">
        <f>ROUND(D415*E415,2)</f>
        <v>500</v>
      </c>
    </row>
    <row r="416" spans="1:6" x14ac:dyDescent="0.25">
      <c r="B416" s="75"/>
    </row>
    <row r="417" spans="1:6" ht="48" x14ac:dyDescent="0.25">
      <c r="A417" s="39" t="s">
        <v>1073</v>
      </c>
      <c r="B417" s="37" t="s">
        <v>1074</v>
      </c>
      <c r="C417" s="76" t="s">
        <v>19</v>
      </c>
      <c r="D417" s="40">
        <v>1</v>
      </c>
      <c r="E417" s="77">
        <v>500</v>
      </c>
      <c r="F417" s="78">
        <f>ROUND(D417*E417,2)</f>
        <v>500</v>
      </c>
    </row>
    <row r="419" spans="1:6" ht="96" x14ac:dyDescent="0.25">
      <c r="A419" s="39" t="s">
        <v>1075</v>
      </c>
      <c r="B419" s="37" t="s">
        <v>2622</v>
      </c>
    </row>
    <row r="420" spans="1:6" x14ac:dyDescent="0.25">
      <c r="B420" s="75" t="s">
        <v>1076</v>
      </c>
      <c r="C420" s="76" t="s">
        <v>38</v>
      </c>
      <c r="D420" s="40">
        <v>18</v>
      </c>
      <c r="E420" s="77">
        <v>20</v>
      </c>
      <c r="F420" s="78">
        <f>ROUND(D420*E420,2)</f>
        <v>360</v>
      </c>
    </row>
    <row r="421" spans="1:6" x14ac:dyDescent="0.25">
      <c r="B421" s="75" t="s">
        <v>1026</v>
      </c>
      <c r="C421" s="76" t="s">
        <v>38</v>
      </c>
      <c r="D421" s="40">
        <v>30</v>
      </c>
      <c r="E421" s="77">
        <v>25</v>
      </c>
      <c r="F421" s="78">
        <f>ROUND(D421*E421,2)</f>
        <v>750</v>
      </c>
    </row>
    <row r="423" spans="1:6" ht="48" x14ac:dyDescent="0.25">
      <c r="A423" s="39" t="s">
        <v>1077</v>
      </c>
      <c r="B423" s="37" t="s">
        <v>2621</v>
      </c>
    </row>
    <row r="424" spans="1:6" ht="24" x14ac:dyDescent="0.25">
      <c r="B424" s="75" t="s">
        <v>1028</v>
      </c>
      <c r="C424" s="76" t="s">
        <v>38</v>
      </c>
      <c r="D424" s="40">
        <v>10</v>
      </c>
      <c r="E424" s="77">
        <v>50</v>
      </c>
      <c r="F424" s="78">
        <f>ROUND(D424*E424,2)</f>
        <v>500</v>
      </c>
    </row>
    <row r="426" spans="1:6" ht="27" customHeight="1" x14ac:dyDescent="0.25">
      <c r="A426" s="39" t="s">
        <v>1078</v>
      </c>
      <c r="B426" s="37" t="s">
        <v>1079</v>
      </c>
      <c r="C426" s="76" t="s">
        <v>38</v>
      </c>
      <c r="D426" s="40">
        <v>3</v>
      </c>
      <c r="E426" s="77">
        <v>50</v>
      </c>
      <c r="F426" s="78">
        <f>ROUND(D426*E426,2)</f>
        <v>150</v>
      </c>
    </row>
    <row r="427" spans="1:6" x14ac:dyDescent="0.25">
      <c r="B427" s="75"/>
    </row>
    <row r="428" spans="1:6" ht="15" customHeight="1" x14ac:dyDescent="0.25">
      <c r="A428" s="39" t="s">
        <v>1080</v>
      </c>
      <c r="B428" s="37" t="s">
        <v>1036</v>
      </c>
      <c r="C428" s="76" t="s">
        <v>19</v>
      </c>
      <c r="D428" s="40">
        <v>1</v>
      </c>
      <c r="E428" s="77">
        <v>500</v>
      </c>
      <c r="F428" s="78">
        <f>ROUND(D428*E428,2)</f>
        <v>500</v>
      </c>
    </row>
    <row r="429" spans="1:6" x14ac:dyDescent="0.25">
      <c r="B429" s="75"/>
    </row>
    <row r="430" spans="1:6" ht="26.25" customHeight="1" x14ac:dyDescent="0.25">
      <c r="A430" s="39" t="s">
        <v>1081</v>
      </c>
      <c r="B430" s="37" t="s">
        <v>1084</v>
      </c>
      <c r="C430" s="76" t="s">
        <v>19</v>
      </c>
      <c r="D430" s="40">
        <v>1</v>
      </c>
      <c r="E430" s="77">
        <v>800</v>
      </c>
      <c r="F430" s="78">
        <f>ROUND(D430*E430,2)</f>
        <v>800</v>
      </c>
    </row>
    <row r="432" spans="1:6" x14ac:dyDescent="0.25">
      <c r="A432" s="39" t="s">
        <v>1082</v>
      </c>
      <c r="B432" s="37" t="s">
        <v>997</v>
      </c>
      <c r="C432" s="76" t="s">
        <v>19</v>
      </c>
      <c r="D432" s="40">
        <v>1</v>
      </c>
      <c r="E432" s="77">
        <v>800</v>
      </c>
      <c r="F432" s="78">
        <f>ROUND(D432*E432,2)</f>
        <v>800</v>
      </c>
    </row>
    <row r="433" spans="1:6" x14ac:dyDescent="0.25">
      <c r="B433" s="75"/>
    </row>
    <row r="434" spans="1:6" ht="36" x14ac:dyDescent="0.25">
      <c r="A434" s="39" t="s">
        <v>1083</v>
      </c>
      <c r="B434" s="37" t="s">
        <v>3026</v>
      </c>
      <c r="C434" s="76" t="s">
        <v>19</v>
      </c>
      <c r="D434" s="40">
        <v>1</v>
      </c>
      <c r="E434" s="77">
        <v>500</v>
      </c>
      <c r="F434" s="78">
        <f>ROUND(D434*E434,2)</f>
        <v>500</v>
      </c>
    </row>
    <row r="436" spans="1:6" x14ac:dyDescent="0.25">
      <c r="A436" s="91" t="s">
        <v>1045</v>
      </c>
      <c r="B436" s="92" t="s">
        <v>1085</v>
      </c>
      <c r="C436" s="91"/>
      <c r="D436" s="91"/>
      <c r="E436" s="122"/>
      <c r="F436" s="96">
        <f>SUM(F389:F434)</f>
        <v>21290</v>
      </c>
    </row>
    <row r="438" spans="1:6" x14ac:dyDescent="0.25">
      <c r="A438" s="91" t="s">
        <v>1086</v>
      </c>
      <c r="B438" s="92" t="s">
        <v>1087</v>
      </c>
      <c r="C438" s="91"/>
      <c r="D438" s="91"/>
      <c r="E438" s="122"/>
      <c r="F438" s="91"/>
    </row>
    <row r="440" spans="1:6" x14ac:dyDescent="0.25">
      <c r="B440" s="81" t="s">
        <v>2888</v>
      </c>
    </row>
    <row r="441" spans="1:6" ht="36" x14ac:dyDescent="0.25">
      <c r="B441" s="48" t="s">
        <v>2889</v>
      </c>
    </row>
    <row r="442" spans="1:6" ht="64.5" customHeight="1" x14ac:dyDescent="0.25">
      <c r="B442" s="48" t="s">
        <v>2898</v>
      </c>
    </row>
    <row r="443" spans="1:6" x14ac:dyDescent="0.25">
      <c r="B443" s="81" t="s">
        <v>2891</v>
      </c>
    </row>
    <row r="446" spans="1:6" ht="168" x14ac:dyDescent="0.25">
      <c r="A446" s="39" t="s">
        <v>1088</v>
      </c>
      <c r="B446" s="37" t="s">
        <v>1089</v>
      </c>
    </row>
    <row r="447" spans="1:6" ht="144" x14ac:dyDescent="0.25">
      <c r="B447" s="37" t="s">
        <v>1090</v>
      </c>
      <c r="C447" s="76" t="s">
        <v>19</v>
      </c>
      <c r="D447" s="40">
        <v>1</v>
      </c>
      <c r="E447" s="77">
        <v>1300</v>
      </c>
      <c r="F447" s="78">
        <f>ROUND(D447*E447,2)</f>
        <v>1300</v>
      </c>
    </row>
    <row r="448" spans="1:6" x14ac:dyDescent="0.25">
      <c r="B448" s="75"/>
      <c r="C448" s="38"/>
    </row>
    <row r="449" spans="1:6" ht="27.75" customHeight="1" x14ac:dyDescent="0.25">
      <c r="A449" s="39" t="s">
        <v>1091</v>
      </c>
      <c r="B449" s="37" t="s">
        <v>1092</v>
      </c>
    </row>
    <row r="450" spans="1:6" x14ac:dyDescent="0.25">
      <c r="B450" s="75" t="s">
        <v>1093</v>
      </c>
      <c r="C450" s="76" t="s">
        <v>13</v>
      </c>
      <c r="D450" s="40">
        <v>20</v>
      </c>
      <c r="E450" s="77">
        <v>15</v>
      </c>
      <c r="F450" s="78">
        <f>ROUND(D450*E450,2)</f>
        <v>300</v>
      </c>
    </row>
    <row r="451" spans="1:6" x14ac:dyDescent="0.25">
      <c r="B451" s="75" t="s">
        <v>1094</v>
      </c>
      <c r="C451" s="76" t="s">
        <v>13</v>
      </c>
      <c r="D451" s="40">
        <v>20</v>
      </c>
      <c r="E451" s="77">
        <v>10</v>
      </c>
      <c r="F451" s="78">
        <f>ROUND(D451*E451,2)</f>
        <v>200</v>
      </c>
    </row>
    <row r="453" spans="1:6" ht="27" customHeight="1" x14ac:dyDescent="0.25">
      <c r="A453" s="39" t="s">
        <v>1095</v>
      </c>
      <c r="B453" s="37" t="s">
        <v>948</v>
      </c>
    </row>
    <row r="454" spans="1:6" x14ac:dyDescent="0.25">
      <c r="B454" s="75" t="s">
        <v>949</v>
      </c>
      <c r="C454" s="76" t="s">
        <v>13</v>
      </c>
      <c r="D454" s="40">
        <v>15</v>
      </c>
      <c r="E454" s="77">
        <v>8</v>
      </c>
      <c r="F454" s="78">
        <f>ROUND(D454*E454,2)</f>
        <v>120</v>
      </c>
    </row>
    <row r="456" spans="1:6" ht="36" x14ac:dyDescent="0.25">
      <c r="A456" s="39" t="s">
        <v>1096</v>
      </c>
      <c r="B456" s="37" t="s">
        <v>952</v>
      </c>
    </row>
    <row r="457" spans="1:6" x14ac:dyDescent="0.25">
      <c r="B457" s="75" t="s">
        <v>1097</v>
      </c>
      <c r="C457" s="76" t="s">
        <v>15</v>
      </c>
      <c r="D457" s="40">
        <v>1</v>
      </c>
      <c r="E457" s="77">
        <v>100</v>
      </c>
      <c r="F457" s="78">
        <f>ROUND(D457*E457,2)</f>
        <v>100</v>
      </c>
    </row>
    <row r="459" spans="1:6" x14ac:dyDescent="0.25">
      <c r="A459" s="39" t="s">
        <v>1098</v>
      </c>
      <c r="B459" s="37" t="s">
        <v>1099</v>
      </c>
      <c r="C459" s="76" t="s">
        <v>19</v>
      </c>
      <c r="D459" s="40">
        <v>1</v>
      </c>
      <c r="E459" s="77">
        <v>100</v>
      </c>
      <c r="F459" s="78">
        <f>ROUND(D459*E459,2)</f>
        <v>100</v>
      </c>
    </row>
    <row r="460" spans="1:6" x14ac:dyDescent="0.25">
      <c r="B460" s="75"/>
    </row>
    <row r="461" spans="1:6" ht="24" x14ac:dyDescent="0.25">
      <c r="A461" s="39" t="s">
        <v>1100</v>
      </c>
      <c r="B461" s="37" t="s">
        <v>804</v>
      </c>
      <c r="C461" s="76" t="s">
        <v>56</v>
      </c>
      <c r="D461" s="40">
        <v>10</v>
      </c>
      <c r="E461" s="77">
        <v>10</v>
      </c>
      <c r="F461" s="78">
        <f>ROUND(D461*E461,2)</f>
        <v>100</v>
      </c>
    </row>
    <row r="462" spans="1:6" x14ac:dyDescent="0.25">
      <c r="B462" s="75"/>
    </row>
    <row r="463" spans="1:6" ht="24" x14ac:dyDescent="0.25">
      <c r="A463" s="39" t="s">
        <v>1101</v>
      </c>
      <c r="B463" s="37" t="s">
        <v>1104</v>
      </c>
      <c r="C463" s="76" t="s">
        <v>19</v>
      </c>
      <c r="D463" s="40">
        <v>1</v>
      </c>
      <c r="E463" s="77">
        <v>100</v>
      </c>
      <c r="F463" s="78">
        <f>ROUND(D463*E463,2)</f>
        <v>100</v>
      </c>
    </row>
    <row r="464" spans="1:6" x14ac:dyDescent="0.25">
      <c r="B464" s="75"/>
    </row>
    <row r="465" spans="1:6" ht="24" x14ac:dyDescent="0.25">
      <c r="A465" s="39" t="s">
        <v>1102</v>
      </c>
      <c r="B465" s="37" t="s">
        <v>1105</v>
      </c>
      <c r="C465" s="76" t="s">
        <v>19</v>
      </c>
      <c r="D465" s="40">
        <v>1</v>
      </c>
      <c r="E465" s="77">
        <v>50</v>
      </c>
      <c r="F465" s="78">
        <f>ROUND(D465*E465,2)</f>
        <v>50</v>
      </c>
    </row>
    <row r="466" spans="1:6" x14ac:dyDescent="0.25">
      <c r="B466" s="75"/>
    </row>
    <row r="467" spans="1:6" ht="39.75" customHeight="1" x14ac:dyDescent="0.25">
      <c r="A467" s="39" t="s">
        <v>1103</v>
      </c>
      <c r="B467" s="37" t="s">
        <v>3045</v>
      </c>
      <c r="C467" s="76" t="s">
        <v>19</v>
      </c>
      <c r="D467" s="40">
        <v>1</v>
      </c>
      <c r="E467" s="77">
        <v>100</v>
      </c>
      <c r="F467" s="78">
        <f>ROUND(D467*E467,2)</f>
        <v>100</v>
      </c>
    </row>
    <row r="469" spans="1:6" x14ac:dyDescent="0.25">
      <c r="A469" s="91" t="s">
        <v>1086</v>
      </c>
      <c r="B469" s="92" t="s">
        <v>1106</v>
      </c>
      <c r="C469" s="91"/>
      <c r="D469" s="91"/>
      <c r="E469" s="122"/>
      <c r="F469" s="96">
        <f>SUM(F447:F467)</f>
        <v>2470</v>
      </c>
    </row>
    <row r="471" spans="1:6" x14ac:dyDescent="0.25">
      <c r="A471" s="91" t="s">
        <v>1107</v>
      </c>
      <c r="B471" s="92" t="s">
        <v>1108</v>
      </c>
      <c r="C471" s="91"/>
      <c r="D471" s="91"/>
      <c r="E471" s="122"/>
      <c r="F471" s="91"/>
    </row>
    <row r="473" spans="1:6" ht="88.5" customHeight="1" x14ac:dyDescent="0.25">
      <c r="A473" s="39" t="s">
        <v>1109</v>
      </c>
      <c r="B473" s="37" t="s">
        <v>1110</v>
      </c>
    </row>
    <row r="474" spans="1:6" x14ac:dyDescent="0.25">
      <c r="B474" s="75" t="s">
        <v>977</v>
      </c>
      <c r="C474" s="76" t="s">
        <v>15</v>
      </c>
      <c r="D474" s="40">
        <v>3</v>
      </c>
      <c r="E474" s="77">
        <v>300</v>
      </c>
      <c r="F474" s="78">
        <f>ROUND(D474*E474,2)</f>
        <v>900</v>
      </c>
    </row>
    <row r="475" spans="1:6" x14ac:dyDescent="0.25">
      <c r="B475" s="75" t="s">
        <v>983</v>
      </c>
      <c r="C475" s="76" t="s">
        <v>15</v>
      </c>
      <c r="D475" s="40">
        <v>1</v>
      </c>
      <c r="E475" s="77">
        <v>350</v>
      </c>
      <c r="F475" s="78">
        <f>ROUND(D475*E475,2)</f>
        <v>350</v>
      </c>
    </row>
    <row r="477" spans="1:6" ht="124.5" customHeight="1" x14ac:dyDescent="0.25">
      <c r="A477" s="39" t="s">
        <v>1111</v>
      </c>
      <c r="B477" s="37" t="s">
        <v>2623</v>
      </c>
    </row>
    <row r="478" spans="1:6" x14ac:dyDescent="0.25">
      <c r="B478" s="75" t="s">
        <v>1112</v>
      </c>
      <c r="C478" s="76" t="s">
        <v>15</v>
      </c>
      <c r="D478" s="40">
        <v>6</v>
      </c>
      <c r="E478" s="77">
        <v>800</v>
      </c>
      <c r="F478" s="78">
        <f>ROUND(D478*E478,2)</f>
        <v>4800</v>
      </c>
    </row>
    <row r="479" spans="1:6" x14ac:dyDescent="0.25">
      <c r="B479" s="75" t="s">
        <v>1113</v>
      </c>
      <c r="C479" s="76" t="s">
        <v>15</v>
      </c>
      <c r="D479" s="40">
        <v>1</v>
      </c>
      <c r="E479" s="77">
        <v>1000</v>
      </c>
      <c r="F479" s="78">
        <f>ROUND(D479*E479,2)</f>
        <v>1000</v>
      </c>
    </row>
    <row r="481" spans="1:6" ht="84" x14ac:dyDescent="0.25">
      <c r="A481" s="39" t="s">
        <v>1114</v>
      </c>
      <c r="B481" s="37" t="s">
        <v>1115</v>
      </c>
    </row>
    <row r="482" spans="1:6" ht="14.25" customHeight="1" x14ac:dyDescent="0.25">
      <c r="B482" s="37" t="s">
        <v>1116</v>
      </c>
      <c r="C482" s="76" t="s">
        <v>19</v>
      </c>
      <c r="D482" s="40">
        <v>1</v>
      </c>
      <c r="E482" s="77">
        <v>2000</v>
      </c>
      <c r="F482" s="78">
        <f>ROUND(D482*E482,2)</f>
        <v>2000</v>
      </c>
    </row>
    <row r="484" spans="1:6" ht="87" customHeight="1" x14ac:dyDescent="0.25">
      <c r="A484" s="39" t="s">
        <v>1117</v>
      </c>
      <c r="B484" s="37" t="s">
        <v>1118</v>
      </c>
      <c r="C484" s="76" t="s">
        <v>38</v>
      </c>
      <c r="D484" s="40">
        <v>25</v>
      </c>
      <c r="E484" s="77">
        <v>1</v>
      </c>
      <c r="F484" s="78">
        <f>ROUND(D484*E484,2)</f>
        <v>25</v>
      </c>
    </row>
    <row r="486" spans="1:6" ht="60" x14ac:dyDescent="0.25">
      <c r="A486" s="39" t="s">
        <v>1119</v>
      </c>
      <c r="B486" s="37" t="s">
        <v>1120</v>
      </c>
      <c r="C486" s="76" t="s">
        <v>56</v>
      </c>
      <c r="D486" s="40">
        <v>80</v>
      </c>
      <c r="E486" s="77">
        <v>1</v>
      </c>
      <c r="F486" s="78">
        <f>ROUND(D486*E486,2)</f>
        <v>80</v>
      </c>
    </row>
    <row r="488" spans="1:6" ht="87" customHeight="1" x14ac:dyDescent="0.25">
      <c r="A488" s="39" t="s">
        <v>1121</v>
      </c>
      <c r="B488" s="37" t="s">
        <v>1122</v>
      </c>
    </row>
    <row r="489" spans="1:6" x14ac:dyDescent="0.25">
      <c r="B489" s="75" t="s">
        <v>977</v>
      </c>
      <c r="C489" s="76" t="s">
        <v>15</v>
      </c>
      <c r="D489" s="40">
        <v>3</v>
      </c>
      <c r="E489" s="77">
        <v>1</v>
      </c>
      <c r="F489" s="78">
        <f>ROUND(D489*E489,2)</f>
        <v>3</v>
      </c>
    </row>
    <row r="490" spans="1:6" x14ac:dyDescent="0.25">
      <c r="B490" s="75" t="s">
        <v>983</v>
      </c>
      <c r="C490" s="76" t="s">
        <v>15</v>
      </c>
      <c r="D490" s="40">
        <v>1</v>
      </c>
      <c r="E490" s="77">
        <v>1</v>
      </c>
      <c r="F490" s="78">
        <f>ROUND(D490*E490,2)</f>
        <v>1</v>
      </c>
    </row>
    <row r="491" spans="1:6" x14ac:dyDescent="0.25">
      <c r="B491" s="75" t="s">
        <v>1112</v>
      </c>
      <c r="C491" s="76" t="s">
        <v>15</v>
      </c>
      <c r="D491" s="40">
        <v>6</v>
      </c>
      <c r="E491" s="77">
        <v>1</v>
      </c>
      <c r="F491" s="78">
        <f>ROUND(D491*E491,2)</f>
        <v>6</v>
      </c>
    </row>
    <row r="492" spans="1:6" x14ac:dyDescent="0.25">
      <c r="B492" s="75" t="s">
        <v>1113</v>
      </c>
      <c r="C492" s="76" t="s">
        <v>15</v>
      </c>
      <c r="D492" s="40">
        <v>1</v>
      </c>
      <c r="E492" s="77">
        <v>1</v>
      </c>
      <c r="F492" s="78">
        <f>ROUND(D492*E492,2)</f>
        <v>1</v>
      </c>
    </row>
    <row r="494" spans="1:6" ht="39" customHeight="1" x14ac:dyDescent="0.25">
      <c r="A494" s="39" t="s">
        <v>1123</v>
      </c>
      <c r="B494" s="37" t="s">
        <v>3027</v>
      </c>
      <c r="C494" s="76" t="s">
        <v>19</v>
      </c>
      <c r="D494" s="40">
        <v>1</v>
      </c>
      <c r="E494" s="77">
        <v>1</v>
      </c>
      <c r="F494" s="78">
        <f>ROUND(D494*E494,2)</f>
        <v>1</v>
      </c>
    </row>
    <row r="496" spans="1:6" x14ac:dyDescent="0.25">
      <c r="A496" s="91" t="s">
        <v>1107</v>
      </c>
      <c r="B496" s="92" t="s">
        <v>1124</v>
      </c>
      <c r="C496" s="91"/>
      <c r="D496" s="91"/>
      <c r="E496" s="122"/>
      <c r="F496" s="96">
        <f>SUM(F474:F494)</f>
        <v>9167</v>
      </c>
    </row>
    <row r="498" spans="1:6" x14ac:dyDescent="0.25">
      <c r="A498" s="91" t="s">
        <v>1125</v>
      </c>
      <c r="B498" s="92" t="s">
        <v>1126</v>
      </c>
      <c r="C498" s="91"/>
      <c r="D498" s="91"/>
      <c r="E498" s="122"/>
      <c r="F498" s="91"/>
    </row>
    <row r="500" spans="1:6" ht="85.5" customHeight="1" x14ac:dyDescent="0.25">
      <c r="A500" s="39" t="s">
        <v>1127</v>
      </c>
      <c r="B500" s="37" t="s">
        <v>1128</v>
      </c>
    </row>
    <row r="501" spans="1:6" x14ac:dyDescent="0.25">
      <c r="B501" s="75" t="s">
        <v>1129</v>
      </c>
      <c r="C501" s="76" t="s">
        <v>19</v>
      </c>
      <c r="D501" s="40">
        <v>1</v>
      </c>
      <c r="E501" s="77">
        <v>800</v>
      </c>
      <c r="F501" s="78">
        <f>ROUND(D501*E501,2)</f>
        <v>800</v>
      </c>
    </row>
    <row r="503" spans="1:6" ht="40.5" customHeight="1" x14ac:dyDescent="0.25">
      <c r="A503" s="39" t="s">
        <v>1130</v>
      </c>
      <c r="B503" s="37" t="s">
        <v>1131</v>
      </c>
      <c r="C503" s="76" t="s">
        <v>19</v>
      </c>
      <c r="D503" s="40">
        <v>1</v>
      </c>
      <c r="E503" s="77">
        <v>250</v>
      </c>
      <c r="F503" s="78">
        <f>ROUND(D503*E503,2)</f>
        <v>250</v>
      </c>
    </row>
    <row r="504" spans="1:6" x14ac:dyDescent="0.25">
      <c r="B504" s="75"/>
    </row>
    <row r="505" spans="1:6" ht="24" x14ac:dyDescent="0.25">
      <c r="A505" s="39" t="s">
        <v>1132</v>
      </c>
      <c r="B505" s="37" t="s">
        <v>1133</v>
      </c>
      <c r="C505" s="76" t="s">
        <v>19</v>
      </c>
      <c r="D505" s="40">
        <v>5</v>
      </c>
      <c r="E505" s="77">
        <v>200</v>
      </c>
      <c r="F505" s="78">
        <f>ROUND(D505*E505,2)</f>
        <v>1000</v>
      </c>
    </row>
    <row r="506" spans="1:6" x14ac:dyDescent="0.25">
      <c r="B506" s="75"/>
    </row>
    <row r="507" spans="1:6" ht="24" x14ac:dyDescent="0.25">
      <c r="A507" s="39" t="s">
        <v>1134</v>
      </c>
      <c r="B507" s="37" t="s">
        <v>1135</v>
      </c>
      <c r="C507" s="76" t="s">
        <v>19</v>
      </c>
      <c r="D507" s="40">
        <v>1</v>
      </c>
      <c r="E507" s="77">
        <v>100</v>
      </c>
      <c r="F507" s="78">
        <f>ROUND(D507*E507,2)</f>
        <v>100</v>
      </c>
    </row>
    <row r="508" spans="1:6" x14ac:dyDescent="0.25">
      <c r="B508" s="75"/>
    </row>
    <row r="509" spans="1:6" x14ac:dyDescent="0.25">
      <c r="A509" s="39" t="s">
        <v>1136</v>
      </c>
      <c r="B509" s="37" t="s">
        <v>1137</v>
      </c>
      <c r="C509" s="76" t="s">
        <v>19</v>
      </c>
      <c r="D509" s="40">
        <v>1</v>
      </c>
      <c r="E509" s="77">
        <v>2000</v>
      </c>
      <c r="F509" s="78">
        <f>ROUND(D509*E509,2)</f>
        <v>2000</v>
      </c>
    </row>
    <row r="510" spans="1:6" x14ac:dyDescent="0.25">
      <c r="B510" s="75"/>
      <c r="C510" s="38"/>
    </row>
    <row r="511" spans="1:6" ht="61.5" customHeight="1" x14ac:dyDescent="0.25">
      <c r="A511" s="39" t="s">
        <v>1138</v>
      </c>
      <c r="B511" s="37" t="s">
        <v>1139</v>
      </c>
    </row>
    <row r="512" spans="1:6" x14ac:dyDescent="0.25">
      <c r="B512" s="75" t="s">
        <v>1129</v>
      </c>
      <c r="C512" s="76" t="s">
        <v>19</v>
      </c>
      <c r="D512" s="40">
        <v>6</v>
      </c>
      <c r="E512" s="77">
        <v>200</v>
      </c>
      <c r="F512" s="78">
        <f>ROUND(D512*E512,2)</f>
        <v>1200</v>
      </c>
    </row>
    <row r="514" spans="1:6" ht="24" x14ac:dyDescent="0.25">
      <c r="A514" s="39" t="s">
        <v>1140</v>
      </c>
      <c r="B514" s="37" t="s">
        <v>1133</v>
      </c>
      <c r="C514" s="76" t="s">
        <v>19</v>
      </c>
      <c r="D514" s="40">
        <v>7</v>
      </c>
      <c r="E514" s="77">
        <v>200</v>
      </c>
      <c r="F514" s="78">
        <f>ROUND(D514*E514,2)</f>
        <v>1400</v>
      </c>
    </row>
    <row r="516" spans="1:6" x14ac:dyDescent="0.25">
      <c r="A516" s="39" t="s">
        <v>1141</v>
      </c>
      <c r="B516" s="37" t="s">
        <v>1142</v>
      </c>
      <c r="C516" s="76" t="s">
        <v>15</v>
      </c>
      <c r="D516" s="40">
        <v>2</v>
      </c>
      <c r="E516" s="77">
        <v>100</v>
      </c>
      <c r="F516" s="78">
        <f>ROUND(D516*E516,2)</f>
        <v>200</v>
      </c>
    </row>
    <row r="518" spans="1:6" ht="72" x14ac:dyDescent="0.25">
      <c r="A518" s="39" t="s">
        <v>1143</v>
      </c>
      <c r="B518" s="37" t="s">
        <v>1144</v>
      </c>
    </row>
    <row r="519" spans="1:6" x14ac:dyDescent="0.25">
      <c r="B519" s="75" t="s">
        <v>1145</v>
      </c>
      <c r="C519" s="76" t="s">
        <v>19</v>
      </c>
      <c r="D519" s="40">
        <v>1</v>
      </c>
      <c r="E519" s="77">
        <v>2000</v>
      </c>
      <c r="F519" s="78">
        <f>ROUND(D519*E519,2)</f>
        <v>2000</v>
      </c>
    </row>
    <row r="521" spans="1:6" ht="36" x14ac:dyDescent="0.25">
      <c r="A521" s="39" t="s">
        <v>1146</v>
      </c>
      <c r="B521" s="37" t="s">
        <v>1147</v>
      </c>
      <c r="C521" s="76" t="s">
        <v>19</v>
      </c>
      <c r="D521" s="40">
        <v>1</v>
      </c>
      <c r="E521" s="77">
        <v>500</v>
      </c>
      <c r="F521" s="78">
        <f>ROUND(D521*E521,2)</f>
        <v>500</v>
      </c>
    </row>
    <row r="523" spans="1:6" ht="36" x14ac:dyDescent="0.25">
      <c r="A523" s="39" t="s">
        <v>1148</v>
      </c>
      <c r="B523" s="37" t="s">
        <v>1149</v>
      </c>
      <c r="C523" s="76" t="s">
        <v>19</v>
      </c>
      <c r="D523" s="40">
        <v>1</v>
      </c>
      <c r="E523" s="77">
        <v>500</v>
      </c>
      <c r="F523" s="78">
        <f>ROUND(D523*E523,2)</f>
        <v>500</v>
      </c>
    </row>
    <row r="525" spans="1:6" ht="60" x14ac:dyDescent="0.25">
      <c r="A525" s="39" t="s">
        <v>1150</v>
      </c>
      <c r="B525" s="37" t="s">
        <v>1151</v>
      </c>
      <c r="C525" s="76" t="s">
        <v>19</v>
      </c>
      <c r="D525" s="40">
        <v>1</v>
      </c>
      <c r="E525" s="77">
        <v>5000</v>
      </c>
      <c r="F525" s="78">
        <f>ROUND(D525*E525,2)</f>
        <v>5000</v>
      </c>
    </row>
    <row r="527" spans="1:6" ht="36" x14ac:dyDescent="0.25">
      <c r="A527" s="39" t="s">
        <v>1152</v>
      </c>
      <c r="B527" s="37" t="s">
        <v>3028</v>
      </c>
      <c r="C527" s="76" t="s">
        <v>19</v>
      </c>
      <c r="D527" s="40">
        <v>1</v>
      </c>
      <c r="E527" s="77">
        <v>1000</v>
      </c>
      <c r="F527" s="78">
        <f>ROUND(D527*E527,2)</f>
        <v>1000</v>
      </c>
    </row>
    <row r="529" spans="1:6" x14ac:dyDescent="0.25">
      <c r="A529" s="91" t="s">
        <v>1125</v>
      </c>
      <c r="B529" s="92" t="s">
        <v>1153</v>
      </c>
      <c r="C529" s="91"/>
      <c r="D529" s="91"/>
      <c r="E529" s="122"/>
      <c r="F529" s="96">
        <f>SUM(F527,F525,F523,F521,F519,F516,F514,F512,F509,F507,F505,F503,F501)</f>
        <v>15950</v>
      </c>
    </row>
    <row r="531" spans="1:6" x14ac:dyDescent="0.25">
      <c r="A531" s="91" t="s">
        <v>1154</v>
      </c>
      <c r="B531" s="92" t="s">
        <v>1155</v>
      </c>
      <c r="C531" s="91"/>
      <c r="D531" s="91"/>
      <c r="E531" s="122"/>
      <c r="F531" s="91"/>
    </row>
    <row r="533" spans="1:6" x14ac:dyDescent="0.25">
      <c r="B533" s="81" t="s">
        <v>2888</v>
      </c>
    </row>
    <row r="534" spans="1:6" ht="24" x14ac:dyDescent="0.25">
      <c r="B534" s="100" t="s">
        <v>3029</v>
      </c>
    </row>
    <row r="537" spans="1:6" ht="48" customHeight="1" x14ac:dyDescent="0.25">
      <c r="A537" s="39" t="s">
        <v>1156</v>
      </c>
      <c r="B537" s="37" t="s">
        <v>3046</v>
      </c>
      <c r="C537" s="76" t="s">
        <v>19</v>
      </c>
      <c r="D537" s="40">
        <v>1</v>
      </c>
      <c r="E537" s="77">
        <v>300</v>
      </c>
      <c r="F537" s="78">
        <f>ROUND(D537*E537,2)</f>
        <v>300</v>
      </c>
    </row>
    <row r="538" spans="1:6" x14ac:dyDescent="0.25">
      <c r="B538" s="75"/>
    </row>
    <row r="539" spans="1:6" ht="26.25" customHeight="1" x14ac:dyDescent="0.25">
      <c r="A539" s="39" t="s">
        <v>1157</v>
      </c>
      <c r="B539" s="37" t="s">
        <v>3047</v>
      </c>
      <c r="C539" s="76" t="s">
        <v>19</v>
      </c>
      <c r="D539" s="40">
        <v>1</v>
      </c>
      <c r="E539" s="77">
        <v>300</v>
      </c>
      <c r="F539" s="78">
        <f>ROUND(D539*E539,2)</f>
        <v>300</v>
      </c>
    </row>
    <row r="540" spans="1:6" x14ac:dyDescent="0.25">
      <c r="B540" s="75"/>
    </row>
    <row r="541" spans="1:6" ht="27.75" customHeight="1" x14ac:dyDescent="0.25">
      <c r="A541" s="39" t="s">
        <v>1158</v>
      </c>
      <c r="B541" s="37" t="s">
        <v>3048</v>
      </c>
      <c r="C541" s="76" t="s">
        <v>19</v>
      </c>
      <c r="D541" s="40">
        <v>1</v>
      </c>
      <c r="E541" s="77">
        <v>300</v>
      </c>
      <c r="F541" s="78">
        <f>ROUND(D541*E541,2)</f>
        <v>300</v>
      </c>
    </row>
    <row r="542" spans="1:6" x14ac:dyDescent="0.25">
      <c r="B542" s="75"/>
    </row>
    <row r="543" spans="1:6" ht="29.25" customHeight="1" x14ac:dyDescent="0.25">
      <c r="A543" s="39" t="s">
        <v>1159</v>
      </c>
      <c r="B543" s="37" t="s">
        <v>3049</v>
      </c>
      <c r="C543" s="76" t="s">
        <v>19</v>
      </c>
      <c r="D543" s="40">
        <v>1</v>
      </c>
      <c r="E543" s="77">
        <v>300</v>
      </c>
      <c r="F543" s="78">
        <f>ROUND(D543*E543,2)</f>
        <v>300</v>
      </c>
    </row>
    <row r="544" spans="1:6" x14ac:dyDescent="0.25">
      <c r="B544" s="75"/>
      <c r="C544" s="38"/>
    </row>
    <row r="545" spans="1:6" x14ac:dyDescent="0.25">
      <c r="A545" s="39" t="s">
        <v>1160</v>
      </c>
      <c r="B545" s="37" t="s">
        <v>2899</v>
      </c>
      <c r="C545" s="76" t="s">
        <v>19</v>
      </c>
      <c r="D545" s="40">
        <v>1</v>
      </c>
      <c r="E545" s="77">
        <v>100</v>
      </c>
      <c r="F545" s="78">
        <f>ROUND(D545*E545,2)</f>
        <v>100</v>
      </c>
    </row>
    <row r="546" spans="1:6" x14ac:dyDescent="0.25">
      <c r="B546" s="75"/>
    </row>
    <row r="547" spans="1:6" ht="28.5" customHeight="1" x14ac:dyDescent="0.25">
      <c r="A547" s="39" t="s">
        <v>1161</v>
      </c>
      <c r="B547" s="37" t="s">
        <v>3050</v>
      </c>
      <c r="C547" s="76" t="s">
        <v>19</v>
      </c>
      <c r="D547" s="40">
        <v>1</v>
      </c>
      <c r="E547" s="77">
        <v>500</v>
      </c>
      <c r="F547" s="78">
        <f>ROUND(D547*E547,2)</f>
        <v>500</v>
      </c>
    </row>
    <row r="549" spans="1:6" x14ac:dyDescent="0.25">
      <c r="A549" s="91" t="s">
        <v>1154</v>
      </c>
      <c r="B549" s="92" t="s">
        <v>1162</v>
      </c>
      <c r="C549" s="91"/>
      <c r="D549" s="91"/>
      <c r="E549" s="122"/>
      <c r="F549" s="96">
        <f>SUM(F537:F547)</f>
        <v>1800</v>
      </c>
    </row>
    <row r="552" spans="1:6" x14ac:dyDescent="0.25">
      <c r="A552" s="113" t="s">
        <v>781</v>
      </c>
      <c r="B552" s="116" t="s">
        <v>2414</v>
      </c>
      <c r="C552" s="113"/>
      <c r="D552" s="113"/>
      <c r="E552" s="128"/>
      <c r="F552" s="114">
        <f>SUM(F549,F529,F496,F469,F436,F377,F301,F257,F186,F128,F122,F51)</f>
        <v>225579</v>
      </c>
    </row>
  </sheetData>
  <sheetProtection algorithmName="SHA-512" hashValue="9Tl9fkphlzxjGhtDxqKmR8bIUvnNsYLMF1qXY8AuxhY+MPQ7HuiQlTfHT0uNV0gpBcCqBq1mnSBMx6h7PSUzJQ==" saltValue="qCyyiwWdRR++9sXXoLRK1A==" spinCount="100000" sheet="1" objects="1" scenarios="1"/>
  <pageMargins left="0.6" right="0.6"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38"/>
  <sheetViews>
    <sheetView topLeftCell="A270" zoomScale="85" zoomScaleNormal="85" workbookViewId="0">
      <selection activeCell="E290" sqref="E290"/>
    </sheetView>
  </sheetViews>
  <sheetFormatPr defaultColWidth="9.109375" defaultRowHeight="12" x14ac:dyDescent="0.25"/>
  <cols>
    <col min="1" max="1" width="10.6640625" style="38" customWidth="1"/>
    <col min="2" max="2" width="60.6640625" style="74" customWidth="1"/>
    <col min="3" max="3" width="10.6640625" style="76" customWidth="1"/>
    <col min="4" max="4" width="10.6640625" style="38" customWidth="1"/>
    <col min="5" max="5" width="15.6640625" style="120" customWidth="1"/>
    <col min="6" max="6" width="20.6640625" style="38" customWidth="1"/>
    <col min="7" max="7" width="9.109375" style="38" customWidth="1"/>
    <col min="8" max="16384" width="9.109375" style="38"/>
  </cols>
  <sheetData>
    <row r="1" spans="1:6" ht="18" x14ac:dyDescent="0.35">
      <c r="A1" s="84" t="s">
        <v>1163</v>
      </c>
      <c r="B1" s="115" t="s">
        <v>1164</v>
      </c>
      <c r="C1" s="84"/>
      <c r="D1" s="84"/>
      <c r="E1" s="117"/>
      <c r="F1" s="84"/>
    </row>
    <row r="3" spans="1:6" ht="24" x14ac:dyDescent="0.25">
      <c r="A3" s="138" t="s">
        <v>3</v>
      </c>
      <c r="B3" s="139" t="s">
        <v>4</v>
      </c>
      <c r="C3" s="139" t="s">
        <v>5</v>
      </c>
      <c r="D3" s="139" t="s">
        <v>6</v>
      </c>
      <c r="E3" s="140" t="s">
        <v>7</v>
      </c>
      <c r="F3" s="139" t="s">
        <v>8</v>
      </c>
    </row>
    <row r="5" spans="1:6" x14ac:dyDescent="0.25">
      <c r="A5" s="141" t="s">
        <v>2438</v>
      </c>
      <c r="B5" s="142" t="s">
        <v>1165</v>
      </c>
      <c r="C5" s="141"/>
      <c r="D5" s="141"/>
      <c r="E5" s="143"/>
      <c r="F5" s="141"/>
    </row>
    <row r="7" spans="1:6" x14ac:dyDescent="0.25">
      <c r="A7" s="91" t="s">
        <v>2439</v>
      </c>
      <c r="B7" s="92" t="s">
        <v>1166</v>
      </c>
      <c r="C7" s="91"/>
      <c r="D7" s="91"/>
      <c r="E7" s="122"/>
      <c r="F7" s="91"/>
    </row>
    <row r="9" spans="1:6" ht="15" customHeight="1" x14ac:dyDescent="0.25">
      <c r="A9" s="39" t="s">
        <v>2440</v>
      </c>
      <c r="B9" s="37" t="s">
        <v>1167</v>
      </c>
      <c r="C9" s="76" t="s">
        <v>13</v>
      </c>
      <c r="D9" s="40">
        <v>112</v>
      </c>
      <c r="E9" s="77">
        <v>10</v>
      </c>
      <c r="F9" s="78">
        <f>ROUND(D9*E9,2)</f>
        <v>1120</v>
      </c>
    </row>
    <row r="10" spans="1:6" x14ac:dyDescent="0.25">
      <c r="B10" s="75"/>
    </row>
    <row r="11" spans="1:6" ht="28.5" customHeight="1" x14ac:dyDescent="0.25">
      <c r="A11" s="39" t="s">
        <v>2441</v>
      </c>
      <c r="B11" s="37" t="s">
        <v>2900</v>
      </c>
    </row>
    <row r="12" spans="1:6" x14ac:dyDescent="0.25">
      <c r="B12" s="75" t="s">
        <v>1168</v>
      </c>
      <c r="C12" s="76" t="s">
        <v>39</v>
      </c>
      <c r="D12" s="40">
        <v>80.7</v>
      </c>
      <c r="E12" s="77">
        <v>20</v>
      </c>
      <c r="F12" s="78">
        <f>ROUND(D12*E12,2)</f>
        <v>1614</v>
      </c>
    </row>
    <row r="14" spans="1:6" ht="36" x14ac:dyDescent="0.25">
      <c r="A14" s="39" t="s">
        <v>2442</v>
      </c>
      <c r="B14" s="37" t="s">
        <v>2901</v>
      </c>
      <c r="C14" s="76" t="s">
        <v>39</v>
      </c>
      <c r="D14" s="40">
        <v>115</v>
      </c>
      <c r="E14" s="77">
        <v>20</v>
      </c>
      <c r="F14" s="78">
        <f>ROUND(D14*E14,2)</f>
        <v>2300</v>
      </c>
    </row>
    <row r="15" spans="1:6" x14ac:dyDescent="0.25">
      <c r="B15" s="75"/>
    </row>
    <row r="16" spans="1:6" x14ac:dyDescent="0.25">
      <c r="A16" s="39" t="s">
        <v>2443</v>
      </c>
      <c r="B16" s="37" t="s">
        <v>1169</v>
      </c>
      <c r="C16" s="76" t="s">
        <v>38</v>
      </c>
      <c r="D16" s="40">
        <v>67.5</v>
      </c>
      <c r="E16" s="77">
        <v>5</v>
      </c>
      <c r="F16" s="78">
        <f>ROUND(D16*E16,2)</f>
        <v>337.5</v>
      </c>
    </row>
    <row r="17" spans="1:6" x14ac:dyDescent="0.25">
      <c r="B17" s="75"/>
    </row>
    <row r="18" spans="1:6" ht="24" x14ac:dyDescent="0.25">
      <c r="A18" s="39" t="s">
        <v>2475</v>
      </c>
      <c r="B18" s="37" t="s">
        <v>1170</v>
      </c>
      <c r="C18" s="76" t="s">
        <v>39</v>
      </c>
      <c r="D18" s="40">
        <v>6.75</v>
      </c>
      <c r="E18" s="77">
        <v>50</v>
      </c>
      <c r="F18" s="78">
        <f>ROUND(D18*E18,2)</f>
        <v>337.5</v>
      </c>
    </row>
    <row r="19" spans="1:6" x14ac:dyDescent="0.25">
      <c r="B19" s="75"/>
    </row>
    <row r="20" spans="1:6" ht="24" x14ac:dyDescent="0.25">
      <c r="A20" s="39" t="s">
        <v>2476</v>
      </c>
      <c r="B20" s="37" t="s">
        <v>1171</v>
      </c>
      <c r="C20" s="76" t="s">
        <v>39</v>
      </c>
      <c r="D20" s="40">
        <v>10.1</v>
      </c>
      <c r="E20" s="77">
        <v>50</v>
      </c>
      <c r="F20" s="78">
        <f>ROUND(D20*E20,2)</f>
        <v>505</v>
      </c>
    </row>
    <row r="21" spans="1:6" x14ac:dyDescent="0.25">
      <c r="B21" s="75"/>
    </row>
    <row r="22" spans="1:6" ht="24" x14ac:dyDescent="0.25">
      <c r="A22" s="39" t="s">
        <v>2477</v>
      </c>
      <c r="B22" s="37" t="s">
        <v>1172</v>
      </c>
      <c r="C22" s="76" t="s">
        <v>13</v>
      </c>
      <c r="D22" s="40">
        <v>112</v>
      </c>
      <c r="E22" s="77">
        <v>1</v>
      </c>
      <c r="F22" s="78">
        <f>ROUND(D22*E22,2)</f>
        <v>112</v>
      </c>
    </row>
    <row r="23" spans="1:6" x14ac:dyDescent="0.25">
      <c r="B23" s="75"/>
    </row>
    <row r="24" spans="1:6" ht="36" x14ac:dyDescent="0.25">
      <c r="A24" s="39" t="s">
        <v>2478</v>
      </c>
      <c r="B24" s="37" t="s">
        <v>1173</v>
      </c>
      <c r="C24" s="76" t="s">
        <v>39</v>
      </c>
      <c r="D24" s="40">
        <v>64</v>
      </c>
      <c r="E24" s="77">
        <v>20</v>
      </c>
      <c r="F24" s="78">
        <f>ROUND(D24*E24,2)</f>
        <v>1280</v>
      </c>
    </row>
    <row r="25" spans="1:6" x14ac:dyDescent="0.25">
      <c r="B25" s="75"/>
    </row>
    <row r="26" spans="1:6" ht="36" x14ac:dyDescent="0.25">
      <c r="A26" s="39" t="s">
        <v>2479</v>
      </c>
      <c r="B26" s="37" t="s">
        <v>2838</v>
      </c>
      <c r="C26" s="76" t="s">
        <v>39</v>
      </c>
      <c r="D26" s="40">
        <v>165</v>
      </c>
      <c r="E26" s="77">
        <v>20</v>
      </c>
      <c r="F26" s="78">
        <f>ROUND(D26*E26,2)</f>
        <v>3300</v>
      </c>
    </row>
    <row r="27" spans="1:6" x14ac:dyDescent="0.25">
      <c r="B27" s="75"/>
    </row>
    <row r="28" spans="1:6" ht="24" x14ac:dyDescent="0.25">
      <c r="A28" s="39" t="s">
        <v>2480</v>
      </c>
      <c r="B28" s="37" t="s">
        <v>1174</v>
      </c>
      <c r="C28" s="76" t="s">
        <v>38</v>
      </c>
      <c r="D28" s="40">
        <v>112</v>
      </c>
      <c r="E28" s="77">
        <v>10</v>
      </c>
      <c r="F28" s="78">
        <f>ROUND(D28*E28,2)</f>
        <v>1120</v>
      </c>
    </row>
    <row r="30" spans="1:6" x14ac:dyDescent="0.25">
      <c r="A30" s="91" t="s">
        <v>2439</v>
      </c>
      <c r="B30" s="92" t="s">
        <v>1175</v>
      </c>
      <c r="C30" s="91"/>
      <c r="D30" s="91"/>
      <c r="E30" s="122"/>
      <c r="F30" s="96">
        <f>SUM(F28,F26,F24,F22,F20,F18,F16,F14,F12,F9)</f>
        <v>12026</v>
      </c>
    </row>
    <row r="32" spans="1:6" x14ac:dyDescent="0.25">
      <c r="A32" s="91" t="s">
        <v>2481</v>
      </c>
      <c r="B32" s="92" t="s">
        <v>1176</v>
      </c>
      <c r="C32" s="91"/>
      <c r="D32" s="91"/>
      <c r="E32" s="122"/>
      <c r="F32" s="91"/>
    </row>
    <row r="34" spans="1:6" ht="14.25" customHeight="1" x14ac:dyDescent="0.25">
      <c r="A34" s="39" t="s">
        <v>2482</v>
      </c>
      <c r="B34" s="37" t="s">
        <v>1177</v>
      </c>
      <c r="C34" s="76" t="s">
        <v>19</v>
      </c>
      <c r="D34" s="40">
        <v>1</v>
      </c>
      <c r="E34" s="77">
        <v>500</v>
      </c>
      <c r="F34" s="78">
        <f>ROUND(D34*E34,2)</f>
        <v>500</v>
      </c>
    </row>
    <row r="35" spans="1:6" x14ac:dyDescent="0.25">
      <c r="B35" s="75"/>
    </row>
    <row r="36" spans="1:6" ht="51.75" customHeight="1" x14ac:dyDescent="0.25">
      <c r="A36" s="39" t="s">
        <v>2483</v>
      </c>
      <c r="B36" s="37" t="s">
        <v>1178</v>
      </c>
      <c r="C36" s="76" t="s">
        <v>39</v>
      </c>
      <c r="D36" s="40">
        <v>65.599999999999994</v>
      </c>
      <c r="E36" s="77">
        <v>20</v>
      </c>
      <c r="F36" s="78">
        <f>ROUND(D36*E36,2)</f>
        <v>1312</v>
      </c>
    </row>
    <row r="37" spans="1:6" x14ac:dyDescent="0.25">
      <c r="B37" s="75" t="s">
        <v>1168</v>
      </c>
      <c r="C37" s="76" t="s">
        <v>39</v>
      </c>
      <c r="D37" s="40">
        <v>45.2</v>
      </c>
      <c r="E37" s="77">
        <v>20</v>
      </c>
      <c r="F37" s="78">
        <f>ROUND(D37*E37,2)</f>
        <v>904</v>
      </c>
    </row>
    <row r="38" spans="1:6" ht="40.5" customHeight="1" x14ac:dyDescent="0.25">
      <c r="B38" s="37" t="s">
        <v>1179</v>
      </c>
      <c r="E38" s="124"/>
      <c r="F38" s="78"/>
    </row>
    <row r="40" spans="1:6" x14ac:dyDescent="0.25">
      <c r="A40" s="39" t="s">
        <v>2484</v>
      </c>
      <c r="B40" s="37" t="s">
        <v>1169</v>
      </c>
      <c r="C40" s="76" t="s">
        <v>38</v>
      </c>
      <c r="D40" s="40">
        <v>32.799999999999997</v>
      </c>
      <c r="E40" s="77">
        <v>5</v>
      </c>
      <c r="F40" s="78">
        <f>ROUND(D40*E40,2)</f>
        <v>164</v>
      </c>
    </row>
    <row r="41" spans="1:6" x14ac:dyDescent="0.25">
      <c r="B41" s="75"/>
      <c r="C41" s="38"/>
    </row>
    <row r="42" spans="1:6" ht="75" customHeight="1" x14ac:dyDescent="0.25">
      <c r="A42" s="39" t="s">
        <v>2485</v>
      </c>
      <c r="B42" s="37" t="s">
        <v>1180</v>
      </c>
      <c r="C42" s="76" t="s">
        <v>39</v>
      </c>
      <c r="D42" s="40">
        <v>3.28</v>
      </c>
      <c r="E42" s="77">
        <v>50</v>
      </c>
      <c r="F42" s="78">
        <f>ROUND(D42*E42,2)</f>
        <v>164</v>
      </c>
    </row>
    <row r="44" spans="1:6" ht="51" customHeight="1" x14ac:dyDescent="0.25">
      <c r="A44" s="39" t="s">
        <v>2486</v>
      </c>
      <c r="B44" s="37" t="s">
        <v>1181</v>
      </c>
      <c r="C44" s="76" t="s">
        <v>39</v>
      </c>
      <c r="D44" s="40">
        <v>15</v>
      </c>
      <c r="E44" s="77">
        <v>50</v>
      </c>
      <c r="F44" s="78">
        <f>ROUND(D44*E44,2)</f>
        <v>750</v>
      </c>
    </row>
    <row r="46" spans="1:6" ht="24" x14ac:dyDescent="0.25">
      <c r="A46" s="39" t="s">
        <v>2487</v>
      </c>
      <c r="B46" s="37" t="s">
        <v>1182</v>
      </c>
      <c r="C46" s="76" t="s">
        <v>13</v>
      </c>
      <c r="D46" s="40">
        <v>41</v>
      </c>
      <c r="E46" s="77">
        <v>1</v>
      </c>
      <c r="F46" s="78">
        <f>ROUND(D46*E46,2)</f>
        <v>41</v>
      </c>
    </row>
    <row r="47" spans="1:6" x14ac:dyDescent="0.25">
      <c r="B47" s="75"/>
    </row>
    <row r="48" spans="1:6" ht="24" x14ac:dyDescent="0.25">
      <c r="A48" s="39" t="s">
        <v>2488</v>
      </c>
      <c r="B48" s="37" t="s">
        <v>1183</v>
      </c>
      <c r="C48" s="76" t="s">
        <v>39</v>
      </c>
      <c r="D48" s="40">
        <v>48</v>
      </c>
      <c r="E48" s="77">
        <v>20</v>
      </c>
      <c r="F48" s="78">
        <f>ROUND(D48*E48,2)</f>
        <v>960</v>
      </c>
    </row>
    <row r="49" spans="1:6" x14ac:dyDescent="0.25">
      <c r="B49" s="75"/>
      <c r="C49" s="38"/>
    </row>
    <row r="50" spans="1:6" ht="75" customHeight="1" x14ac:dyDescent="0.25">
      <c r="A50" s="39" t="s">
        <v>2489</v>
      </c>
      <c r="B50" s="37" t="s">
        <v>2839</v>
      </c>
      <c r="C50" s="76" t="s">
        <v>39</v>
      </c>
      <c r="D50" s="40">
        <v>78.5</v>
      </c>
      <c r="E50" s="77">
        <v>20</v>
      </c>
      <c r="F50" s="78">
        <f>ROUND(D50*E50,2)</f>
        <v>1570</v>
      </c>
    </row>
    <row r="52" spans="1:6" ht="24" x14ac:dyDescent="0.25">
      <c r="A52" s="39" t="s">
        <v>2490</v>
      </c>
      <c r="B52" s="37" t="s">
        <v>1174</v>
      </c>
      <c r="C52" s="76" t="s">
        <v>38</v>
      </c>
      <c r="D52" s="40">
        <v>41</v>
      </c>
      <c r="E52" s="77">
        <v>10</v>
      </c>
      <c r="F52" s="78">
        <f>ROUND(D52*E52,2)</f>
        <v>410</v>
      </c>
    </row>
    <row r="54" spans="1:6" x14ac:dyDescent="0.25">
      <c r="A54" s="91" t="s">
        <v>2481</v>
      </c>
      <c r="B54" s="92" t="s">
        <v>1184</v>
      </c>
      <c r="C54" s="91"/>
      <c r="D54" s="91"/>
      <c r="E54" s="122"/>
      <c r="F54" s="96">
        <f>SUM(F34:F52)</f>
        <v>6775</v>
      </c>
    </row>
    <row r="56" spans="1:6" x14ac:dyDescent="0.25">
      <c r="A56" s="91" t="s">
        <v>2491</v>
      </c>
      <c r="B56" s="92" t="s">
        <v>1185</v>
      </c>
      <c r="C56" s="91"/>
      <c r="D56" s="91"/>
      <c r="E56" s="122"/>
      <c r="F56" s="91"/>
    </row>
    <row r="58" spans="1:6" ht="36" x14ac:dyDescent="0.25">
      <c r="A58" s="39" t="s">
        <v>2492</v>
      </c>
      <c r="B58" s="37" t="s">
        <v>1186</v>
      </c>
      <c r="C58" s="76" t="s">
        <v>15</v>
      </c>
      <c r="D58" s="40">
        <v>3</v>
      </c>
      <c r="E58" s="77">
        <v>100</v>
      </c>
      <c r="F58" s="78">
        <f>ROUND(D58*E58,2)</f>
        <v>300</v>
      </c>
    </row>
    <row r="59" spans="1:6" x14ac:dyDescent="0.25">
      <c r="B59" s="75"/>
      <c r="C59" s="38"/>
    </row>
    <row r="60" spans="1:6" ht="53.25" customHeight="1" x14ac:dyDescent="0.25">
      <c r="A60" s="39" t="s">
        <v>2493</v>
      </c>
      <c r="B60" s="37" t="s">
        <v>3385</v>
      </c>
    </row>
    <row r="61" spans="1:6" ht="29.25" customHeight="1" x14ac:dyDescent="0.25">
      <c r="B61" s="37" t="s">
        <v>2844</v>
      </c>
      <c r="C61" s="76" t="s">
        <v>19</v>
      </c>
      <c r="D61" s="40">
        <v>1</v>
      </c>
      <c r="E61" s="77">
        <v>2000</v>
      </c>
      <c r="F61" s="78">
        <f>ROUND(D61*E61,2)</f>
        <v>2000</v>
      </c>
    </row>
    <row r="63" spans="1:6" ht="24" x14ac:dyDescent="0.25">
      <c r="A63" s="39" t="s">
        <v>2494</v>
      </c>
      <c r="B63" s="37" t="s">
        <v>3095</v>
      </c>
      <c r="C63" s="76" t="s">
        <v>19</v>
      </c>
      <c r="D63" s="40">
        <v>1</v>
      </c>
      <c r="E63" s="77">
        <v>1000</v>
      </c>
      <c r="F63" s="78">
        <f>ROUND(D63*E63,2)</f>
        <v>1000</v>
      </c>
    </row>
    <row r="65" spans="1:6" ht="36" x14ac:dyDescent="0.25">
      <c r="A65" s="39" t="s">
        <v>2495</v>
      </c>
      <c r="B65" s="37" t="s">
        <v>1187</v>
      </c>
      <c r="C65" s="76" t="s">
        <v>15</v>
      </c>
      <c r="D65" s="40">
        <v>1</v>
      </c>
      <c r="E65" s="77">
        <v>500</v>
      </c>
      <c r="F65" s="78">
        <f>ROUND(D65*E65,2)</f>
        <v>500</v>
      </c>
    </row>
    <row r="67" spans="1:6" ht="24" x14ac:dyDescent="0.25">
      <c r="A67" s="39" t="s">
        <v>2496</v>
      </c>
      <c r="B67" s="37" t="s">
        <v>1188</v>
      </c>
      <c r="C67" s="76" t="s">
        <v>15</v>
      </c>
      <c r="D67" s="40">
        <v>1</v>
      </c>
      <c r="E67" s="77">
        <v>300</v>
      </c>
      <c r="F67" s="78">
        <f>ROUND(D67*E67,2)</f>
        <v>300</v>
      </c>
    </row>
    <row r="69" spans="1:6" ht="25.5" customHeight="1" x14ac:dyDescent="0.25">
      <c r="A69" s="39" t="s">
        <v>2497</v>
      </c>
      <c r="B69" s="37" t="s">
        <v>1189</v>
      </c>
      <c r="C69" s="76" t="s">
        <v>15</v>
      </c>
      <c r="D69" s="40">
        <v>1</v>
      </c>
      <c r="E69" s="77">
        <v>300</v>
      </c>
      <c r="F69" s="78">
        <f>ROUND(D69*E69,2)</f>
        <v>300</v>
      </c>
    </row>
    <row r="71" spans="1:6" x14ac:dyDescent="0.25">
      <c r="A71" s="91" t="s">
        <v>2491</v>
      </c>
      <c r="B71" s="92" t="s">
        <v>1190</v>
      </c>
      <c r="C71" s="91"/>
      <c r="D71" s="91"/>
      <c r="E71" s="122"/>
      <c r="F71" s="96">
        <f>SUM(F58:F69)</f>
        <v>4400</v>
      </c>
    </row>
    <row r="73" spans="1:6" x14ac:dyDescent="0.25">
      <c r="A73" s="91" t="s">
        <v>2498</v>
      </c>
      <c r="B73" s="92" t="s">
        <v>1191</v>
      </c>
      <c r="C73" s="91"/>
      <c r="D73" s="91"/>
      <c r="E73" s="122"/>
      <c r="F73" s="91"/>
    </row>
    <row r="75" spans="1:6" ht="121.5" customHeight="1" x14ac:dyDescent="0.25">
      <c r="A75" s="39" t="s">
        <v>2499</v>
      </c>
      <c r="B75" s="37" t="s">
        <v>1192</v>
      </c>
    </row>
    <row r="76" spans="1:6" x14ac:dyDescent="0.25">
      <c r="B76" s="75" t="s">
        <v>1193</v>
      </c>
      <c r="C76" s="76" t="s">
        <v>15</v>
      </c>
      <c r="D76" s="40">
        <v>2</v>
      </c>
      <c r="E76" s="77">
        <v>1300</v>
      </c>
      <c r="F76" s="78">
        <f>ROUND(D76*E76,2)</f>
        <v>2600</v>
      </c>
    </row>
    <row r="77" spans="1:6" x14ac:dyDescent="0.25">
      <c r="B77" s="75" t="s">
        <v>1194</v>
      </c>
      <c r="C77" s="76" t="s">
        <v>15</v>
      </c>
      <c r="D77" s="40">
        <v>2</v>
      </c>
      <c r="E77" s="77">
        <v>1500</v>
      </c>
      <c r="F77" s="78">
        <f>ROUND(D77*E77,2)</f>
        <v>3000</v>
      </c>
    </row>
    <row r="79" spans="1:6" ht="123" customHeight="1" x14ac:dyDescent="0.25">
      <c r="A79" s="39" t="s">
        <v>2500</v>
      </c>
      <c r="B79" s="37" t="s">
        <v>1195</v>
      </c>
    </row>
    <row r="80" spans="1:6" x14ac:dyDescent="0.25">
      <c r="B80" s="75" t="s">
        <v>1196</v>
      </c>
      <c r="C80" s="76" t="s">
        <v>15</v>
      </c>
      <c r="D80" s="40">
        <v>3</v>
      </c>
      <c r="E80" s="77">
        <v>1500</v>
      </c>
      <c r="F80" s="78">
        <f>ROUND(D80*E80,2)</f>
        <v>4500</v>
      </c>
    </row>
    <row r="82" spans="1:6" x14ac:dyDescent="0.25">
      <c r="A82" s="91" t="s">
        <v>2498</v>
      </c>
      <c r="B82" s="92" t="s">
        <v>1197</v>
      </c>
      <c r="C82" s="91"/>
      <c r="D82" s="91"/>
      <c r="E82" s="122"/>
      <c r="F82" s="96">
        <f>SUM(F75:F80)</f>
        <v>10100</v>
      </c>
    </row>
    <row r="84" spans="1:6" x14ac:dyDescent="0.25">
      <c r="A84" s="91" t="s">
        <v>2501</v>
      </c>
      <c r="B84" s="92" t="s">
        <v>1198</v>
      </c>
      <c r="C84" s="91"/>
      <c r="D84" s="91"/>
      <c r="E84" s="122"/>
      <c r="F84" s="91"/>
    </row>
    <row r="86" spans="1:6" ht="63.75" customHeight="1" x14ac:dyDescent="0.25">
      <c r="A86" s="39" t="s">
        <v>2502</v>
      </c>
      <c r="B86" s="37" t="s">
        <v>2451</v>
      </c>
    </row>
    <row r="87" spans="1:6" x14ac:dyDescent="0.25">
      <c r="B87" s="75" t="s">
        <v>1199</v>
      </c>
      <c r="C87" s="76" t="s">
        <v>13</v>
      </c>
      <c r="D87" s="40">
        <v>37</v>
      </c>
      <c r="E87" s="77">
        <v>40</v>
      </c>
      <c r="F87" s="78">
        <f>ROUND(D87*E87,2)</f>
        <v>1480</v>
      </c>
    </row>
    <row r="88" spans="1:6" x14ac:dyDescent="0.25">
      <c r="B88" s="75" t="s">
        <v>1200</v>
      </c>
      <c r="C88" s="76" t="s">
        <v>13</v>
      </c>
      <c r="D88" s="40">
        <v>32</v>
      </c>
      <c r="E88" s="77">
        <v>20</v>
      </c>
      <c r="F88" s="78">
        <f>ROUND(D88*E88,2)</f>
        <v>640</v>
      </c>
    </row>
    <row r="89" spans="1:6" x14ac:dyDescent="0.25">
      <c r="B89" s="75" t="s">
        <v>1201</v>
      </c>
      <c r="C89" s="76" t="s">
        <v>13</v>
      </c>
      <c r="D89" s="40">
        <v>52</v>
      </c>
      <c r="E89" s="77">
        <v>15</v>
      </c>
      <c r="F89" s="78">
        <f>ROUND(D89*E89,2)</f>
        <v>780</v>
      </c>
    </row>
    <row r="91" spans="1:6" ht="48" x14ac:dyDescent="0.25">
      <c r="A91" s="39" t="s">
        <v>2503</v>
      </c>
      <c r="B91" s="37" t="s">
        <v>1202</v>
      </c>
    </row>
    <row r="92" spans="1:6" x14ac:dyDescent="0.25">
      <c r="B92" s="75" t="s">
        <v>1203</v>
      </c>
      <c r="C92" s="76" t="s">
        <v>13</v>
      </c>
      <c r="D92" s="40">
        <v>50</v>
      </c>
      <c r="E92" s="77">
        <v>20</v>
      </c>
      <c r="F92" s="78">
        <f>ROUND(D92*E92,2)</f>
        <v>1000</v>
      </c>
    </row>
    <row r="94" spans="1:6" ht="192" x14ac:dyDescent="0.25">
      <c r="A94" s="39" t="s">
        <v>2504</v>
      </c>
      <c r="B94" s="37" t="s">
        <v>1204</v>
      </c>
    </row>
    <row r="95" spans="1:6" x14ac:dyDescent="0.25">
      <c r="B95" s="37" t="s">
        <v>2444</v>
      </c>
      <c r="C95" s="76" t="s">
        <v>19</v>
      </c>
      <c r="D95" s="40">
        <v>1</v>
      </c>
      <c r="E95" s="77">
        <v>1000</v>
      </c>
      <c r="F95" s="78">
        <f>ROUND(D95*E95,2)</f>
        <v>1000</v>
      </c>
    </row>
    <row r="96" spans="1:6" x14ac:dyDescent="0.25">
      <c r="B96" s="75"/>
      <c r="C96" s="38"/>
    </row>
    <row r="97" spans="1:6" ht="110.25" customHeight="1" x14ac:dyDescent="0.25">
      <c r="A97" s="39" t="s">
        <v>2505</v>
      </c>
      <c r="B97" s="37" t="s">
        <v>2445</v>
      </c>
      <c r="C97" s="76" t="s">
        <v>19</v>
      </c>
      <c r="D97" s="40">
        <v>1</v>
      </c>
      <c r="E97" s="77">
        <v>700</v>
      </c>
      <c r="F97" s="78">
        <f>ROUND(D97*E97,2)</f>
        <v>700</v>
      </c>
    </row>
    <row r="98" spans="1:6" x14ac:dyDescent="0.25">
      <c r="B98" s="75"/>
      <c r="C98" s="38"/>
    </row>
    <row r="99" spans="1:6" ht="149.25" customHeight="1" x14ac:dyDescent="0.25">
      <c r="A99" s="39" t="s">
        <v>2506</v>
      </c>
      <c r="B99" s="37" t="s">
        <v>2446</v>
      </c>
    </row>
    <row r="100" spans="1:6" ht="48" x14ac:dyDescent="0.25">
      <c r="B100" s="37" t="s">
        <v>2447</v>
      </c>
      <c r="C100" s="76" t="s">
        <v>19</v>
      </c>
      <c r="D100" s="40">
        <v>1</v>
      </c>
      <c r="E100" s="77">
        <v>3500</v>
      </c>
      <c r="F100" s="78">
        <f>ROUND(D100*E100,2)</f>
        <v>3500</v>
      </c>
    </row>
    <row r="101" spans="1:6" x14ac:dyDescent="0.25">
      <c r="B101" s="75"/>
      <c r="C101" s="38"/>
    </row>
    <row r="102" spans="1:6" ht="204" x14ac:dyDescent="0.25">
      <c r="A102" s="39" t="s">
        <v>2507</v>
      </c>
      <c r="B102" s="37" t="s">
        <v>2448</v>
      </c>
      <c r="C102" s="76" t="s">
        <v>19</v>
      </c>
      <c r="D102" s="40">
        <v>1</v>
      </c>
      <c r="E102" s="77">
        <v>2500</v>
      </c>
      <c r="F102" s="78">
        <f>ROUND(D102*E102,2)</f>
        <v>2500</v>
      </c>
    </row>
    <row r="103" spans="1:6" x14ac:dyDescent="0.25">
      <c r="B103" s="37"/>
    </row>
    <row r="104" spans="1:6" ht="27" customHeight="1" x14ac:dyDescent="0.25">
      <c r="A104" s="39" t="s">
        <v>2508</v>
      </c>
      <c r="B104" s="37" t="s">
        <v>1205</v>
      </c>
      <c r="C104" s="76" t="s">
        <v>19</v>
      </c>
      <c r="D104" s="40">
        <v>2</v>
      </c>
      <c r="E104" s="77">
        <v>50</v>
      </c>
      <c r="F104" s="78">
        <f>ROUND(D104*E104,2)</f>
        <v>100</v>
      </c>
    </row>
    <row r="105" spans="1:6" x14ac:dyDescent="0.25">
      <c r="B105" s="75"/>
    </row>
    <row r="106" spans="1:6" x14ac:dyDescent="0.25">
      <c r="A106" s="39" t="s">
        <v>2509</v>
      </c>
      <c r="B106" s="37" t="s">
        <v>1206</v>
      </c>
      <c r="C106" s="76" t="s">
        <v>19</v>
      </c>
      <c r="D106" s="40">
        <v>1</v>
      </c>
      <c r="E106" s="77">
        <v>300</v>
      </c>
      <c r="F106" s="78">
        <f>ROUND(D106*E106,2)</f>
        <v>300</v>
      </c>
    </row>
    <row r="107" spans="1:6" x14ac:dyDescent="0.25">
      <c r="B107" s="75"/>
    </row>
    <row r="108" spans="1:6" ht="24" x14ac:dyDescent="0.25">
      <c r="A108" s="39" t="s">
        <v>2510</v>
      </c>
      <c r="B108" s="37" t="s">
        <v>1207</v>
      </c>
      <c r="C108" s="76" t="s">
        <v>19</v>
      </c>
      <c r="D108" s="40">
        <v>1</v>
      </c>
      <c r="E108" s="77">
        <v>300</v>
      </c>
      <c r="F108" s="78">
        <f>ROUND(D108*E108,2)</f>
        <v>300</v>
      </c>
    </row>
    <row r="109" spans="1:6" x14ac:dyDescent="0.25">
      <c r="B109" s="75"/>
    </row>
    <row r="110" spans="1:6" ht="24" x14ac:dyDescent="0.25">
      <c r="A110" s="39" t="s">
        <v>2511</v>
      </c>
      <c r="B110" s="37" t="s">
        <v>1208</v>
      </c>
      <c r="C110" s="76" t="s">
        <v>19</v>
      </c>
      <c r="D110" s="40">
        <v>1</v>
      </c>
      <c r="E110" s="77">
        <v>250</v>
      </c>
      <c r="F110" s="78">
        <f>ROUND(D110*E110,2)</f>
        <v>250</v>
      </c>
    </row>
    <row r="112" spans="1:6" x14ac:dyDescent="0.25">
      <c r="A112" s="91" t="s">
        <v>2501</v>
      </c>
      <c r="B112" s="92" t="s">
        <v>1209</v>
      </c>
      <c r="C112" s="91"/>
      <c r="D112" s="91"/>
      <c r="E112" s="122"/>
      <c r="F112" s="96">
        <f>SUM(F87:F110)</f>
        <v>12550</v>
      </c>
    </row>
    <row r="114" spans="1:6" x14ac:dyDescent="0.25">
      <c r="A114" s="91" t="s">
        <v>2512</v>
      </c>
      <c r="B114" s="92" t="s">
        <v>1210</v>
      </c>
      <c r="C114" s="91"/>
      <c r="D114" s="91"/>
      <c r="E114" s="122"/>
      <c r="F114" s="91"/>
    </row>
    <row r="116" spans="1:6" ht="24" x14ac:dyDescent="0.25">
      <c r="A116" s="39" t="s">
        <v>2513</v>
      </c>
      <c r="B116" s="37" t="s">
        <v>2449</v>
      </c>
    </row>
    <row r="117" spans="1:6" x14ac:dyDescent="0.25">
      <c r="B117" s="75" t="s">
        <v>1211</v>
      </c>
      <c r="C117" s="76" t="s">
        <v>13</v>
      </c>
      <c r="D117" s="40">
        <v>43</v>
      </c>
      <c r="E117" s="77">
        <v>40</v>
      </c>
      <c r="F117" s="78">
        <f t="shared" ref="F117:F124" si="0">ROUND(D117*E117,2)</f>
        <v>1720</v>
      </c>
    </row>
    <row r="118" spans="1:6" x14ac:dyDescent="0.25">
      <c r="B118" s="75" t="s">
        <v>1211</v>
      </c>
      <c r="C118" s="76" t="s">
        <v>15</v>
      </c>
      <c r="D118" s="40">
        <v>4</v>
      </c>
      <c r="E118" s="77">
        <v>40</v>
      </c>
      <c r="F118" s="78">
        <f t="shared" si="0"/>
        <v>160</v>
      </c>
    </row>
    <row r="119" spans="1:6" x14ac:dyDescent="0.25">
      <c r="B119" s="75" t="s">
        <v>1211</v>
      </c>
      <c r="C119" s="76" t="s">
        <v>13</v>
      </c>
      <c r="D119" s="40">
        <v>28</v>
      </c>
      <c r="E119" s="77">
        <v>40</v>
      </c>
      <c r="F119" s="78">
        <f t="shared" si="0"/>
        <v>1120</v>
      </c>
    </row>
    <row r="120" spans="1:6" x14ac:dyDescent="0.25">
      <c r="B120" s="75" t="s">
        <v>1212</v>
      </c>
      <c r="C120" s="76" t="s">
        <v>13</v>
      </c>
      <c r="D120" s="40">
        <v>47</v>
      </c>
      <c r="E120" s="77">
        <v>30</v>
      </c>
      <c r="F120" s="78">
        <f t="shared" si="0"/>
        <v>1410</v>
      </c>
    </row>
    <row r="121" spans="1:6" x14ac:dyDescent="0.25">
      <c r="B121" s="75" t="s">
        <v>1213</v>
      </c>
      <c r="C121" s="76" t="s">
        <v>13</v>
      </c>
      <c r="D121" s="40">
        <v>38</v>
      </c>
      <c r="E121" s="77">
        <v>25</v>
      </c>
      <c r="F121" s="78">
        <f t="shared" si="0"/>
        <v>950</v>
      </c>
    </row>
    <row r="122" spans="1:6" x14ac:dyDescent="0.25">
      <c r="B122" s="75" t="s">
        <v>1211</v>
      </c>
      <c r="C122" s="76" t="s">
        <v>15</v>
      </c>
      <c r="D122" s="40">
        <v>9</v>
      </c>
      <c r="E122" s="77">
        <v>40</v>
      </c>
      <c r="F122" s="78">
        <f t="shared" si="0"/>
        <v>360</v>
      </c>
    </row>
    <row r="123" spans="1:6" x14ac:dyDescent="0.25">
      <c r="B123" s="75" t="s">
        <v>1212</v>
      </c>
      <c r="C123" s="76" t="s">
        <v>15</v>
      </c>
      <c r="D123" s="40">
        <v>28</v>
      </c>
      <c r="E123" s="77">
        <v>30</v>
      </c>
      <c r="F123" s="78">
        <f t="shared" si="0"/>
        <v>840</v>
      </c>
    </row>
    <row r="124" spans="1:6" x14ac:dyDescent="0.25">
      <c r="B124" s="75" t="s">
        <v>1213</v>
      </c>
      <c r="C124" s="76" t="s">
        <v>15</v>
      </c>
      <c r="D124" s="40">
        <v>17</v>
      </c>
      <c r="E124" s="77">
        <v>25</v>
      </c>
      <c r="F124" s="78">
        <f t="shared" si="0"/>
        <v>425</v>
      </c>
    </row>
    <row r="126" spans="1:6" ht="24" x14ac:dyDescent="0.25">
      <c r="A126" s="39" t="s">
        <v>2514</v>
      </c>
      <c r="B126" s="37" t="s">
        <v>1214</v>
      </c>
    </row>
    <row r="127" spans="1:6" x14ac:dyDescent="0.25">
      <c r="B127" s="75" t="s">
        <v>1215</v>
      </c>
      <c r="C127" s="76" t="s">
        <v>15</v>
      </c>
      <c r="D127" s="40">
        <v>10</v>
      </c>
      <c r="E127" s="77">
        <v>80</v>
      </c>
      <c r="F127" s="78">
        <f>ROUND(D127*E127,2)</f>
        <v>800</v>
      </c>
    </row>
    <row r="128" spans="1:6" x14ac:dyDescent="0.25">
      <c r="B128" s="75" t="s">
        <v>1216</v>
      </c>
      <c r="C128" s="76" t="s">
        <v>15</v>
      </c>
      <c r="D128" s="40">
        <v>1</v>
      </c>
      <c r="E128" s="77">
        <v>60</v>
      </c>
      <c r="F128" s="78">
        <f>ROUND(D128*E128,2)</f>
        <v>60</v>
      </c>
    </row>
    <row r="130" spans="1:6" ht="138" customHeight="1" x14ac:dyDescent="0.25">
      <c r="A130" s="39" t="s">
        <v>2515</v>
      </c>
      <c r="B130" s="37" t="s">
        <v>2902</v>
      </c>
    </row>
    <row r="131" spans="1:6" x14ac:dyDescent="0.25">
      <c r="B131" s="37" t="s">
        <v>1217</v>
      </c>
      <c r="C131" s="76" t="s">
        <v>15</v>
      </c>
      <c r="D131" s="40">
        <v>1</v>
      </c>
      <c r="E131" s="77">
        <v>8000</v>
      </c>
      <c r="F131" s="78">
        <f>ROUND(D131*E131,2)</f>
        <v>8000</v>
      </c>
    </row>
    <row r="132" spans="1:6" x14ac:dyDescent="0.25">
      <c r="B132" s="75"/>
      <c r="C132" s="38"/>
    </row>
    <row r="133" spans="1:6" ht="173.25" customHeight="1" x14ac:dyDescent="0.25">
      <c r="A133" s="39" t="s">
        <v>2516</v>
      </c>
      <c r="B133" s="37" t="s">
        <v>2624</v>
      </c>
    </row>
    <row r="134" spans="1:6" ht="73.5" customHeight="1" x14ac:dyDescent="0.25">
      <c r="B134" s="37" t="s">
        <v>2450</v>
      </c>
      <c r="C134" s="76" t="s">
        <v>15</v>
      </c>
      <c r="D134" s="40">
        <v>1</v>
      </c>
      <c r="E134" s="77">
        <v>3500</v>
      </c>
      <c r="F134" s="78">
        <f>ROUND(D134*E134,2)</f>
        <v>3500</v>
      </c>
    </row>
    <row r="136" spans="1:6" ht="36" x14ac:dyDescent="0.25">
      <c r="A136" s="39" t="s">
        <v>2517</v>
      </c>
      <c r="B136" s="37" t="s">
        <v>3030</v>
      </c>
      <c r="C136" s="76" t="s">
        <v>19</v>
      </c>
      <c r="D136" s="40">
        <v>1</v>
      </c>
      <c r="E136" s="77">
        <v>1500</v>
      </c>
      <c r="F136" s="78">
        <f>ROUND(D136*E136,2)</f>
        <v>1500</v>
      </c>
    </row>
    <row r="138" spans="1:6" x14ac:dyDescent="0.25">
      <c r="A138" s="91" t="s">
        <v>2512</v>
      </c>
      <c r="B138" s="92" t="s">
        <v>1218</v>
      </c>
      <c r="C138" s="91"/>
      <c r="D138" s="91"/>
      <c r="E138" s="122"/>
      <c r="F138" s="96">
        <f>SUM(F117:F136)</f>
        <v>20845</v>
      </c>
    </row>
    <row r="140" spans="1:6" x14ac:dyDescent="0.25">
      <c r="A140" s="91" t="s">
        <v>2518</v>
      </c>
      <c r="B140" s="92" t="s">
        <v>1219</v>
      </c>
      <c r="C140" s="91"/>
      <c r="D140" s="91"/>
      <c r="E140" s="122"/>
      <c r="F140" s="91"/>
    </row>
    <row r="142" spans="1:6" ht="36" x14ac:dyDescent="0.25">
      <c r="A142" s="39" t="s">
        <v>2519</v>
      </c>
      <c r="B142" s="37" t="s">
        <v>1220</v>
      </c>
      <c r="C142" s="76" t="s">
        <v>19</v>
      </c>
      <c r="D142" s="40">
        <v>1</v>
      </c>
      <c r="E142" s="77">
        <v>500</v>
      </c>
      <c r="F142" s="78">
        <f>ROUND(D142*E142,2)</f>
        <v>500</v>
      </c>
    </row>
    <row r="143" spans="1:6" x14ac:dyDescent="0.25">
      <c r="A143" s="39"/>
      <c r="B143" s="37"/>
      <c r="D143" s="40"/>
      <c r="E143" s="77"/>
      <c r="F143" s="78"/>
    </row>
    <row r="144" spans="1:6" x14ac:dyDescent="0.25">
      <c r="A144" s="91" t="s">
        <v>2518</v>
      </c>
      <c r="B144" s="92" t="s">
        <v>1221</v>
      </c>
      <c r="C144" s="91"/>
      <c r="D144" s="91"/>
      <c r="E144" s="122"/>
      <c r="F144" s="96">
        <f>SUM(F142:F143)</f>
        <v>500</v>
      </c>
    </row>
    <row r="147" spans="1:6" x14ac:dyDescent="0.25">
      <c r="A147" s="91" t="s">
        <v>2438</v>
      </c>
      <c r="B147" s="92" t="s">
        <v>1222</v>
      </c>
      <c r="C147" s="91"/>
      <c r="D147" s="91"/>
      <c r="E147" s="122"/>
      <c r="F147" s="96">
        <f>SUM(F144,F138,F112,F82,F71,F54,F30)</f>
        <v>67196</v>
      </c>
    </row>
    <row r="150" spans="1:6" x14ac:dyDescent="0.25">
      <c r="A150" s="141" t="s">
        <v>2474</v>
      </c>
      <c r="B150" s="142" t="s">
        <v>1223</v>
      </c>
      <c r="C150" s="141"/>
      <c r="D150" s="141"/>
      <c r="E150" s="143"/>
      <c r="F150" s="141"/>
    </row>
    <row r="152" spans="1:6" x14ac:dyDescent="0.25">
      <c r="A152" s="91" t="s">
        <v>2520</v>
      </c>
      <c r="B152" s="92" t="s">
        <v>1224</v>
      </c>
      <c r="C152" s="91"/>
      <c r="D152" s="91"/>
      <c r="E152" s="122"/>
      <c r="F152" s="91"/>
    </row>
    <row r="154" spans="1:6" ht="39" customHeight="1" x14ac:dyDescent="0.25">
      <c r="A154" s="39" t="s">
        <v>2521</v>
      </c>
      <c r="B154" s="37" t="s">
        <v>1225</v>
      </c>
    </row>
    <row r="155" spans="1:6" x14ac:dyDescent="0.25">
      <c r="B155" s="75" t="s">
        <v>1226</v>
      </c>
      <c r="C155" s="76" t="s">
        <v>13</v>
      </c>
      <c r="D155" s="40">
        <v>25</v>
      </c>
      <c r="E155" s="77">
        <v>30</v>
      </c>
      <c r="F155" s="78">
        <f>ROUND(D155*E155,2)</f>
        <v>750</v>
      </c>
    </row>
    <row r="157" spans="1:6" x14ac:dyDescent="0.25">
      <c r="A157" s="91" t="s">
        <v>2520</v>
      </c>
      <c r="B157" s="92" t="s">
        <v>1227</v>
      </c>
      <c r="C157" s="91"/>
      <c r="D157" s="91"/>
      <c r="E157" s="122"/>
      <c r="F157" s="96">
        <f>SUM($F$155)</f>
        <v>750</v>
      </c>
    </row>
    <row r="159" spans="1:6" x14ac:dyDescent="0.25">
      <c r="A159" s="91" t="s">
        <v>2522</v>
      </c>
      <c r="B159" s="92" t="s">
        <v>1228</v>
      </c>
      <c r="C159" s="91"/>
      <c r="D159" s="91"/>
      <c r="E159" s="122"/>
      <c r="F159" s="91"/>
    </row>
    <row r="161" spans="1:6" ht="72" x14ac:dyDescent="0.25">
      <c r="A161" s="39" t="s">
        <v>2523</v>
      </c>
      <c r="B161" s="37" t="s">
        <v>2452</v>
      </c>
    </row>
    <row r="162" spans="1:6" x14ac:dyDescent="0.25">
      <c r="B162" s="75" t="s">
        <v>1229</v>
      </c>
      <c r="C162" s="76" t="s">
        <v>13</v>
      </c>
      <c r="D162" s="40">
        <v>3</v>
      </c>
      <c r="E162" s="77">
        <v>20</v>
      </c>
      <c r="F162" s="78">
        <f>ROUND(D162*E162,2)</f>
        <v>60</v>
      </c>
    </row>
    <row r="163" spans="1:6" x14ac:dyDescent="0.25">
      <c r="B163" s="75" t="s">
        <v>1230</v>
      </c>
      <c r="C163" s="76" t="s">
        <v>13</v>
      </c>
      <c r="D163" s="40">
        <v>90</v>
      </c>
      <c r="E163" s="77">
        <v>30</v>
      </c>
      <c r="F163" s="78">
        <f>ROUND(D163*E163,2)</f>
        <v>2700</v>
      </c>
    </row>
    <row r="164" spans="1:6" x14ac:dyDescent="0.25">
      <c r="B164" s="75" t="s">
        <v>1231</v>
      </c>
      <c r="C164" s="76" t="s">
        <v>13</v>
      </c>
      <c r="D164" s="40">
        <v>6</v>
      </c>
      <c r="E164" s="77">
        <v>40</v>
      </c>
      <c r="F164" s="78">
        <f>ROUND(D164*E164,2)</f>
        <v>240</v>
      </c>
    </row>
    <row r="166" spans="1:6" ht="36" x14ac:dyDescent="0.25">
      <c r="A166" s="39" t="s">
        <v>2524</v>
      </c>
      <c r="B166" s="37" t="s">
        <v>2453</v>
      </c>
    </row>
    <row r="167" spans="1:6" x14ac:dyDescent="0.25">
      <c r="B167" s="75" t="s">
        <v>1232</v>
      </c>
      <c r="C167" s="76" t="s">
        <v>13</v>
      </c>
      <c r="D167" s="40">
        <v>3</v>
      </c>
      <c r="E167" s="77">
        <v>8</v>
      </c>
      <c r="F167" s="78">
        <f>ROUND(D167*E167,2)</f>
        <v>24</v>
      </c>
    </row>
    <row r="168" spans="1:6" x14ac:dyDescent="0.25">
      <c r="B168" s="75" t="s">
        <v>1233</v>
      </c>
      <c r="C168" s="76" t="s">
        <v>13</v>
      </c>
      <c r="D168" s="40">
        <v>77</v>
      </c>
      <c r="E168" s="77">
        <v>10</v>
      </c>
      <c r="F168" s="78">
        <f>ROUND(D168*E168,2)</f>
        <v>770</v>
      </c>
    </row>
    <row r="169" spans="1:6" x14ac:dyDescent="0.25">
      <c r="B169" s="75" t="s">
        <v>1234</v>
      </c>
      <c r="C169" s="76" t="s">
        <v>13</v>
      </c>
      <c r="D169" s="40">
        <v>6</v>
      </c>
      <c r="E169" s="77">
        <v>12</v>
      </c>
      <c r="F169" s="78">
        <f>ROUND(D169*E169,2)</f>
        <v>72</v>
      </c>
    </row>
    <row r="171" spans="1:6" ht="60" x14ac:dyDescent="0.25">
      <c r="A171" s="39" t="s">
        <v>2525</v>
      </c>
      <c r="B171" s="37" t="s">
        <v>2625</v>
      </c>
    </row>
    <row r="172" spans="1:6" x14ac:dyDescent="0.25">
      <c r="B172" s="75" t="s">
        <v>1230</v>
      </c>
      <c r="C172" s="76" t="s">
        <v>13</v>
      </c>
      <c r="D172" s="40">
        <v>9</v>
      </c>
      <c r="E172" s="77">
        <v>25</v>
      </c>
      <c r="F172" s="78">
        <f>ROUND(D172*E172,2)</f>
        <v>225</v>
      </c>
    </row>
    <row r="173" spans="1:6" x14ac:dyDescent="0.25">
      <c r="B173" s="75" t="s">
        <v>1235</v>
      </c>
      <c r="C173" s="76" t="s">
        <v>13</v>
      </c>
      <c r="D173" s="40">
        <v>43</v>
      </c>
      <c r="E173" s="77">
        <v>15</v>
      </c>
      <c r="F173" s="78">
        <f>ROUND(D173*E173,2)</f>
        <v>645</v>
      </c>
    </row>
    <row r="174" spans="1:6" x14ac:dyDescent="0.25">
      <c r="B174" s="75" t="s">
        <v>1230</v>
      </c>
      <c r="C174" s="76" t="s">
        <v>15</v>
      </c>
      <c r="D174" s="40">
        <v>20</v>
      </c>
      <c r="E174" s="77">
        <v>25</v>
      </c>
      <c r="F174" s="78">
        <f>ROUND(D174*E174,2)</f>
        <v>500</v>
      </c>
    </row>
    <row r="175" spans="1:6" x14ac:dyDescent="0.25">
      <c r="B175" s="75" t="s">
        <v>1235</v>
      </c>
      <c r="C175" s="76" t="s">
        <v>15</v>
      </c>
      <c r="D175" s="40">
        <v>71</v>
      </c>
      <c r="E175" s="77">
        <v>15</v>
      </c>
      <c r="F175" s="78">
        <f>ROUND(D175*E175,2)</f>
        <v>1065</v>
      </c>
    </row>
    <row r="177" spans="1:6" ht="24" x14ac:dyDescent="0.25">
      <c r="A177" s="39" t="s">
        <v>2526</v>
      </c>
      <c r="B177" s="37" t="s">
        <v>1236</v>
      </c>
    </row>
    <row r="178" spans="1:6" x14ac:dyDescent="0.25">
      <c r="B178" s="75" t="s">
        <v>1237</v>
      </c>
      <c r="C178" s="76" t="s">
        <v>15</v>
      </c>
      <c r="D178" s="40">
        <v>8</v>
      </c>
      <c r="E178" s="77">
        <v>50</v>
      </c>
      <c r="F178" s="78">
        <f>ROUND(D178*E178,2)</f>
        <v>400</v>
      </c>
    </row>
    <row r="180" spans="1:6" ht="26.25" customHeight="1" x14ac:dyDescent="0.25">
      <c r="A180" s="39" t="s">
        <v>2527</v>
      </c>
      <c r="B180" s="37" t="s">
        <v>1238</v>
      </c>
    </row>
    <row r="181" spans="1:6" x14ac:dyDescent="0.25">
      <c r="B181" s="75" t="s">
        <v>1239</v>
      </c>
      <c r="C181" s="76" t="s">
        <v>15</v>
      </c>
      <c r="D181" s="40">
        <v>3</v>
      </c>
      <c r="E181" s="77">
        <v>100</v>
      </c>
      <c r="F181" s="78">
        <f>ROUND(D181*E181,2)</f>
        <v>300</v>
      </c>
    </row>
    <row r="183" spans="1:6" x14ac:dyDescent="0.25">
      <c r="A183" s="39" t="s">
        <v>2528</v>
      </c>
      <c r="B183" s="37" t="s">
        <v>1240</v>
      </c>
    </row>
    <row r="184" spans="1:6" x14ac:dyDescent="0.25">
      <c r="B184" s="75" t="s">
        <v>1241</v>
      </c>
      <c r="C184" s="76" t="s">
        <v>15</v>
      </c>
      <c r="D184" s="40">
        <v>3</v>
      </c>
      <c r="E184" s="77">
        <v>200</v>
      </c>
      <c r="F184" s="78">
        <f>ROUND(D184*E184,2)</f>
        <v>600</v>
      </c>
    </row>
    <row r="186" spans="1:6" ht="24" x14ac:dyDescent="0.25">
      <c r="A186" s="39" t="s">
        <v>2529</v>
      </c>
      <c r="B186" s="37" t="s">
        <v>1242</v>
      </c>
      <c r="C186" s="76" t="s">
        <v>15</v>
      </c>
      <c r="D186" s="40">
        <v>8</v>
      </c>
      <c r="E186" s="77">
        <v>80</v>
      </c>
      <c r="F186" s="78">
        <f>ROUND(D186*E186,2)</f>
        <v>640</v>
      </c>
    </row>
    <row r="187" spans="1:6" x14ac:dyDescent="0.25">
      <c r="B187" s="75"/>
      <c r="C187" s="38"/>
    </row>
    <row r="188" spans="1:6" ht="60" x14ac:dyDescent="0.25">
      <c r="A188" s="39" t="s">
        <v>2530</v>
      </c>
      <c r="B188" s="37" t="s">
        <v>1243</v>
      </c>
      <c r="C188" s="76" t="s">
        <v>19</v>
      </c>
      <c r="D188" s="40">
        <v>4</v>
      </c>
      <c r="E188" s="77">
        <v>100</v>
      </c>
      <c r="F188" s="78">
        <f>ROUND(D188*E188,2)</f>
        <v>400</v>
      </c>
    </row>
    <row r="189" spans="1:6" x14ac:dyDescent="0.25">
      <c r="B189" s="75"/>
      <c r="C189" s="38"/>
    </row>
    <row r="190" spans="1:6" ht="48" x14ac:dyDescent="0.25">
      <c r="A190" s="39" t="s">
        <v>2531</v>
      </c>
      <c r="B190" s="37" t="s">
        <v>2454</v>
      </c>
      <c r="C190" s="76" t="s">
        <v>19</v>
      </c>
      <c r="D190" s="40">
        <v>3</v>
      </c>
      <c r="E190" s="77">
        <v>100</v>
      </c>
      <c r="F190" s="78">
        <f>ROUND(D190*E190,2)</f>
        <v>300</v>
      </c>
    </row>
    <row r="191" spans="1:6" x14ac:dyDescent="0.25">
      <c r="B191" s="75"/>
      <c r="C191" s="38"/>
    </row>
    <row r="192" spans="1:6" x14ac:dyDescent="0.25">
      <c r="A192" s="39" t="s">
        <v>2532</v>
      </c>
      <c r="B192" s="37" t="s">
        <v>1244</v>
      </c>
    </row>
    <row r="193" spans="1:6" x14ac:dyDescent="0.25">
      <c r="B193" s="75" t="s">
        <v>1245</v>
      </c>
      <c r="C193" s="76" t="s">
        <v>15</v>
      </c>
      <c r="D193" s="40">
        <v>1</v>
      </c>
      <c r="E193" s="77">
        <v>100</v>
      </c>
      <c r="F193" s="78">
        <f>ROUND(D193*E193,2)</f>
        <v>100</v>
      </c>
    </row>
    <row r="195" spans="1:6" ht="24" x14ac:dyDescent="0.25">
      <c r="A195" s="39" t="s">
        <v>2533</v>
      </c>
      <c r="B195" s="37" t="s">
        <v>2455</v>
      </c>
      <c r="C195" s="76" t="s">
        <v>15</v>
      </c>
      <c r="D195" s="40">
        <v>44</v>
      </c>
      <c r="E195" s="77">
        <v>5</v>
      </c>
      <c r="F195" s="78">
        <f>ROUND(D195*E195,2)</f>
        <v>220</v>
      </c>
    </row>
    <row r="196" spans="1:6" x14ac:dyDescent="0.25">
      <c r="B196" s="75"/>
    </row>
    <row r="197" spans="1:6" ht="60" x14ac:dyDescent="0.25">
      <c r="A197" s="39" t="s">
        <v>2534</v>
      </c>
      <c r="B197" s="37" t="s">
        <v>1246</v>
      </c>
      <c r="C197" s="76" t="s">
        <v>19</v>
      </c>
      <c r="D197" s="40">
        <v>2</v>
      </c>
      <c r="E197" s="77">
        <v>400</v>
      </c>
      <c r="F197" s="78">
        <f>ROUND(D197*E197,2)</f>
        <v>800</v>
      </c>
    </row>
    <row r="198" spans="1:6" x14ac:dyDescent="0.25">
      <c r="B198" s="75"/>
    </row>
    <row r="199" spans="1:6" ht="36" x14ac:dyDescent="0.25">
      <c r="A199" s="39" t="s">
        <v>2535</v>
      </c>
      <c r="B199" s="37" t="s">
        <v>1247</v>
      </c>
      <c r="C199" s="76" t="s">
        <v>19</v>
      </c>
      <c r="D199" s="40">
        <v>4</v>
      </c>
      <c r="E199" s="77">
        <v>400</v>
      </c>
      <c r="F199" s="78">
        <f>ROUND(D199*E199,2)</f>
        <v>1600</v>
      </c>
    </row>
    <row r="200" spans="1:6" x14ac:dyDescent="0.25">
      <c r="B200" s="75"/>
      <c r="C200" s="38"/>
    </row>
    <row r="201" spans="1:6" ht="36" x14ac:dyDescent="0.25">
      <c r="A201" s="39" t="s">
        <v>2536</v>
      </c>
      <c r="B201" s="37" t="s">
        <v>1248</v>
      </c>
    </row>
    <row r="202" spans="1:6" x14ac:dyDescent="0.25">
      <c r="B202" s="75" t="s">
        <v>1249</v>
      </c>
      <c r="C202" s="76" t="s">
        <v>15</v>
      </c>
      <c r="D202" s="40">
        <v>2</v>
      </c>
      <c r="E202" s="77">
        <v>200</v>
      </c>
      <c r="F202" s="78">
        <f>ROUND(D202*E202,2)</f>
        <v>400</v>
      </c>
    </row>
    <row r="204" spans="1:6" ht="13.5" customHeight="1" x14ac:dyDescent="0.25">
      <c r="A204" s="39" t="s">
        <v>2537</v>
      </c>
      <c r="B204" s="37" t="s">
        <v>2456</v>
      </c>
    </row>
    <row r="205" spans="1:6" x14ac:dyDescent="0.25">
      <c r="B205" s="75" t="s">
        <v>1250</v>
      </c>
      <c r="C205" s="76" t="s">
        <v>15</v>
      </c>
      <c r="D205" s="40">
        <v>3</v>
      </c>
      <c r="E205" s="77">
        <v>68</v>
      </c>
      <c r="F205" s="78">
        <f>ROUND(D205*E205,2)</f>
        <v>204</v>
      </c>
    </row>
    <row r="207" spans="1:6" ht="133.5" customHeight="1" x14ac:dyDescent="0.25">
      <c r="A207" s="39" t="s">
        <v>2538</v>
      </c>
      <c r="B207" s="37" t="s">
        <v>2840</v>
      </c>
    </row>
    <row r="208" spans="1:6" x14ac:dyDescent="0.25">
      <c r="B208" s="75" t="s">
        <v>1251</v>
      </c>
      <c r="C208" s="76" t="s">
        <v>15</v>
      </c>
      <c r="D208" s="40">
        <v>4</v>
      </c>
      <c r="E208" s="77">
        <v>350</v>
      </c>
      <c r="F208" s="78">
        <f>ROUND(D208*E208,2)</f>
        <v>1400</v>
      </c>
    </row>
    <row r="210" spans="1:6" ht="36" x14ac:dyDescent="0.25">
      <c r="A210" s="39" t="s">
        <v>2539</v>
      </c>
      <c r="B210" s="37" t="s">
        <v>3031</v>
      </c>
      <c r="C210" s="76" t="s">
        <v>19</v>
      </c>
      <c r="D210" s="40">
        <v>1</v>
      </c>
      <c r="E210" s="77">
        <v>800</v>
      </c>
      <c r="F210" s="78">
        <f>ROUND(D210*E210,2)</f>
        <v>800</v>
      </c>
    </row>
    <row r="212" spans="1:6" x14ac:dyDescent="0.25">
      <c r="A212" s="91" t="s">
        <v>2522</v>
      </c>
      <c r="B212" s="92" t="s">
        <v>1252</v>
      </c>
      <c r="C212" s="91"/>
      <c r="D212" s="91"/>
      <c r="E212" s="122"/>
      <c r="F212" s="96">
        <f>SUM(F161:F210)</f>
        <v>14465</v>
      </c>
    </row>
    <row r="214" spans="1:6" x14ac:dyDescent="0.25">
      <c r="A214" s="91" t="s">
        <v>2540</v>
      </c>
      <c r="B214" s="92" t="s">
        <v>1219</v>
      </c>
      <c r="C214" s="91"/>
      <c r="D214" s="91"/>
      <c r="E214" s="122"/>
      <c r="F214" s="91"/>
    </row>
    <row r="216" spans="1:6" ht="36" x14ac:dyDescent="0.25">
      <c r="A216" s="39" t="s">
        <v>2541</v>
      </c>
      <c r="B216" s="37" t="s">
        <v>1253</v>
      </c>
      <c r="C216" s="76" t="s">
        <v>19</v>
      </c>
      <c r="D216" s="40">
        <v>1</v>
      </c>
      <c r="E216" s="77">
        <v>500</v>
      </c>
      <c r="F216" s="78">
        <f>ROUND(D216*E216,2)</f>
        <v>500</v>
      </c>
    </row>
    <row r="218" spans="1:6" x14ac:dyDescent="0.25">
      <c r="A218" s="91" t="s">
        <v>2540</v>
      </c>
      <c r="B218" s="92" t="s">
        <v>1221</v>
      </c>
      <c r="C218" s="91"/>
      <c r="D218" s="91"/>
      <c r="E218" s="122"/>
      <c r="F218" s="96">
        <f>SUM($F$216)</f>
        <v>500</v>
      </c>
    </row>
    <row r="221" spans="1:6" x14ac:dyDescent="0.25">
      <c r="A221" s="91" t="s">
        <v>2474</v>
      </c>
      <c r="B221" s="92" t="s">
        <v>1254</v>
      </c>
      <c r="C221" s="91"/>
      <c r="D221" s="91"/>
      <c r="E221" s="122"/>
      <c r="F221" s="96">
        <f>SUM(F218,F212,F157)</f>
        <v>15715</v>
      </c>
    </row>
    <row r="224" spans="1:6" x14ac:dyDescent="0.25">
      <c r="A224" s="141" t="s">
        <v>2542</v>
      </c>
      <c r="B224" s="142" t="s">
        <v>1255</v>
      </c>
      <c r="C224" s="141"/>
      <c r="D224" s="141"/>
      <c r="E224" s="143"/>
      <c r="F224" s="141"/>
    </row>
    <row r="226" spans="1:6" x14ac:dyDescent="0.25">
      <c r="A226" s="91" t="s">
        <v>2543</v>
      </c>
      <c r="B226" s="92" t="s">
        <v>1256</v>
      </c>
      <c r="C226" s="91"/>
      <c r="D226" s="91"/>
      <c r="E226" s="122"/>
      <c r="F226" s="91"/>
    </row>
    <row r="228" spans="1:6" ht="39.75" customHeight="1" x14ac:dyDescent="0.25">
      <c r="A228" s="39" t="s">
        <v>2544</v>
      </c>
      <c r="B228" s="37" t="s">
        <v>1257</v>
      </c>
    </row>
    <row r="229" spans="1:6" x14ac:dyDescent="0.25">
      <c r="B229" s="75" t="s">
        <v>1258</v>
      </c>
      <c r="C229" s="76" t="s">
        <v>13</v>
      </c>
      <c r="D229" s="40">
        <v>35</v>
      </c>
      <c r="E229" s="77">
        <v>20</v>
      </c>
      <c r="F229" s="78">
        <f>ROUND(D229*E229,2)</f>
        <v>700</v>
      </c>
    </row>
    <row r="231" spans="1:6" x14ac:dyDescent="0.25">
      <c r="A231" s="91" t="s">
        <v>2543</v>
      </c>
      <c r="B231" s="92" t="s">
        <v>1259</v>
      </c>
      <c r="C231" s="91"/>
      <c r="D231" s="91"/>
      <c r="E231" s="122"/>
      <c r="F231" s="96">
        <f>SUM($F$229)</f>
        <v>700</v>
      </c>
    </row>
    <row r="233" spans="1:6" x14ac:dyDescent="0.25">
      <c r="A233" s="91" t="s">
        <v>2545</v>
      </c>
      <c r="B233" s="92" t="s">
        <v>1198</v>
      </c>
      <c r="C233" s="91"/>
      <c r="D233" s="91"/>
      <c r="E233" s="122"/>
      <c r="F233" s="91"/>
    </row>
    <row r="235" spans="1:6" ht="60" x14ac:dyDescent="0.25">
      <c r="A235" s="39" t="s">
        <v>2546</v>
      </c>
      <c r="B235" s="37" t="s">
        <v>2457</v>
      </c>
    </row>
    <row r="236" spans="1:6" x14ac:dyDescent="0.25">
      <c r="B236" s="75" t="s">
        <v>1260</v>
      </c>
      <c r="C236" s="76" t="s">
        <v>13</v>
      </c>
      <c r="D236" s="40">
        <v>40</v>
      </c>
      <c r="E236" s="77">
        <v>20</v>
      </c>
      <c r="F236" s="78">
        <f>ROUND(D236*E236,2)</f>
        <v>800</v>
      </c>
    </row>
    <row r="237" spans="1:6" x14ac:dyDescent="0.25">
      <c r="B237" s="75" t="s">
        <v>1261</v>
      </c>
      <c r="C237" s="76" t="s">
        <v>13</v>
      </c>
      <c r="D237" s="40">
        <v>14</v>
      </c>
      <c r="E237" s="77">
        <v>25</v>
      </c>
      <c r="F237" s="78">
        <f>ROUND(D237*E237,2)</f>
        <v>350</v>
      </c>
    </row>
    <row r="238" spans="1:6" x14ac:dyDescent="0.25">
      <c r="B238" s="75" t="s">
        <v>1262</v>
      </c>
      <c r="C238" s="76" t="s">
        <v>13</v>
      </c>
      <c r="D238" s="40">
        <v>48</v>
      </c>
      <c r="E238" s="77">
        <v>30</v>
      </c>
      <c r="F238" s="78">
        <f>ROUND(D238*E238,2)</f>
        <v>1440</v>
      </c>
    </row>
    <row r="240" spans="1:6" ht="60" x14ac:dyDescent="0.25">
      <c r="A240" s="39" t="s">
        <v>2547</v>
      </c>
      <c r="B240" s="37" t="s">
        <v>2458</v>
      </c>
    </row>
    <row r="241" spans="1:6" x14ac:dyDescent="0.25">
      <c r="B241" s="75" t="s">
        <v>1260</v>
      </c>
      <c r="C241" s="76" t="s">
        <v>13</v>
      </c>
      <c r="D241" s="40">
        <v>70</v>
      </c>
      <c r="E241" s="77">
        <v>20</v>
      </c>
      <c r="F241" s="78">
        <f>ROUND(D241*E241,2)</f>
        <v>1400</v>
      </c>
    </row>
    <row r="242" spans="1:6" x14ac:dyDescent="0.25">
      <c r="B242" s="75" t="s">
        <v>1261</v>
      </c>
      <c r="C242" s="76" t="s">
        <v>13</v>
      </c>
      <c r="D242" s="40">
        <v>18</v>
      </c>
      <c r="E242" s="77">
        <v>25</v>
      </c>
      <c r="F242" s="78">
        <f>ROUND(D242*E242,2)</f>
        <v>450</v>
      </c>
    </row>
    <row r="243" spans="1:6" x14ac:dyDescent="0.25">
      <c r="B243" s="75" t="s">
        <v>1262</v>
      </c>
      <c r="C243" s="76" t="s">
        <v>13</v>
      </c>
      <c r="D243" s="40">
        <v>29</v>
      </c>
      <c r="E243" s="77">
        <v>30</v>
      </c>
      <c r="F243" s="78">
        <f>ROUND(D243*E243,2)</f>
        <v>870</v>
      </c>
    </row>
    <row r="245" spans="1:6" ht="24" x14ac:dyDescent="0.25">
      <c r="A245" s="39" t="s">
        <v>2548</v>
      </c>
      <c r="B245" s="37" t="s">
        <v>2459</v>
      </c>
    </row>
    <row r="246" spans="1:6" x14ac:dyDescent="0.25">
      <c r="B246" s="75" t="s">
        <v>1263</v>
      </c>
      <c r="C246" s="76" t="s">
        <v>13</v>
      </c>
      <c r="D246" s="40">
        <v>70</v>
      </c>
      <c r="E246" s="77">
        <v>3</v>
      </c>
      <c r="F246" s="78">
        <f>ROUND(D246*E246,2)</f>
        <v>210</v>
      </c>
    </row>
    <row r="247" spans="1:6" x14ac:dyDescent="0.25">
      <c r="B247" s="75" t="s">
        <v>1264</v>
      </c>
      <c r="C247" s="76" t="s">
        <v>13</v>
      </c>
      <c r="D247" s="40">
        <v>18</v>
      </c>
      <c r="E247" s="77">
        <v>5</v>
      </c>
      <c r="F247" s="78">
        <f>ROUND(D247*E247,2)</f>
        <v>90</v>
      </c>
    </row>
    <row r="248" spans="1:6" x14ac:dyDescent="0.25">
      <c r="B248" s="75" t="s">
        <v>1265</v>
      </c>
      <c r="C248" s="76" t="s">
        <v>13</v>
      </c>
      <c r="D248" s="40">
        <v>29</v>
      </c>
      <c r="E248" s="77">
        <v>7</v>
      </c>
      <c r="F248" s="78">
        <f>ROUND(D248*E248,2)</f>
        <v>203</v>
      </c>
    </row>
    <row r="250" spans="1:6" ht="28.5" customHeight="1" x14ac:dyDescent="0.25">
      <c r="A250" s="39" t="s">
        <v>2549</v>
      </c>
      <c r="B250" s="37" t="s">
        <v>2460</v>
      </c>
    </row>
    <row r="251" spans="1:6" x14ac:dyDescent="0.25">
      <c r="B251" s="75" t="s">
        <v>1266</v>
      </c>
      <c r="C251" s="76" t="s">
        <v>13</v>
      </c>
      <c r="D251" s="40">
        <v>40</v>
      </c>
      <c r="E251" s="77">
        <v>2</v>
      </c>
      <c r="F251" s="78">
        <f>ROUND(D251*E251,2)</f>
        <v>80</v>
      </c>
    </row>
    <row r="252" spans="1:6" x14ac:dyDescent="0.25">
      <c r="B252" s="75" t="s">
        <v>1267</v>
      </c>
      <c r="C252" s="76" t="s">
        <v>13</v>
      </c>
      <c r="D252" s="40">
        <v>14</v>
      </c>
      <c r="E252" s="77">
        <v>4</v>
      </c>
      <c r="F252" s="78">
        <f>ROUND(D252*E252,2)</f>
        <v>56</v>
      </c>
    </row>
    <row r="253" spans="1:6" x14ac:dyDescent="0.25">
      <c r="B253" s="75" t="s">
        <v>1268</v>
      </c>
      <c r="C253" s="76" t="s">
        <v>13</v>
      </c>
      <c r="D253" s="40">
        <v>48</v>
      </c>
      <c r="E253" s="77">
        <v>6</v>
      </c>
      <c r="F253" s="78">
        <f>ROUND(D253*E253,2)</f>
        <v>288</v>
      </c>
    </row>
    <row r="255" spans="1:6" x14ac:dyDescent="0.25">
      <c r="A255" s="39" t="s">
        <v>2550</v>
      </c>
      <c r="B255" s="37" t="s">
        <v>1269</v>
      </c>
    </row>
    <row r="256" spans="1:6" x14ac:dyDescent="0.25">
      <c r="B256" s="75" t="s">
        <v>1270</v>
      </c>
      <c r="C256" s="76" t="s">
        <v>15</v>
      </c>
      <c r="D256" s="40">
        <v>4</v>
      </c>
      <c r="E256" s="77">
        <v>30</v>
      </c>
      <c r="F256" s="78">
        <f>ROUND(D256*E256,2)</f>
        <v>120</v>
      </c>
    </row>
    <row r="258" spans="1:6" x14ac:dyDescent="0.25">
      <c r="A258" s="39" t="s">
        <v>2551</v>
      </c>
      <c r="B258" s="37" t="s">
        <v>1271</v>
      </c>
    </row>
    <row r="259" spans="1:6" x14ac:dyDescent="0.25">
      <c r="B259" s="75" t="s">
        <v>1272</v>
      </c>
      <c r="C259" s="76" t="s">
        <v>15</v>
      </c>
      <c r="D259" s="40">
        <v>51</v>
      </c>
      <c r="E259" s="77">
        <v>20</v>
      </c>
      <c r="F259" s="78">
        <f>ROUND(D259*E259,2)</f>
        <v>1020</v>
      </c>
    </row>
    <row r="261" spans="1:6" ht="15" customHeight="1" x14ac:dyDescent="0.25">
      <c r="A261" s="39" t="s">
        <v>2552</v>
      </c>
      <c r="B261" s="37" t="s">
        <v>1273</v>
      </c>
    </row>
    <row r="262" spans="1:6" x14ac:dyDescent="0.25">
      <c r="B262" s="75" t="s">
        <v>1274</v>
      </c>
      <c r="C262" s="76" t="s">
        <v>15</v>
      </c>
      <c r="D262" s="40">
        <v>2</v>
      </c>
      <c r="E262" s="77">
        <v>20</v>
      </c>
      <c r="F262" s="78">
        <f>ROUND(D262*E262,2)</f>
        <v>40</v>
      </c>
    </row>
    <row r="263" spans="1:6" x14ac:dyDescent="0.25">
      <c r="B263" s="75" t="s">
        <v>1275</v>
      </c>
      <c r="C263" s="76" t="s">
        <v>15</v>
      </c>
      <c r="D263" s="40">
        <v>6</v>
      </c>
      <c r="E263" s="77">
        <v>25</v>
      </c>
      <c r="F263" s="78">
        <f>ROUND(D263*E263,2)</f>
        <v>150</v>
      </c>
    </row>
    <row r="265" spans="1:6" ht="39.75" customHeight="1" x14ac:dyDescent="0.25">
      <c r="A265" s="39" t="s">
        <v>2553</v>
      </c>
      <c r="B265" s="37" t="s">
        <v>2461</v>
      </c>
      <c r="C265" s="76" t="s">
        <v>15</v>
      </c>
      <c r="D265" s="40">
        <v>55</v>
      </c>
      <c r="E265" s="77">
        <v>3</v>
      </c>
      <c r="F265" s="78">
        <f>ROUND(D265*E265,2)</f>
        <v>165</v>
      </c>
    </row>
    <row r="267" spans="1:6" ht="48" x14ac:dyDescent="0.25">
      <c r="A267" s="39" t="s">
        <v>2554</v>
      </c>
      <c r="B267" s="37" t="s">
        <v>1276</v>
      </c>
      <c r="C267" s="76" t="s">
        <v>19</v>
      </c>
      <c r="D267" s="40">
        <v>1</v>
      </c>
      <c r="E267" s="77">
        <v>80</v>
      </c>
      <c r="F267" s="78">
        <f>ROUND(D267*E267,2)</f>
        <v>80</v>
      </c>
    </row>
    <row r="269" spans="1:6" ht="108" x14ac:dyDescent="0.25">
      <c r="A269" s="39" t="s">
        <v>2555</v>
      </c>
      <c r="B269" s="37" t="s">
        <v>1277</v>
      </c>
      <c r="C269" s="76" t="s">
        <v>19</v>
      </c>
      <c r="D269" s="40">
        <v>1</v>
      </c>
      <c r="E269" s="77">
        <v>300</v>
      </c>
      <c r="F269" s="78">
        <f>ROUND(D269*E269,2)</f>
        <v>300</v>
      </c>
    </row>
    <row r="271" spans="1:6" ht="36" x14ac:dyDescent="0.25">
      <c r="A271" s="39" t="s">
        <v>2556</v>
      </c>
      <c r="B271" s="37" t="s">
        <v>2462</v>
      </c>
    </row>
    <row r="272" spans="1:6" x14ac:dyDescent="0.25">
      <c r="B272" s="75" t="s">
        <v>1278</v>
      </c>
      <c r="C272" s="76" t="s">
        <v>19</v>
      </c>
      <c r="D272" s="40">
        <v>1</v>
      </c>
      <c r="E272" s="77">
        <v>100</v>
      </c>
      <c r="F272" s="78">
        <f>ROUND(D272*E272,2)</f>
        <v>100</v>
      </c>
    </row>
    <row r="274" spans="1:6" ht="24" x14ac:dyDescent="0.25">
      <c r="A274" s="39" t="s">
        <v>2557</v>
      </c>
      <c r="B274" s="37" t="s">
        <v>1279</v>
      </c>
      <c r="C274" s="76" t="s">
        <v>19</v>
      </c>
      <c r="D274" s="40">
        <v>1</v>
      </c>
      <c r="E274" s="77">
        <v>500</v>
      </c>
      <c r="F274" s="78">
        <f>ROUND(D274*E274,2)</f>
        <v>500</v>
      </c>
    </row>
    <row r="275" spans="1:6" x14ac:dyDescent="0.25">
      <c r="B275" s="75"/>
    </row>
    <row r="276" spans="1:6" ht="24" x14ac:dyDescent="0.25">
      <c r="A276" s="39" t="s">
        <v>2558</v>
      </c>
      <c r="B276" s="37" t="s">
        <v>1280</v>
      </c>
      <c r="C276" s="38"/>
    </row>
    <row r="277" spans="1:6" x14ac:dyDescent="0.25">
      <c r="B277" s="75" t="s">
        <v>1281</v>
      </c>
      <c r="C277" s="76" t="s">
        <v>15</v>
      </c>
      <c r="D277" s="40">
        <v>3</v>
      </c>
      <c r="E277" s="77">
        <v>35</v>
      </c>
      <c r="F277" s="78">
        <f>ROUND(D277*E277,2)</f>
        <v>105</v>
      </c>
    </row>
    <row r="279" spans="1:6" ht="24" x14ac:dyDescent="0.25">
      <c r="A279" s="39" t="s">
        <v>2559</v>
      </c>
      <c r="B279" s="37" t="s">
        <v>1282</v>
      </c>
      <c r="C279" s="76" t="s">
        <v>19</v>
      </c>
      <c r="D279" s="40">
        <v>1</v>
      </c>
      <c r="E279" s="77">
        <v>250</v>
      </c>
      <c r="F279" s="78">
        <f>ROUND(D279*E279,2)</f>
        <v>250</v>
      </c>
    </row>
    <row r="280" spans="1:6" x14ac:dyDescent="0.25">
      <c r="B280" s="75"/>
    </row>
    <row r="281" spans="1:6" x14ac:dyDescent="0.25">
      <c r="A281" s="39" t="s">
        <v>2560</v>
      </c>
      <c r="B281" s="37" t="s">
        <v>1283</v>
      </c>
      <c r="C281" s="76" t="s">
        <v>19</v>
      </c>
      <c r="D281" s="40">
        <v>1</v>
      </c>
      <c r="E281" s="77">
        <v>250</v>
      </c>
      <c r="F281" s="78">
        <f>ROUND(D281*E281,2)</f>
        <v>250</v>
      </c>
    </row>
    <row r="282" spans="1:6" x14ac:dyDescent="0.25">
      <c r="B282" s="75"/>
    </row>
    <row r="283" spans="1:6" ht="27" customHeight="1" x14ac:dyDescent="0.25">
      <c r="A283" s="39" t="s">
        <v>2561</v>
      </c>
      <c r="B283" s="37" t="s">
        <v>3032</v>
      </c>
      <c r="C283" s="76" t="s">
        <v>19</v>
      </c>
      <c r="D283" s="40">
        <v>6</v>
      </c>
      <c r="E283" s="77">
        <v>200</v>
      </c>
      <c r="F283" s="78">
        <f>ROUND(D283*E283,2)</f>
        <v>1200</v>
      </c>
    </row>
    <row r="285" spans="1:6" x14ac:dyDescent="0.25">
      <c r="A285" s="91" t="s">
        <v>2545</v>
      </c>
      <c r="B285" s="92" t="s">
        <v>1209</v>
      </c>
      <c r="C285" s="91"/>
      <c r="D285" s="91"/>
      <c r="E285" s="122"/>
      <c r="F285" s="96">
        <f>SUM(F235:F283)</f>
        <v>10517</v>
      </c>
    </row>
    <row r="287" spans="1:6" x14ac:dyDescent="0.25">
      <c r="A287" s="91" t="s">
        <v>2562</v>
      </c>
      <c r="B287" s="92" t="s">
        <v>1219</v>
      </c>
      <c r="C287" s="91"/>
      <c r="D287" s="91"/>
      <c r="E287" s="122"/>
      <c r="F287" s="91"/>
    </row>
    <row r="289" spans="1:6" ht="36" x14ac:dyDescent="0.25">
      <c r="A289" s="39" t="s">
        <v>2563</v>
      </c>
      <c r="B289" s="37" t="s">
        <v>1253</v>
      </c>
      <c r="C289" s="76" t="s">
        <v>19</v>
      </c>
      <c r="D289" s="40">
        <v>1</v>
      </c>
      <c r="E289" s="77">
        <v>500</v>
      </c>
      <c r="F289" s="78">
        <f>ROUND(D289*E289,2)</f>
        <v>500</v>
      </c>
    </row>
    <row r="291" spans="1:6" x14ac:dyDescent="0.25">
      <c r="A291" s="91" t="s">
        <v>2562</v>
      </c>
      <c r="B291" s="92" t="s">
        <v>1221</v>
      </c>
      <c r="C291" s="91"/>
      <c r="D291" s="91"/>
      <c r="E291" s="122"/>
      <c r="F291" s="96">
        <f>SUM($F$289)</f>
        <v>500</v>
      </c>
    </row>
    <row r="294" spans="1:6" x14ac:dyDescent="0.25">
      <c r="A294" s="91" t="s">
        <v>2542</v>
      </c>
      <c r="B294" s="92" t="s">
        <v>1284</v>
      </c>
      <c r="C294" s="91"/>
      <c r="D294" s="91"/>
      <c r="E294" s="122"/>
      <c r="F294" s="96">
        <f>SUM(F291,F285,F231)</f>
        <v>11717</v>
      </c>
    </row>
    <row r="297" spans="1:6" x14ac:dyDescent="0.25">
      <c r="A297" s="141" t="s">
        <v>2564</v>
      </c>
      <c r="B297" s="142" t="s">
        <v>1285</v>
      </c>
      <c r="C297" s="141"/>
      <c r="D297" s="141"/>
      <c r="E297" s="143"/>
      <c r="F297" s="141"/>
    </row>
    <row r="299" spans="1:6" ht="160.5" customHeight="1" x14ac:dyDescent="0.25">
      <c r="A299" s="39" t="s">
        <v>2565</v>
      </c>
      <c r="B299" s="37" t="s">
        <v>1286</v>
      </c>
    </row>
    <row r="300" spans="1:6" ht="48" x14ac:dyDescent="0.25">
      <c r="B300" s="37" t="s">
        <v>2463</v>
      </c>
      <c r="C300" s="76" t="s">
        <v>19</v>
      </c>
      <c r="D300" s="40">
        <v>1</v>
      </c>
      <c r="E300" s="77">
        <v>1400</v>
      </c>
      <c r="F300" s="78">
        <f>ROUND(D300*E300,2)</f>
        <v>1400</v>
      </c>
    </row>
    <row r="301" spans="1:6" x14ac:dyDescent="0.25">
      <c r="B301" s="75"/>
      <c r="C301" s="38"/>
    </row>
    <row r="302" spans="1:6" ht="161.25" customHeight="1" x14ac:dyDescent="0.25">
      <c r="A302" s="39" t="s">
        <v>2566</v>
      </c>
      <c r="B302" s="37" t="s">
        <v>1287</v>
      </c>
    </row>
    <row r="303" spans="1:6" ht="48" x14ac:dyDescent="0.25">
      <c r="B303" s="37" t="s">
        <v>2464</v>
      </c>
      <c r="C303" s="76" t="s">
        <v>19</v>
      </c>
      <c r="D303" s="40">
        <v>1</v>
      </c>
      <c r="E303" s="77">
        <v>1000</v>
      </c>
      <c r="F303" s="78">
        <f>ROUND(D303*E303,2)</f>
        <v>1000</v>
      </c>
    </row>
    <row r="304" spans="1:6" x14ac:dyDescent="0.25">
      <c r="B304" s="75"/>
      <c r="C304" s="38"/>
    </row>
    <row r="305" spans="1:6" ht="136.5" customHeight="1" x14ac:dyDescent="0.25">
      <c r="A305" s="39" t="s">
        <v>2567</v>
      </c>
      <c r="B305" s="37" t="s">
        <v>1288</v>
      </c>
    </row>
    <row r="306" spans="1:6" ht="40.5" customHeight="1" x14ac:dyDescent="0.25">
      <c r="B306" s="99" t="s">
        <v>2465</v>
      </c>
      <c r="C306" s="76" t="s">
        <v>19</v>
      </c>
      <c r="D306" s="40">
        <v>8</v>
      </c>
      <c r="E306" s="77">
        <v>900</v>
      </c>
      <c r="F306" s="78">
        <f>ROUND(D306*E306,2)</f>
        <v>7200</v>
      </c>
    </row>
    <row r="308" spans="1:6" ht="137.25" customHeight="1" x14ac:dyDescent="0.25">
      <c r="A308" s="39" t="s">
        <v>2568</v>
      </c>
      <c r="B308" s="37" t="s">
        <v>2466</v>
      </c>
      <c r="C308" s="76" t="s">
        <v>19</v>
      </c>
      <c r="D308" s="40">
        <v>11</v>
      </c>
      <c r="E308" s="77">
        <v>600</v>
      </c>
      <c r="F308" s="78">
        <f>ROUND(D308*E308,2)</f>
        <v>6600</v>
      </c>
    </row>
    <row r="309" spans="1:6" x14ac:dyDescent="0.25">
      <c r="B309" s="37"/>
      <c r="C309" s="38"/>
    </row>
    <row r="310" spans="1:6" ht="99" customHeight="1" x14ac:dyDescent="0.25">
      <c r="A310" s="39" t="s">
        <v>2569</v>
      </c>
      <c r="B310" s="37" t="s">
        <v>2467</v>
      </c>
      <c r="C310" s="76" t="s">
        <v>19</v>
      </c>
      <c r="D310" s="40">
        <v>2</v>
      </c>
      <c r="E310" s="77">
        <v>1000</v>
      </c>
      <c r="F310" s="78">
        <f>ROUND(D310*E310,2)</f>
        <v>2000</v>
      </c>
    </row>
    <row r="311" spans="1:6" x14ac:dyDescent="0.25">
      <c r="B311" s="75"/>
      <c r="C311" s="38"/>
    </row>
    <row r="312" spans="1:6" ht="158.25" customHeight="1" x14ac:dyDescent="0.25">
      <c r="A312" s="39" t="s">
        <v>2570</v>
      </c>
      <c r="B312" s="37" t="s">
        <v>1289</v>
      </c>
      <c r="C312" s="76" t="s">
        <v>19</v>
      </c>
      <c r="D312" s="40">
        <v>3</v>
      </c>
      <c r="E312" s="77">
        <v>1200</v>
      </c>
      <c r="F312" s="78">
        <f>ROUND(D312*E312,2)</f>
        <v>3600</v>
      </c>
    </row>
    <row r="313" spans="1:6" x14ac:dyDescent="0.25">
      <c r="B313" s="75"/>
      <c r="C313" s="38"/>
    </row>
    <row r="314" spans="1:6" ht="14.25" customHeight="1" x14ac:dyDescent="0.25">
      <c r="A314" s="39" t="s">
        <v>2571</v>
      </c>
      <c r="B314" s="37" t="s">
        <v>1290</v>
      </c>
    </row>
    <row r="315" spans="1:6" ht="16.5" customHeight="1" x14ac:dyDescent="0.25">
      <c r="B315" s="37" t="s">
        <v>2468</v>
      </c>
      <c r="C315" s="76" t="s">
        <v>15</v>
      </c>
      <c r="D315" s="40">
        <v>14</v>
      </c>
      <c r="E315" s="77">
        <v>50</v>
      </c>
      <c r="F315" s="78">
        <f t="shared" ref="F315:F320" si="1">ROUND(D315*E315,2)</f>
        <v>700</v>
      </c>
    </row>
    <row r="316" spans="1:6" ht="15" customHeight="1" x14ac:dyDescent="0.25">
      <c r="B316" s="37" t="s">
        <v>2469</v>
      </c>
      <c r="C316" s="76" t="s">
        <v>15</v>
      </c>
      <c r="D316" s="40">
        <v>12</v>
      </c>
      <c r="E316" s="77">
        <v>80</v>
      </c>
      <c r="F316" s="78">
        <f t="shared" si="1"/>
        <v>960</v>
      </c>
    </row>
    <row r="317" spans="1:6" ht="15.75" customHeight="1" x14ac:dyDescent="0.25">
      <c r="B317" s="37" t="s">
        <v>2470</v>
      </c>
      <c r="C317" s="76" t="s">
        <v>15</v>
      </c>
      <c r="D317" s="40">
        <v>12</v>
      </c>
      <c r="E317" s="77">
        <v>50</v>
      </c>
      <c r="F317" s="78">
        <f t="shared" si="1"/>
        <v>600</v>
      </c>
    </row>
    <row r="318" spans="1:6" ht="15" customHeight="1" x14ac:dyDescent="0.25">
      <c r="B318" s="37" t="s">
        <v>2471</v>
      </c>
      <c r="C318" s="76" t="s">
        <v>15</v>
      </c>
      <c r="D318" s="40">
        <v>2</v>
      </c>
      <c r="E318" s="77">
        <v>50</v>
      </c>
      <c r="F318" s="78">
        <f t="shared" si="1"/>
        <v>100</v>
      </c>
    </row>
    <row r="319" spans="1:6" ht="15.75" customHeight="1" x14ac:dyDescent="0.25">
      <c r="B319" s="37" t="s">
        <v>2472</v>
      </c>
      <c r="C319" s="76" t="s">
        <v>15</v>
      </c>
      <c r="D319" s="40">
        <v>12</v>
      </c>
      <c r="E319" s="77">
        <v>50</v>
      </c>
      <c r="F319" s="78">
        <f t="shared" si="1"/>
        <v>600</v>
      </c>
    </row>
    <row r="320" spans="1:6" ht="15.75" customHeight="1" x14ac:dyDescent="0.25">
      <c r="B320" s="37" t="s">
        <v>2473</v>
      </c>
      <c r="C320" s="76" t="s">
        <v>15</v>
      </c>
      <c r="D320" s="40">
        <v>9</v>
      </c>
      <c r="E320" s="77">
        <v>50</v>
      </c>
      <c r="F320" s="78">
        <f t="shared" si="1"/>
        <v>450</v>
      </c>
    </row>
    <row r="322" spans="1:6" x14ac:dyDescent="0.25">
      <c r="A322" s="91" t="s">
        <v>2564</v>
      </c>
      <c r="B322" s="92" t="s">
        <v>1291</v>
      </c>
      <c r="C322" s="91"/>
      <c r="D322" s="91"/>
      <c r="E322" s="122"/>
      <c r="F322" s="96">
        <f>SUM(F300:F320)</f>
        <v>25210</v>
      </c>
    </row>
    <row r="325" spans="1:6" x14ac:dyDescent="0.25">
      <c r="A325" s="141" t="s">
        <v>2572</v>
      </c>
      <c r="B325" s="142" t="s">
        <v>669</v>
      </c>
      <c r="C325" s="141"/>
      <c r="D325" s="141"/>
      <c r="E325" s="143"/>
      <c r="F325" s="141"/>
    </row>
    <row r="327" spans="1:6" ht="41.25" customHeight="1" x14ac:dyDescent="0.25">
      <c r="A327" s="39" t="s">
        <v>2573</v>
      </c>
      <c r="B327" s="37" t="s">
        <v>1292</v>
      </c>
      <c r="C327" s="76" t="s">
        <v>19</v>
      </c>
      <c r="D327" s="40">
        <v>1</v>
      </c>
      <c r="E327" s="77">
        <v>500</v>
      </c>
      <c r="F327" s="78">
        <f>ROUND(D327*E327,2)</f>
        <v>500</v>
      </c>
    </row>
    <row r="329" spans="1:6" ht="36" x14ac:dyDescent="0.25">
      <c r="A329" s="39" t="s">
        <v>2574</v>
      </c>
      <c r="B329" s="37" t="s">
        <v>1293</v>
      </c>
      <c r="C329" s="76" t="s">
        <v>19</v>
      </c>
      <c r="D329" s="40">
        <v>1</v>
      </c>
      <c r="E329" s="77">
        <v>500</v>
      </c>
      <c r="F329" s="78">
        <f>ROUND(D329*E329,2)</f>
        <v>500</v>
      </c>
    </row>
    <row r="330" spans="1:6" x14ac:dyDescent="0.25">
      <c r="B330" s="75"/>
    </row>
    <row r="331" spans="1:6" ht="36" x14ac:dyDescent="0.25">
      <c r="A331" s="39" t="s">
        <v>2575</v>
      </c>
      <c r="B331" s="37" t="s">
        <v>1294</v>
      </c>
      <c r="C331" s="76" t="s">
        <v>19</v>
      </c>
      <c r="D331" s="40">
        <v>1</v>
      </c>
      <c r="E331" s="77">
        <v>300</v>
      </c>
      <c r="F331" s="78">
        <f>ROUND(D331*E331,2)</f>
        <v>300</v>
      </c>
    </row>
    <row r="332" spans="1:6" x14ac:dyDescent="0.25">
      <c r="B332" s="75"/>
    </row>
    <row r="333" spans="1:6" ht="36" x14ac:dyDescent="0.25">
      <c r="A333" s="39" t="s">
        <v>2576</v>
      </c>
      <c r="B333" s="37" t="s">
        <v>1295</v>
      </c>
      <c r="C333" s="76" t="s">
        <v>19</v>
      </c>
      <c r="D333" s="40">
        <v>1</v>
      </c>
      <c r="E333" s="77">
        <v>200</v>
      </c>
      <c r="F333" s="78">
        <f>ROUND(D333*E333,2)</f>
        <v>200</v>
      </c>
    </row>
    <row r="334" spans="1:6" x14ac:dyDescent="0.25">
      <c r="A334" s="39"/>
      <c r="B334" s="37"/>
      <c r="D334" s="40"/>
      <c r="E334" s="77"/>
      <c r="F334" s="78"/>
    </row>
    <row r="335" spans="1:6" x14ac:dyDescent="0.25">
      <c r="A335" s="91" t="s">
        <v>2572</v>
      </c>
      <c r="B335" s="92" t="s">
        <v>670</v>
      </c>
      <c r="C335" s="91"/>
      <c r="D335" s="91"/>
      <c r="E335" s="122"/>
      <c r="F335" s="96">
        <f>SUM(F327:F334)</f>
        <v>1500</v>
      </c>
    </row>
    <row r="338" spans="1:6" x14ac:dyDescent="0.25">
      <c r="A338" s="113" t="s">
        <v>1163</v>
      </c>
      <c r="B338" s="116" t="s">
        <v>1296</v>
      </c>
      <c r="C338" s="113"/>
      <c r="D338" s="113"/>
      <c r="E338" s="128"/>
      <c r="F338" s="114">
        <f>SUM(F335,F322,F294,F221,F147)</f>
        <v>121338</v>
      </c>
    </row>
  </sheetData>
  <sheetProtection algorithmName="SHA-512" hashValue="f4RrxyCZbIZHk5o/zSWt9eA0D7KWZQe+KrEc/N6FsqP+RVL9v6wLuuWu4qxu6zK7oDgBDqvNFFkEIa/VXxDJfQ==" saltValue="N00J0Y87cjy2E4F0M2eS5Q==" spinCount="100000" sheet="1" objects="1" scenarios="1"/>
  <pageMargins left="0.6" right="0.6"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85"/>
  <sheetViews>
    <sheetView topLeftCell="B268" zoomScale="85" zoomScaleNormal="85" workbookViewId="0">
      <selection activeCell="C262" sqref="C262"/>
    </sheetView>
  </sheetViews>
  <sheetFormatPr defaultColWidth="9.109375" defaultRowHeight="12" x14ac:dyDescent="0.25"/>
  <cols>
    <col min="1" max="1" width="10.6640625" style="38" customWidth="1"/>
    <col min="2" max="2" width="60.6640625" style="74" customWidth="1"/>
    <col min="3" max="3" width="10.6640625" style="76" customWidth="1"/>
    <col min="4" max="4" width="10.6640625" style="38" customWidth="1"/>
    <col min="5" max="5" width="15.6640625" style="120" customWidth="1"/>
    <col min="6" max="6" width="20.6640625" style="38" customWidth="1"/>
    <col min="7" max="7" width="9.109375" style="38" customWidth="1"/>
    <col min="8" max="16384" width="9.109375" style="38"/>
  </cols>
  <sheetData>
    <row r="1" spans="1:6" ht="18" x14ac:dyDescent="0.35">
      <c r="A1" s="84" t="s">
        <v>1297</v>
      </c>
      <c r="B1" s="115" t="s">
        <v>1298</v>
      </c>
      <c r="C1" s="84"/>
      <c r="D1" s="84"/>
      <c r="E1" s="117"/>
      <c r="F1" s="84"/>
    </row>
    <row r="3" spans="1:6" ht="24" x14ac:dyDescent="0.25">
      <c r="A3" s="138" t="s">
        <v>3</v>
      </c>
      <c r="B3" s="139" t="s">
        <v>4</v>
      </c>
      <c r="C3" s="139" t="s">
        <v>5</v>
      </c>
      <c r="D3" s="139" t="s">
        <v>6</v>
      </c>
      <c r="E3" s="140" t="s">
        <v>7</v>
      </c>
      <c r="F3" s="139" t="s">
        <v>8</v>
      </c>
    </row>
    <row r="5" spans="1:6" x14ac:dyDescent="0.25">
      <c r="A5" s="91" t="s">
        <v>1299</v>
      </c>
      <c r="B5" s="92" t="s">
        <v>1300</v>
      </c>
      <c r="C5" s="91"/>
      <c r="D5" s="91"/>
      <c r="E5" s="122"/>
      <c r="F5" s="91"/>
    </row>
    <row r="7" spans="1:6" x14ac:dyDescent="0.25">
      <c r="B7" s="81" t="s">
        <v>2888</v>
      </c>
    </row>
    <row r="8" spans="1:6" ht="30" customHeight="1" x14ac:dyDescent="0.25">
      <c r="B8" s="48" t="s">
        <v>2948</v>
      </c>
    </row>
    <row r="9" spans="1:6" ht="42" customHeight="1" x14ac:dyDescent="0.25">
      <c r="B9" s="48" t="s">
        <v>2949</v>
      </c>
    </row>
    <row r="10" spans="1:6" ht="15" customHeight="1" x14ac:dyDescent="0.25">
      <c r="B10" s="48" t="s">
        <v>2952</v>
      </c>
    </row>
    <row r="11" spans="1:6" ht="40.5" customHeight="1" x14ac:dyDescent="0.25">
      <c r="B11" s="48" t="s">
        <v>2953</v>
      </c>
    </row>
    <row r="14" spans="1:6" ht="77.400000000000006" customHeight="1" x14ac:dyDescent="0.25">
      <c r="A14" s="39" t="s">
        <v>1301</v>
      </c>
      <c r="B14" s="37" t="s">
        <v>2904</v>
      </c>
      <c r="C14" s="76" t="s">
        <v>19</v>
      </c>
      <c r="D14" s="40">
        <v>1</v>
      </c>
      <c r="E14" s="77">
        <v>2152.0700000000002</v>
      </c>
      <c r="F14" s="78">
        <f>ROUND(D14*E14,2)</f>
        <v>2152.0700000000002</v>
      </c>
    </row>
    <row r="16" spans="1:6" ht="73.5" customHeight="1" x14ac:dyDescent="0.25">
      <c r="A16" s="39" t="s">
        <v>1302</v>
      </c>
      <c r="B16" s="37" t="s">
        <v>2903</v>
      </c>
      <c r="C16" s="76" t="s">
        <v>19</v>
      </c>
      <c r="D16" s="40">
        <v>1</v>
      </c>
      <c r="E16" s="77">
        <v>3959.1800000000003</v>
      </c>
      <c r="F16" s="78">
        <f>ROUND(D16*E16,2)</f>
        <v>3959.18</v>
      </c>
    </row>
    <row r="17" spans="1:6" x14ac:dyDescent="0.25">
      <c r="B17" s="75"/>
    </row>
    <row r="18" spans="1:6" ht="36" x14ac:dyDescent="0.25">
      <c r="A18" s="39" t="s">
        <v>1303</v>
      </c>
      <c r="B18" s="37" t="s">
        <v>2905</v>
      </c>
      <c r="C18" s="76" t="s">
        <v>19</v>
      </c>
      <c r="D18" s="40">
        <v>2</v>
      </c>
      <c r="E18" s="77">
        <v>295.94</v>
      </c>
      <c r="F18" s="78">
        <f>ROUND(D18*E18,2)</f>
        <v>591.88</v>
      </c>
    </row>
    <row r="19" spans="1:6" x14ac:dyDescent="0.25">
      <c r="B19" s="75"/>
    </row>
    <row r="20" spans="1:6" ht="134.25" customHeight="1" x14ac:dyDescent="0.25">
      <c r="A20" s="39" t="s">
        <v>1304</v>
      </c>
      <c r="B20" s="37" t="s">
        <v>2906</v>
      </c>
      <c r="C20" s="76" t="s">
        <v>19</v>
      </c>
      <c r="D20" s="40">
        <v>1</v>
      </c>
      <c r="E20" s="77">
        <v>3955.4300000000003</v>
      </c>
      <c r="F20" s="78">
        <f>ROUND(D20*E20,2)</f>
        <v>3955.43</v>
      </c>
    </row>
    <row r="22" spans="1:6" ht="62.25" customHeight="1" x14ac:dyDescent="0.25">
      <c r="A22" s="39" t="s">
        <v>1305</v>
      </c>
      <c r="B22" s="37" t="s">
        <v>2907</v>
      </c>
      <c r="C22" s="76" t="s">
        <v>19</v>
      </c>
      <c r="D22" s="40">
        <v>1</v>
      </c>
      <c r="E22" s="77">
        <v>1202.1400000000001</v>
      </c>
      <c r="F22" s="78">
        <f>ROUND(D22*E22,2)</f>
        <v>1202.1400000000001</v>
      </c>
    </row>
    <row r="24" spans="1:6" ht="63.75" customHeight="1" x14ac:dyDescent="0.25">
      <c r="A24" s="39" t="s">
        <v>1306</v>
      </c>
      <c r="B24" s="37" t="s">
        <v>2908</v>
      </c>
      <c r="C24" s="76" t="s">
        <v>19</v>
      </c>
      <c r="D24" s="40">
        <v>1</v>
      </c>
      <c r="E24" s="77">
        <v>589.37</v>
      </c>
      <c r="F24" s="78">
        <f>ROUND(D24*E24,2)</f>
        <v>589.37</v>
      </c>
    </row>
    <row r="25" spans="1:6" x14ac:dyDescent="0.25">
      <c r="B25" s="75"/>
      <c r="C25" s="38"/>
    </row>
    <row r="26" spans="1:6" ht="63.75" customHeight="1" x14ac:dyDescent="0.25">
      <c r="A26" s="39" t="s">
        <v>1307</v>
      </c>
      <c r="B26" s="37" t="s">
        <v>2909</v>
      </c>
      <c r="C26" s="76" t="s">
        <v>19</v>
      </c>
      <c r="D26" s="40">
        <v>2</v>
      </c>
      <c r="E26" s="77">
        <v>194.75</v>
      </c>
      <c r="F26" s="78">
        <f>ROUND(D26*E26,2)</f>
        <v>389.5</v>
      </c>
    </row>
    <row r="28" spans="1:6" ht="62.25" customHeight="1" x14ac:dyDescent="0.25">
      <c r="A28" s="39" t="s">
        <v>1308</v>
      </c>
      <c r="B28" s="37" t="s">
        <v>2910</v>
      </c>
      <c r="C28" s="76" t="s">
        <v>19</v>
      </c>
      <c r="D28" s="40">
        <v>2</v>
      </c>
      <c r="E28" s="77">
        <v>121.98</v>
      </c>
      <c r="F28" s="78">
        <f>ROUND(D28*E28,2)</f>
        <v>243.96</v>
      </c>
    </row>
    <row r="30" spans="1:6" ht="51.75" customHeight="1" x14ac:dyDescent="0.25">
      <c r="A30" s="39" t="s">
        <v>1309</v>
      </c>
      <c r="B30" s="37" t="s">
        <v>2911</v>
      </c>
      <c r="C30" s="76" t="s">
        <v>19</v>
      </c>
      <c r="D30" s="40">
        <v>1</v>
      </c>
      <c r="E30" s="77">
        <v>646.66999999999996</v>
      </c>
      <c r="F30" s="78">
        <f>ROUND(D30*E30,2)</f>
        <v>646.66999999999996</v>
      </c>
    </row>
    <row r="32" spans="1:6" ht="24" x14ac:dyDescent="0.25">
      <c r="A32" s="39" t="s">
        <v>1310</v>
      </c>
      <c r="B32" s="37" t="s">
        <v>2912</v>
      </c>
      <c r="C32" s="76" t="s">
        <v>19</v>
      </c>
      <c r="D32" s="40">
        <v>4</v>
      </c>
      <c r="E32" s="77">
        <v>33.089999999999996</v>
      </c>
      <c r="F32" s="78">
        <f>ROUND(D32*E32,2)</f>
        <v>132.36000000000001</v>
      </c>
    </row>
    <row r="34" spans="1:6" ht="36" x14ac:dyDescent="0.25">
      <c r="A34" s="39" t="s">
        <v>1311</v>
      </c>
      <c r="B34" s="37" t="s">
        <v>2913</v>
      </c>
      <c r="C34" s="76" t="s">
        <v>19</v>
      </c>
      <c r="D34" s="40">
        <v>2</v>
      </c>
      <c r="E34" s="77">
        <v>161.69999999999999</v>
      </c>
      <c r="F34" s="78">
        <f>ROUND(D34*E34,2)</f>
        <v>323.39999999999998</v>
      </c>
    </row>
    <row r="36" spans="1:6" ht="24" x14ac:dyDescent="0.25">
      <c r="A36" s="39" t="s">
        <v>1312</v>
      </c>
      <c r="B36" s="37" t="s">
        <v>2914</v>
      </c>
      <c r="C36" s="76" t="s">
        <v>19</v>
      </c>
      <c r="D36" s="40">
        <v>1</v>
      </c>
      <c r="E36" s="77">
        <v>31.990000000000002</v>
      </c>
      <c r="F36" s="78">
        <f>ROUND(D36*E36,2)</f>
        <v>31.99</v>
      </c>
    </row>
    <row r="38" spans="1:6" ht="113.25" customHeight="1" x14ac:dyDescent="0.25">
      <c r="A38" s="39" t="s">
        <v>1313</v>
      </c>
      <c r="B38" s="37" t="s">
        <v>2915</v>
      </c>
      <c r="C38" s="76" t="s">
        <v>19</v>
      </c>
      <c r="D38" s="40">
        <v>3</v>
      </c>
      <c r="E38" s="77">
        <v>163.42999999999998</v>
      </c>
      <c r="F38" s="78">
        <f>ROUND(D38*E38,2)</f>
        <v>490.29</v>
      </c>
    </row>
    <row r="40" spans="1:6" ht="62.25" customHeight="1" x14ac:dyDescent="0.25">
      <c r="A40" s="39" t="s">
        <v>1314</v>
      </c>
      <c r="B40" s="37" t="s">
        <v>2916</v>
      </c>
      <c r="C40" s="76" t="s">
        <v>19</v>
      </c>
      <c r="D40" s="40">
        <v>1</v>
      </c>
      <c r="E40" s="77">
        <v>426.51</v>
      </c>
      <c r="F40" s="78">
        <f>ROUND(D40*E40,2)</f>
        <v>426.51</v>
      </c>
    </row>
    <row r="42" spans="1:6" ht="84.75" customHeight="1" x14ac:dyDescent="0.25">
      <c r="A42" s="39" t="s">
        <v>1315</v>
      </c>
      <c r="B42" s="37" t="s">
        <v>2917</v>
      </c>
      <c r="C42" s="76" t="s">
        <v>19</v>
      </c>
      <c r="D42" s="40">
        <v>1</v>
      </c>
      <c r="E42" s="77">
        <v>50.05</v>
      </c>
      <c r="F42" s="78">
        <f>ROUND(D42*E42,2)</f>
        <v>50.05</v>
      </c>
    </row>
    <row r="44" spans="1:6" ht="64.5" customHeight="1" x14ac:dyDescent="0.25">
      <c r="A44" s="39" t="s">
        <v>1316</v>
      </c>
      <c r="B44" s="37" t="s">
        <v>2918</v>
      </c>
      <c r="C44" s="76" t="s">
        <v>19</v>
      </c>
      <c r="D44" s="40">
        <v>1</v>
      </c>
      <c r="E44" s="77">
        <v>225.19</v>
      </c>
      <c r="F44" s="78">
        <f>ROUND(D44*E44,2)</f>
        <v>225.19</v>
      </c>
    </row>
    <row r="45" spans="1:6" x14ac:dyDescent="0.25">
      <c r="B45" s="75"/>
      <c r="C45" s="38"/>
    </row>
    <row r="46" spans="1:6" ht="36" x14ac:dyDescent="0.25">
      <c r="A46" s="39" t="s">
        <v>1317</v>
      </c>
      <c r="B46" s="37" t="s">
        <v>2919</v>
      </c>
      <c r="C46" s="76" t="s">
        <v>19</v>
      </c>
      <c r="D46" s="40">
        <v>1</v>
      </c>
      <c r="E46" s="77">
        <v>294.43</v>
      </c>
      <c r="F46" s="78">
        <f>ROUND(D46*E46,2)</f>
        <v>294.43</v>
      </c>
    </row>
    <row r="48" spans="1:6" ht="37.5" customHeight="1" x14ac:dyDescent="0.25">
      <c r="A48" s="39" t="s">
        <v>1318</v>
      </c>
      <c r="B48" s="37" t="s">
        <v>2920</v>
      </c>
      <c r="C48" s="76" t="s">
        <v>19</v>
      </c>
      <c r="D48" s="40">
        <v>1</v>
      </c>
      <c r="E48" s="77">
        <v>61.86</v>
      </c>
      <c r="F48" s="78">
        <f>ROUND(D48*E48,2)</f>
        <v>61.86</v>
      </c>
    </row>
    <row r="50" spans="1:6" ht="24" x14ac:dyDescent="0.25">
      <c r="A50" s="39" t="s">
        <v>1319</v>
      </c>
      <c r="B50" s="37" t="s">
        <v>2921</v>
      </c>
      <c r="C50" s="76" t="s">
        <v>19</v>
      </c>
      <c r="D50" s="40">
        <v>1</v>
      </c>
      <c r="E50" s="77">
        <v>38</v>
      </c>
      <c r="F50" s="78">
        <f>ROUND(D50*E50,2)</f>
        <v>38</v>
      </c>
    </row>
    <row r="52" spans="1:6" ht="99.75" customHeight="1" x14ac:dyDescent="0.25">
      <c r="A52" s="39" t="s">
        <v>1320</v>
      </c>
      <c r="B52" s="37" t="s">
        <v>2922</v>
      </c>
      <c r="C52" s="76" t="s">
        <v>13</v>
      </c>
      <c r="D52" s="40">
        <v>12</v>
      </c>
      <c r="E52" s="77">
        <v>28.930000000000003</v>
      </c>
      <c r="F52" s="78">
        <f>ROUND(D52*E52,2)</f>
        <v>347.16</v>
      </c>
    </row>
    <row r="53" spans="1:6" x14ac:dyDescent="0.25">
      <c r="B53" s="75"/>
      <c r="C53" s="38"/>
    </row>
    <row r="54" spans="1:6" ht="100.5" customHeight="1" x14ac:dyDescent="0.25">
      <c r="A54" s="39" t="s">
        <v>1321</v>
      </c>
      <c r="B54" s="37" t="s">
        <v>2923</v>
      </c>
      <c r="C54" s="76" t="s">
        <v>13</v>
      </c>
      <c r="D54" s="40">
        <v>12</v>
      </c>
      <c r="E54" s="77">
        <v>35.86</v>
      </c>
      <c r="F54" s="78">
        <f>ROUND(D54*E54,2)</f>
        <v>430.32</v>
      </c>
    </row>
    <row r="56" spans="1:6" ht="102" customHeight="1" x14ac:dyDescent="0.25">
      <c r="A56" s="39" t="s">
        <v>1322</v>
      </c>
      <c r="B56" s="37" t="s">
        <v>2924</v>
      </c>
      <c r="C56" s="76" t="s">
        <v>13</v>
      </c>
      <c r="D56" s="40">
        <v>48</v>
      </c>
      <c r="E56" s="77">
        <v>52.55</v>
      </c>
      <c r="F56" s="78">
        <f>ROUND(D56*E56,2)</f>
        <v>2522.4</v>
      </c>
    </row>
    <row r="58" spans="1:6" ht="63.75" customHeight="1" x14ac:dyDescent="0.25">
      <c r="A58" s="39" t="s">
        <v>1323</v>
      </c>
      <c r="B58" s="37" t="s">
        <v>2925</v>
      </c>
      <c r="C58" s="76" t="s">
        <v>13</v>
      </c>
      <c r="D58" s="40">
        <v>6</v>
      </c>
      <c r="E58" s="77">
        <v>54.98</v>
      </c>
      <c r="F58" s="78">
        <f>ROUND(D58*E58,2)</f>
        <v>329.88</v>
      </c>
    </row>
    <row r="60" spans="1:6" ht="65.25" customHeight="1" x14ac:dyDescent="0.25">
      <c r="A60" s="39" t="s">
        <v>1324</v>
      </c>
      <c r="B60" s="37" t="s">
        <v>2926</v>
      </c>
      <c r="C60" s="76" t="s">
        <v>13</v>
      </c>
      <c r="D60" s="40">
        <v>6</v>
      </c>
      <c r="E60" s="77">
        <v>68.06</v>
      </c>
      <c r="F60" s="78">
        <f>ROUND(D60*E60,2)</f>
        <v>408.36</v>
      </c>
    </row>
    <row r="62" spans="1:6" ht="62.25" customHeight="1" x14ac:dyDescent="0.25">
      <c r="A62" s="39" t="s">
        <v>1325</v>
      </c>
      <c r="B62" s="37" t="s">
        <v>2927</v>
      </c>
      <c r="C62" s="76" t="s">
        <v>13</v>
      </c>
      <c r="D62" s="40">
        <v>48</v>
      </c>
      <c r="E62" s="77">
        <v>84.73</v>
      </c>
      <c r="F62" s="78">
        <f>ROUND(D62*E62,2)</f>
        <v>4067.04</v>
      </c>
    </row>
    <row r="64" spans="1:6" ht="59.25" customHeight="1" x14ac:dyDescent="0.25">
      <c r="A64" s="39" t="s">
        <v>1326</v>
      </c>
      <c r="B64" s="37" t="s">
        <v>2928</v>
      </c>
      <c r="C64" s="76" t="s">
        <v>13</v>
      </c>
      <c r="D64" s="40">
        <v>6</v>
      </c>
      <c r="E64" s="77">
        <v>123.01</v>
      </c>
      <c r="F64" s="78">
        <f>ROUND(D64*E64,2)</f>
        <v>738.06</v>
      </c>
    </row>
    <row r="66" spans="1:6" ht="39.75" customHeight="1" x14ac:dyDescent="0.25">
      <c r="A66" s="39" t="s">
        <v>1327</v>
      </c>
      <c r="B66" s="37" t="s">
        <v>2930</v>
      </c>
      <c r="C66" s="76" t="s">
        <v>19</v>
      </c>
      <c r="D66" s="40">
        <v>10</v>
      </c>
      <c r="E66" s="77">
        <v>13.57</v>
      </c>
      <c r="F66" s="78">
        <f>ROUND(D66*E66,2)</f>
        <v>135.69999999999999</v>
      </c>
    </row>
    <row r="68" spans="1:6" ht="43.5" customHeight="1" x14ac:dyDescent="0.25">
      <c r="A68" s="39" t="s">
        <v>1328</v>
      </c>
      <c r="B68" s="37" t="s">
        <v>2929</v>
      </c>
      <c r="C68" s="76" t="s">
        <v>19</v>
      </c>
      <c r="D68" s="40">
        <v>15</v>
      </c>
      <c r="E68" s="77">
        <v>14.82</v>
      </c>
      <c r="F68" s="78">
        <f>ROUND(D68*E68,2)</f>
        <v>222.3</v>
      </c>
    </row>
    <row r="70" spans="1:6" ht="36" x14ac:dyDescent="0.25">
      <c r="A70" s="39" t="s">
        <v>1329</v>
      </c>
      <c r="B70" s="37" t="s">
        <v>2931</v>
      </c>
      <c r="C70" s="76" t="s">
        <v>19</v>
      </c>
      <c r="D70" s="40">
        <v>3</v>
      </c>
      <c r="E70" s="77">
        <v>28.91</v>
      </c>
      <c r="F70" s="78">
        <f>ROUND(D70*E70,2)</f>
        <v>86.73</v>
      </c>
    </row>
    <row r="72" spans="1:6" ht="41.25" customHeight="1" x14ac:dyDescent="0.25">
      <c r="A72" s="39" t="s">
        <v>1330</v>
      </c>
      <c r="B72" s="37" t="s">
        <v>2932</v>
      </c>
      <c r="C72" s="76" t="s">
        <v>19</v>
      </c>
      <c r="D72" s="40">
        <v>3</v>
      </c>
      <c r="E72" s="77">
        <v>30.110000000000003</v>
      </c>
      <c r="F72" s="78">
        <f>ROUND(D72*E72,2)</f>
        <v>90.33</v>
      </c>
    </row>
    <row r="74" spans="1:6" ht="42" customHeight="1" x14ac:dyDescent="0.25">
      <c r="A74" s="39" t="s">
        <v>1331</v>
      </c>
      <c r="B74" s="37" t="s">
        <v>2933</v>
      </c>
      <c r="C74" s="76" t="s">
        <v>19</v>
      </c>
      <c r="D74" s="40">
        <v>20</v>
      </c>
      <c r="E74" s="77">
        <v>30.51</v>
      </c>
      <c r="F74" s="78">
        <f>ROUND(D74*E74,2)</f>
        <v>610.20000000000005</v>
      </c>
    </row>
    <row r="76" spans="1:6" ht="36" x14ac:dyDescent="0.25">
      <c r="A76" s="39" t="s">
        <v>1332</v>
      </c>
      <c r="B76" s="37" t="s">
        <v>2934</v>
      </c>
      <c r="C76" s="76" t="s">
        <v>19</v>
      </c>
      <c r="D76" s="40">
        <v>3</v>
      </c>
      <c r="E76" s="77">
        <v>42.129999999999995</v>
      </c>
      <c r="F76" s="78">
        <f>ROUND(D76*E76,2)</f>
        <v>126.39</v>
      </c>
    </row>
    <row r="78" spans="1:6" ht="39.75" customHeight="1" x14ac:dyDescent="0.25">
      <c r="A78" s="39" t="s">
        <v>1333</v>
      </c>
      <c r="B78" s="37" t="s">
        <v>2935</v>
      </c>
      <c r="C78" s="76" t="s">
        <v>19</v>
      </c>
      <c r="D78" s="40">
        <v>1</v>
      </c>
      <c r="E78" s="77">
        <v>242.38</v>
      </c>
      <c r="F78" s="78">
        <f>ROUND(D78*E78,2)</f>
        <v>242.38</v>
      </c>
    </row>
    <row r="80" spans="1:6" ht="41.25" customHeight="1" x14ac:dyDescent="0.25">
      <c r="A80" s="39" t="s">
        <v>1334</v>
      </c>
      <c r="B80" s="37" t="s">
        <v>2936</v>
      </c>
      <c r="C80" s="76" t="s">
        <v>19</v>
      </c>
      <c r="D80" s="40">
        <v>1</v>
      </c>
      <c r="E80" s="77">
        <v>766</v>
      </c>
      <c r="F80" s="78">
        <f>ROUND(D80*E80,2)</f>
        <v>766</v>
      </c>
    </row>
    <row r="82" spans="1:6" ht="29.25" customHeight="1" x14ac:dyDescent="0.25">
      <c r="A82" s="39" t="s">
        <v>1335</v>
      </c>
      <c r="B82" s="37" t="s">
        <v>2937</v>
      </c>
      <c r="C82" s="76" t="s">
        <v>19</v>
      </c>
      <c r="D82" s="40">
        <v>1</v>
      </c>
      <c r="E82" s="77">
        <v>245.37</v>
      </c>
      <c r="F82" s="78">
        <f>ROUND(D82*E82,2)</f>
        <v>245.37</v>
      </c>
    </row>
    <row r="84" spans="1:6" ht="39.75" customHeight="1" x14ac:dyDescent="0.25">
      <c r="A84" s="39" t="s">
        <v>1336</v>
      </c>
      <c r="B84" s="37" t="s">
        <v>2938</v>
      </c>
      <c r="C84" s="76" t="s">
        <v>19</v>
      </c>
      <c r="D84" s="40">
        <v>1</v>
      </c>
      <c r="E84" s="77">
        <v>206.09</v>
      </c>
      <c r="F84" s="78">
        <f>ROUND(D84*E84,2)</f>
        <v>206.09</v>
      </c>
    </row>
    <row r="86" spans="1:6" ht="41.25" customHeight="1" x14ac:dyDescent="0.25">
      <c r="A86" s="39" t="s">
        <v>1337</v>
      </c>
      <c r="B86" s="37" t="s">
        <v>2939</v>
      </c>
      <c r="C86" s="76" t="s">
        <v>19</v>
      </c>
      <c r="D86" s="40">
        <v>2</v>
      </c>
      <c r="E86" s="77">
        <v>161.29</v>
      </c>
      <c r="F86" s="78">
        <f>ROUND(D86*E86,2)</f>
        <v>322.58</v>
      </c>
    </row>
    <row r="88" spans="1:6" ht="41.25" customHeight="1" x14ac:dyDescent="0.25">
      <c r="A88" s="39" t="s">
        <v>1338</v>
      </c>
      <c r="B88" s="37" t="s">
        <v>2940</v>
      </c>
      <c r="C88" s="76" t="s">
        <v>19</v>
      </c>
      <c r="D88" s="40">
        <v>1</v>
      </c>
      <c r="E88" s="77">
        <v>135.41</v>
      </c>
      <c r="F88" s="78">
        <f>ROUND(D88*E88,2)</f>
        <v>135.41</v>
      </c>
    </row>
    <row r="90" spans="1:6" ht="39" customHeight="1" x14ac:dyDescent="0.25">
      <c r="A90" s="39" t="s">
        <v>1339</v>
      </c>
      <c r="B90" s="37" t="s">
        <v>2941</v>
      </c>
      <c r="C90" s="76" t="s">
        <v>19</v>
      </c>
      <c r="D90" s="40">
        <v>3</v>
      </c>
      <c r="E90" s="77">
        <v>108.12</v>
      </c>
      <c r="F90" s="78">
        <f>ROUND(D90*E90,2)</f>
        <v>324.36</v>
      </c>
    </row>
    <row r="91" spans="1:6" x14ac:dyDescent="0.25">
      <c r="B91" s="75"/>
      <c r="C91" s="38"/>
    </row>
    <row r="92" spans="1:6" ht="36" x14ac:dyDescent="0.25">
      <c r="A92" s="39" t="s">
        <v>1340</v>
      </c>
      <c r="B92" s="37" t="s">
        <v>2942</v>
      </c>
      <c r="C92" s="76" t="s">
        <v>19</v>
      </c>
      <c r="D92" s="40">
        <v>1</v>
      </c>
      <c r="E92" s="77">
        <v>108.12</v>
      </c>
      <c r="F92" s="78">
        <f>ROUND(D92*E92,2)</f>
        <v>108.12</v>
      </c>
    </row>
    <row r="94" spans="1:6" ht="27.75" customHeight="1" x14ac:dyDescent="0.25">
      <c r="A94" s="39" t="s">
        <v>1341</v>
      </c>
      <c r="B94" s="37" t="s">
        <v>2943</v>
      </c>
      <c r="C94" s="76" t="s">
        <v>19</v>
      </c>
      <c r="D94" s="40">
        <v>1</v>
      </c>
      <c r="E94" s="77">
        <v>55.86</v>
      </c>
      <c r="F94" s="78">
        <f>ROUND(D94*E94,2)</f>
        <v>55.86</v>
      </c>
    </row>
    <row r="96" spans="1:6" ht="16.5" customHeight="1" x14ac:dyDescent="0.25">
      <c r="A96" s="39" t="s">
        <v>1342</v>
      </c>
      <c r="B96" s="37" t="s">
        <v>2944</v>
      </c>
      <c r="C96" s="76" t="s">
        <v>19</v>
      </c>
      <c r="D96" s="40">
        <v>1</v>
      </c>
      <c r="E96" s="77">
        <v>329.51</v>
      </c>
      <c r="F96" s="78">
        <f>ROUND(D96*E96,2)</f>
        <v>329.51</v>
      </c>
    </row>
    <row r="97" spans="1:6" x14ac:dyDescent="0.25">
      <c r="B97" s="75"/>
    </row>
    <row r="98" spans="1:6" x14ac:dyDescent="0.25">
      <c r="A98" s="39" t="s">
        <v>1343</v>
      </c>
      <c r="B98" s="37" t="s">
        <v>2945</v>
      </c>
      <c r="C98" s="76" t="s">
        <v>19</v>
      </c>
      <c r="D98" s="40">
        <v>1</v>
      </c>
      <c r="E98" s="77">
        <v>37.01</v>
      </c>
      <c r="F98" s="78">
        <f>ROUND(D98*E98,2)</f>
        <v>37.01</v>
      </c>
    </row>
    <row r="99" spans="1:6" x14ac:dyDescent="0.25">
      <c r="B99" s="75"/>
      <c r="C99" s="38"/>
    </row>
    <row r="100" spans="1:6" ht="96" x14ac:dyDescent="0.25">
      <c r="A100" s="39" t="s">
        <v>1344</v>
      </c>
      <c r="B100" s="37" t="s">
        <v>2946</v>
      </c>
      <c r="C100" s="76" t="s">
        <v>19</v>
      </c>
      <c r="D100" s="40">
        <v>1</v>
      </c>
      <c r="E100" s="77">
        <v>147.56</v>
      </c>
      <c r="F100" s="78">
        <f>ROUND(D100*E100,2)</f>
        <v>147.56</v>
      </c>
    </row>
    <row r="101" spans="1:6" x14ac:dyDescent="0.25">
      <c r="B101" s="75"/>
    </row>
    <row r="102" spans="1:6" ht="24" x14ac:dyDescent="0.25">
      <c r="A102" s="39" t="s">
        <v>1345</v>
      </c>
      <c r="B102" s="37" t="s">
        <v>2947</v>
      </c>
      <c r="C102" s="76" t="s">
        <v>19</v>
      </c>
      <c r="D102" s="40">
        <v>1</v>
      </c>
      <c r="E102" s="77">
        <v>203.01999999999998</v>
      </c>
      <c r="F102" s="78">
        <f>ROUND(D102*E102,2)</f>
        <v>203.02</v>
      </c>
    </row>
    <row r="103" spans="1:6" x14ac:dyDescent="0.25">
      <c r="B103" s="75"/>
    </row>
    <row r="104" spans="1:6" ht="28.5" customHeight="1" x14ac:dyDescent="0.25">
      <c r="A104" s="39" t="s">
        <v>1346</v>
      </c>
      <c r="B104" s="37" t="s">
        <v>3051</v>
      </c>
      <c r="C104" s="76" t="s">
        <v>19</v>
      </c>
      <c r="D104" s="40">
        <v>1</v>
      </c>
      <c r="E104" s="77">
        <v>566.26</v>
      </c>
      <c r="F104" s="78">
        <f>ROUND(D104*E104,2)</f>
        <v>566.26</v>
      </c>
    </row>
    <row r="105" spans="1:6" x14ac:dyDescent="0.25">
      <c r="B105" s="75"/>
    </row>
    <row r="106" spans="1:6" ht="29.25" customHeight="1" x14ac:dyDescent="0.25">
      <c r="A106" s="39" t="s">
        <v>1347</v>
      </c>
      <c r="B106" s="37" t="s">
        <v>2950</v>
      </c>
      <c r="C106" s="76" t="s">
        <v>19</v>
      </c>
      <c r="D106" s="40">
        <v>2</v>
      </c>
      <c r="E106" s="77">
        <v>653.02</v>
      </c>
      <c r="F106" s="78">
        <f>ROUND(D106*E106,2)</f>
        <v>1306.04</v>
      </c>
    </row>
    <row r="107" spans="1:6" x14ac:dyDescent="0.25">
      <c r="B107" s="75"/>
    </row>
    <row r="108" spans="1:6" ht="17.25" customHeight="1" x14ac:dyDescent="0.25">
      <c r="A108" s="39" t="s">
        <v>1348</v>
      </c>
      <c r="B108" s="37" t="s">
        <v>2951</v>
      </c>
      <c r="C108" s="76" t="s">
        <v>19</v>
      </c>
      <c r="D108" s="40">
        <v>1</v>
      </c>
      <c r="E108" s="77">
        <v>178.01999999999998</v>
      </c>
      <c r="F108" s="78">
        <f>ROUND(D108*E108,2)</f>
        <v>178.02</v>
      </c>
    </row>
    <row r="109" spans="1:6" x14ac:dyDescent="0.25">
      <c r="B109" s="75"/>
      <c r="C109" s="38"/>
    </row>
    <row r="110" spans="1:6" x14ac:dyDescent="0.25">
      <c r="A110" s="91" t="s">
        <v>1299</v>
      </c>
      <c r="B110" s="92" t="s">
        <v>1349</v>
      </c>
      <c r="C110" s="91"/>
      <c r="D110" s="91"/>
      <c r="E110" s="122"/>
      <c r="F110" s="96">
        <f>SUM(F8:F108)</f>
        <v>31092.740000000009</v>
      </c>
    </row>
    <row r="112" spans="1:6" x14ac:dyDescent="0.25">
      <c r="A112" s="91" t="s">
        <v>1350</v>
      </c>
      <c r="B112" s="92" t="s">
        <v>1351</v>
      </c>
      <c r="C112" s="91"/>
      <c r="D112" s="91"/>
      <c r="E112" s="122"/>
      <c r="F112" s="91"/>
    </row>
    <row r="114" spans="1:6" x14ac:dyDescent="0.25">
      <c r="B114" s="81" t="s">
        <v>2888</v>
      </c>
    </row>
    <row r="115" spans="1:6" ht="24" x14ac:dyDescent="0.25">
      <c r="B115" s="81" t="s">
        <v>2969</v>
      </c>
    </row>
    <row r="118" spans="1:6" ht="51.75" customHeight="1" x14ac:dyDescent="0.25">
      <c r="A118" s="39" t="s">
        <v>1352</v>
      </c>
      <c r="B118" s="37" t="s">
        <v>2954</v>
      </c>
      <c r="C118" s="76" t="s">
        <v>19</v>
      </c>
      <c r="D118" s="40">
        <v>1</v>
      </c>
      <c r="E118" s="77">
        <v>2010</v>
      </c>
      <c r="F118" s="78">
        <f>ROUND(D118*E118,2)</f>
        <v>2010</v>
      </c>
    </row>
    <row r="120" spans="1:6" ht="30" customHeight="1" x14ac:dyDescent="0.25">
      <c r="A120" s="39" t="s">
        <v>1353</v>
      </c>
      <c r="B120" s="37" t="s">
        <v>2955</v>
      </c>
      <c r="C120" s="76" t="s">
        <v>19</v>
      </c>
      <c r="D120" s="40">
        <v>1</v>
      </c>
      <c r="E120" s="77">
        <v>458</v>
      </c>
      <c r="F120" s="78">
        <f>ROUND(D120*E120,2)</f>
        <v>458</v>
      </c>
    </row>
    <row r="122" spans="1:6" ht="24" x14ac:dyDescent="0.25">
      <c r="A122" s="39" t="s">
        <v>1354</v>
      </c>
      <c r="B122" s="37" t="s">
        <v>2956</v>
      </c>
      <c r="C122" s="76" t="s">
        <v>19</v>
      </c>
      <c r="D122" s="40">
        <v>1</v>
      </c>
      <c r="E122" s="77">
        <v>90</v>
      </c>
      <c r="F122" s="78">
        <f>ROUND(D122*E122,2)</f>
        <v>90</v>
      </c>
    </row>
    <row r="124" spans="1:6" ht="42" customHeight="1" x14ac:dyDescent="0.25">
      <c r="A124" s="39" t="s">
        <v>1355</v>
      </c>
      <c r="B124" s="37" t="s">
        <v>2957</v>
      </c>
      <c r="C124" s="76" t="s">
        <v>13</v>
      </c>
      <c r="D124" s="40">
        <v>30</v>
      </c>
      <c r="E124" s="77">
        <v>2.1</v>
      </c>
      <c r="F124" s="78">
        <f>ROUND(D124*E124,2)</f>
        <v>63</v>
      </c>
    </row>
    <row r="126" spans="1:6" ht="29.25" customHeight="1" x14ac:dyDescent="0.25">
      <c r="A126" s="39" t="s">
        <v>1356</v>
      </c>
      <c r="B126" s="37" t="s">
        <v>2958</v>
      </c>
      <c r="C126" s="76" t="s">
        <v>19</v>
      </c>
      <c r="D126" s="40">
        <v>10</v>
      </c>
      <c r="E126" s="77">
        <v>3.47</v>
      </c>
      <c r="F126" s="78">
        <f>ROUND(D126*E126,2)</f>
        <v>34.700000000000003</v>
      </c>
    </row>
    <row r="128" spans="1:6" ht="18" customHeight="1" x14ac:dyDescent="0.25">
      <c r="A128" s="39" t="s">
        <v>1357</v>
      </c>
      <c r="B128" s="37" t="s">
        <v>2959</v>
      </c>
      <c r="C128" s="76" t="s">
        <v>19</v>
      </c>
      <c r="D128" s="40">
        <v>1</v>
      </c>
      <c r="E128" s="77">
        <v>285</v>
      </c>
      <c r="F128" s="78">
        <f>ROUND(D128*E128,2)</f>
        <v>285</v>
      </c>
    </row>
    <row r="129" spans="1:6" x14ac:dyDescent="0.25">
      <c r="B129" s="75"/>
      <c r="C129" s="38"/>
    </row>
    <row r="130" spans="1:6" ht="18.75" customHeight="1" x14ac:dyDescent="0.25">
      <c r="A130" s="39" t="s">
        <v>1358</v>
      </c>
      <c r="B130" s="37" t="s">
        <v>2960</v>
      </c>
      <c r="C130" s="76" t="s">
        <v>19</v>
      </c>
      <c r="D130" s="40">
        <v>1</v>
      </c>
      <c r="E130" s="77">
        <v>55</v>
      </c>
      <c r="F130" s="78">
        <f>ROUND(D130*E130,2)</f>
        <v>55</v>
      </c>
    </row>
    <row r="132" spans="1:6" x14ac:dyDescent="0.25">
      <c r="A132" s="39" t="s">
        <v>1359</v>
      </c>
      <c r="B132" s="37" t="s">
        <v>2961</v>
      </c>
      <c r="C132" s="76" t="s">
        <v>19</v>
      </c>
      <c r="D132" s="40">
        <v>1</v>
      </c>
      <c r="E132" s="77">
        <v>96</v>
      </c>
      <c r="F132" s="78">
        <f>ROUND(D132*E132,2)</f>
        <v>96</v>
      </c>
    </row>
    <row r="134" spans="1:6" ht="16.5" customHeight="1" x14ac:dyDescent="0.25">
      <c r="A134" s="39" t="s">
        <v>1360</v>
      </c>
      <c r="B134" s="37" t="s">
        <v>2962</v>
      </c>
      <c r="C134" s="76" t="s">
        <v>19</v>
      </c>
      <c r="D134" s="40">
        <v>1</v>
      </c>
      <c r="E134" s="77">
        <v>118</v>
      </c>
      <c r="F134" s="78">
        <f>ROUND(D134*E134,2)</f>
        <v>118</v>
      </c>
    </row>
    <row r="136" spans="1:6" ht="26.25" customHeight="1" x14ac:dyDescent="0.25">
      <c r="A136" s="39" t="s">
        <v>1361</v>
      </c>
      <c r="B136" s="37" t="s">
        <v>2963</v>
      </c>
      <c r="C136" s="76" t="s">
        <v>13</v>
      </c>
      <c r="D136" s="40">
        <v>30</v>
      </c>
      <c r="E136" s="77">
        <v>3.65</v>
      </c>
      <c r="F136" s="78">
        <f>ROUND(D136*E136,2)</f>
        <v>109.5</v>
      </c>
    </row>
    <row r="137" spans="1:6" x14ac:dyDescent="0.25">
      <c r="B137" s="75"/>
    </row>
    <row r="138" spans="1:6" ht="24.75" customHeight="1" x14ac:dyDescent="0.25">
      <c r="A138" s="39" t="s">
        <v>1362</v>
      </c>
      <c r="B138" s="37" t="s">
        <v>2964</v>
      </c>
      <c r="C138" s="76" t="s">
        <v>13</v>
      </c>
      <c r="D138" s="40">
        <v>20</v>
      </c>
      <c r="E138" s="77">
        <v>3.24</v>
      </c>
      <c r="F138" s="78">
        <f>ROUND(D138*E138,2)</f>
        <v>64.8</v>
      </c>
    </row>
    <row r="139" spans="1:6" x14ac:dyDescent="0.25">
      <c r="B139" s="75"/>
    </row>
    <row r="140" spans="1:6" ht="24" x14ac:dyDescent="0.25">
      <c r="A140" s="39" t="s">
        <v>1363</v>
      </c>
      <c r="B140" s="37" t="s">
        <v>2965</v>
      </c>
      <c r="C140" s="76" t="s">
        <v>13</v>
      </c>
      <c r="D140" s="40">
        <v>15</v>
      </c>
      <c r="E140" s="77">
        <v>41.18</v>
      </c>
      <c r="F140" s="78">
        <f>ROUND(D140*E140,2)</f>
        <v>617.70000000000005</v>
      </c>
    </row>
    <row r="142" spans="1:6" ht="24" x14ac:dyDescent="0.25">
      <c r="A142" s="39" t="s">
        <v>1364</v>
      </c>
      <c r="B142" s="37" t="s">
        <v>2966</v>
      </c>
      <c r="C142" s="76" t="s">
        <v>13</v>
      </c>
      <c r="D142" s="40">
        <v>15</v>
      </c>
      <c r="E142" s="77">
        <v>47.39</v>
      </c>
      <c r="F142" s="78">
        <f>ROUND(D142*E142,2)</f>
        <v>710.85</v>
      </c>
    </row>
    <row r="144" spans="1:6" ht="39" customHeight="1" x14ac:dyDescent="0.25">
      <c r="A144" s="39" t="s">
        <v>1365</v>
      </c>
      <c r="B144" s="37" t="s">
        <v>2967</v>
      </c>
      <c r="C144" s="76" t="s">
        <v>13</v>
      </c>
      <c r="D144" s="40">
        <v>20</v>
      </c>
      <c r="E144" s="77">
        <v>8.42</v>
      </c>
      <c r="F144" s="78">
        <f>ROUND(D144*E144,2)</f>
        <v>168.4</v>
      </c>
    </row>
    <row r="146" spans="1:6" ht="29.25" customHeight="1" x14ac:dyDescent="0.25">
      <c r="A146" s="39" t="s">
        <v>1366</v>
      </c>
      <c r="B146" s="37" t="s">
        <v>2968</v>
      </c>
      <c r="C146" s="76" t="s">
        <v>19</v>
      </c>
      <c r="D146" s="40">
        <v>1</v>
      </c>
      <c r="E146" s="77">
        <v>1650</v>
      </c>
      <c r="F146" s="78">
        <f>ROUND(D146*E146,2)</f>
        <v>1650</v>
      </c>
    </row>
    <row r="148" spans="1:6" ht="50.25" customHeight="1" x14ac:dyDescent="0.25">
      <c r="A148" s="39" t="s">
        <v>1367</v>
      </c>
      <c r="B148" s="37" t="s">
        <v>2970</v>
      </c>
      <c r="C148" s="76" t="s">
        <v>19</v>
      </c>
      <c r="D148" s="40">
        <v>1</v>
      </c>
      <c r="E148" s="77">
        <v>1180</v>
      </c>
      <c r="F148" s="78">
        <f>ROUND(D148*E148,2)</f>
        <v>1180</v>
      </c>
    </row>
    <row r="150" spans="1:6" x14ac:dyDescent="0.25">
      <c r="A150" s="91" t="s">
        <v>1350</v>
      </c>
      <c r="B150" s="92" t="s">
        <v>1368</v>
      </c>
      <c r="C150" s="91"/>
      <c r="D150" s="91"/>
      <c r="E150" s="122"/>
      <c r="F150" s="96">
        <f>SUM(F118:F148)</f>
        <v>7710.95</v>
      </c>
    </row>
    <row r="152" spans="1:6" x14ac:dyDescent="0.25">
      <c r="A152" s="91" t="s">
        <v>1369</v>
      </c>
      <c r="B152" s="92" t="s">
        <v>1370</v>
      </c>
      <c r="C152" s="91"/>
      <c r="D152" s="91"/>
      <c r="E152" s="122"/>
      <c r="F152" s="91"/>
    </row>
    <row r="154" spans="1:6" x14ac:dyDescent="0.25">
      <c r="B154" s="81" t="s">
        <v>2888</v>
      </c>
    </row>
    <row r="155" spans="1:6" ht="24" x14ac:dyDescent="0.25">
      <c r="B155" s="48" t="s">
        <v>2948</v>
      </c>
    </row>
    <row r="156" spans="1:6" x14ac:dyDescent="0.25">
      <c r="B156" s="48" t="s">
        <v>2952</v>
      </c>
    </row>
    <row r="159" spans="1:6" ht="41.25" customHeight="1" x14ac:dyDescent="0.25">
      <c r="A159" s="39" t="s">
        <v>1371</v>
      </c>
      <c r="B159" s="37" t="s">
        <v>2971</v>
      </c>
      <c r="C159" s="76" t="s">
        <v>15</v>
      </c>
      <c r="D159" s="40">
        <v>75</v>
      </c>
      <c r="E159" s="77">
        <v>5.9399999999999995</v>
      </c>
      <c r="F159" s="78">
        <f>ROUND(D159*E159,2)</f>
        <v>445.5</v>
      </c>
    </row>
    <row r="160" spans="1:6" x14ac:dyDescent="0.25">
      <c r="B160" s="75"/>
    </row>
    <row r="161" spans="1:6" ht="42" customHeight="1" x14ac:dyDescent="0.25">
      <c r="A161" s="39" t="s">
        <v>1372</v>
      </c>
      <c r="B161" s="37" t="s">
        <v>2972</v>
      </c>
      <c r="C161" s="76" t="s">
        <v>15</v>
      </c>
      <c r="D161" s="40">
        <v>12</v>
      </c>
      <c r="E161" s="77">
        <v>5.9399999999999995</v>
      </c>
      <c r="F161" s="78">
        <f>ROUND(D161*E161,2)</f>
        <v>71.28</v>
      </c>
    </row>
    <row r="162" spans="1:6" x14ac:dyDescent="0.25">
      <c r="B162" s="75"/>
    </row>
    <row r="163" spans="1:6" ht="40.5" customHeight="1" x14ac:dyDescent="0.25">
      <c r="A163" s="39" t="s">
        <v>1373</v>
      </c>
      <c r="B163" s="37" t="s">
        <v>2973</v>
      </c>
      <c r="C163" s="76" t="s">
        <v>15</v>
      </c>
      <c r="D163" s="40">
        <v>12</v>
      </c>
      <c r="E163" s="77">
        <v>104.80000000000001</v>
      </c>
      <c r="F163" s="78">
        <f>ROUND(D163*E163,2)</f>
        <v>1257.5999999999999</v>
      </c>
    </row>
    <row r="164" spans="1:6" x14ac:dyDescent="0.25">
      <c r="B164" s="75"/>
    </row>
    <row r="165" spans="1:6" ht="64.5" customHeight="1" x14ac:dyDescent="0.25">
      <c r="A165" s="39" t="s">
        <v>1374</v>
      </c>
      <c r="B165" s="37" t="s">
        <v>2974</v>
      </c>
      <c r="C165" s="76" t="s">
        <v>15</v>
      </c>
      <c r="D165" s="40">
        <v>28</v>
      </c>
      <c r="E165" s="77">
        <v>21.950000000000003</v>
      </c>
      <c r="F165" s="78">
        <f>ROUND(D165*E165,2)</f>
        <v>614.6</v>
      </c>
    </row>
    <row r="166" spans="1:6" x14ac:dyDescent="0.25">
      <c r="B166" s="75"/>
    </row>
    <row r="167" spans="1:6" x14ac:dyDescent="0.25">
      <c r="A167" s="39" t="s">
        <v>1375</v>
      </c>
      <c r="B167" s="37" t="s">
        <v>2975</v>
      </c>
      <c r="C167" s="76" t="s">
        <v>19</v>
      </c>
      <c r="D167" s="40">
        <v>1</v>
      </c>
      <c r="E167" s="77">
        <v>64.17</v>
      </c>
      <c r="F167" s="78">
        <f>ROUND(D167*E167,2)</f>
        <v>64.17</v>
      </c>
    </row>
    <row r="168" spans="1:6" x14ac:dyDescent="0.25">
      <c r="B168" s="75"/>
      <c r="C168" s="38"/>
    </row>
    <row r="169" spans="1:6" ht="30" customHeight="1" x14ac:dyDescent="0.25">
      <c r="A169" s="39" t="s">
        <v>1376</v>
      </c>
      <c r="B169" s="37" t="s">
        <v>2976</v>
      </c>
      <c r="C169" s="76" t="s">
        <v>19</v>
      </c>
      <c r="D169" s="40">
        <v>1</v>
      </c>
      <c r="E169" s="77">
        <v>81.77000000000001</v>
      </c>
      <c r="F169" s="78">
        <f>ROUND(D169*E169,2)</f>
        <v>81.77</v>
      </c>
    </row>
    <row r="170" spans="1:6" x14ac:dyDescent="0.25">
      <c r="B170" s="75"/>
    </row>
    <row r="171" spans="1:6" ht="123" customHeight="1" x14ac:dyDescent="0.25">
      <c r="A171" s="39" t="s">
        <v>1377</v>
      </c>
      <c r="B171" s="37" t="s">
        <v>2977</v>
      </c>
      <c r="C171" s="76" t="s">
        <v>19</v>
      </c>
      <c r="D171" s="40">
        <v>28</v>
      </c>
      <c r="E171" s="77">
        <v>29.1</v>
      </c>
      <c r="F171" s="78">
        <f>ROUND(D171*E171,2)</f>
        <v>814.8</v>
      </c>
    </row>
    <row r="173" spans="1:6" ht="196.5" customHeight="1" x14ac:dyDescent="0.25">
      <c r="A173" s="39" t="s">
        <v>1378</v>
      </c>
      <c r="B173" s="37" t="s">
        <v>2978</v>
      </c>
    </row>
    <row r="174" spans="1:6" ht="36" x14ac:dyDescent="0.25">
      <c r="B174" s="37" t="s">
        <v>1379</v>
      </c>
      <c r="C174" s="76" t="s">
        <v>19</v>
      </c>
      <c r="D174" s="40">
        <v>3</v>
      </c>
      <c r="E174" s="77">
        <v>860.78</v>
      </c>
      <c r="F174" s="78">
        <f>ROUND(D174*E174,2)</f>
        <v>2582.34</v>
      </c>
    </row>
    <row r="176" spans="1:6" ht="48" x14ac:dyDescent="0.25">
      <c r="A176" s="39" t="s">
        <v>1380</v>
      </c>
      <c r="B176" s="37" t="s">
        <v>2979</v>
      </c>
      <c r="C176" s="76" t="s">
        <v>19</v>
      </c>
      <c r="D176" s="40">
        <v>3</v>
      </c>
      <c r="E176" s="77">
        <v>45.199999999999996</v>
      </c>
      <c r="F176" s="78">
        <f>ROUND(D176*E176,2)</f>
        <v>135.6</v>
      </c>
    </row>
    <row r="178" spans="1:6" ht="28.5" customHeight="1" x14ac:dyDescent="0.25">
      <c r="A178" s="39" t="s">
        <v>1381</v>
      </c>
      <c r="B178" s="37" t="s">
        <v>2980</v>
      </c>
      <c r="C178" s="76" t="s">
        <v>19</v>
      </c>
      <c r="D178" s="40">
        <v>2</v>
      </c>
      <c r="E178" s="77">
        <v>62</v>
      </c>
      <c r="F178" s="78">
        <f>ROUND(D178*E178,2)</f>
        <v>124</v>
      </c>
    </row>
    <row r="180" spans="1:6" ht="51.75" customHeight="1" x14ac:dyDescent="0.25">
      <c r="A180" s="39" t="s">
        <v>1382</v>
      </c>
      <c r="B180" s="37" t="s">
        <v>2981</v>
      </c>
      <c r="C180" s="76" t="s">
        <v>19</v>
      </c>
      <c r="D180" s="40">
        <v>7</v>
      </c>
      <c r="E180" s="77">
        <v>52.33</v>
      </c>
      <c r="F180" s="78">
        <f>ROUND(D180*E180,2)</f>
        <v>366.31</v>
      </c>
    </row>
    <row r="182" spans="1:6" ht="24" x14ac:dyDescent="0.25">
      <c r="A182" s="39" t="s">
        <v>1383</v>
      </c>
      <c r="B182" s="37" t="s">
        <v>2982</v>
      </c>
      <c r="C182" s="76" t="s">
        <v>19</v>
      </c>
      <c r="D182" s="40">
        <v>2</v>
      </c>
      <c r="E182" s="77">
        <v>62</v>
      </c>
      <c r="F182" s="78">
        <f>ROUND(D182*E182,2)</f>
        <v>124</v>
      </c>
    </row>
    <row r="184" spans="1:6" ht="48" x14ac:dyDescent="0.25">
      <c r="A184" s="39" t="s">
        <v>1384</v>
      </c>
      <c r="B184" s="37" t="s">
        <v>2983</v>
      </c>
      <c r="C184" s="76" t="s">
        <v>19</v>
      </c>
      <c r="D184" s="40">
        <v>12</v>
      </c>
      <c r="E184" s="77">
        <v>43.73</v>
      </c>
      <c r="F184" s="78">
        <f>ROUND(D184*E184,2)</f>
        <v>524.76</v>
      </c>
    </row>
    <row r="186" spans="1:6" ht="76.5" customHeight="1" x14ac:dyDescent="0.25">
      <c r="A186" s="39" t="s">
        <v>1385</v>
      </c>
      <c r="B186" s="37" t="s">
        <v>2984</v>
      </c>
      <c r="C186" s="76" t="s">
        <v>13</v>
      </c>
      <c r="D186" s="40">
        <v>60</v>
      </c>
      <c r="E186" s="77">
        <v>20.810000000000002</v>
      </c>
      <c r="F186" s="78">
        <f>ROUND(D186*E186,2)</f>
        <v>1248.5999999999999</v>
      </c>
    </row>
    <row r="188" spans="1:6" ht="72.75" customHeight="1" x14ac:dyDescent="0.25">
      <c r="A188" s="39" t="s">
        <v>1386</v>
      </c>
      <c r="B188" s="37" t="s">
        <v>2985</v>
      </c>
      <c r="C188" s="76" t="s">
        <v>13</v>
      </c>
      <c r="D188" s="40">
        <v>162</v>
      </c>
      <c r="E188" s="77">
        <v>20.85</v>
      </c>
      <c r="F188" s="78">
        <f>ROUND(D188*E188,2)</f>
        <v>3377.7</v>
      </c>
    </row>
    <row r="190" spans="1:6" ht="73.5" customHeight="1" x14ac:dyDescent="0.25">
      <c r="A190" s="39" t="s">
        <v>1387</v>
      </c>
      <c r="B190" s="37" t="s">
        <v>2986</v>
      </c>
      <c r="C190" s="76" t="s">
        <v>13</v>
      </c>
      <c r="D190" s="40">
        <v>30</v>
      </c>
      <c r="E190" s="77">
        <v>26.59</v>
      </c>
      <c r="F190" s="78">
        <f>ROUND(D190*E190,2)</f>
        <v>797.7</v>
      </c>
    </row>
    <row r="192" spans="1:6" ht="76.5" customHeight="1" x14ac:dyDescent="0.25">
      <c r="A192" s="39" t="s">
        <v>1388</v>
      </c>
      <c r="B192" s="37" t="s">
        <v>2987</v>
      </c>
      <c r="C192" s="76" t="s">
        <v>13</v>
      </c>
      <c r="D192" s="40">
        <v>36</v>
      </c>
      <c r="E192" s="77">
        <v>28.91</v>
      </c>
      <c r="F192" s="78">
        <f>ROUND(D192*E192,2)</f>
        <v>1040.76</v>
      </c>
    </row>
    <row r="194" spans="1:6" ht="74.25" customHeight="1" x14ac:dyDescent="0.25">
      <c r="A194" s="39" t="s">
        <v>1389</v>
      </c>
      <c r="B194" s="37" t="s">
        <v>2988</v>
      </c>
      <c r="C194" s="76" t="s">
        <v>13</v>
      </c>
      <c r="D194" s="40">
        <v>60</v>
      </c>
      <c r="E194" s="77">
        <v>33.949999999999996</v>
      </c>
      <c r="F194" s="78">
        <f>ROUND(D194*E194,2)</f>
        <v>2037</v>
      </c>
    </row>
    <row r="195" spans="1:6" x14ac:dyDescent="0.25">
      <c r="B195" s="75"/>
      <c r="C195" s="38"/>
    </row>
    <row r="196" spans="1:6" ht="72" customHeight="1" x14ac:dyDescent="0.25">
      <c r="A196" s="39" t="s">
        <v>1390</v>
      </c>
      <c r="B196" s="37" t="s">
        <v>2989</v>
      </c>
      <c r="C196" s="76" t="s">
        <v>13</v>
      </c>
      <c r="D196" s="40">
        <v>30</v>
      </c>
      <c r="E196" s="77">
        <v>42.07</v>
      </c>
      <c r="F196" s="78">
        <f>ROUND(D196*E196,2)</f>
        <v>1262.0999999999999</v>
      </c>
    </row>
    <row r="198" spans="1:6" ht="36" x14ac:dyDescent="0.25">
      <c r="A198" s="39" t="s">
        <v>1391</v>
      </c>
      <c r="B198" s="37" t="s">
        <v>2990</v>
      </c>
      <c r="C198" s="76" t="s">
        <v>19</v>
      </c>
      <c r="D198" s="40">
        <v>25</v>
      </c>
      <c r="E198" s="77">
        <v>11.28</v>
      </c>
      <c r="F198" s="78">
        <f>ROUND(D198*E198,2)</f>
        <v>282</v>
      </c>
    </row>
    <row r="200" spans="1:6" ht="36" x14ac:dyDescent="0.25">
      <c r="A200" s="39" t="s">
        <v>1392</v>
      </c>
      <c r="B200" s="37" t="s">
        <v>2991</v>
      </c>
      <c r="C200" s="76" t="s">
        <v>19</v>
      </c>
      <c r="D200" s="40">
        <v>60</v>
      </c>
      <c r="E200" s="77">
        <v>11.4</v>
      </c>
      <c r="F200" s="78">
        <f>ROUND(D200*E200,2)</f>
        <v>684</v>
      </c>
    </row>
    <row r="202" spans="1:6" ht="36" x14ac:dyDescent="0.25">
      <c r="A202" s="39" t="s">
        <v>1393</v>
      </c>
      <c r="B202" s="37" t="s">
        <v>2992</v>
      </c>
      <c r="C202" s="76" t="s">
        <v>19</v>
      </c>
      <c r="D202" s="40">
        <v>12</v>
      </c>
      <c r="E202" s="77">
        <v>11.549999999999999</v>
      </c>
      <c r="F202" s="78">
        <f>ROUND(D202*E202,2)</f>
        <v>138.6</v>
      </c>
    </row>
    <row r="204" spans="1:6" ht="36" x14ac:dyDescent="0.25">
      <c r="A204" s="39" t="s">
        <v>1394</v>
      </c>
      <c r="B204" s="37" t="s">
        <v>2993</v>
      </c>
      <c r="C204" s="76" t="s">
        <v>19</v>
      </c>
      <c r="D204" s="40">
        <v>14</v>
      </c>
      <c r="E204" s="77">
        <v>12</v>
      </c>
      <c r="F204" s="78">
        <f>ROUND(D204*E204,2)</f>
        <v>168</v>
      </c>
    </row>
    <row r="206" spans="1:6" ht="36" x14ac:dyDescent="0.25">
      <c r="A206" s="39" t="s">
        <v>1395</v>
      </c>
      <c r="B206" s="37" t="s">
        <v>2994</v>
      </c>
      <c r="C206" s="76" t="s">
        <v>19</v>
      </c>
      <c r="D206" s="40">
        <v>25</v>
      </c>
      <c r="E206" s="77">
        <v>24.240000000000002</v>
      </c>
      <c r="F206" s="78">
        <f>ROUND(D206*E206,2)</f>
        <v>606</v>
      </c>
    </row>
    <row r="207" spans="1:6" x14ac:dyDescent="0.25">
      <c r="B207" s="75"/>
    </row>
    <row r="208" spans="1:6" ht="36" x14ac:dyDescent="0.25">
      <c r="A208" s="39" t="s">
        <v>1396</v>
      </c>
      <c r="B208" s="37" t="s">
        <v>2995</v>
      </c>
      <c r="C208" s="76" t="s">
        <v>19</v>
      </c>
      <c r="D208" s="40">
        <v>14</v>
      </c>
      <c r="E208" s="77">
        <v>25.44</v>
      </c>
      <c r="F208" s="78">
        <f>ROUND(D208*E208,2)</f>
        <v>356.16</v>
      </c>
    </row>
    <row r="209" spans="1:6" x14ac:dyDescent="0.25">
      <c r="B209" s="75"/>
    </row>
    <row r="210" spans="1:6" x14ac:dyDescent="0.25">
      <c r="A210" s="39" t="s">
        <v>1397</v>
      </c>
      <c r="B210" s="37" t="s">
        <v>2951</v>
      </c>
      <c r="C210" s="76" t="s">
        <v>19</v>
      </c>
      <c r="D210" s="40">
        <v>1</v>
      </c>
      <c r="E210" s="77">
        <v>381.69</v>
      </c>
      <c r="F210" s="78">
        <f>ROUND(D210*E210,2)</f>
        <v>381.69</v>
      </c>
    </row>
    <row r="211" spans="1:6" x14ac:dyDescent="0.25">
      <c r="B211" s="75"/>
    </row>
    <row r="212" spans="1:6" ht="16.5" customHeight="1" x14ac:dyDescent="0.25">
      <c r="A212" s="39" t="s">
        <v>1398</v>
      </c>
      <c r="B212" s="37" t="s">
        <v>2996</v>
      </c>
      <c r="C212" s="76" t="s">
        <v>19</v>
      </c>
      <c r="D212" s="40">
        <v>1</v>
      </c>
      <c r="E212" s="77">
        <v>649</v>
      </c>
      <c r="F212" s="78">
        <f>ROUND(D212*E212,2)</f>
        <v>649</v>
      </c>
    </row>
    <row r="213" spans="1:6" x14ac:dyDescent="0.25">
      <c r="B213" s="75"/>
    </row>
    <row r="214" spans="1:6" ht="24" x14ac:dyDescent="0.25">
      <c r="A214" s="39" t="s">
        <v>1399</v>
      </c>
      <c r="B214" s="37" t="s">
        <v>1402</v>
      </c>
      <c r="C214" s="76" t="s">
        <v>15</v>
      </c>
      <c r="D214" s="40">
        <v>2</v>
      </c>
      <c r="E214" s="77">
        <v>59.53</v>
      </c>
      <c r="F214" s="78">
        <f>ROUND(D214*E214,2)</f>
        <v>119.06</v>
      </c>
    </row>
    <row r="215" spans="1:6" x14ac:dyDescent="0.25">
      <c r="B215" s="75"/>
      <c r="C215" s="38"/>
    </row>
    <row r="216" spans="1:6" ht="24" x14ac:dyDescent="0.25">
      <c r="A216" s="39" t="s">
        <v>1400</v>
      </c>
      <c r="B216" s="37" t="s">
        <v>1404</v>
      </c>
      <c r="C216" s="76" t="s">
        <v>15</v>
      </c>
      <c r="D216" s="40">
        <v>16</v>
      </c>
      <c r="E216" s="77">
        <v>59.53</v>
      </c>
      <c r="F216" s="78">
        <f>ROUND(D216*E216,2)</f>
        <v>952.48</v>
      </c>
    </row>
    <row r="217" spans="1:6" x14ac:dyDescent="0.25">
      <c r="B217" s="75"/>
    </row>
    <row r="218" spans="1:6" ht="24" x14ac:dyDescent="0.25">
      <c r="A218" s="39" t="s">
        <v>1401</v>
      </c>
      <c r="B218" s="37" t="s">
        <v>1406</v>
      </c>
      <c r="C218" s="76" t="s">
        <v>15</v>
      </c>
      <c r="D218" s="40">
        <v>10</v>
      </c>
      <c r="E218" s="77">
        <v>59.53</v>
      </c>
      <c r="F218" s="78">
        <f>ROUND(D218*E218,2)</f>
        <v>595.29999999999995</v>
      </c>
    </row>
    <row r="219" spans="1:6" x14ac:dyDescent="0.25">
      <c r="B219" s="75"/>
    </row>
    <row r="220" spans="1:6" ht="24" x14ac:dyDescent="0.25">
      <c r="A220" s="39" t="s">
        <v>1403</v>
      </c>
      <c r="B220" s="37" t="s">
        <v>1408</v>
      </c>
      <c r="C220" s="76" t="s">
        <v>15</v>
      </c>
      <c r="D220" s="40">
        <v>6</v>
      </c>
      <c r="E220" s="77">
        <v>64.08</v>
      </c>
      <c r="F220" s="78">
        <f>ROUND(D220*E220,2)</f>
        <v>384.48</v>
      </c>
    </row>
    <row r="221" spans="1:6" x14ac:dyDescent="0.25">
      <c r="B221" s="75"/>
    </row>
    <row r="222" spans="1:6" ht="24" x14ac:dyDescent="0.25">
      <c r="A222" s="39" t="s">
        <v>1405</v>
      </c>
      <c r="B222" s="37" t="s">
        <v>1410</v>
      </c>
      <c r="C222" s="76" t="s">
        <v>15</v>
      </c>
      <c r="D222" s="40">
        <v>5</v>
      </c>
      <c r="E222" s="77">
        <v>69.09</v>
      </c>
      <c r="F222" s="78">
        <f>ROUND(D222*E222,2)</f>
        <v>345.45</v>
      </c>
    </row>
    <row r="223" spans="1:6" x14ac:dyDescent="0.25">
      <c r="B223" s="75"/>
    </row>
    <row r="224" spans="1:6" ht="24" x14ac:dyDescent="0.25">
      <c r="A224" s="39" t="s">
        <v>1407</v>
      </c>
      <c r="B224" s="37" t="s">
        <v>1411</v>
      </c>
      <c r="C224" s="76" t="s">
        <v>15</v>
      </c>
      <c r="D224" s="40">
        <v>6</v>
      </c>
      <c r="E224" s="77">
        <v>91.38000000000001</v>
      </c>
      <c r="F224" s="78">
        <f>ROUND(D224*E224,2)</f>
        <v>548.28</v>
      </c>
    </row>
    <row r="225" spans="1:6" x14ac:dyDescent="0.25">
      <c r="B225" s="75"/>
    </row>
    <row r="226" spans="1:6" ht="24" x14ac:dyDescent="0.25">
      <c r="A226" s="39" t="s">
        <v>1409</v>
      </c>
      <c r="B226" s="37" t="s">
        <v>1412</v>
      </c>
      <c r="C226" s="76" t="s">
        <v>19</v>
      </c>
      <c r="D226" s="40">
        <v>12</v>
      </c>
      <c r="E226" s="77">
        <v>29</v>
      </c>
      <c r="F226" s="78">
        <f>ROUND(D226*E226,2)</f>
        <v>348</v>
      </c>
    </row>
    <row r="228" spans="1:6" x14ac:dyDescent="0.25">
      <c r="A228" s="91" t="s">
        <v>1369</v>
      </c>
      <c r="B228" s="92" t="s">
        <v>1413</v>
      </c>
      <c r="C228" s="91"/>
      <c r="D228" s="91"/>
      <c r="E228" s="122"/>
      <c r="F228" s="96">
        <f>SUM(F159:F226)</f>
        <v>23529.09</v>
      </c>
    </row>
    <row r="230" spans="1:6" x14ac:dyDescent="0.25">
      <c r="A230" s="91" t="s">
        <v>1414</v>
      </c>
      <c r="B230" s="92" t="s">
        <v>1415</v>
      </c>
      <c r="C230" s="91"/>
      <c r="D230" s="91"/>
      <c r="E230" s="122"/>
      <c r="F230" s="91"/>
    </row>
    <row r="232" spans="1:6" x14ac:dyDescent="0.25">
      <c r="B232" s="81" t="s">
        <v>2888</v>
      </c>
    </row>
    <row r="233" spans="1:6" x14ac:dyDescent="0.25">
      <c r="B233" s="48" t="s">
        <v>3017</v>
      </c>
    </row>
    <row r="234" spans="1:6" x14ac:dyDescent="0.25">
      <c r="B234" s="48" t="s">
        <v>2952</v>
      </c>
    </row>
    <row r="235" spans="1:6" ht="36" x14ac:dyDescent="0.25">
      <c r="B235" s="100" t="s">
        <v>3020</v>
      </c>
    </row>
    <row r="238" spans="1:6" ht="42" customHeight="1" x14ac:dyDescent="0.25">
      <c r="A238" s="39" t="s">
        <v>1416</v>
      </c>
      <c r="B238" s="37" t="s">
        <v>2997</v>
      </c>
      <c r="C238" s="76" t="s">
        <v>19</v>
      </c>
      <c r="D238" s="40">
        <v>1</v>
      </c>
      <c r="E238" s="77">
        <v>1828.55</v>
      </c>
      <c r="F238" s="78">
        <f>ROUND(D238*E238,2)</f>
        <v>1828.55</v>
      </c>
    </row>
    <row r="240" spans="1:6" ht="18" customHeight="1" x14ac:dyDescent="0.25">
      <c r="A240" s="39" t="s">
        <v>1417</v>
      </c>
      <c r="B240" s="37" t="s">
        <v>2998</v>
      </c>
      <c r="C240" s="76" t="s">
        <v>15</v>
      </c>
      <c r="D240" s="40">
        <v>1</v>
      </c>
      <c r="E240" s="77">
        <v>796.89</v>
      </c>
      <c r="F240" s="78">
        <f>ROUND(D240*E240,2)</f>
        <v>796.89</v>
      </c>
    </row>
    <row r="241" spans="1:6" x14ac:dyDescent="0.25">
      <c r="B241" s="75"/>
    </row>
    <row r="242" spans="1:6" ht="18.75" customHeight="1" x14ac:dyDescent="0.25">
      <c r="A242" s="39" t="s">
        <v>1418</v>
      </c>
      <c r="B242" s="37" t="s">
        <v>2999</v>
      </c>
      <c r="C242" s="76" t="s">
        <v>15</v>
      </c>
      <c r="D242" s="40">
        <v>1</v>
      </c>
      <c r="E242" s="77">
        <v>441.95</v>
      </c>
      <c r="F242" s="78">
        <f>ROUND(D242*E242,2)</f>
        <v>441.95</v>
      </c>
    </row>
    <row r="243" spans="1:6" x14ac:dyDescent="0.25">
      <c r="B243" s="75"/>
    </row>
    <row r="244" spans="1:6" ht="17.25" customHeight="1" x14ac:dyDescent="0.25">
      <c r="A244" s="39" t="s">
        <v>1419</v>
      </c>
      <c r="B244" s="37" t="s">
        <v>3000</v>
      </c>
      <c r="C244" s="76" t="s">
        <v>15</v>
      </c>
      <c r="D244" s="40">
        <v>1</v>
      </c>
      <c r="E244" s="77">
        <v>666.89</v>
      </c>
      <c r="F244" s="78">
        <f>ROUND(D244*E244,2)</f>
        <v>666.89</v>
      </c>
    </row>
    <row r="245" spans="1:6" x14ac:dyDescent="0.25">
      <c r="B245" s="75"/>
    </row>
    <row r="246" spans="1:6" ht="24" x14ac:dyDescent="0.25">
      <c r="A246" s="39" t="s">
        <v>1420</v>
      </c>
      <c r="B246" s="37" t="s">
        <v>3001</v>
      </c>
      <c r="C246" s="76" t="s">
        <v>15</v>
      </c>
      <c r="D246" s="40">
        <v>7</v>
      </c>
      <c r="E246" s="77">
        <v>84.190000000000012</v>
      </c>
      <c r="F246" s="78">
        <f>ROUND(D246*E246,2)</f>
        <v>589.33000000000004</v>
      </c>
    </row>
    <row r="247" spans="1:6" x14ac:dyDescent="0.25">
      <c r="B247" s="75"/>
    </row>
    <row r="248" spans="1:6" ht="24" x14ac:dyDescent="0.25">
      <c r="A248" s="39" t="s">
        <v>1421</v>
      </c>
      <c r="B248" s="37" t="s">
        <v>3002</v>
      </c>
      <c r="C248" s="76" t="s">
        <v>15</v>
      </c>
      <c r="D248" s="40">
        <v>1</v>
      </c>
      <c r="E248" s="77">
        <v>84.190000000000012</v>
      </c>
      <c r="F248" s="78">
        <f>ROUND(D248*E248,2)</f>
        <v>84.19</v>
      </c>
    </row>
    <row r="249" spans="1:6" x14ac:dyDescent="0.25">
      <c r="B249" s="75"/>
    </row>
    <row r="250" spans="1:6" ht="24" x14ac:dyDescent="0.25">
      <c r="A250" s="39" t="s">
        <v>1422</v>
      </c>
      <c r="B250" s="37" t="s">
        <v>3003</v>
      </c>
      <c r="C250" s="76" t="s">
        <v>15</v>
      </c>
      <c r="D250" s="40">
        <v>1</v>
      </c>
      <c r="E250" s="77">
        <v>84.190000000000012</v>
      </c>
      <c r="F250" s="78">
        <f>ROUND(D250*E250,2)</f>
        <v>84.19</v>
      </c>
    </row>
    <row r="251" spans="1:6" x14ac:dyDescent="0.25">
      <c r="B251" s="75"/>
      <c r="C251" s="38"/>
    </row>
    <row r="252" spans="1:6" ht="25.5" customHeight="1" x14ac:dyDescent="0.25">
      <c r="A252" s="39" t="s">
        <v>1423</v>
      </c>
      <c r="B252" s="37" t="s">
        <v>3004</v>
      </c>
      <c r="C252" s="76" t="s">
        <v>15</v>
      </c>
      <c r="D252" s="40">
        <v>7</v>
      </c>
      <c r="E252" s="77">
        <v>51.379999999999995</v>
      </c>
      <c r="F252" s="78">
        <f>ROUND(D252*E252,2)</f>
        <v>359.66</v>
      </c>
    </row>
    <row r="253" spans="1:6" x14ac:dyDescent="0.25">
      <c r="B253" s="75"/>
    </row>
    <row r="254" spans="1:6" ht="27" customHeight="1" x14ac:dyDescent="0.25">
      <c r="A254" s="39" t="s">
        <v>1424</v>
      </c>
      <c r="B254" s="37" t="s">
        <v>3005</v>
      </c>
      <c r="C254" s="76" t="s">
        <v>19</v>
      </c>
      <c r="D254" s="40">
        <v>9</v>
      </c>
      <c r="E254" s="77">
        <v>34.379999999999995</v>
      </c>
      <c r="F254" s="78">
        <f>ROUND(D254*E254,2)</f>
        <v>309.42</v>
      </c>
    </row>
    <row r="255" spans="1:6" x14ac:dyDescent="0.25">
      <c r="B255" s="75"/>
    </row>
    <row r="256" spans="1:6" ht="27.75" customHeight="1" x14ac:dyDescent="0.25">
      <c r="A256" s="39" t="s">
        <v>1425</v>
      </c>
      <c r="B256" s="37" t="s">
        <v>3006</v>
      </c>
      <c r="C256" s="76" t="s">
        <v>15</v>
      </c>
      <c r="D256" s="40">
        <v>4</v>
      </c>
      <c r="E256" s="77">
        <v>59.379999999999995</v>
      </c>
      <c r="F256" s="78">
        <f>ROUND(D256*E256,2)</f>
        <v>237.52</v>
      </c>
    </row>
    <row r="257" spans="1:6" x14ac:dyDescent="0.25">
      <c r="B257" s="75"/>
    </row>
    <row r="258" spans="1:6" ht="15" customHeight="1" x14ac:dyDescent="0.25">
      <c r="A258" s="39" t="s">
        <v>1426</v>
      </c>
      <c r="B258" s="37" t="s">
        <v>3007</v>
      </c>
      <c r="C258" s="76" t="s">
        <v>15</v>
      </c>
      <c r="D258" s="40">
        <v>4</v>
      </c>
      <c r="E258" s="77">
        <v>52.379999999999995</v>
      </c>
      <c r="F258" s="78">
        <f>ROUND(D258*E258,2)</f>
        <v>209.52</v>
      </c>
    </row>
    <row r="259" spans="1:6" x14ac:dyDescent="0.25">
      <c r="B259" s="75"/>
    </row>
    <row r="260" spans="1:6" ht="27" customHeight="1" x14ac:dyDescent="0.25">
      <c r="A260" s="39" t="s">
        <v>1427</v>
      </c>
      <c r="B260" s="37" t="s">
        <v>3008</v>
      </c>
      <c r="C260" s="76" t="s">
        <v>15</v>
      </c>
      <c r="D260" s="40">
        <v>2</v>
      </c>
      <c r="E260" s="77">
        <v>72.38000000000001</v>
      </c>
      <c r="F260" s="78">
        <f>ROUND(D260*E260,2)</f>
        <v>144.76</v>
      </c>
    </row>
    <row r="261" spans="1:6" x14ac:dyDescent="0.25">
      <c r="B261" s="75"/>
    </row>
    <row r="262" spans="1:6" ht="24" x14ac:dyDescent="0.25">
      <c r="A262" s="39" t="s">
        <v>1428</v>
      </c>
      <c r="B262" s="37" t="s">
        <v>3009</v>
      </c>
      <c r="C262" s="76" t="s">
        <v>15</v>
      </c>
      <c r="D262" s="40">
        <v>10</v>
      </c>
      <c r="E262" s="77">
        <v>37.379999999999995</v>
      </c>
      <c r="F262" s="78">
        <f>ROUND(D262*E262,2)</f>
        <v>373.8</v>
      </c>
    </row>
    <row r="263" spans="1:6" x14ac:dyDescent="0.25">
      <c r="B263" s="75"/>
    </row>
    <row r="264" spans="1:6" ht="26.25" customHeight="1" x14ac:dyDescent="0.25">
      <c r="A264" s="39" t="s">
        <v>1429</v>
      </c>
      <c r="B264" s="37" t="s">
        <v>3010</v>
      </c>
      <c r="C264" s="76" t="s">
        <v>15</v>
      </c>
      <c r="D264" s="40">
        <v>2</v>
      </c>
      <c r="E264" s="77">
        <v>628.84</v>
      </c>
      <c r="F264" s="78">
        <f>ROUND(D264*E264,2)</f>
        <v>1257.68</v>
      </c>
    </row>
    <row r="265" spans="1:6" x14ac:dyDescent="0.25">
      <c r="B265" s="75"/>
      <c r="C265" s="38"/>
    </row>
    <row r="266" spans="1:6" ht="15" customHeight="1" x14ac:dyDescent="0.25">
      <c r="A266" s="39" t="s">
        <v>1430</v>
      </c>
      <c r="B266" s="37" t="s">
        <v>3011</v>
      </c>
      <c r="C266" s="76" t="s">
        <v>13</v>
      </c>
      <c r="D266" s="40">
        <v>30</v>
      </c>
      <c r="E266" s="77">
        <v>8.4499999999999993</v>
      </c>
      <c r="F266" s="78">
        <f>ROUND(D266*E266,2)</f>
        <v>253.5</v>
      </c>
    </row>
    <row r="267" spans="1:6" x14ac:dyDescent="0.25">
      <c r="B267" s="75"/>
    </row>
    <row r="268" spans="1:6" ht="16.5" customHeight="1" x14ac:dyDescent="0.25">
      <c r="A268" s="39" t="s">
        <v>1431</v>
      </c>
      <c r="B268" s="37" t="s">
        <v>3012</v>
      </c>
      <c r="C268" s="76" t="s">
        <v>15</v>
      </c>
      <c r="D268" s="40">
        <v>3</v>
      </c>
      <c r="E268" s="77">
        <v>68.38000000000001</v>
      </c>
      <c r="F268" s="78">
        <f>ROUND(D268*E268,2)</f>
        <v>205.14</v>
      </c>
    </row>
    <row r="269" spans="1:6" x14ac:dyDescent="0.25">
      <c r="B269" s="75"/>
    </row>
    <row r="270" spans="1:6" ht="63" customHeight="1" x14ac:dyDescent="0.25">
      <c r="A270" s="39" t="s">
        <v>1432</v>
      </c>
      <c r="B270" s="37" t="s">
        <v>3013</v>
      </c>
      <c r="C270" s="76" t="s">
        <v>15</v>
      </c>
      <c r="D270" s="40">
        <v>3</v>
      </c>
      <c r="E270" s="77">
        <v>29.380000000000003</v>
      </c>
      <c r="F270" s="78">
        <f>ROUND(D270*E270,2)</f>
        <v>88.14</v>
      </c>
    </row>
    <row r="271" spans="1:6" x14ac:dyDescent="0.25">
      <c r="B271" s="75"/>
    </row>
    <row r="272" spans="1:6" ht="75" customHeight="1" x14ac:dyDescent="0.25">
      <c r="A272" s="39" t="s">
        <v>1433</v>
      </c>
      <c r="B272" s="37" t="s">
        <v>3014</v>
      </c>
      <c r="C272" s="76" t="s">
        <v>13</v>
      </c>
      <c r="D272" s="40">
        <v>30</v>
      </c>
      <c r="E272" s="77">
        <v>62.949999999999996</v>
      </c>
      <c r="F272" s="78">
        <f>ROUND(D272*E272,2)</f>
        <v>1888.5</v>
      </c>
    </row>
    <row r="273" spans="1:6" x14ac:dyDescent="0.25">
      <c r="B273" s="75"/>
      <c r="C273" s="38"/>
    </row>
    <row r="274" spans="1:6" ht="27.75" customHeight="1" x14ac:dyDescent="0.25">
      <c r="A274" s="39" t="s">
        <v>1434</v>
      </c>
      <c r="B274" s="37" t="s">
        <v>3015</v>
      </c>
      <c r="C274" s="76" t="s">
        <v>19</v>
      </c>
      <c r="D274" s="40">
        <v>30</v>
      </c>
      <c r="E274" s="77">
        <v>45.76</v>
      </c>
      <c r="F274" s="78">
        <f>ROUND(D274*E274,2)</f>
        <v>1372.8</v>
      </c>
    </row>
    <row r="275" spans="1:6" x14ac:dyDescent="0.25">
      <c r="B275" s="75"/>
    </row>
    <row r="276" spans="1:6" ht="26.25" customHeight="1" x14ac:dyDescent="0.25">
      <c r="A276" s="39" t="s">
        <v>1435</v>
      </c>
      <c r="B276" s="37" t="s">
        <v>3016</v>
      </c>
      <c r="C276" s="76" t="s">
        <v>19</v>
      </c>
      <c r="D276" s="40">
        <v>50</v>
      </c>
      <c r="E276" s="77">
        <v>36.479999999999997</v>
      </c>
      <c r="F276" s="78">
        <f>ROUND(D276*E276,2)</f>
        <v>1824</v>
      </c>
    </row>
    <row r="277" spans="1:6" x14ac:dyDescent="0.25">
      <c r="B277" s="75"/>
    </row>
    <row r="278" spans="1:6" ht="48" x14ac:dyDescent="0.25">
      <c r="A278" s="39" t="s">
        <v>1436</v>
      </c>
      <c r="B278" s="37" t="s">
        <v>3019</v>
      </c>
      <c r="C278" s="76" t="s">
        <v>19</v>
      </c>
      <c r="D278" s="40">
        <v>1</v>
      </c>
      <c r="E278" s="77">
        <v>360</v>
      </c>
      <c r="F278" s="78">
        <f>ROUND(D278*E278,2)</f>
        <v>360</v>
      </c>
    </row>
    <row r="279" spans="1:6" x14ac:dyDescent="0.25">
      <c r="B279" s="75"/>
    </row>
    <row r="280" spans="1:6" ht="24" x14ac:dyDescent="0.25">
      <c r="A280" s="39" t="s">
        <v>1437</v>
      </c>
      <c r="B280" s="37" t="s">
        <v>3018</v>
      </c>
      <c r="C280" s="76" t="s">
        <v>19</v>
      </c>
      <c r="D280" s="40">
        <v>1</v>
      </c>
      <c r="E280" s="77">
        <v>795.1</v>
      </c>
      <c r="F280" s="78">
        <f>ROUND(D280*E280,2)</f>
        <v>795.1</v>
      </c>
    </row>
    <row r="282" spans="1:6" x14ac:dyDescent="0.25">
      <c r="A282" s="91" t="s">
        <v>1414</v>
      </c>
      <c r="B282" s="92" t="s">
        <v>1438</v>
      </c>
      <c r="C282" s="91"/>
      <c r="D282" s="91"/>
      <c r="E282" s="122"/>
      <c r="F282" s="96">
        <f>SUM(F238:F280)</f>
        <v>14171.53</v>
      </c>
    </row>
    <row r="285" spans="1:6" x14ac:dyDescent="0.25">
      <c r="A285" s="113" t="s">
        <v>1297</v>
      </c>
      <c r="B285" s="116" t="s">
        <v>1439</v>
      </c>
      <c r="C285" s="113"/>
      <c r="D285" s="113"/>
      <c r="E285" s="128"/>
      <c r="F285" s="114">
        <f>SUM(F282,F228,F150,F110)</f>
        <v>76504.310000000012</v>
      </c>
    </row>
  </sheetData>
  <sheetProtection algorithmName="SHA-512" hashValue="AY11+JD+QnY28EUtD/uOpdGHXHiD7YcqgE61UjuofU2agQH8BCD9GwSxo3yvUsNEwR27pmZYXIIrqaya/OmL8Q==" saltValue="DjeDuGrBme9PdFm0VU4L+w==" spinCount="100000" sheet="1" objects="1" scenarios="1"/>
  <pageMargins left="0.6" right="0.6"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3"/>
  <sheetViews>
    <sheetView topLeftCell="A53" zoomScale="85" zoomScaleNormal="85" workbookViewId="0">
      <selection activeCell="G82" sqref="G82"/>
    </sheetView>
  </sheetViews>
  <sheetFormatPr defaultColWidth="9.109375" defaultRowHeight="12" x14ac:dyDescent="0.25"/>
  <cols>
    <col min="1" max="1" width="10.6640625" style="38" customWidth="1"/>
    <col min="2" max="2" width="60.6640625" style="74" customWidth="1"/>
    <col min="3" max="3" width="10.6640625" style="76" customWidth="1"/>
    <col min="4" max="4" width="10.6640625" style="38" customWidth="1"/>
    <col min="5" max="5" width="15.6640625" style="120" customWidth="1"/>
    <col min="6" max="6" width="20.6640625" style="38" customWidth="1"/>
    <col min="7" max="7" width="9.109375" style="38" customWidth="1"/>
    <col min="8" max="16384" width="9.109375" style="38"/>
  </cols>
  <sheetData>
    <row r="1" spans="1:6" ht="18" x14ac:dyDescent="0.35">
      <c r="A1" s="84" t="s">
        <v>1440</v>
      </c>
      <c r="B1" s="115" t="s">
        <v>1441</v>
      </c>
      <c r="C1" s="84"/>
      <c r="D1" s="84"/>
      <c r="E1" s="117"/>
      <c r="F1" s="84"/>
    </row>
    <row r="3" spans="1:6" ht="30" customHeight="1" x14ac:dyDescent="0.25">
      <c r="A3" s="139" t="s">
        <v>3</v>
      </c>
      <c r="B3" s="139" t="s">
        <v>4</v>
      </c>
      <c r="C3" s="139" t="s">
        <v>5</v>
      </c>
      <c r="D3" s="139" t="s">
        <v>6</v>
      </c>
      <c r="E3" s="140" t="s">
        <v>7</v>
      </c>
      <c r="F3" s="139" t="s">
        <v>8</v>
      </c>
    </row>
    <row r="7" spans="1:6" ht="66" customHeight="1" x14ac:dyDescent="0.25">
      <c r="B7" s="37" t="s">
        <v>2086</v>
      </c>
    </row>
    <row r="8" spans="1:6" ht="27.75" customHeight="1" x14ac:dyDescent="0.25">
      <c r="B8" s="37" t="s">
        <v>2087</v>
      </c>
    </row>
    <row r="9" spans="1:6" ht="42" customHeight="1" x14ac:dyDescent="0.25">
      <c r="B9" s="37" t="s">
        <v>2088</v>
      </c>
    </row>
    <row r="10" spans="1:6" ht="28.5" customHeight="1" x14ac:dyDescent="0.25">
      <c r="B10" s="37" t="s">
        <v>2089</v>
      </c>
    </row>
    <row r="11" spans="1:6" ht="27.75" customHeight="1" x14ac:dyDescent="0.25">
      <c r="B11" s="37" t="s">
        <v>2090</v>
      </c>
    </row>
    <row r="12" spans="1:6" ht="49.5" customHeight="1" x14ac:dyDescent="0.25">
      <c r="B12" s="37" t="s">
        <v>2091</v>
      </c>
    </row>
    <row r="13" spans="1:6" x14ac:dyDescent="0.25">
      <c r="B13" s="37"/>
    </row>
    <row r="14" spans="1:6" ht="43.5" customHeight="1" x14ac:dyDescent="0.25">
      <c r="B14" s="37" t="s">
        <v>2626</v>
      </c>
    </row>
    <row r="15" spans="1:6" ht="52.5" customHeight="1" x14ac:dyDescent="0.25">
      <c r="B15" s="37" t="s">
        <v>2627</v>
      </c>
    </row>
    <row r="16" spans="1:6" ht="30" customHeight="1" x14ac:dyDescent="0.25">
      <c r="B16" s="37" t="s">
        <v>2628</v>
      </c>
    </row>
    <row r="17" spans="2:2" ht="12" customHeight="1" x14ac:dyDescent="0.25">
      <c r="B17" s="37" t="s">
        <v>2107</v>
      </c>
    </row>
    <row r="18" spans="2:2" x14ac:dyDescent="0.25">
      <c r="B18" s="37" t="s">
        <v>2108</v>
      </c>
    </row>
    <row r="19" spans="2:2" x14ac:dyDescent="0.25">
      <c r="B19" s="37"/>
    </row>
    <row r="20" spans="2:2" ht="41.25" customHeight="1" x14ac:dyDescent="0.25">
      <c r="B20" s="37" t="s">
        <v>2629</v>
      </c>
    </row>
    <row r="21" spans="2:2" x14ac:dyDescent="0.25">
      <c r="B21" s="37"/>
    </row>
    <row r="22" spans="2:2" ht="66.75" customHeight="1" x14ac:dyDescent="0.25">
      <c r="B22" s="37" t="s">
        <v>2092</v>
      </c>
    </row>
    <row r="23" spans="2:2" x14ac:dyDescent="0.25">
      <c r="B23" s="37" t="s">
        <v>2093</v>
      </c>
    </row>
    <row r="24" spans="2:2" ht="12" customHeight="1" x14ac:dyDescent="0.25">
      <c r="B24" s="37" t="s">
        <v>2094</v>
      </c>
    </row>
    <row r="25" spans="2:2" x14ac:dyDescent="0.25">
      <c r="B25" s="37" t="s">
        <v>2095</v>
      </c>
    </row>
    <row r="26" spans="2:2" x14ac:dyDescent="0.25">
      <c r="B26" s="37" t="s">
        <v>2096</v>
      </c>
    </row>
    <row r="27" spans="2:2" x14ac:dyDescent="0.25">
      <c r="B27" s="37" t="s">
        <v>2097</v>
      </c>
    </row>
    <row r="28" spans="2:2" x14ac:dyDescent="0.25">
      <c r="B28" s="37" t="s">
        <v>2098</v>
      </c>
    </row>
    <row r="29" spans="2:2" ht="12" customHeight="1" x14ac:dyDescent="0.25">
      <c r="B29" s="37" t="s">
        <v>2099</v>
      </c>
    </row>
    <row r="30" spans="2:2" ht="16.5" customHeight="1" x14ac:dyDescent="0.25">
      <c r="B30" s="37" t="s">
        <v>2100</v>
      </c>
    </row>
    <row r="31" spans="2:2" x14ac:dyDescent="0.25">
      <c r="B31" s="37" t="s">
        <v>2101</v>
      </c>
    </row>
    <row r="32" spans="2:2" ht="12" customHeight="1" x14ac:dyDescent="0.25">
      <c r="B32" s="37" t="s">
        <v>2102</v>
      </c>
    </row>
    <row r="33" spans="1:6" ht="24" x14ac:dyDescent="0.25">
      <c r="B33" s="37" t="s">
        <v>2103</v>
      </c>
    </row>
    <row r="34" spans="1:6" ht="29.25" customHeight="1" x14ac:dyDescent="0.25">
      <c r="B34" s="37" t="s">
        <v>2860</v>
      </c>
    </row>
    <row r="35" spans="1:6" ht="12" customHeight="1" x14ac:dyDescent="0.25">
      <c r="B35" s="37" t="s">
        <v>2104</v>
      </c>
    </row>
    <row r="36" spans="1:6" x14ac:dyDescent="0.25">
      <c r="B36" s="37"/>
    </row>
    <row r="37" spans="1:6" ht="75.75" customHeight="1" x14ac:dyDescent="0.25">
      <c r="B37" s="37" t="s">
        <v>2105</v>
      </c>
    </row>
    <row r="38" spans="1:6" ht="12" customHeight="1" x14ac:dyDescent="0.25">
      <c r="B38" s="37"/>
    </row>
    <row r="39" spans="1:6" ht="24" x14ac:dyDescent="0.25">
      <c r="B39" s="37" t="s">
        <v>2106</v>
      </c>
    </row>
    <row r="40" spans="1:6" ht="12" customHeight="1" x14ac:dyDescent="0.25">
      <c r="B40" s="37"/>
    </row>
    <row r="41" spans="1:6" ht="289.5" customHeight="1" x14ac:dyDescent="0.25">
      <c r="B41" s="37" t="s">
        <v>2109</v>
      </c>
    </row>
    <row r="44" spans="1:6" x14ac:dyDescent="0.25">
      <c r="A44" s="144" t="s">
        <v>2577</v>
      </c>
      <c r="B44" s="92" t="s">
        <v>2110</v>
      </c>
      <c r="C44" s="97"/>
      <c r="D44" s="91"/>
      <c r="E44" s="122"/>
      <c r="F44" s="94"/>
    </row>
    <row r="46" spans="1:6" ht="163.5" customHeight="1" x14ac:dyDescent="0.25">
      <c r="B46" s="37" t="s">
        <v>2111</v>
      </c>
    </row>
    <row r="47" spans="1:6" ht="309.75" customHeight="1" x14ac:dyDescent="0.25">
      <c r="B47" s="37" t="s">
        <v>2112</v>
      </c>
    </row>
    <row r="48" spans="1:6" ht="271.5" customHeight="1" x14ac:dyDescent="0.25">
      <c r="B48" s="37" t="s">
        <v>2113</v>
      </c>
    </row>
    <row r="49" spans="1:6" ht="136.5" customHeight="1" x14ac:dyDescent="0.25">
      <c r="B49" s="37" t="s">
        <v>2114</v>
      </c>
    </row>
    <row r="50" spans="1:6" ht="323.25" customHeight="1" x14ac:dyDescent="0.25">
      <c r="B50" s="37" t="s">
        <v>2630</v>
      </c>
    </row>
    <row r="51" spans="1:6" ht="272.25" customHeight="1" x14ac:dyDescent="0.25">
      <c r="B51" s="37" t="s">
        <v>2115</v>
      </c>
    </row>
    <row r="52" spans="1:6" ht="27" customHeight="1" x14ac:dyDescent="0.25">
      <c r="B52" s="48" t="s">
        <v>2116</v>
      </c>
      <c r="C52" s="76" t="s">
        <v>19</v>
      </c>
      <c r="D52" s="40">
        <v>1</v>
      </c>
      <c r="E52" s="77">
        <v>25000</v>
      </c>
      <c r="F52" s="78">
        <f>ROUND(D52*E52,2)</f>
        <v>25000</v>
      </c>
    </row>
    <row r="53" spans="1:6" ht="42.75" customHeight="1" x14ac:dyDescent="0.25">
      <c r="B53" s="48" t="s">
        <v>3033</v>
      </c>
      <c r="C53" s="76" t="s">
        <v>19</v>
      </c>
      <c r="D53" s="40">
        <v>1</v>
      </c>
      <c r="E53" s="77">
        <v>2000</v>
      </c>
      <c r="F53" s="78">
        <f>ROUND(D53*E53,2)</f>
        <v>2000</v>
      </c>
    </row>
    <row r="54" spans="1:6" ht="24" x14ac:dyDescent="0.25">
      <c r="B54" s="100" t="s">
        <v>2117</v>
      </c>
      <c r="C54" s="76" t="s">
        <v>19</v>
      </c>
      <c r="D54" s="40">
        <v>1</v>
      </c>
      <c r="E54" s="77">
        <v>2000</v>
      </c>
      <c r="F54" s="78">
        <f>ROUND(D54*E54,2)</f>
        <v>2000</v>
      </c>
    </row>
    <row r="56" spans="1:6" x14ac:dyDescent="0.25">
      <c r="A56" s="144" t="s">
        <v>2577</v>
      </c>
      <c r="B56" s="92" t="s">
        <v>2579</v>
      </c>
      <c r="C56" s="97"/>
      <c r="D56" s="91"/>
      <c r="E56" s="122"/>
      <c r="F56" s="96">
        <f>SUM(F52:F55)</f>
        <v>29000</v>
      </c>
    </row>
    <row r="58" spans="1:6" x14ac:dyDescent="0.25">
      <c r="A58" s="144" t="s">
        <v>2578</v>
      </c>
      <c r="B58" s="92" t="s">
        <v>2118</v>
      </c>
      <c r="C58" s="97"/>
      <c r="D58" s="91"/>
      <c r="E58" s="122"/>
      <c r="F58" s="91"/>
    </row>
    <row r="60" spans="1:6" ht="126" customHeight="1" x14ac:dyDescent="0.25">
      <c r="B60" s="82" t="s">
        <v>2119</v>
      </c>
    </row>
    <row r="61" spans="1:6" ht="168" x14ac:dyDescent="0.25">
      <c r="B61" s="82" t="s">
        <v>2120</v>
      </c>
    </row>
    <row r="62" spans="1:6" ht="42.75" customHeight="1" x14ac:dyDescent="0.25">
      <c r="B62" s="82" t="s">
        <v>2121</v>
      </c>
    </row>
    <row r="63" spans="1:6" ht="53.25" customHeight="1" x14ac:dyDescent="0.25">
      <c r="B63" s="82" t="s">
        <v>2122</v>
      </c>
    </row>
    <row r="64" spans="1:6" ht="78.75" customHeight="1" x14ac:dyDescent="0.25">
      <c r="B64" s="82" t="s">
        <v>2123</v>
      </c>
    </row>
    <row r="65" spans="1:6" ht="27" customHeight="1" x14ac:dyDescent="0.25">
      <c r="B65" s="82" t="s">
        <v>2124</v>
      </c>
    </row>
    <row r="66" spans="1:6" ht="27.75" customHeight="1" x14ac:dyDescent="0.25">
      <c r="B66" s="48" t="s">
        <v>2125</v>
      </c>
      <c r="C66" s="76" t="s">
        <v>19</v>
      </c>
      <c r="D66" s="40">
        <v>1</v>
      </c>
      <c r="E66" s="77">
        <v>12000</v>
      </c>
      <c r="F66" s="78">
        <f t="shared" ref="F66:F68" si="0">ROUND(D66*E66,2)</f>
        <v>12000</v>
      </c>
    </row>
    <row r="67" spans="1:6" ht="44.25" customHeight="1" x14ac:dyDescent="0.25">
      <c r="B67" s="48" t="s">
        <v>3033</v>
      </c>
      <c r="C67" s="76" t="s">
        <v>19</v>
      </c>
      <c r="D67" s="40">
        <v>1</v>
      </c>
      <c r="E67" s="77">
        <v>2000</v>
      </c>
      <c r="F67" s="78">
        <f t="shared" si="0"/>
        <v>2000</v>
      </c>
    </row>
    <row r="68" spans="1:6" ht="30" customHeight="1" x14ac:dyDescent="0.25">
      <c r="B68" s="48" t="s">
        <v>2117</v>
      </c>
      <c r="C68" s="76" t="s">
        <v>19</v>
      </c>
      <c r="D68" s="40">
        <v>1</v>
      </c>
      <c r="E68" s="77">
        <v>2000</v>
      </c>
      <c r="F68" s="78">
        <f t="shared" si="0"/>
        <v>2000</v>
      </c>
    </row>
    <row r="70" spans="1:6" x14ac:dyDescent="0.25">
      <c r="A70" s="144" t="s">
        <v>2578</v>
      </c>
      <c r="B70" s="92" t="s">
        <v>2118</v>
      </c>
      <c r="C70" s="97"/>
      <c r="D70" s="91"/>
      <c r="E70" s="122"/>
      <c r="F70" s="96">
        <f>SUM(F66:F69)</f>
        <v>16000</v>
      </c>
    </row>
    <row r="73" spans="1:6" x14ac:dyDescent="0.25">
      <c r="A73" s="145" t="s">
        <v>1440</v>
      </c>
      <c r="B73" s="116" t="s">
        <v>1442</v>
      </c>
      <c r="C73" s="113"/>
      <c r="D73" s="113"/>
      <c r="E73" s="128"/>
      <c r="F73" s="114">
        <f>SUM(F70,F56)</f>
        <v>45000</v>
      </c>
    </row>
  </sheetData>
  <sheetProtection algorithmName="SHA-512" hashValue="GEAvi0Jp3JpS4TtBqYA1J1JnyGxH5RbHCrX2EgYAiRYs/JUibwm9p2WVaE3Cglx8NHXWOXbsQ8WUISVcWLQ5kg==" saltValue="XMMpFaKVndtQOPipGyEhug==" spinCount="100000" sheet="1" objects="1" scenarios="1"/>
  <pageMargins left="0.6" right="0.6"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5"/>
  <sheetViews>
    <sheetView topLeftCell="A8" zoomScale="85" zoomScaleNormal="85" workbookViewId="0">
      <selection activeCell="E13" sqref="E13"/>
    </sheetView>
  </sheetViews>
  <sheetFormatPr defaultColWidth="9.109375" defaultRowHeight="12" x14ac:dyDescent="0.25"/>
  <cols>
    <col min="1" max="1" width="10.6640625" style="38" customWidth="1"/>
    <col min="2" max="2" width="60.6640625" style="74" customWidth="1"/>
    <col min="3" max="3" width="10.6640625" style="76" customWidth="1"/>
    <col min="4" max="4" width="10.6640625" style="38" customWidth="1"/>
    <col min="5" max="5" width="15.6640625" style="120" customWidth="1"/>
    <col min="6" max="6" width="20.6640625" style="38" customWidth="1"/>
    <col min="7" max="7" width="9.109375" style="38" customWidth="1"/>
    <col min="8" max="16384" width="9.109375" style="38"/>
  </cols>
  <sheetData>
    <row r="1" spans="1:6" ht="18" x14ac:dyDescent="0.35">
      <c r="A1" s="84" t="s">
        <v>1443</v>
      </c>
      <c r="B1" s="115" t="s">
        <v>1444</v>
      </c>
      <c r="C1" s="84"/>
      <c r="D1" s="84"/>
      <c r="E1" s="117"/>
      <c r="F1" s="84"/>
    </row>
    <row r="3" spans="1:6" ht="24" x14ac:dyDescent="0.25">
      <c r="A3" s="138" t="s">
        <v>3</v>
      </c>
      <c r="B3" s="139" t="s">
        <v>4</v>
      </c>
      <c r="C3" s="139" t="s">
        <v>5</v>
      </c>
      <c r="D3" s="139" t="s">
        <v>6</v>
      </c>
      <c r="E3" s="140" t="s">
        <v>7</v>
      </c>
      <c r="F3" s="139" t="s">
        <v>8</v>
      </c>
    </row>
    <row r="5" spans="1:6" x14ac:dyDescent="0.25">
      <c r="A5" s="91" t="s">
        <v>1445</v>
      </c>
      <c r="B5" s="92" t="s">
        <v>31</v>
      </c>
      <c r="C5" s="91"/>
      <c r="D5" s="91"/>
      <c r="E5" s="122"/>
      <c r="F5" s="91"/>
    </row>
    <row r="7" spans="1:6" x14ac:dyDescent="0.25">
      <c r="A7" s="39" t="s">
        <v>1446</v>
      </c>
      <c r="B7" s="81" t="s">
        <v>1447</v>
      </c>
    </row>
    <row r="8" spans="1:6" ht="186" customHeight="1" x14ac:dyDescent="0.25">
      <c r="B8" s="37" t="s">
        <v>2581</v>
      </c>
      <c r="C8" s="76" t="s">
        <v>38</v>
      </c>
      <c r="D8" s="40">
        <v>385</v>
      </c>
      <c r="E8" s="77">
        <v>2</v>
      </c>
      <c r="F8" s="78">
        <f>ROUND(D8*E8,2)</f>
        <v>770</v>
      </c>
    </row>
    <row r="9" spans="1:6" x14ac:dyDescent="0.25">
      <c r="B9" s="75"/>
    </row>
    <row r="10" spans="1:6" x14ac:dyDescent="0.25">
      <c r="A10" s="39" t="s">
        <v>1448</v>
      </c>
      <c r="B10" s="81" t="s">
        <v>1449</v>
      </c>
    </row>
    <row r="11" spans="1:6" ht="174" customHeight="1" x14ac:dyDescent="0.25">
      <c r="B11" s="37" t="s">
        <v>1450</v>
      </c>
    </row>
    <row r="12" spans="1:6" x14ac:dyDescent="0.25">
      <c r="B12" s="75" t="s">
        <v>1451</v>
      </c>
      <c r="C12" s="76" t="s">
        <v>19</v>
      </c>
      <c r="D12" s="40">
        <v>1</v>
      </c>
      <c r="E12" s="77">
        <v>1000</v>
      </c>
      <c r="F12" s="78">
        <f>ROUND(D12*E12,2)</f>
        <v>1000</v>
      </c>
    </row>
    <row r="14" spans="1:6" x14ac:dyDescent="0.25">
      <c r="A14" s="39" t="s">
        <v>1452</v>
      </c>
      <c r="B14" s="81" t="s">
        <v>3022</v>
      </c>
    </row>
    <row r="15" spans="1:6" ht="53.25" customHeight="1" x14ac:dyDescent="0.25">
      <c r="B15" s="37" t="s">
        <v>3021</v>
      </c>
    </row>
    <row r="16" spans="1:6" x14ac:dyDescent="0.25">
      <c r="B16" s="75" t="s">
        <v>1455</v>
      </c>
      <c r="C16" s="76" t="s">
        <v>19</v>
      </c>
      <c r="D16" s="40">
        <v>1</v>
      </c>
      <c r="E16" s="77">
        <v>500</v>
      </c>
      <c r="F16" s="78">
        <f>ROUND(D16*E16,2)</f>
        <v>500</v>
      </c>
    </row>
    <row r="18" spans="1:6" x14ac:dyDescent="0.25">
      <c r="A18" s="39" t="s">
        <v>1454</v>
      </c>
      <c r="B18" s="81" t="s">
        <v>1456</v>
      </c>
    </row>
    <row r="19" spans="1:6" ht="57" customHeight="1" x14ac:dyDescent="0.25">
      <c r="B19" s="37" t="s">
        <v>1457</v>
      </c>
    </row>
    <row r="20" spans="1:6" x14ac:dyDescent="0.25">
      <c r="B20" s="75" t="s">
        <v>1453</v>
      </c>
      <c r="C20" s="76" t="s">
        <v>19</v>
      </c>
      <c r="D20" s="40">
        <v>1</v>
      </c>
      <c r="E20" s="77">
        <v>1000</v>
      </c>
      <c r="F20" s="78">
        <f>ROUND(D20*E20,2)</f>
        <v>1000</v>
      </c>
    </row>
    <row r="22" spans="1:6" x14ac:dyDescent="0.25">
      <c r="A22" s="91" t="s">
        <v>1445</v>
      </c>
      <c r="B22" s="92" t="s">
        <v>36</v>
      </c>
      <c r="C22" s="91"/>
      <c r="D22" s="91"/>
      <c r="E22" s="122"/>
      <c r="F22" s="96">
        <f>SUM(F8:F20)</f>
        <v>3270</v>
      </c>
    </row>
    <row r="24" spans="1:6" x14ac:dyDescent="0.25">
      <c r="A24" s="91" t="s">
        <v>1458</v>
      </c>
      <c r="B24" s="92" t="s">
        <v>37</v>
      </c>
      <c r="C24" s="91"/>
      <c r="D24" s="91"/>
      <c r="E24" s="122"/>
      <c r="F24" s="91"/>
    </row>
    <row r="26" spans="1:6" x14ac:dyDescent="0.25">
      <c r="A26" s="39" t="s">
        <v>1459</v>
      </c>
      <c r="B26" s="81" t="s">
        <v>1460</v>
      </c>
    </row>
    <row r="27" spans="1:6" ht="72" x14ac:dyDescent="0.25">
      <c r="B27" s="37" t="s">
        <v>1461</v>
      </c>
    </row>
    <row r="28" spans="1:6" x14ac:dyDescent="0.25">
      <c r="B28" s="75" t="s">
        <v>1462</v>
      </c>
      <c r="C28" s="76" t="s">
        <v>39</v>
      </c>
      <c r="D28" s="40">
        <v>97</v>
      </c>
      <c r="E28" s="77">
        <v>20</v>
      </c>
      <c r="F28" s="78">
        <f>ROUND(D28*E28,2)</f>
        <v>1940</v>
      </c>
    </row>
    <row r="30" spans="1:6" x14ac:dyDescent="0.25">
      <c r="A30" s="39" t="s">
        <v>1463</v>
      </c>
      <c r="B30" s="81" t="s">
        <v>1464</v>
      </c>
    </row>
    <row r="31" spans="1:6" ht="72" x14ac:dyDescent="0.25">
      <c r="B31" s="37" t="s">
        <v>1465</v>
      </c>
    </row>
    <row r="32" spans="1:6" x14ac:dyDescent="0.25">
      <c r="B32" s="75" t="s">
        <v>1466</v>
      </c>
      <c r="C32" s="76" t="s">
        <v>38</v>
      </c>
      <c r="D32" s="40">
        <v>385</v>
      </c>
      <c r="E32" s="77">
        <v>5</v>
      </c>
      <c r="F32" s="78">
        <f>ROUND(D32*E32,2)</f>
        <v>1925</v>
      </c>
    </row>
    <row r="34" spans="1:6" x14ac:dyDescent="0.25">
      <c r="A34" s="39" t="s">
        <v>1467</v>
      </c>
      <c r="B34" s="81" t="s">
        <v>1468</v>
      </c>
    </row>
    <row r="35" spans="1:6" ht="101.25" customHeight="1" x14ac:dyDescent="0.25">
      <c r="B35" s="37" t="s">
        <v>1469</v>
      </c>
    </row>
    <row r="36" spans="1:6" x14ac:dyDescent="0.25">
      <c r="B36" s="75" t="s">
        <v>1466</v>
      </c>
      <c r="C36" s="76" t="s">
        <v>38</v>
      </c>
      <c r="D36" s="40">
        <v>385</v>
      </c>
      <c r="E36" s="77">
        <v>5</v>
      </c>
      <c r="F36" s="78">
        <f>ROUND(D36*E36,2)</f>
        <v>1925</v>
      </c>
    </row>
    <row r="38" spans="1:6" x14ac:dyDescent="0.25">
      <c r="A38" s="39" t="s">
        <v>1470</v>
      </c>
      <c r="B38" s="81" t="s">
        <v>1471</v>
      </c>
    </row>
    <row r="39" spans="1:6" ht="101.25" customHeight="1" x14ac:dyDescent="0.25">
      <c r="B39" s="37" t="s">
        <v>1472</v>
      </c>
    </row>
    <row r="40" spans="1:6" x14ac:dyDescent="0.25">
      <c r="B40" s="75" t="s">
        <v>1473</v>
      </c>
      <c r="C40" s="76" t="s">
        <v>38</v>
      </c>
      <c r="D40" s="40">
        <v>385</v>
      </c>
      <c r="E40" s="77">
        <v>3</v>
      </c>
      <c r="F40" s="78">
        <f>ROUND(D40*E40,2)</f>
        <v>1155</v>
      </c>
    </row>
    <row r="42" spans="1:6" x14ac:dyDescent="0.25">
      <c r="A42" s="39" t="s">
        <v>1474</v>
      </c>
      <c r="B42" s="81" t="s">
        <v>1475</v>
      </c>
    </row>
    <row r="43" spans="1:6" ht="53.25" customHeight="1" x14ac:dyDescent="0.25">
      <c r="B43" s="37" t="s">
        <v>1476</v>
      </c>
    </row>
    <row r="44" spans="1:6" x14ac:dyDescent="0.25">
      <c r="B44" s="75" t="s">
        <v>1477</v>
      </c>
      <c r="C44" s="76" t="s">
        <v>39</v>
      </c>
      <c r="D44" s="40">
        <v>100</v>
      </c>
      <c r="E44" s="77">
        <v>20</v>
      </c>
      <c r="F44" s="78">
        <f>ROUND(D44*E44,2)</f>
        <v>2000</v>
      </c>
    </row>
    <row r="46" spans="1:6" x14ac:dyDescent="0.25">
      <c r="A46" s="91" t="s">
        <v>1458</v>
      </c>
      <c r="B46" s="92" t="s">
        <v>50</v>
      </c>
      <c r="C46" s="91"/>
      <c r="D46" s="91"/>
      <c r="E46" s="122"/>
      <c r="F46" s="96">
        <f>SUM(F44,F40,F36,F32,F28)</f>
        <v>8945</v>
      </c>
    </row>
    <row r="48" spans="1:6" x14ac:dyDescent="0.25">
      <c r="A48" s="91" t="s">
        <v>1478</v>
      </c>
      <c r="B48" s="92" t="s">
        <v>1479</v>
      </c>
      <c r="C48" s="91"/>
      <c r="D48" s="91"/>
      <c r="E48" s="122"/>
      <c r="F48" s="91"/>
    </row>
    <row r="50" spans="1:6" x14ac:dyDescent="0.25">
      <c r="A50" s="39" t="s">
        <v>1480</v>
      </c>
      <c r="B50" s="81" t="s">
        <v>1481</v>
      </c>
    </row>
    <row r="51" spans="1:6" ht="172.5" customHeight="1" x14ac:dyDescent="0.25">
      <c r="B51" s="37" t="s">
        <v>2585</v>
      </c>
    </row>
    <row r="52" spans="1:6" x14ac:dyDescent="0.25">
      <c r="B52" s="37" t="s">
        <v>2586</v>
      </c>
    </row>
    <row r="53" spans="1:6" x14ac:dyDescent="0.25">
      <c r="B53" s="75" t="s">
        <v>1482</v>
      </c>
      <c r="C53" s="76" t="s">
        <v>39</v>
      </c>
      <c r="D53" s="40">
        <v>58</v>
      </c>
      <c r="E53" s="77">
        <v>50</v>
      </c>
      <c r="F53" s="78">
        <f>ROUND(D53*E53,2)</f>
        <v>2900</v>
      </c>
    </row>
    <row r="54" spans="1:6" x14ac:dyDescent="0.25">
      <c r="B54" s="75" t="s">
        <v>1483</v>
      </c>
      <c r="C54" s="76" t="s">
        <v>39</v>
      </c>
      <c r="D54" s="40">
        <v>39</v>
      </c>
      <c r="E54" s="77">
        <v>50</v>
      </c>
      <c r="F54" s="78">
        <f>ROUND(D54*E54,2)</f>
        <v>1950</v>
      </c>
    </row>
    <row r="56" spans="1:6" x14ac:dyDescent="0.25">
      <c r="A56" s="39" t="s">
        <v>1484</v>
      </c>
      <c r="B56" s="81" t="s">
        <v>1485</v>
      </c>
    </row>
    <row r="57" spans="1:6" ht="36" x14ac:dyDescent="0.25">
      <c r="B57" s="37" t="s">
        <v>1486</v>
      </c>
    </row>
    <row r="58" spans="1:6" x14ac:dyDescent="0.25">
      <c r="B58" s="75" t="s">
        <v>1487</v>
      </c>
      <c r="C58" s="76" t="s">
        <v>13</v>
      </c>
      <c r="D58" s="40">
        <v>170</v>
      </c>
      <c r="E58" s="77">
        <v>60</v>
      </c>
      <c r="F58" s="78">
        <f>ROUND(D58*E58,2)</f>
        <v>10200</v>
      </c>
    </row>
    <row r="60" spans="1:6" x14ac:dyDescent="0.25">
      <c r="A60" s="39" t="s">
        <v>1488</v>
      </c>
      <c r="B60" s="81" t="s">
        <v>1489</v>
      </c>
    </row>
    <row r="61" spans="1:6" ht="78" customHeight="1" x14ac:dyDescent="0.25">
      <c r="B61" s="37" t="s">
        <v>1490</v>
      </c>
    </row>
    <row r="62" spans="1:6" ht="24" x14ac:dyDescent="0.25">
      <c r="B62" s="75" t="s">
        <v>1491</v>
      </c>
      <c r="C62" s="76" t="s">
        <v>38</v>
      </c>
      <c r="D62" s="40">
        <v>9</v>
      </c>
      <c r="E62" s="77">
        <v>500</v>
      </c>
      <c r="F62" s="78">
        <f>ROUND(D62*E62,2)</f>
        <v>4500</v>
      </c>
    </row>
    <row r="64" spans="1:6" x14ac:dyDescent="0.25">
      <c r="A64" s="39" t="s">
        <v>1492</v>
      </c>
      <c r="B64" s="81" t="s">
        <v>1493</v>
      </c>
    </row>
    <row r="65" spans="1:6" ht="77.25" customHeight="1" x14ac:dyDescent="0.25">
      <c r="B65" s="37" t="s">
        <v>1494</v>
      </c>
    </row>
    <row r="66" spans="1:6" ht="24" x14ac:dyDescent="0.25">
      <c r="B66" s="75" t="s">
        <v>1491</v>
      </c>
      <c r="C66" s="76" t="s">
        <v>38</v>
      </c>
      <c r="D66" s="40">
        <v>5</v>
      </c>
      <c r="E66" s="77">
        <v>500</v>
      </c>
      <c r="F66" s="78">
        <f>ROUND(D66*E66,2)</f>
        <v>2500</v>
      </c>
    </row>
    <row r="68" spans="1:6" x14ac:dyDescent="0.25">
      <c r="A68" s="91" t="s">
        <v>1478</v>
      </c>
      <c r="B68" s="92" t="s">
        <v>1495</v>
      </c>
      <c r="C68" s="91"/>
      <c r="D68" s="91"/>
      <c r="E68" s="122"/>
      <c r="F68" s="96">
        <f>SUM(F53:F66)</f>
        <v>22050</v>
      </c>
    </row>
    <row r="70" spans="1:6" x14ac:dyDescent="0.25">
      <c r="A70" s="91" t="s">
        <v>1496</v>
      </c>
      <c r="B70" s="92" t="s">
        <v>669</v>
      </c>
      <c r="C70" s="91"/>
      <c r="D70" s="91"/>
      <c r="E70" s="122"/>
      <c r="F70" s="91"/>
    </row>
    <row r="72" spans="1:6" x14ac:dyDescent="0.25">
      <c r="A72" s="39" t="s">
        <v>1497</v>
      </c>
      <c r="B72" s="81" t="s">
        <v>1498</v>
      </c>
    </row>
    <row r="73" spans="1:6" ht="40.5" customHeight="1" x14ac:dyDescent="0.25">
      <c r="B73" s="37" t="s">
        <v>1499</v>
      </c>
    </row>
    <row r="74" spans="1:6" x14ac:dyDescent="0.25">
      <c r="B74" s="75" t="s">
        <v>1500</v>
      </c>
      <c r="C74" s="76" t="s">
        <v>15</v>
      </c>
      <c r="D74" s="40">
        <v>10</v>
      </c>
      <c r="E74" s="77">
        <v>50</v>
      </c>
      <c r="F74" s="78">
        <f>ROUND(D74*E74,2)</f>
        <v>500</v>
      </c>
    </row>
    <row r="76" spans="1:6" x14ac:dyDescent="0.25">
      <c r="A76" s="39" t="s">
        <v>1501</v>
      </c>
      <c r="B76" s="81" t="s">
        <v>1502</v>
      </c>
    </row>
    <row r="77" spans="1:6" ht="54" customHeight="1" x14ac:dyDescent="0.25">
      <c r="B77" s="37" t="s">
        <v>1503</v>
      </c>
    </row>
    <row r="78" spans="1:6" x14ac:dyDescent="0.25">
      <c r="B78" s="75" t="s">
        <v>1504</v>
      </c>
      <c r="C78" s="76" t="s">
        <v>15</v>
      </c>
      <c r="D78" s="40">
        <v>5</v>
      </c>
      <c r="E78" s="77">
        <v>100</v>
      </c>
      <c r="F78" s="78">
        <f>ROUND(D78*E78,2)</f>
        <v>500</v>
      </c>
    </row>
    <row r="80" spans="1:6" x14ac:dyDescent="0.25">
      <c r="A80" s="39" t="s">
        <v>1505</v>
      </c>
      <c r="B80" s="81" t="s">
        <v>1506</v>
      </c>
    </row>
    <row r="81" spans="1:6" ht="48" x14ac:dyDescent="0.25">
      <c r="B81" s="37" t="s">
        <v>1507</v>
      </c>
    </row>
    <row r="82" spans="1:6" x14ac:dyDescent="0.25">
      <c r="B82" s="75" t="s">
        <v>1508</v>
      </c>
      <c r="C82" s="76" t="s">
        <v>39</v>
      </c>
      <c r="D82" s="40">
        <v>2.2999999999999998</v>
      </c>
      <c r="E82" s="77">
        <v>300</v>
      </c>
      <c r="F82" s="78">
        <f>ROUND(D82*E82,2)</f>
        <v>690</v>
      </c>
    </row>
    <row r="84" spans="1:6" x14ac:dyDescent="0.25">
      <c r="A84" s="39" t="s">
        <v>1509</v>
      </c>
      <c r="B84" s="81" t="s">
        <v>1510</v>
      </c>
    </row>
    <row r="85" spans="1:6" ht="24" x14ac:dyDescent="0.25">
      <c r="B85" s="37" t="s">
        <v>1511</v>
      </c>
    </row>
    <row r="86" spans="1:6" x14ac:dyDescent="0.25">
      <c r="B86" s="75" t="s">
        <v>1512</v>
      </c>
      <c r="C86" s="76" t="s">
        <v>56</v>
      </c>
      <c r="D86" s="40">
        <v>140</v>
      </c>
      <c r="E86" s="77">
        <v>2</v>
      </c>
      <c r="F86" s="78">
        <f>ROUND(D86*E86,2)</f>
        <v>280</v>
      </c>
    </row>
    <row r="88" spans="1:6" x14ac:dyDescent="0.25">
      <c r="A88" s="39" t="s">
        <v>1513</v>
      </c>
      <c r="B88" s="81" t="s">
        <v>1514</v>
      </c>
    </row>
    <row r="89" spans="1:6" ht="24" x14ac:dyDescent="0.25">
      <c r="B89" s="37" t="s">
        <v>1515</v>
      </c>
    </row>
    <row r="90" spans="1:6" x14ac:dyDescent="0.25">
      <c r="B90" s="75" t="s">
        <v>1516</v>
      </c>
      <c r="C90" s="76" t="s">
        <v>38</v>
      </c>
      <c r="D90" s="40">
        <v>50</v>
      </c>
      <c r="E90" s="77">
        <v>50</v>
      </c>
      <c r="F90" s="78">
        <f>ROUND(D90*E90,2)</f>
        <v>2500</v>
      </c>
    </row>
    <row r="92" spans="1:6" x14ac:dyDescent="0.25">
      <c r="A92" s="39" t="s">
        <v>1517</v>
      </c>
      <c r="B92" s="81" t="s">
        <v>1518</v>
      </c>
    </row>
    <row r="93" spans="1:6" ht="60" x14ac:dyDescent="0.25">
      <c r="B93" s="37" t="s">
        <v>1519</v>
      </c>
    </row>
    <row r="94" spans="1:6" x14ac:dyDescent="0.25">
      <c r="B94" s="75" t="s">
        <v>1520</v>
      </c>
      <c r="C94" s="76" t="s">
        <v>13</v>
      </c>
      <c r="D94" s="40">
        <v>10</v>
      </c>
      <c r="E94" s="77">
        <v>150</v>
      </c>
      <c r="F94" s="78">
        <f>ROUND(D94*E94,2)</f>
        <v>1500</v>
      </c>
    </row>
    <row r="96" spans="1:6" x14ac:dyDescent="0.25">
      <c r="A96" s="39" t="s">
        <v>1521</v>
      </c>
      <c r="B96" s="81" t="s">
        <v>1522</v>
      </c>
    </row>
    <row r="97" spans="1:6" ht="60" x14ac:dyDescent="0.25">
      <c r="B97" s="37" t="s">
        <v>1523</v>
      </c>
    </row>
    <row r="98" spans="1:6" ht="160.5" customHeight="1" x14ac:dyDescent="0.25">
      <c r="B98" s="37" t="s">
        <v>2582</v>
      </c>
      <c r="C98" s="76" t="s">
        <v>15</v>
      </c>
      <c r="D98" s="40">
        <v>1</v>
      </c>
      <c r="E98" s="77">
        <v>3474</v>
      </c>
      <c r="F98" s="78">
        <f>ROUND(D98*E98,2)</f>
        <v>3474</v>
      </c>
    </row>
    <row r="99" spans="1:6" x14ac:dyDescent="0.25">
      <c r="B99" s="75" t="s">
        <v>2583</v>
      </c>
      <c r="C99" s="76" t="s">
        <v>15</v>
      </c>
      <c r="D99" s="40">
        <v>1</v>
      </c>
      <c r="E99" s="77">
        <v>98.08</v>
      </c>
      <c r="F99" s="78">
        <f>ROUND(D99*E99,2)</f>
        <v>98.08</v>
      </c>
    </row>
    <row r="100" spans="1:6" x14ac:dyDescent="0.25">
      <c r="B100" s="75" t="s">
        <v>2584</v>
      </c>
      <c r="C100" s="76" t="s">
        <v>15</v>
      </c>
      <c r="D100" s="40">
        <v>1</v>
      </c>
      <c r="E100" s="77">
        <v>47.442999999999998</v>
      </c>
      <c r="F100" s="78">
        <f>ROUND(D100*E100,2)</f>
        <v>47.44</v>
      </c>
    </row>
    <row r="101" spans="1:6" x14ac:dyDescent="0.25">
      <c r="B101" s="75"/>
      <c r="D101" s="40"/>
      <c r="E101" s="77"/>
      <c r="F101" s="78"/>
    </row>
    <row r="102" spans="1:6" x14ac:dyDescent="0.25">
      <c r="A102" s="91" t="s">
        <v>1496</v>
      </c>
      <c r="B102" s="92" t="s">
        <v>670</v>
      </c>
      <c r="C102" s="91"/>
      <c r="D102" s="91"/>
      <c r="E102" s="122"/>
      <c r="F102" s="96">
        <f>SUM(F74:F101)</f>
        <v>9589.52</v>
      </c>
    </row>
    <row r="105" spans="1:6" x14ac:dyDescent="0.25">
      <c r="A105" s="113" t="s">
        <v>1443</v>
      </c>
      <c r="B105" s="116" t="s">
        <v>1524</v>
      </c>
      <c r="C105" s="113"/>
      <c r="D105" s="113"/>
      <c r="E105" s="128"/>
      <c r="F105" s="114">
        <f>SUM(F102,F68,F46,F22)</f>
        <v>43854.520000000004</v>
      </c>
    </row>
  </sheetData>
  <sheetProtection algorithmName="SHA-512" hashValue="6hlry4EJIFbu86bB3YxSyxHPGxPsdGN1ndHNy1ASith9E0iYvGtXbix0qQ0bjQ+fVji9tt310xlyGhzGCAwnFw==" saltValue="3SWnADhgW8rsIDSPRWvrQg==" spinCount="100000" sheet="1" objects="1" scenarios="1"/>
  <pageMargins left="0.6" right="0.6"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7"/>
  <sheetViews>
    <sheetView topLeftCell="A5" zoomScale="70" zoomScaleNormal="70" workbookViewId="0">
      <selection activeCell="E11" sqref="E11"/>
    </sheetView>
  </sheetViews>
  <sheetFormatPr defaultColWidth="9.109375" defaultRowHeight="12" x14ac:dyDescent="0.25"/>
  <cols>
    <col min="1" max="1" width="10.6640625" style="38" customWidth="1"/>
    <col min="2" max="2" width="60.6640625" style="74" customWidth="1"/>
    <col min="3" max="3" width="10.6640625" style="76" customWidth="1"/>
    <col min="4" max="4" width="10.6640625" style="38" customWidth="1"/>
    <col min="5" max="5" width="15.6640625" style="120" customWidth="1"/>
    <col min="6" max="6" width="20.6640625" style="38" customWidth="1"/>
    <col min="7" max="7" width="9.109375" style="38" customWidth="1"/>
    <col min="8" max="16384" width="9.109375" style="38"/>
  </cols>
  <sheetData>
    <row r="1" spans="1:6" ht="18" x14ac:dyDescent="0.35">
      <c r="A1" s="84" t="s">
        <v>1525</v>
      </c>
      <c r="B1" s="115" t="s">
        <v>1526</v>
      </c>
      <c r="C1" s="84"/>
      <c r="D1" s="84"/>
      <c r="E1" s="117"/>
      <c r="F1" s="84"/>
    </row>
    <row r="3" spans="1:6" ht="30" customHeight="1" x14ac:dyDescent="0.25">
      <c r="A3" s="139" t="s">
        <v>3</v>
      </c>
      <c r="B3" s="139" t="s">
        <v>4</v>
      </c>
      <c r="C3" s="139" t="s">
        <v>5</v>
      </c>
      <c r="D3" s="139" t="s">
        <v>6</v>
      </c>
      <c r="E3" s="140" t="s">
        <v>7</v>
      </c>
      <c r="F3" s="139" t="s">
        <v>8</v>
      </c>
    </row>
    <row r="7" spans="1:6" x14ac:dyDescent="0.25">
      <c r="A7" s="146">
        <v>8.1</v>
      </c>
      <c r="B7" s="92" t="s">
        <v>2134</v>
      </c>
      <c r="C7" s="97"/>
      <c r="D7" s="91"/>
      <c r="E7" s="122"/>
      <c r="F7" s="91"/>
    </row>
    <row r="9" spans="1:6" x14ac:dyDescent="0.25">
      <c r="A9" s="38" t="s">
        <v>2588</v>
      </c>
      <c r="B9" s="52" t="s">
        <v>2135</v>
      </c>
      <c r="C9" s="76" t="s">
        <v>2136</v>
      </c>
      <c r="D9" s="40">
        <v>1</v>
      </c>
      <c r="E9" s="77">
        <v>300</v>
      </c>
      <c r="F9" s="78">
        <f>ROUND(D9*E9,2)</f>
        <v>300</v>
      </c>
    </row>
    <row r="11" spans="1:6" x14ac:dyDescent="0.25">
      <c r="A11" s="146">
        <v>8.1</v>
      </c>
      <c r="B11" s="92" t="s">
        <v>2592</v>
      </c>
      <c r="C11" s="97"/>
      <c r="D11" s="91"/>
      <c r="E11" s="122"/>
      <c r="F11" s="96">
        <f>SUM(F9:F10)</f>
        <v>300</v>
      </c>
    </row>
    <row r="13" spans="1:6" x14ac:dyDescent="0.25">
      <c r="A13" s="146">
        <v>8.1999999999999993</v>
      </c>
      <c r="B13" s="92" t="s">
        <v>2137</v>
      </c>
      <c r="C13" s="97"/>
      <c r="D13" s="91"/>
      <c r="E13" s="122"/>
      <c r="F13" s="91"/>
    </row>
    <row r="15" spans="1:6" ht="51" customHeight="1" x14ac:dyDescent="0.25">
      <c r="A15" s="39" t="s">
        <v>2589</v>
      </c>
      <c r="B15" s="82" t="s">
        <v>2138</v>
      </c>
    </row>
    <row r="16" spans="1:6" x14ac:dyDescent="0.25">
      <c r="A16" s="39"/>
      <c r="B16" s="82" t="s">
        <v>2139</v>
      </c>
      <c r="C16" s="76" t="s">
        <v>13</v>
      </c>
      <c r="D16" s="40">
        <v>25</v>
      </c>
      <c r="E16" s="77">
        <v>90</v>
      </c>
      <c r="F16" s="78">
        <f>ROUND(D16*E16,2)</f>
        <v>2250</v>
      </c>
    </row>
    <row r="17" spans="1:6" x14ac:dyDescent="0.25">
      <c r="A17" s="39"/>
    </row>
    <row r="18" spans="1:6" ht="54" customHeight="1" x14ac:dyDescent="0.25">
      <c r="A18" s="39" t="s">
        <v>2590</v>
      </c>
      <c r="B18" s="82" t="s">
        <v>2140</v>
      </c>
    </row>
    <row r="19" spans="1:6" x14ac:dyDescent="0.25">
      <c r="B19" s="82" t="s">
        <v>2141</v>
      </c>
      <c r="C19" s="76" t="s">
        <v>2010</v>
      </c>
      <c r="D19" s="40">
        <v>5</v>
      </c>
      <c r="E19" s="77">
        <v>50</v>
      </c>
      <c r="F19" s="78">
        <f>ROUND(D19*E19,2)</f>
        <v>250</v>
      </c>
    </row>
    <row r="21" spans="1:6" x14ac:dyDescent="0.25">
      <c r="A21" s="146">
        <v>8.1999999999999993</v>
      </c>
      <c r="B21" s="92" t="s">
        <v>2593</v>
      </c>
      <c r="C21" s="97"/>
      <c r="D21" s="91"/>
      <c r="E21" s="122"/>
      <c r="F21" s="96">
        <f>SUM(F16:F19)</f>
        <v>2500</v>
      </c>
    </row>
    <row r="23" spans="1:6" x14ac:dyDescent="0.25">
      <c r="A23" s="146">
        <v>8.3000000000000007</v>
      </c>
      <c r="B23" s="92" t="s">
        <v>2142</v>
      </c>
      <c r="C23" s="97"/>
      <c r="D23" s="91"/>
      <c r="E23" s="122"/>
      <c r="F23" s="91"/>
    </row>
    <row r="25" spans="1:6" x14ac:dyDescent="0.25">
      <c r="A25" s="38" t="s">
        <v>2591</v>
      </c>
      <c r="B25" s="74" t="s">
        <v>2143</v>
      </c>
    </row>
    <row r="26" spans="1:6" x14ac:dyDescent="0.25">
      <c r="B26" s="74" t="s">
        <v>2144</v>
      </c>
      <c r="C26" s="76" t="s">
        <v>13</v>
      </c>
      <c r="D26" s="40">
        <v>25</v>
      </c>
      <c r="E26" s="77">
        <v>50</v>
      </c>
      <c r="F26" s="78">
        <f>ROUND(D26*E26,2)</f>
        <v>1250</v>
      </c>
    </row>
    <row r="28" spans="1:6" x14ac:dyDescent="0.25">
      <c r="A28" s="146">
        <v>8.3000000000000007</v>
      </c>
      <c r="B28" s="92" t="s">
        <v>2594</v>
      </c>
      <c r="C28" s="97"/>
      <c r="D28" s="91"/>
      <c r="E28" s="122"/>
      <c r="F28" s="96">
        <f>SUM(F26:F27)</f>
        <v>1250</v>
      </c>
    </row>
    <row r="30" spans="1:6" x14ac:dyDescent="0.25">
      <c r="A30" s="146" t="s">
        <v>2587</v>
      </c>
      <c r="B30" s="92" t="s">
        <v>2145</v>
      </c>
      <c r="C30" s="97"/>
      <c r="D30" s="91"/>
      <c r="E30" s="122"/>
      <c r="F30" s="91"/>
    </row>
    <row r="32" spans="1:6" ht="40.5" customHeight="1" x14ac:dyDescent="0.25">
      <c r="A32" s="39" t="s">
        <v>1690</v>
      </c>
      <c r="B32" s="37" t="s">
        <v>3053</v>
      </c>
      <c r="C32" s="76" t="s">
        <v>19</v>
      </c>
      <c r="D32" s="40">
        <v>1</v>
      </c>
      <c r="E32" s="77">
        <v>1000</v>
      </c>
      <c r="F32" s="78">
        <f>ROUND(D32*E32,2)</f>
        <v>1000</v>
      </c>
    </row>
    <row r="34" spans="1:6" x14ac:dyDescent="0.25">
      <c r="A34" s="146" t="s">
        <v>2587</v>
      </c>
      <c r="B34" s="92" t="s">
        <v>2595</v>
      </c>
      <c r="C34" s="97"/>
      <c r="D34" s="91"/>
      <c r="E34" s="122"/>
      <c r="F34" s="96">
        <f>SUM(F32:F33)</f>
        <v>1000</v>
      </c>
    </row>
    <row r="37" spans="1:6" x14ac:dyDescent="0.25">
      <c r="A37" s="113" t="s">
        <v>1525</v>
      </c>
      <c r="B37" s="116" t="s">
        <v>1527</v>
      </c>
      <c r="C37" s="113"/>
      <c r="D37" s="113"/>
      <c r="E37" s="128"/>
      <c r="F37" s="114">
        <f>SUM(F34,F28,F21,F11)</f>
        <v>5050</v>
      </c>
    </row>
  </sheetData>
  <sheetProtection algorithmName="SHA-512" hashValue="p4JSQ12E1UlIrHP7EutG2Ww/nka2UlXjDqGbFhY/aBSw3peKpcSqki2SIRfG88uHl7rZORaPIKIfAEdRo0+2eg==" saltValue="abMHF5S/2z1zntAXlhibOA==" spinCount="100000" sheet="1" objects="1" scenarios="1"/>
  <pageMargins left="0.6" right="0.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11</vt:i4>
      </vt:variant>
    </vt:vector>
  </HeadingPairs>
  <TitlesOfParts>
    <vt:vector size="11" baseType="lpstr">
      <vt:lpstr>NASLOVNICA</vt:lpstr>
      <vt:lpstr>REKAPITULACIJA</vt:lpstr>
      <vt:lpstr>OPĆI UVJETI</vt:lpstr>
      <vt:lpstr>1. ARHITEKTURA</vt:lpstr>
      <vt:lpstr>2. ELEKTRO</vt:lpstr>
      <vt:lpstr>3. STROJARSKI</vt:lpstr>
      <vt:lpstr>4. VODOVOD I KANALIZACIJA</vt:lpstr>
      <vt:lpstr>5. SPRINKLER</vt:lpstr>
      <vt:lpstr>6. DIZALA</vt:lpstr>
      <vt:lpstr>7. PRISTUPNI PUT</vt:lpstr>
      <vt:lpstr>8. GEOMEHANIKA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RL</dc:creator>
  <cp:lastModifiedBy>office</cp:lastModifiedBy>
  <dcterms:created xsi:type="dcterms:W3CDTF">2024-05-31T12:56:02Z</dcterms:created>
  <dcterms:modified xsi:type="dcterms:W3CDTF">2025-08-04T17:38:14Z</dcterms:modified>
</cp:coreProperties>
</file>